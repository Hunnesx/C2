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ke\OneDrive\Dokumente\Uni\Next Cloud\Physik\Experimentalphysik\Physikalisches Praktikum\C\C33\Maria Helke\"/>
    </mc:Choice>
  </mc:AlternateContent>
  <xr:revisionPtr revIDLastSave="0" documentId="13_ncr:1_{A2C471FB-39FB-448A-8990-4FB785D42088}" xr6:coauthVersionLast="47" xr6:coauthVersionMax="47" xr10:uidLastSave="{00000000-0000-0000-0000-000000000000}"/>
  <bookViews>
    <workbookView xWindow="-108" yWindow="-108" windowWidth="23256" windowHeight="12456" firstSheet="1" activeTab="3" xr2:uid="{BEF8BD3C-8A5E-4348-A329-11DB8612E814}"/>
  </bookViews>
  <sheets>
    <sheet name="Leslie" sheetId="1" r:id="rId1"/>
    <sheet name="Auswertung Leslie " sheetId="3" r:id="rId2"/>
    <sheet name="Tabelle2" sheetId="2" r:id="rId3"/>
    <sheet name="Tabelle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4" l="1"/>
  <c r="M3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3" i="2"/>
  <c r="L3" i="2"/>
  <c r="F18" i="2"/>
  <c r="F19" i="2"/>
  <c r="F20" i="2"/>
  <c r="F21" i="2"/>
  <c r="F22" i="2"/>
  <c r="F23" i="2"/>
  <c r="F24" i="2"/>
  <c r="F25" i="2"/>
  <c r="F26" i="2"/>
  <c r="F27" i="2"/>
  <c r="F17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K3" i="2"/>
  <c r="L37" i="2"/>
  <c r="L38" i="2"/>
  <c r="L39" i="2"/>
  <c r="L40" i="2"/>
  <c r="L41" i="2"/>
  <c r="L42" i="2"/>
  <c r="L4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E17" i="2"/>
  <c r="H2" i="1"/>
  <c r="G2" i="1"/>
  <c r="M3" i="1"/>
  <c r="N3" i="1" s="1"/>
  <c r="N2" i="1"/>
  <c r="M22" i="1"/>
  <c r="L22" i="1"/>
  <c r="K22" i="1"/>
  <c r="J22" i="1"/>
  <c r="E18" i="2"/>
  <c r="E19" i="2"/>
  <c r="E20" i="2"/>
  <c r="E21" i="2"/>
  <c r="E22" i="2"/>
  <c r="E23" i="2"/>
  <c r="E24" i="2"/>
  <c r="E25" i="2"/>
  <c r="E26" i="2"/>
  <c r="E27" i="2"/>
  <c r="D18" i="2"/>
  <c r="D19" i="2"/>
  <c r="D20" i="2"/>
  <c r="D21" i="2"/>
  <c r="D22" i="2"/>
  <c r="D23" i="2"/>
  <c r="D24" i="2"/>
  <c r="D25" i="2"/>
  <c r="D26" i="2"/>
  <c r="D27" i="2"/>
  <c r="D17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" i="2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A2" i="1"/>
</calcChain>
</file>

<file path=xl/sharedStrings.xml><?xml version="1.0" encoding="utf-8"?>
<sst xmlns="http://schemas.openxmlformats.org/spreadsheetml/2006/main" count="54" uniqueCount="43">
  <si>
    <t>Temperatur</t>
  </si>
  <si>
    <t>matt</t>
  </si>
  <si>
    <t>spiegelnd</t>
  </si>
  <si>
    <t>schwarz</t>
  </si>
  <si>
    <t>weiß</t>
  </si>
  <si>
    <t>Raumtemp.</t>
  </si>
  <si>
    <t>100mV</t>
  </si>
  <si>
    <t>12D Nickel</t>
  </si>
  <si>
    <t>Infrarot</t>
  </si>
  <si>
    <t>Fensterglas</t>
  </si>
  <si>
    <t>In glas gehäuse</t>
  </si>
  <si>
    <t>rotes Glas</t>
  </si>
  <si>
    <t>2.ter Teil</t>
  </si>
  <si>
    <t>Spannung</t>
  </si>
  <si>
    <t>Winkel</t>
  </si>
  <si>
    <t>Temp. 350</t>
  </si>
  <si>
    <t>Temp/ K.</t>
  </si>
  <si>
    <t>Temp^4</t>
  </si>
  <si>
    <t>Temp\K</t>
  </si>
  <si>
    <t>Kelvin</t>
  </si>
  <si>
    <t>Temp^4\K</t>
  </si>
  <si>
    <t>U/U_0</t>
  </si>
  <si>
    <t>Durchlässigkeit</t>
  </si>
  <si>
    <t>NaCl</t>
  </si>
  <si>
    <t>Silicium</t>
  </si>
  <si>
    <t>Maximal Wellenlänge</t>
  </si>
  <si>
    <t>Raumtemp</t>
  </si>
  <si>
    <t xml:space="preserve">Leslie bei </t>
  </si>
  <si>
    <t xml:space="preserve">Fehlt noch </t>
  </si>
  <si>
    <t>ausgehende Energie schwarze Seite</t>
  </si>
  <si>
    <t>h*c/lambda</t>
  </si>
  <si>
    <t>k</t>
  </si>
  <si>
    <t>dk</t>
  </si>
  <si>
    <t>b</t>
  </si>
  <si>
    <t>db</t>
  </si>
  <si>
    <t>T</t>
  </si>
  <si>
    <t>dT</t>
  </si>
  <si>
    <t>Fehler</t>
  </si>
  <si>
    <t>U*</t>
  </si>
  <si>
    <t>Fehleer</t>
  </si>
  <si>
    <t>Loglog</t>
  </si>
  <si>
    <t>Fit-Methode</t>
  </si>
  <si>
    <t>Exponent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</si>
</sst>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F81A-D43D-4521-8052-57FD5E553E40}">
  <dimension ref="A1:N23"/>
  <sheetViews>
    <sheetView workbookViewId="0">
      <selection activeCell="J9" sqref="J9"/>
    </sheetView>
  </sheetViews>
  <sheetFormatPr baseColWidth="10" defaultRowHeight="14.4" x14ac:dyDescent="0.3"/>
  <cols>
    <col min="13" max="13" width="12.44140625" bestFit="1" customWidth="1"/>
  </cols>
  <sheetData>
    <row r="1" spans="1:14" x14ac:dyDescent="0.3">
      <c r="A1" t="s">
        <v>0</v>
      </c>
      <c r="B1" t="s">
        <v>3</v>
      </c>
      <c r="C1" t="s">
        <v>2</v>
      </c>
      <c r="D1" t="s">
        <v>4</v>
      </c>
      <c r="E1" t="s">
        <v>1</v>
      </c>
      <c r="G1" t="s">
        <v>16</v>
      </c>
      <c r="H1" t="s">
        <v>17</v>
      </c>
      <c r="I1" t="s">
        <v>5</v>
      </c>
      <c r="M1" t="s">
        <v>25</v>
      </c>
    </row>
    <row r="2" spans="1:14" x14ac:dyDescent="0.3">
      <c r="A2">
        <f>15</f>
        <v>15</v>
      </c>
      <c r="B2">
        <v>-7.4999999999999997E-2</v>
      </c>
      <c r="C2">
        <v>0</v>
      </c>
      <c r="D2">
        <v>-7.5999999999999998E-2</v>
      </c>
      <c r="E2">
        <v>-4.4999999999999998E-2</v>
      </c>
      <c r="F2" t="s">
        <v>6</v>
      </c>
      <c r="G2">
        <f>A2+$K$2</f>
        <v>288.14999999999998</v>
      </c>
      <c r="H2">
        <f>(G2)^4*10^(-9)</f>
        <v>6.894051060528505</v>
      </c>
      <c r="I2">
        <v>18</v>
      </c>
      <c r="K2">
        <v>273.14999999999998</v>
      </c>
      <c r="L2" t="s">
        <v>26</v>
      </c>
      <c r="M2" s="1" t="s">
        <v>28</v>
      </c>
      <c r="N2" t="e">
        <f>2897.8/M2</f>
        <v>#VALUE!</v>
      </c>
    </row>
    <row r="3" spans="1:14" x14ac:dyDescent="0.3">
      <c r="A3">
        <v>16</v>
      </c>
      <c r="B3">
        <v>-6.3E-2</v>
      </c>
      <c r="C3">
        <v>-1E-3</v>
      </c>
      <c r="D3">
        <v>-0.05</v>
      </c>
      <c r="E3">
        <v>-2.8000000000000001E-2</v>
      </c>
      <c r="G3">
        <f t="shared" ref="G3:G20" si="0">A3+$K$2</f>
        <v>289.14999999999998</v>
      </c>
      <c r="H3">
        <f t="shared" ref="H3:H20" si="1">(G3)^4*10^(-9)</f>
        <v>6.9902512616370052</v>
      </c>
      <c r="L3" t="s">
        <v>27</v>
      </c>
      <c r="M3">
        <f>75+273.15</f>
        <v>348.15</v>
      </c>
      <c r="N3">
        <f>2897.8/M3</f>
        <v>8.3234238115754717</v>
      </c>
    </row>
    <row r="4" spans="1:14" x14ac:dyDescent="0.3">
      <c r="A4">
        <v>17</v>
      </c>
      <c r="B4">
        <v>-0.03</v>
      </c>
      <c r="C4">
        <v>4.0000000000000001E-3</v>
      </c>
      <c r="D4">
        <v>-2.3E-2</v>
      </c>
      <c r="E4">
        <v>-8.9999999999999993E-3</v>
      </c>
      <c r="G4">
        <f t="shared" si="0"/>
        <v>290.14999999999998</v>
      </c>
      <c r="H4">
        <f t="shared" si="1"/>
        <v>7.0874547574155047</v>
      </c>
    </row>
    <row r="5" spans="1:14" x14ac:dyDescent="0.3">
      <c r="A5">
        <v>19</v>
      </c>
      <c r="B5">
        <v>0.03</v>
      </c>
      <c r="C5">
        <v>1.2999999999999999E-2</v>
      </c>
      <c r="D5">
        <v>3.3000000000000002E-2</v>
      </c>
      <c r="E5">
        <v>2.5000000000000001E-2</v>
      </c>
      <c r="G5">
        <f t="shared" si="0"/>
        <v>292.14999999999998</v>
      </c>
      <c r="H5">
        <f t="shared" si="1"/>
        <v>7.2848994633825042</v>
      </c>
      <c r="M5" t="s">
        <v>29</v>
      </c>
    </row>
    <row r="6" spans="1:14" x14ac:dyDescent="0.3">
      <c r="A6">
        <v>21</v>
      </c>
      <c r="B6">
        <v>8.5999999999999993E-2</v>
      </c>
      <c r="C6">
        <v>2.4E-2</v>
      </c>
      <c r="D6">
        <v>0.09</v>
      </c>
      <c r="E6">
        <v>6.0999999999999999E-2</v>
      </c>
      <c r="G6">
        <f t="shared" si="0"/>
        <v>294.14999999999998</v>
      </c>
      <c r="H6">
        <f t="shared" si="1"/>
        <v>7.4864410792295049</v>
      </c>
      <c r="M6" t="s">
        <v>30</v>
      </c>
    </row>
    <row r="7" spans="1:14" x14ac:dyDescent="0.3">
      <c r="A7">
        <v>23</v>
      </c>
      <c r="B7">
        <v>0.14699999999999999</v>
      </c>
      <c r="C7">
        <v>3.4000000000000002E-2</v>
      </c>
      <c r="D7">
        <v>0.14899999999999999</v>
      </c>
      <c r="E7">
        <v>9.8000000000000004E-2</v>
      </c>
      <c r="G7">
        <f t="shared" si="0"/>
        <v>296.14999999999998</v>
      </c>
      <c r="H7">
        <f t="shared" si="1"/>
        <v>7.6921358897565035</v>
      </c>
      <c r="I7">
        <v>19</v>
      </c>
    </row>
    <row r="8" spans="1:14" x14ac:dyDescent="0.3">
      <c r="A8">
        <v>28</v>
      </c>
      <c r="B8">
        <v>0.29299999999999998</v>
      </c>
      <c r="C8">
        <v>5.8000000000000003E-2</v>
      </c>
      <c r="D8">
        <v>0.29599999999999999</v>
      </c>
      <c r="E8">
        <v>0.193</v>
      </c>
      <c r="G8">
        <f t="shared" si="0"/>
        <v>301.14999999999998</v>
      </c>
      <c r="H8">
        <f t="shared" si="1"/>
        <v>8.2249159767990037</v>
      </c>
    </row>
    <row r="9" spans="1:14" x14ac:dyDescent="0.3">
      <c r="A9">
        <v>33</v>
      </c>
      <c r="B9">
        <v>0.45300000000000001</v>
      </c>
      <c r="C9">
        <v>8.5000000000000006E-2</v>
      </c>
      <c r="D9">
        <v>0.45600000000000002</v>
      </c>
      <c r="E9">
        <v>0.29099999999999998</v>
      </c>
      <c r="G9">
        <f t="shared" si="0"/>
        <v>306.14999999999998</v>
      </c>
      <c r="H9">
        <f t="shared" si="1"/>
        <v>8.784904710591503</v>
      </c>
    </row>
    <row r="10" spans="1:14" x14ac:dyDescent="0.3">
      <c r="A10">
        <v>38</v>
      </c>
      <c r="B10">
        <v>0.61499999999999999</v>
      </c>
      <c r="C10">
        <v>0.112</v>
      </c>
      <c r="D10">
        <v>0.622</v>
      </c>
      <c r="E10">
        <v>0.39700000000000002</v>
      </c>
      <c r="G10">
        <f t="shared" si="0"/>
        <v>311.14999999999998</v>
      </c>
      <c r="H10">
        <f t="shared" si="1"/>
        <v>9.3730130411340031</v>
      </c>
    </row>
    <row r="11" spans="1:14" x14ac:dyDescent="0.3">
      <c r="A11">
        <v>43</v>
      </c>
      <c r="B11">
        <v>0.79700000000000004</v>
      </c>
      <c r="C11">
        <v>0.14399999999999999</v>
      </c>
      <c r="D11">
        <v>0.79900000000000004</v>
      </c>
      <c r="E11">
        <v>0.50800000000000001</v>
      </c>
      <c r="G11">
        <f t="shared" si="0"/>
        <v>316.14999999999998</v>
      </c>
      <c r="H11">
        <f t="shared" si="1"/>
        <v>9.9901669184265032</v>
      </c>
    </row>
    <row r="12" spans="1:14" x14ac:dyDescent="0.3">
      <c r="A12">
        <v>48</v>
      </c>
      <c r="B12">
        <v>0.97799999999999998</v>
      </c>
      <c r="C12">
        <v>0.17199999999999999</v>
      </c>
      <c r="D12">
        <v>0.97899999999999998</v>
      </c>
      <c r="E12">
        <v>0.624</v>
      </c>
      <c r="G12">
        <f t="shared" si="0"/>
        <v>321.14999999999998</v>
      </c>
      <c r="H12">
        <f t="shared" si="1"/>
        <v>10.637307292469002</v>
      </c>
    </row>
    <row r="13" spans="1:14" x14ac:dyDescent="0.3">
      <c r="A13">
        <v>53</v>
      </c>
      <c r="B13">
        <v>1.1679999999999999</v>
      </c>
      <c r="C13">
        <v>0.20699999999999999</v>
      </c>
      <c r="D13">
        <v>1.1679999999999999</v>
      </c>
      <c r="E13">
        <v>0.74399999999999999</v>
      </c>
      <c r="G13">
        <f t="shared" si="0"/>
        <v>326.14999999999998</v>
      </c>
      <c r="H13">
        <f t="shared" si="1"/>
        <v>11.315390113261502</v>
      </c>
    </row>
    <row r="14" spans="1:14" x14ac:dyDescent="0.3">
      <c r="A14">
        <v>58</v>
      </c>
      <c r="B14">
        <v>1.367</v>
      </c>
      <c r="C14">
        <v>0.24299999999999999</v>
      </c>
      <c r="D14">
        <v>1.367</v>
      </c>
      <c r="E14">
        <v>0.872</v>
      </c>
      <c r="G14">
        <f t="shared" si="0"/>
        <v>331.15</v>
      </c>
      <c r="H14">
        <f t="shared" si="1"/>
        <v>12.025386330804004</v>
      </c>
    </row>
    <row r="15" spans="1:14" x14ac:dyDescent="0.3">
      <c r="A15">
        <v>63</v>
      </c>
      <c r="B15">
        <v>1.5760000000000001</v>
      </c>
      <c r="C15">
        <v>0.27600000000000002</v>
      </c>
      <c r="D15">
        <v>1.57</v>
      </c>
      <c r="E15">
        <v>1.0069999999999999</v>
      </c>
      <c r="G15">
        <f t="shared" si="0"/>
        <v>336.15</v>
      </c>
      <c r="H15">
        <f t="shared" si="1"/>
        <v>12.768281895096504</v>
      </c>
    </row>
    <row r="16" spans="1:14" x14ac:dyDescent="0.3">
      <c r="A16">
        <v>68</v>
      </c>
      <c r="B16">
        <v>1.796</v>
      </c>
      <c r="C16">
        <v>0.313</v>
      </c>
      <c r="D16">
        <v>1.788</v>
      </c>
      <c r="E16">
        <v>1.1459999999999999</v>
      </c>
      <c r="G16">
        <f t="shared" si="0"/>
        <v>341.15</v>
      </c>
      <c r="H16">
        <f t="shared" si="1"/>
        <v>13.545077756139003</v>
      </c>
    </row>
    <row r="17" spans="1:14" x14ac:dyDescent="0.3">
      <c r="A17">
        <v>73</v>
      </c>
      <c r="B17">
        <v>2.0190000000000001</v>
      </c>
      <c r="C17">
        <v>0.35699999999999998</v>
      </c>
      <c r="D17">
        <v>2.012</v>
      </c>
      <c r="E17">
        <v>1.296</v>
      </c>
      <c r="G17">
        <f t="shared" si="0"/>
        <v>346.15</v>
      </c>
      <c r="H17">
        <f t="shared" si="1"/>
        <v>14.356789863931501</v>
      </c>
      <c r="J17" t="s">
        <v>7</v>
      </c>
      <c r="K17" t="s">
        <v>8</v>
      </c>
      <c r="L17" t="s">
        <v>9</v>
      </c>
      <c r="M17" t="s">
        <v>10</v>
      </c>
      <c r="N17" t="s">
        <v>11</v>
      </c>
    </row>
    <row r="18" spans="1:14" x14ac:dyDescent="0.3">
      <c r="A18">
        <v>75</v>
      </c>
      <c r="B18">
        <v>2.1160000000000001</v>
      </c>
      <c r="C18">
        <v>0.36299999999999999</v>
      </c>
      <c r="D18">
        <v>2.1040000000000001</v>
      </c>
      <c r="E18">
        <v>1.353</v>
      </c>
      <c r="G18">
        <f t="shared" si="0"/>
        <v>348.15</v>
      </c>
      <c r="H18">
        <f t="shared" si="1"/>
        <v>14.691481684938504</v>
      </c>
      <c r="J18">
        <v>-4.0000000000000001E-3</v>
      </c>
      <c r="K18">
        <v>2.7E-2</v>
      </c>
      <c r="L18">
        <v>0.04</v>
      </c>
      <c r="M18">
        <v>1.661</v>
      </c>
      <c r="N18">
        <v>0.75900000000000001</v>
      </c>
    </row>
    <row r="19" spans="1:14" x14ac:dyDescent="0.3">
      <c r="A19">
        <v>80</v>
      </c>
      <c r="B19">
        <v>2.3439999999999999</v>
      </c>
      <c r="C19">
        <v>0.40799999999999997</v>
      </c>
      <c r="D19">
        <v>2.34</v>
      </c>
      <c r="E19">
        <v>1.5069999999999999</v>
      </c>
      <c r="G19">
        <f t="shared" si="0"/>
        <v>353.15</v>
      </c>
      <c r="H19">
        <f t="shared" si="1"/>
        <v>15.553811894181004</v>
      </c>
      <c r="I19">
        <v>20</v>
      </c>
    </row>
    <row r="20" spans="1:14" x14ac:dyDescent="0.3">
      <c r="A20">
        <v>85</v>
      </c>
      <c r="B20">
        <v>2.613</v>
      </c>
      <c r="C20">
        <v>0.45200000000000001</v>
      </c>
      <c r="D20">
        <v>2.589</v>
      </c>
      <c r="E20">
        <v>1.667</v>
      </c>
      <c r="G20">
        <f t="shared" si="0"/>
        <v>358.15</v>
      </c>
      <c r="H20">
        <f t="shared" si="1"/>
        <v>16.453557830173501</v>
      </c>
    </row>
    <row r="21" spans="1:14" x14ac:dyDescent="0.3">
      <c r="J21" t="s">
        <v>22</v>
      </c>
    </row>
    <row r="22" spans="1:14" x14ac:dyDescent="0.3">
      <c r="J22">
        <f>1-(K18-$B$18)/($J$18-$B$18)</f>
        <v>1.4622641509434042E-2</v>
      </c>
      <c r="K22">
        <f>1-(L18-$B$18)/($J$18-$B$18)</f>
        <v>2.0754716981132071E-2</v>
      </c>
      <c r="L22">
        <f>1-(M18-$B$18)/($J$18-$B$18)</f>
        <v>0.785377358490566</v>
      </c>
      <c r="M22">
        <f>1-(N18-$B$18)/($J$18-$B$18)</f>
        <v>0.35990566037735838</v>
      </c>
    </row>
    <row r="23" spans="1:14" x14ac:dyDescent="0.3">
      <c r="J23" t="s">
        <v>8</v>
      </c>
      <c r="K23" t="s">
        <v>9</v>
      </c>
      <c r="L23" t="s">
        <v>23</v>
      </c>
      <c r="M23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D9236-CF4C-40EC-9879-E4C6B1B00C4F}">
  <dimension ref="B4:H8"/>
  <sheetViews>
    <sheetView zoomScale="98" zoomScaleNormal="85" workbookViewId="0">
      <selection activeCell="E14" sqref="E14"/>
    </sheetView>
  </sheetViews>
  <sheetFormatPr baseColWidth="10" defaultRowHeight="14.4" x14ac:dyDescent="0.3"/>
  <sheetData>
    <row r="4" spans="2:8" x14ac:dyDescent="0.3">
      <c r="C4" s="2" t="s">
        <v>33</v>
      </c>
      <c r="D4" s="2" t="s">
        <v>34</v>
      </c>
      <c r="G4" s="2" t="s">
        <v>35</v>
      </c>
      <c r="H4" s="2" t="s">
        <v>36</v>
      </c>
    </row>
    <row r="5" spans="2:8" x14ac:dyDescent="0.3">
      <c r="B5" s="2" t="s">
        <v>3</v>
      </c>
      <c r="C5">
        <v>3.9241600000000001</v>
      </c>
      <c r="D5">
        <v>3.9789999999999999E-2</v>
      </c>
      <c r="G5">
        <v>291.13229000000001</v>
      </c>
      <c r="H5">
        <v>6.5680000000000002E-2</v>
      </c>
    </row>
    <row r="6" spans="2:8" x14ac:dyDescent="0.3">
      <c r="B6" s="2" t="s">
        <v>4</v>
      </c>
      <c r="C6">
        <v>3.9235000000000002</v>
      </c>
      <c r="D6" s="3">
        <v>1.4349999999999999E-4</v>
      </c>
      <c r="G6" s="2" t="s">
        <v>31</v>
      </c>
      <c r="H6" s="2" t="s">
        <v>32</v>
      </c>
    </row>
    <row r="7" spans="2:8" x14ac:dyDescent="0.3">
      <c r="B7" s="2" t="s">
        <v>1</v>
      </c>
      <c r="C7">
        <v>3.8500100000000002</v>
      </c>
      <c r="D7" s="3">
        <v>1.97818E-4</v>
      </c>
      <c r="G7">
        <v>4.4477500000000001</v>
      </c>
      <c r="H7">
        <v>1.13365</v>
      </c>
    </row>
    <row r="8" spans="2:8" x14ac:dyDescent="0.3">
      <c r="B8" s="2" t="s">
        <v>2</v>
      </c>
      <c r="C8">
        <v>3.63496</v>
      </c>
      <c r="D8" s="3">
        <v>9.8944399999999991E-4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D4951-1EA9-4D4D-9F95-D9A5412C93B8}">
  <dimension ref="A1:M43"/>
  <sheetViews>
    <sheetView topLeftCell="A13" workbookViewId="0">
      <selection activeCell="K3" sqref="K3"/>
    </sheetView>
  </sheetViews>
  <sheetFormatPr baseColWidth="10" defaultRowHeight="14.4" x14ac:dyDescent="0.3"/>
  <cols>
    <col min="11" max="12" width="12" bestFit="1" customWidth="1"/>
  </cols>
  <sheetData>
    <row r="1" spans="1:13" x14ac:dyDescent="0.3">
      <c r="A1" t="s">
        <v>12</v>
      </c>
    </row>
    <row r="2" spans="1:13" x14ac:dyDescent="0.3">
      <c r="A2" t="s">
        <v>0</v>
      </c>
      <c r="B2" t="s">
        <v>13</v>
      </c>
      <c r="C2" t="s">
        <v>19</v>
      </c>
      <c r="D2" t="s">
        <v>14</v>
      </c>
      <c r="E2" t="s">
        <v>13</v>
      </c>
      <c r="F2" t="s">
        <v>15</v>
      </c>
      <c r="H2" t="s">
        <v>18</v>
      </c>
      <c r="I2" t="s">
        <v>20</v>
      </c>
      <c r="K2" t="s">
        <v>38</v>
      </c>
      <c r="L2" t="s">
        <v>37</v>
      </c>
    </row>
    <row r="3" spans="1:13" x14ac:dyDescent="0.3">
      <c r="A3">
        <v>20</v>
      </c>
      <c r="B3">
        <v>-0.03</v>
      </c>
      <c r="C3">
        <v>273.14999999999998</v>
      </c>
      <c r="D3">
        <v>0</v>
      </c>
      <c r="E3">
        <v>1.099</v>
      </c>
      <c r="F3">
        <v>349</v>
      </c>
      <c r="H3">
        <f>A3+$C$3</f>
        <v>293.14999999999998</v>
      </c>
      <c r="I3">
        <f>H3^4*10^(-11)</f>
        <v>7.3851546487710029E-2</v>
      </c>
      <c r="K3">
        <f>B3/(1-(291.13229/(A3+273.15))^4)</f>
        <v>-1.1009782784597337</v>
      </c>
      <c r="L3">
        <f>SQRT((K3/B3*(0.00008*100+0.00025*B3))^2+(B3/(1-(291.13229/(A3+273.15))^4)^2*(291.13229^4/(A3+273.15)^5)*4*1)^2+(B3/(1-(291.13229/(A3+273.15))^4)^2*(291.13229^3/(A3+273.15)^4)*4)^2)*K3</f>
        <v>-0.8980049705534231</v>
      </c>
      <c r="M3">
        <f>K3*SQRT((0.00008*100+0.00025*B3/(1-(291.13229/(A3+273.15))^4))^2+(B3/(1-(291.13229/(A3+273.15))^4)^2*291.13229^4/(A3+273.15)^5*0.5)^2+(B3/(1-(291.13229/(A3+273.15))^4*4)^2*291.13229^3/(A3+273.15)^4*0.5*4)^2)</f>
        <v>-7.4295301789558399E-2</v>
      </c>
    </row>
    <row r="4" spans="1:13" x14ac:dyDescent="0.3">
      <c r="A4">
        <v>23</v>
      </c>
      <c r="B4">
        <v>-2.4E-2</v>
      </c>
      <c r="D4">
        <v>5</v>
      </c>
      <c r="E4">
        <v>1.1000000000000001</v>
      </c>
      <c r="H4">
        <f t="shared" ref="H4:H36" si="0">A4+$C$3</f>
        <v>296.14999999999998</v>
      </c>
      <c r="I4">
        <f t="shared" ref="I4:I36" si="1">H4^4*10^(-11)</f>
        <v>7.6921358897565031E-2</v>
      </c>
      <c r="K4">
        <f t="shared" ref="K4:K36" si="2">B4/(1-(291.13229/(A4+273.15))^4)</f>
        <v>-0.36325383857011401</v>
      </c>
      <c r="L4">
        <f t="shared" ref="L4:L36" si="3">SQRT((K4/B4*(0.00008*100+0.00025*B4))^2+(B4/(1-(291.13229/(A4+273.15))^4)^2*(291.13229^4/(A4+273.15)^5)*4*1)^2+(B4/(1-(291.13229/(A4+273.15))^4)^2*(291.13229^3/(A4+273.15)^4)*4)^2)*K4</f>
        <v>-5.6773107355291098E-2</v>
      </c>
      <c r="M4">
        <f t="shared" ref="M4:M35" si="4">K4*SQRT((0.00008*100+0.00025*B4/(1-(291.13229/(A4+273.15))^4))^2+(B4/(1-(291.13229/(A4+273.15))^4)^2*291.13229^4/(A4+273.15)^5*0.5)^2+(B4/(1-(291.13229/(A4+273.15))^4*4)^2*291.13229^3/(A4+273.15)^4*0.5*4)^2)</f>
        <v>-4.2628068892042459E-3</v>
      </c>
    </row>
    <row r="5" spans="1:13" x14ac:dyDescent="0.3">
      <c r="A5">
        <v>26</v>
      </c>
      <c r="B5">
        <v>-2.1999999999999999E-2</v>
      </c>
      <c r="D5">
        <v>10</v>
      </c>
      <c r="E5">
        <v>1.0900000000000001</v>
      </c>
      <c r="H5">
        <f t="shared" si="0"/>
        <v>299.14999999999998</v>
      </c>
      <c r="I5">
        <f t="shared" si="1"/>
        <v>8.0085894135720037E-2</v>
      </c>
      <c r="K5">
        <f t="shared" si="2"/>
        <v>-0.21364807489162535</v>
      </c>
      <c r="L5">
        <f t="shared" si="3"/>
        <v>-1.8254924400946674E-2</v>
      </c>
      <c r="M5">
        <f t="shared" si="4"/>
        <v>-1.8232242345801993E-3</v>
      </c>
    </row>
    <row r="6" spans="1:13" x14ac:dyDescent="0.3">
      <c r="A6">
        <v>30</v>
      </c>
      <c r="B6">
        <v>-1.7999999999999999E-2</v>
      </c>
      <c r="D6">
        <v>15</v>
      </c>
      <c r="E6">
        <v>1.0609999999999999</v>
      </c>
      <c r="H6">
        <f t="shared" si="0"/>
        <v>303.14999999999998</v>
      </c>
      <c r="I6">
        <f t="shared" si="1"/>
        <v>8.4455957555060024E-2</v>
      </c>
      <c r="K6">
        <f t="shared" si="2"/>
        <v>-0.12049114829573897</v>
      </c>
      <c r="L6">
        <f t="shared" si="3"/>
        <v>-6.6383446582209196E-3</v>
      </c>
      <c r="M6">
        <f t="shared" si="4"/>
        <v>-9.6993298001140987E-4</v>
      </c>
    </row>
    <row r="7" spans="1:13" x14ac:dyDescent="0.3">
      <c r="A7">
        <v>35</v>
      </c>
      <c r="B7">
        <v>-1.2999999999999999E-2</v>
      </c>
      <c r="D7">
        <v>20</v>
      </c>
      <c r="E7">
        <v>1.022</v>
      </c>
      <c r="H7">
        <f t="shared" si="0"/>
        <v>308.14999999999998</v>
      </c>
      <c r="I7">
        <f t="shared" si="1"/>
        <v>9.0167221739985023E-2</v>
      </c>
      <c r="K7">
        <f t="shared" si="2"/>
        <v>-6.3955297272211678E-2</v>
      </c>
      <c r="L7">
        <f t="shared" si="3"/>
        <v>-2.5342562921465061E-3</v>
      </c>
      <c r="M7">
        <f t="shared" si="4"/>
        <v>-5.112829169456346E-4</v>
      </c>
    </row>
    <row r="8" spans="1:13" x14ac:dyDescent="0.3">
      <c r="A8">
        <v>40</v>
      </c>
      <c r="B8">
        <v>-8.0000000000000002E-3</v>
      </c>
      <c r="D8">
        <v>25</v>
      </c>
      <c r="E8">
        <v>0.98499999999999999</v>
      </c>
      <c r="F8">
        <v>350</v>
      </c>
      <c r="H8">
        <f t="shared" si="0"/>
        <v>313.14999999999998</v>
      </c>
      <c r="I8">
        <f t="shared" si="1"/>
        <v>9.6163367692410018E-2</v>
      </c>
      <c r="K8">
        <f t="shared" si="2"/>
        <v>-3.1627270798287178E-2</v>
      </c>
      <c r="L8">
        <f t="shared" si="3"/>
        <v>-1.0015687207007996E-3</v>
      </c>
      <c r="M8">
        <f t="shared" si="4"/>
        <v>-2.5281231748693647E-4</v>
      </c>
    </row>
    <row r="9" spans="1:13" x14ac:dyDescent="0.3">
      <c r="A9">
        <v>47</v>
      </c>
      <c r="B9">
        <v>0</v>
      </c>
      <c r="D9">
        <v>30</v>
      </c>
      <c r="E9">
        <v>0.91700000000000004</v>
      </c>
      <c r="H9">
        <f t="shared" si="0"/>
        <v>320.14999999999998</v>
      </c>
      <c r="I9">
        <f t="shared" si="1"/>
        <v>0.10505434628320505</v>
      </c>
      <c r="K9">
        <f t="shared" si="2"/>
        <v>0</v>
      </c>
      <c r="L9" t="e">
        <f t="shared" si="3"/>
        <v>#DIV/0!</v>
      </c>
      <c r="M9">
        <f t="shared" si="4"/>
        <v>0</v>
      </c>
    </row>
    <row r="10" spans="1:13" x14ac:dyDescent="0.3">
      <c r="A10">
        <v>50</v>
      </c>
      <c r="B10">
        <v>4.0000000000000001E-3</v>
      </c>
      <c r="D10">
        <v>35</v>
      </c>
      <c r="E10">
        <v>0.85099999999999998</v>
      </c>
      <c r="H10">
        <f t="shared" si="0"/>
        <v>323.14999999999998</v>
      </c>
      <c r="I10">
        <f t="shared" si="1"/>
        <v>0.10904773289976002</v>
      </c>
      <c r="K10">
        <f t="shared" si="2"/>
        <v>1.1722874662437139E-2</v>
      </c>
      <c r="L10">
        <f t="shared" si="3"/>
        <v>2.7492972690619245E-4</v>
      </c>
      <c r="M10">
        <f t="shared" si="4"/>
        <v>9.3818285558754487E-5</v>
      </c>
    </row>
    <row r="11" spans="1:13" x14ac:dyDescent="0.3">
      <c r="A11">
        <v>60</v>
      </c>
      <c r="B11">
        <v>1.7000000000000001E-2</v>
      </c>
      <c r="D11">
        <v>40</v>
      </c>
      <c r="E11">
        <v>0.78100000000000003</v>
      </c>
      <c r="F11">
        <v>351</v>
      </c>
      <c r="H11">
        <f t="shared" si="0"/>
        <v>333.15</v>
      </c>
      <c r="I11">
        <f t="shared" si="1"/>
        <v>0.12318540917711002</v>
      </c>
      <c r="K11">
        <f t="shared" si="2"/>
        <v>4.0784940401123571E-2</v>
      </c>
      <c r="L11">
        <f t="shared" si="3"/>
        <v>7.843480473716096E-4</v>
      </c>
      <c r="M11">
        <f t="shared" si="4"/>
        <v>3.2671779067982968E-4</v>
      </c>
    </row>
    <row r="12" spans="1:13" x14ac:dyDescent="0.3">
      <c r="A12">
        <v>70</v>
      </c>
      <c r="B12">
        <v>0.03</v>
      </c>
      <c r="D12">
        <v>45</v>
      </c>
      <c r="E12">
        <v>0.70599999999999996</v>
      </c>
      <c r="H12">
        <f t="shared" si="0"/>
        <v>343.15</v>
      </c>
      <c r="I12">
        <f t="shared" si="1"/>
        <v>0.13865515252446003</v>
      </c>
      <c r="K12">
        <f t="shared" si="2"/>
        <v>6.2255413707817918E-2</v>
      </c>
      <c r="L12">
        <f t="shared" si="3"/>
        <v>1.0372198617336736E-3</v>
      </c>
      <c r="M12">
        <f t="shared" si="4"/>
        <v>4.9908265010302011E-4</v>
      </c>
    </row>
    <row r="13" spans="1:13" x14ac:dyDescent="0.3">
      <c r="A13">
        <v>80</v>
      </c>
      <c r="B13">
        <v>4.3999999999999997E-2</v>
      </c>
      <c r="D13">
        <v>50</v>
      </c>
      <c r="E13">
        <v>0.64100000000000001</v>
      </c>
      <c r="F13">
        <v>352</v>
      </c>
      <c r="H13">
        <f t="shared" si="0"/>
        <v>353.15</v>
      </c>
      <c r="I13">
        <f t="shared" si="1"/>
        <v>0.15553811894181002</v>
      </c>
      <c r="K13">
        <f t="shared" si="2"/>
        <v>8.1765422669314691E-2</v>
      </c>
      <c r="L13">
        <f t="shared" si="3"/>
        <v>1.2215131773605822E-3</v>
      </c>
      <c r="M13">
        <f t="shared" si="4"/>
        <v>6.5603763925669266E-4</v>
      </c>
    </row>
    <row r="14" spans="1:13" x14ac:dyDescent="0.3">
      <c r="A14">
        <v>90</v>
      </c>
      <c r="B14">
        <v>0.06</v>
      </c>
      <c r="H14">
        <f t="shared" si="0"/>
        <v>363.15</v>
      </c>
      <c r="I14">
        <f t="shared" si="1"/>
        <v>0.17391786442916002</v>
      </c>
      <c r="K14">
        <f t="shared" si="2"/>
        <v>0.10222579064553</v>
      </c>
      <c r="L14">
        <f t="shared" si="3"/>
        <v>1.4019553994229885E-3</v>
      </c>
      <c r="M14">
        <f t="shared" si="4"/>
        <v>8.2150062704586593E-4</v>
      </c>
    </row>
    <row r="15" spans="1:13" x14ac:dyDescent="0.3">
      <c r="A15">
        <v>100</v>
      </c>
      <c r="B15">
        <v>7.6999999999999999E-2</v>
      </c>
      <c r="H15">
        <f t="shared" si="0"/>
        <v>373.15</v>
      </c>
      <c r="I15">
        <f t="shared" si="1"/>
        <v>0.19388034498650999</v>
      </c>
      <c r="K15">
        <f t="shared" si="2"/>
        <v>0.12232585117770027</v>
      </c>
      <c r="L15">
        <f t="shared" si="3"/>
        <v>1.5659433236217242E-3</v>
      </c>
      <c r="M15">
        <f t="shared" si="4"/>
        <v>9.8781819514750331E-4</v>
      </c>
    </row>
    <row r="16" spans="1:13" x14ac:dyDescent="0.3">
      <c r="A16">
        <v>110</v>
      </c>
      <c r="B16">
        <v>9.5000000000000001E-2</v>
      </c>
      <c r="D16" t="s">
        <v>21</v>
      </c>
      <c r="F16" t="s">
        <v>39</v>
      </c>
      <c r="H16">
        <f t="shared" si="0"/>
        <v>383.15</v>
      </c>
      <c r="I16">
        <f t="shared" si="1"/>
        <v>0.21551391661385999</v>
      </c>
      <c r="K16">
        <f t="shared" si="2"/>
        <v>0.14250122079893499</v>
      </c>
      <c r="L16">
        <f t="shared" si="3"/>
        <v>1.7240319269523653E-3</v>
      </c>
      <c r="M16">
        <f t="shared" si="4"/>
        <v>1.1786519367053931E-3</v>
      </c>
    </row>
    <row r="17" spans="1:13" x14ac:dyDescent="0.3">
      <c r="A17">
        <v>120</v>
      </c>
      <c r="B17">
        <v>0.115</v>
      </c>
      <c r="D17">
        <f>E3/$E$3</f>
        <v>1</v>
      </c>
      <c r="E17">
        <f>COS(D3/360*2*PI())</f>
        <v>1</v>
      </c>
      <c r="F17">
        <f>SQRT((E3/E$3^2*(0.00008*100+0.00025*E$3))^2+(1/E$3*(0.00008*100+0.00025*E3))^2)*D17</f>
        <v>1.0648101615329182E-2</v>
      </c>
      <c r="H17">
        <f t="shared" si="0"/>
        <v>393.15</v>
      </c>
      <c r="I17">
        <f t="shared" si="1"/>
        <v>0.23890933531121</v>
      </c>
      <c r="K17">
        <f t="shared" si="2"/>
        <v>0.16444934346903201</v>
      </c>
      <c r="L17">
        <f t="shared" si="3"/>
        <v>1.8984919727789665E-3</v>
      </c>
      <c r="M17">
        <f t="shared" si="4"/>
        <v>1.6282923804857594E-3</v>
      </c>
    </row>
    <row r="18" spans="1:13" x14ac:dyDescent="0.3">
      <c r="A18">
        <v>130</v>
      </c>
      <c r="B18">
        <v>0.14499999999999999</v>
      </c>
      <c r="D18">
        <f t="shared" ref="D18:D27" si="5">E4/$E$3</f>
        <v>1.0009099181073704</v>
      </c>
      <c r="E18">
        <f t="shared" ref="E18:E27" si="6">COS(D4/360*2*PI())</f>
        <v>0.99619469809174555</v>
      </c>
      <c r="F18">
        <f t="shared" ref="F18:F27" si="7">SQRT((E4/E$3^2*(0.00008*100+0.00025*E$3))^2+(1/E$3*(0.00008*100+0.00025*E4))^2)*D18</f>
        <v>1.0662801403263747E-2</v>
      </c>
      <c r="H18">
        <f t="shared" si="0"/>
        <v>403.15</v>
      </c>
      <c r="I18">
        <f t="shared" si="1"/>
        <v>0.26415975707855999</v>
      </c>
      <c r="K18">
        <f t="shared" si="2"/>
        <v>0.1991631366357032</v>
      </c>
      <c r="L18">
        <f t="shared" si="3"/>
        <v>2.212677611838164E-3</v>
      </c>
      <c r="M18">
        <f t="shared" si="4"/>
        <v>7.1778312631277461E-3</v>
      </c>
    </row>
    <row r="19" spans="1:13" x14ac:dyDescent="0.3">
      <c r="A19">
        <v>150</v>
      </c>
      <c r="B19">
        <v>0.18099999999999999</v>
      </c>
      <c r="D19">
        <f t="shared" si="5"/>
        <v>0.99181073703366707</v>
      </c>
      <c r="E19">
        <f t="shared" si="6"/>
        <v>0.98480775301220802</v>
      </c>
      <c r="F19">
        <f t="shared" si="7"/>
        <v>1.0516305797589175E-2</v>
      </c>
      <c r="H19">
        <f t="shared" si="0"/>
        <v>423.15</v>
      </c>
      <c r="I19">
        <f t="shared" si="1"/>
        <v>0.32061023382325998</v>
      </c>
      <c r="K19">
        <f t="shared" si="2"/>
        <v>0.23326852867746367</v>
      </c>
      <c r="L19">
        <f t="shared" si="3"/>
        <v>2.4328068111640756E-3</v>
      </c>
      <c r="M19">
        <f t="shared" si="4"/>
        <v>6.3271497243096372E-3</v>
      </c>
    </row>
    <row r="20" spans="1:13" x14ac:dyDescent="0.3">
      <c r="A20">
        <v>170</v>
      </c>
      <c r="B20">
        <v>0.23499999999999999</v>
      </c>
      <c r="D20">
        <f t="shared" si="5"/>
        <v>0.96542311191992713</v>
      </c>
      <c r="E20">
        <f t="shared" si="6"/>
        <v>0.96592582628906831</v>
      </c>
      <c r="F20">
        <f t="shared" si="7"/>
        <v>1.0097760445470984E-2</v>
      </c>
      <c r="H20">
        <f t="shared" si="0"/>
        <v>443.15</v>
      </c>
      <c r="I20">
        <f t="shared" si="1"/>
        <v>0.38565859484795995</v>
      </c>
      <c r="K20">
        <f t="shared" si="2"/>
        <v>0.2887959513114664</v>
      </c>
      <c r="L20">
        <f t="shared" si="3"/>
        <v>2.8772754584990129E-3</v>
      </c>
      <c r="M20">
        <f t="shared" si="4"/>
        <v>2.6873523218361351E-3</v>
      </c>
    </row>
    <row r="21" spans="1:13" x14ac:dyDescent="0.3">
      <c r="A21">
        <v>190</v>
      </c>
      <c r="B21">
        <v>0.29699999999999999</v>
      </c>
      <c r="D21">
        <f t="shared" si="5"/>
        <v>0.92993630573248409</v>
      </c>
      <c r="E21">
        <f t="shared" si="6"/>
        <v>0.93969262078590843</v>
      </c>
      <c r="F21">
        <f t="shared" si="7"/>
        <v>9.5495418335686168E-3</v>
      </c>
      <c r="H21">
        <f t="shared" si="0"/>
        <v>463.15</v>
      </c>
      <c r="I21">
        <f t="shared" si="1"/>
        <v>0.46013648815265995</v>
      </c>
      <c r="K21">
        <f t="shared" si="2"/>
        <v>0.35194821656121283</v>
      </c>
      <c r="L21">
        <f t="shared" si="3"/>
        <v>3.3879408649757623E-3</v>
      </c>
      <c r="M21">
        <f t="shared" si="4"/>
        <v>2.9556224976064671E-3</v>
      </c>
    </row>
    <row r="22" spans="1:13" x14ac:dyDescent="0.3">
      <c r="A22">
        <v>210</v>
      </c>
      <c r="B22">
        <v>0.36499999999999999</v>
      </c>
      <c r="D22">
        <f t="shared" si="5"/>
        <v>0.89626933575978163</v>
      </c>
      <c r="E22">
        <f t="shared" si="6"/>
        <v>0.90630778703664994</v>
      </c>
      <c r="F22">
        <f t="shared" si="7"/>
        <v>9.0448200114512014E-3</v>
      </c>
      <c r="H22">
        <f t="shared" si="0"/>
        <v>483.15</v>
      </c>
      <c r="I22">
        <f t="shared" si="1"/>
        <v>0.54491396173735995</v>
      </c>
      <c r="K22">
        <f t="shared" si="2"/>
        <v>0.42042741107831555</v>
      </c>
      <c r="L22">
        <f t="shared" si="3"/>
        <v>3.9419501025933362E-3</v>
      </c>
      <c r="M22">
        <f t="shared" si="4"/>
        <v>3.4640423779320304E-3</v>
      </c>
    </row>
    <row r="23" spans="1:13" x14ac:dyDescent="0.3">
      <c r="A23">
        <v>230</v>
      </c>
      <c r="B23">
        <v>0.441</v>
      </c>
      <c r="D23">
        <f t="shared" si="5"/>
        <v>0.83439490445859876</v>
      </c>
      <c r="E23">
        <f t="shared" si="6"/>
        <v>0.86602540378443871</v>
      </c>
      <c r="F23">
        <f t="shared" si="7"/>
        <v>8.1556900858256159E-3</v>
      </c>
      <c r="H23">
        <f t="shared" si="0"/>
        <v>503.15</v>
      </c>
      <c r="I23">
        <f t="shared" si="1"/>
        <v>0.64089946360205996</v>
      </c>
      <c r="K23">
        <f t="shared" si="2"/>
        <v>0.49667264268801081</v>
      </c>
      <c r="L23">
        <f t="shared" si="3"/>
        <v>4.5635119749720199E-3</v>
      </c>
      <c r="M23">
        <f t="shared" si="4"/>
        <v>4.0730591543964917E-3</v>
      </c>
    </row>
    <row r="24" spans="1:13" x14ac:dyDescent="0.3">
      <c r="A24">
        <v>250</v>
      </c>
      <c r="B24">
        <v>0.52700000000000002</v>
      </c>
      <c r="D24">
        <f t="shared" si="5"/>
        <v>0.77434030937215648</v>
      </c>
      <c r="E24">
        <f t="shared" si="6"/>
        <v>0.8191520442889918</v>
      </c>
      <c r="F24">
        <f t="shared" si="7"/>
        <v>7.3393733907637692E-3</v>
      </c>
      <c r="H24">
        <f t="shared" si="0"/>
        <v>523.15</v>
      </c>
      <c r="I24">
        <f t="shared" si="1"/>
        <v>0.74903984174675986</v>
      </c>
      <c r="K24">
        <f t="shared" si="2"/>
        <v>0.58290552910628468</v>
      </c>
      <c r="L24">
        <f>SQRT((K24/B24*(0.00008*100+0.00025*B24))^2+(B24/(1-(291.13229/(A24+273.15))^4)^2*(291.13229^4/(A24+273.15)^5)*4*1)^2+(B24/(1-(291.13229/(A24+273.15))^4)^2*(291.13229^3/(A24+273.15)^4)*4)^2)*K24</f>
        <v>5.2734220180997837E-3</v>
      </c>
      <c r="M24">
        <f t="shared" si="4"/>
        <v>4.7781076020613931E-3</v>
      </c>
    </row>
    <row r="25" spans="1:13" x14ac:dyDescent="0.3">
      <c r="A25">
        <v>270</v>
      </c>
      <c r="B25">
        <v>0.623</v>
      </c>
      <c r="D25">
        <f t="shared" si="5"/>
        <v>0.71064604185623292</v>
      </c>
      <c r="E25">
        <f t="shared" si="6"/>
        <v>0.76604444311897801</v>
      </c>
      <c r="F25">
        <f t="shared" si="7"/>
        <v>6.5223574201700016E-3</v>
      </c>
      <c r="H25">
        <f t="shared" si="0"/>
        <v>543.15</v>
      </c>
      <c r="I25">
        <f t="shared" si="1"/>
        <v>0.87032034417145987</v>
      </c>
      <c r="K25">
        <f t="shared" si="2"/>
        <v>0.67905119671212777</v>
      </c>
      <c r="L25">
        <f t="shared" si="3"/>
        <v>6.0709840767201508E-3</v>
      </c>
      <c r="M25">
        <f t="shared" si="4"/>
        <v>5.573523730459975E-3</v>
      </c>
    </row>
    <row r="26" spans="1:13" x14ac:dyDescent="0.3">
      <c r="A26">
        <v>290</v>
      </c>
      <c r="B26">
        <v>0.73</v>
      </c>
      <c r="D26">
        <f t="shared" si="5"/>
        <v>0.6424021838034577</v>
      </c>
      <c r="E26">
        <f t="shared" si="6"/>
        <v>0.70710678118654757</v>
      </c>
      <c r="F26">
        <f t="shared" si="7"/>
        <v>5.7006842042682179E-3</v>
      </c>
      <c r="H26">
        <f t="shared" si="0"/>
        <v>563.15</v>
      </c>
      <c r="I26">
        <f t="shared" si="1"/>
        <v>1.00576461887616</v>
      </c>
      <c r="K26">
        <f t="shared" si="2"/>
        <v>0.78615289759915019</v>
      </c>
      <c r="L26">
        <f t="shared" si="3"/>
        <v>6.9664245220798513E-3</v>
      </c>
      <c r="M26">
        <f t="shared" si="4"/>
        <v>6.4674644011668359E-3</v>
      </c>
    </row>
    <row r="27" spans="1:13" x14ac:dyDescent="0.3">
      <c r="A27">
        <v>310</v>
      </c>
      <c r="B27">
        <v>0.84799999999999998</v>
      </c>
      <c r="D27">
        <f t="shared" si="5"/>
        <v>0.58325750682438582</v>
      </c>
      <c r="E27">
        <f t="shared" si="6"/>
        <v>0.64278760968653936</v>
      </c>
      <c r="F27">
        <f t="shared" si="7"/>
        <v>5.0315442986239578E-3</v>
      </c>
      <c r="H27">
        <f t="shared" si="0"/>
        <v>583.15</v>
      </c>
      <c r="I27">
        <f t="shared" si="1"/>
        <v>1.1564347138608599</v>
      </c>
      <c r="K27">
        <f t="shared" si="2"/>
        <v>0.90416807703411184</v>
      </c>
      <c r="L27">
        <f t="shared" si="3"/>
        <v>7.9603826963564935E-3</v>
      </c>
      <c r="M27">
        <f t="shared" si="4"/>
        <v>7.4603996410630025E-3</v>
      </c>
    </row>
    <row r="28" spans="1:13" x14ac:dyDescent="0.3">
      <c r="A28">
        <v>320</v>
      </c>
      <c r="B28">
        <v>0.91100000000000003</v>
      </c>
      <c r="H28">
        <f t="shared" si="0"/>
        <v>593.15</v>
      </c>
      <c r="I28">
        <f t="shared" si="1"/>
        <v>1.2378218339582099</v>
      </c>
      <c r="K28">
        <f t="shared" si="2"/>
        <v>0.96712906424201273</v>
      </c>
      <c r="L28">
        <f t="shared" si="3"/>
        <v>8.4934871356025371E-3</v>
      </c>
      <c r="M28">
        <f t="shared" si="4"/>
        <v>7.9932498689175256E-3</v>
      </c>
    </row>
    <row r="29" spans="1:13" x14ac:dyDescent="0.3">
      <c r="A29">
        <v>330</v>
      </c>
      <c r="B29">
        <v>0.97299999999999998</v>
      </c>
      <c r="H29">
        <f t="shared" si="0"/>
        <v>603.15</v>
      </c>
      <c r="I29">
        <f t="shared" si="1"/>
        <v>1.32343107712556</v>
      </c>
      <c r="K29">
        <f t="shared" si="2"/>
        <v>1.0288485126288602</v>
      </c>
      <c r="L29">
        <f t="shared" si="3"/>
        <v>9.015631257502139E-3</v>
      </c>
      <c r="M29">
        <f t="shared" si="4"/>
        <v>8.5173764431686807E-3</v>
      </c>
    </row>
    <row r="30" spans="1:13" x14ac:dyDescent="0.3">
      <c r="A30">
        <v>340</v>
      </c>
      <c r="B30">
        <v>1.0369999999999999</v>
      </c>
      <c r="H30">
        <f t="shared" si="0"/>
        <v>613.15</v>
      </c>
      <c r="I30">
        <f t="shared" si="1"/>
        <v>1.4134059993629098</v>
      </c>
      <c r="K30">
        <f t="shared" si="2"/>
        <v>1.0925300368095991</v>
      </c>
      <c r="L30">
        <f t="shared" si="3"/>
        <v>9.5562511577744046E-3</v>
      </c>
      <c r="M30">
        <f t="shared" si="4"/>
        <v>9.060258285869191E-3</v>
      </c>
    </row>
    <row r="31" spans="1:13" x14ac:dyDescent="0.3">
      <c r="A31">
        <v>361</v>
      </c>
      <c r="B31">
        <v>1.1950000000000001</v>
      </c>
      <c r="H31">
        <f t="shared" si="0"/>
        <v>634.15</v>
      </c>
      <c r="I31">
        <f t="shared" si="1"/>
        <v>1.6172158427101948</v>
      </c>
      <c r="K31">
        <f t="shared" si="2"/>
        <v>1.2505514076395696</v>
      </c>
      <c r="L31">
        <f t="shared" si="3"/>
        <v>1.0915923354781833E-2</v>
      </c>
      <c r="M31">
        <f t="shared" si="4"/>
        <v>1.0417392520715657E-2</v>
      </c>
    </row>
    <row r="32" spans="1:13" x14ac:dyDescent="0.3">
      <c r="A32">
        <v>370</v>
      </c>
      <c r="B32">
        <v>1.2749999999999999</v>
      </c>
      <c r="H32">
        <f t="shared" si="0"/>
        <v>643.15</v>
      </c>
      <c r="I32">
        <f t="shared" si="1"/>
        <v>1.7109964004949598</v>
      </c>
      <c r="K32">
        <f t="shared" si="2"/>
        <v>1.3308793165503578</v>
      </c>
      <c r="L32">
        <f t="shared" si="3"/>
        <v>1.1615622392814638E-2</v>
      </c>
      <c r="M32">
        <f t="shared" si="4"/>
        <v>1.1112519715924326E-2</v>
      </c>
    </row>
    <row r="33" spans="1:13" x14ac:dyDescent="0.3">
      <c r="A33">
        <v>375</v>
      </c>
      <c r="B33">
        <v>1.3129999999999999</v>
      </c>
      <c r="H33">
        <f t="shared" si="0"/>
        <v>648.15</v>
      </c>
      <c r="I33">
        <f t="shared" si="1"/>
        <v>1.7648268458698848</v>
      </c>
      <c r="K33">
        <f t="shared" si="2"/>
        <v>1.3687150396391967</v>
      </c>
      <c r="L33">
        <f t="shared" si="3"/>
        <v>1.1942869325492876E-2</v>
      </c>
      <c r="M33">
        <f t="shared" si="4"/>
        <v>1.1440722356290119E-2</v>
      </c>
    </row>
    <row r="34" spans="1:13" x14ac:dyDescent="0.3">
      <c r="A34">
        <v>380</v>
      </c>
      <c r="B34">
        <v>1.355</v>
      </c>
      <c r="H34">
        <f t="shared" si="0"/>
        <v>653.15</v>
      </c>
      <c r="I34">
        <f t="shared" si="1"/>
        <v>1.8199175990123098</v>
      </c>
      <c r="K34">
        <f t="shared" si="2"/>
        <v>1.4106852143370958</v>
      </c>
      <c r="L34">
        <f t="shared" si="3"/>
        <v>1.2308413265023133E-2</v>
      </c>
      <c r="M34">
        <f t="shared" si="4"/>
        <v>1.1805806054005434E-2</v>
      </c>
    </row>
    <row r="35" spans="1:13" x14ac:dyDescent="0.3">
      <c r="A35">
        <v>385</v>
      </c>
      <c r="B35">
        <v>1.399</v>
      </c>
      <c r="H35">
        <f t="shared" si="0"/>
        <v>658.15</v>
      </c>
      <c r="I35">
        <f t="shared" si="1"/>
        <v>1.8762881794222346</v>
      </c>
      <c r="K35">
        <f t="shared" si="2"/>
        <v>1.4546973604730171</v>
      </c>
      <c r="L35">
        <f t="shared" si="3"/>
        <v>1.2693197669255332E-2</v>
      </c>
      <c r="M35">
        <f t="shared" si="4"/>
        <v>1.2189657629140902E-2</v>
      </c>
    </row>
    <row r="36" spans="1:13" x14ac:dyDescent="0.3">
      <c r="A36">
        <v>390</v>
      </c>
      <c r="B36">
        <v>1.4410000000000001</v>
      </c>
      <c r="H36">
        <f t="shared" si="0"/>
        <v>663.15</v>
      </c>
      <c r="I36">
        <f t="shared" si="1"/>
        <v>1.9339582565996598</v>
      </c>
      <c r="K36">
        <f t="shared" si="2"/>
        <v>1.4965927352892192</v>
      </c>
      <c r="L36">
        <f t="shared" si="3"/>
        <v>1.3059115198174466E-2</v>
      </c>
      <c r="M36">
        <f>K36*SQRT((0.00008*100+0.00025*B36/(1-(291.13229/(A36+273.15))^4))^2+(B36/(1-(291.13229/(A36+273.15))^4)^2*291.13229^4/(A36+273.15)^5*0.5)^2+(B36/(1-(291.13229/(A36+273.15))^4*4)^2*291.13229^3/(A36+273.15)^4*0.5*4)^2)</f>
        <v>1.2555830725640489E-2</v>
      </c>
    </row>
    <row r="37" spans="1:13" x14ac:dyDescent="0.3">
      <c r="L37" t="e">
        <f t="shared" ref="L11:L43" si="8">SQRT((K37/B37*(0.00008*0.1+0.00025*B37*10^(-3)))^2+(B37/(1-(291.13229/(A37+273.15))^4)^2*(291.13229^4/(A37+273.15)^5)*4*1)^2)*K37</f>
        <v>#DIV/0!</v>
      </c>
    </row>
    <row r="38" spans="1:13" x14ac:dyDescent="0.3">
      <c r="L38" t="e">
        <f t="shared" si="8"/>
        <v>#DIV/0!</v>
      </c>
    </row>
    <row r="39" spans="1:13" x14ac:dyDescent="0.3">
      <c r="L39" t="e">
        <f t="shared" si="8"/>
        <v>#DIV/0!</v>
      </c>
    </row>
    <row r="40" spans="1:13" x14ac:dyDescent="0.3">
      <c r="L40" t="e">
        <f t="shared" si="8"/>
        <v>#DIV/0!</v>
      </c>
    </row>
    <row r="41" spans="1:13" x14ac:dyDescent="0.3">
      <c r="L41" t="e">
        <f t="shared" si="8"/>
        <v>#DIV/0!</v>
      </c>
    </row>
    <row r="42" spans="1:13" x14ac:dyDescent="0.3">
      <c r="L42" t="e">
        <f t="shared" si="8"/>
        <v>#DIV/0!</v>
      </c>
    </row>
    <row r="43" spans="1:13" x14ac:dyDescent="0.3">
      <c r="L43" t="e">
        <f t="shared" si="8"/>
        <v>#DIV/0!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0B88B-FB62-4937-8368-B1654777A243}">
  <dimension ref="B4:D12"/>
  <sheetViews>
    <sheetView tabSelected="1" workbookViewId="0">
      <selection activeCell="E11" sqref="E11"/>
    </sheetView>
  </sheetViews>
  <sheetFormatPr baseColWidth="10" defaultRowHeight="14.4" x14ac:dyDescent="0.3"/>
  <sheetData>
    <row r="4" spans="2:4" x14ac:dyDescent="0.3">
      <c r="B4" t="s">
        <v>40</v>
      </c>
      <c r="C4" t="s">
        <v>42</v>
      </c>
      <c r="D4" t="s">
        <v>37</v>
      </c>
    </row>
    <row r="5" spans="2:4" x14ac:dyDescent="0.3">
      <c r="C5">
        <v>4.0729699999999998</v>
      </c>
      <c r="D5">
        <v>1.9130000000000001E-2</v>
      </c>
    </row>
    <row r="8" spans="2:4" x14ac:dyDescent="0.3">
      <c r="B8" t="s">
        <v>41</v>
      </c>
      <c r="C8">
        <v>4.0769299999999999</v>
      </c>
      <c r="D8">
        <v>5.2220000000000003E-2</v>
      </c>
    </row>
    <row r="11" spans="2:4" x14ac:dyDescent="0.3">
      <c r="C11" t="s">
        <v>31</v>
      </c>
      <c r="D11" t="s">
        <v>32</v>
      </c>
    </row>
    <row r="12" spans="2:4" x14ac:dyDescent="0.3">
      <c r="C12">
        <f>4.7116*10^(-12)</f>
        <v>4.7115999999999994E-12</v>
      </c>
      <c r="D12" s="3">
        <v>1.70208E-12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Leslie</vt:lpstr>
      <vt:lpstr>Auswertung Leslie </vt:lpstr>
      <vt:lpstr>Tabelle2</vt:lpstr>
      <vt:lpstr>Tabelle4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Scholl</dc:creator>
  <cp:lastModifiedBy>Helke Parussel</cp:lastModifiedBy>
  <dcterms:created xsi:type="dcterms:W3CDTF">2022-04-06T06:43:46Z</dcterms:created>
  <dcterms:modified xsi:type="dcterms:W3CDTF">2022-04-12T22:09:24Z</dcterms:modified>
</cp:coreProperties>
</file>