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ube\OneDrive\Desktop\"/>
    </mc:Choice>
  </mc:AlternateContent>
  <xr:revisionPtr revIDLastSave="0" documentId="8_{03057D5C-AA00-445E-8AF0-0771E721704F}" xr6:coauthVersionLast="47" xr6:coauthVersionMax="47" xr10:uidLastSave="{00000000-0000-0000-0000-000000000000}"/>
  <bookViews>
    <workbookView xWindow="28680" yWindow="-120" windowWidth="29040" windowHeight="15840" xr2:uid="{7B61E993-9E89-45E8-BBEC-04684269593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" l="1"/>
  <c r="C15" i="1" s="1"/>
  <c r="F14" i="1"/>
  <c r="H5" i="1"/>
  <c r="I5" i="1"/>
  <c r="J5" i="1"/>
  <c r="H6" i="1"/>
  <c r="I6" i="1"/>
  <c r="J6" i="1"/>
  <c r="H7" i="1"/>
  <c r="I7" i="1"/>
  <c r="J7" i="1"/>
  <c r="H8" i="1"/>
  <c r="I8" i="1"/>
  <c r="J8" i="1"/>
  <c r="K5" i="1"/>
  <c r="K6" i="1"/>
  <c r="N6" i="1" s="1"/>
  <c r="K7" i="1"/>
  <c r="M5" i="1"/>
  <c r="M6" i="1"/>
  <c r="M7" i="1"/>
  <c r="C16" i="1"/>
  <c r="B16" i="1"/>
  <c r="B15" i="1"/>
  <c r="C14" i="1"/>
  <c r="K8" i="1"/>
  <c r="M8" i="1"/>
  <c r="N7" i="1" l="1"/>
  <c r="N5" i="1"/>
  <c r="N8" i="1"/>
</calcChain>
</file>

<file path=xl/sharedStrings.xml><?xml version="1.0" encoding="utf-8"?>
<sst xmlns="http://schemas.openxmlformats.org/spreadsheetml/2006/main" count="18" uniqueCount="17">
  <si>
    <t>Fehler</t>
  </si>
  <si>
    <t>Best</t>
  </si>
  <si>
    <t>Delta1</t>
  </si>
  <si>
    <t>Delta2</t>
  </si>
  <si>
    <t>Wert</t>
  </si>
  <si>
    <t>Min Min</t>
  </si>
  <si>
    <t>Min Max</t>
  </si>
  <si>
    <t>Max Min</t>
  </si>
  <si>
    <t>Delta 3</t>
  </si>
  <si>
    <t>Delta 4</t>
  </si>
  <si>
    <t>Max Max</t>
  </si>
  <si>
    <t>T_0</t>
  </si>
  <si>
    <t>k</t>
  </si>
  <si>
    <t>spiegelnd</t>
  </si>
  <si>
    <t>weiß</t>
  </si>
  <si>
    <t>matt</t>
  </si>
  <si>
    <t>schwarz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</si>
</sst>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7" xfId="0" applyFill="1" applyBorder="1"/>
    <xf numFmtId="164" fontId="1" fillId="3" borderId="1" xfId="0" applyNumberFormat="1" applyFont="1" applyFill="1" applyBorder="1"/>
    <xf numFmtId="164" fontId="1" fillId="3" borderId="6" xfId="0" applyNumberFormat="1" applyFont="1" applyFill="1" applyBorder="1"/>
    <xf numFmtId="164" fontId="1" fillId="3" borderId="8" xfId="0" applyNumberFormat="1" applyFont="1" applyFill="1" applyBorder="1"/>
    <xf numFmtId="0" fontId="0" fillId="0" borderId="0" xfId="0" applyFill="1" applyBorder="1"/>
    <xf numFmtId="164" fontId="1" fillId="0" borderId="0" xfId="0" applyNumberFormat="1" applyFont="1" applyFill="1" applyBorder="1"/>
    <xf numFmtId="0" fontId="0" fillId="0" borderId="0" xfId="0" applyBorder="1"/>
    <xf numFmtId="164" fontId="1" fillId="3" borderId="9" xfId="0" applyNumberFormat="1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207A3-3737-4F3E-8C10-BB7EBD08A984}">
  <dimension ref="A1:O16"/>
  <sheetViews>
    <sheetView tabSelected="1" zoomScale="115" zoomScaleNormal="115" workbookViewId="0">
      <selection activeCell="F13" sqref="F13:F14"/>
    </sheetView>
  </sheetViews>
  <sheetFormatPr baseColWidth="10" defaultRowHeight="14.5" x14ac:dyDescent="0.35"/>
  <sheetData>
    <row r="1" spans="1:15" x14ac:dyDescent="0.3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" thickBot="1" x14ac:dyDescent="0.4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x14ac:dyDescent="0.35">
      <c r="A3" s="15"/>
      <c r="B3" s="2"/>
      <c r="C3" s="6" t="s">
        <v>1</v>
      </c>
      <c r="D3" s="6" t="s">
        <v>5</v>
      </c>
      <c r="E3" s="6" t="s">
        <v>6</v>
      </c>
      <c r="F3" s="6" t="s">
        <v>10</v>
      </c>
      <c r="G3" s="6" t="s">
        <v>7</v>
      </c>
      <c r="H3" s="6" t="s">
        <v>2</v>
      </c>
      <c r="I3" s="6" t="s">
        <v>3</v>
      </c>
      <c r="J3" s="6" t="s">
        <v>8</v>
      </c>
      <c r="K3" s="6" t="s">
        <v>9</v>
      </c>
      <c r="L3" s="6"/>
      <c r="M3" s="6" t="s">
        <v>4</v>
      </c>
      <c r="N3" s="7" t="s">
        <v>0</v>
      </c>
      <c r="O3" s="15"/>
    </row>
    <row r="4" spans="1:15" x14ac:dyDescent="0.35">
      <c r="A4" s="15"/>
      <c r="B4" s="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4"/>
      <c r="O4" s="15"/>
    </row>
    <row r="5" spans="1:15" x14ac:dyDescent="0.35">
      <c r="A5" s="15"/>
      <c r="B5" s="8" t="s">
        <v>16</v>
      </c>
      <c r="C5" s="1">
        <v>3.9996</v>
      </c>
      <c r="D5" s="1">
        <v>3.9988000000000001</v>
      </c>
      <c r="E5" s="1">
        <v>3.9983499999999998</v>
      </c>
      <c r="F5" s="1">
        <v>4.0004099999999996</v>
      </c>
      <c r="G5" s="1">
        <v>4.0008600000000003</v>
      </c>
      <c r="H5" s="1">
        <f t="shared" ref="H5:H8" si="0">ABS($C5-D5)</f>
        <v>7.9999999999991189E-4</v>
      </c>
      <c r="I5" s="1">
        <f t="shared" ref="I5:I8" si="1">ABS($C5-E5)</f>
        <v>1.2500000000001954E-3</v>
      </c>
      <c r="J5" s="1">
        <f t="shared" ref="J5:J8" si="2">ABS($C5-F5)</f>
        <v>8.0999999999953332E-4</v>
      </c>
      <c r="K5" s="1">
        <f t="shared" ref="K5:K8" si="3">ABS($C5-G5)</f>
        <v>1.2600000000002609E-3</v>
      </c>
      <c r="L5" s="1"/>
      <c r="M5" s="10">
        <f t="shared" ref="M5:M8" si="4">C5</f>
        <v>3.9996</v>
      </c>
      <c r="N5" s="11">
        <f t="shared" ref="N5:N8" si="5">MAX(H5:K5)</f>
        <v>1.2600000000002609E-3</v>
      </c>
      <c r="O5" s="15"/>
    </row>
    <row r="6" spans="1:15" x14ac:dyDescent="0.35">
      <c r="A6" s="15"/>
      <c r="B6" s="8" t="s">
        <v>13</v>
      </c>
      <c r="C6" s="1">
        <v>3.70817</v>
      </c>
      <c r="D6" s="1">
        <v>3.7073900000000002</v>
      </c>
      <c r="E6" s="1">
        <v>3.7069399999999999</v>
      </c>
      <c r="F6" s="1">
        <v>3.7089400000000001</v>
      </c>
      <c r="G6" s="1">
        <v>3.70939</v>
      </c>
      <c r="H6" s="1">
        <f t="shared" si="0"/>
        <v>7.7999999999978087E-4</v>
      </c>
      <c r="I6" s="1">
        <f t="shared" si="1"/>
        <v>1.2300000000000644E-3</v>
      </c>
      <c r="J6" s="1">
        <f t="shared" si="2"/>
        <v>7.7000000000015945E-4</v>
      </c>
      <c r="K6" s="1">
        <f t="shared" si="3"/>
        <v>1.2199999999999989E-3</v>
      </c>
      <c r="L6" s="1"/>
      <c r="M6" s="10">
        <f t="shared" si="4"/>
        <v>3.70817</v>
      </c>
      <c r="N6" s="11">
        <f t="shared" si="5"/>
        <v>1.2300000000000644E-3</v>
      </c>
      <c r="O6" s="15"/>
    </row>
    <row r="7" spans="1:15" x14ac:dyDescent="0.35">
      <c r="A7" s="15"/>
      <c r="B7" s="8" t="s">
        <v>14</v>
      </c>
      <c r="C7" s="1">
        <v>3.9985300000000001</v>
      </c>
      <c r="D7" s="1">
        <v>3.9977299999999998</v>
      </c>
      <c r="E7" s="1">
        <v>3.9972799999999999</v>
      </c>
      <c r="F7" s="1">
        <v>3.9993300000000001</v>
      </c>
      <c r="G7" s="1">
        <v>3.9997799999999999</v>
      </c>
      <c r="H7" s="1">
        <f t="shared" si="0"/>
        <v>8.0000000000035598E-4</v>
      </c>
      <c r="I7" s="1">
        <f t="shared" si="1"/>
        <v>1.2500000000001954E-3</v>
      </c>
      <c r="J7" s="1">
        <f t="shared" si="2"/>
        <v>7.9999999999991189E-4</v>
      </c>
      <c r="K7" s="1">
        <f t="shared" si="3"/>
        <v>1.2499999999997513E-3</v>
      </c>
      <c r="L7" s="1"/>
      <c r="M7" s="10">
        <f t="shared" si="4"/>
        <v>3.9985300000000001</v>
      </c>
      <c r="N7" s="11">
        <f t="shared" si="5"/>
        <v>1.2500000000001954E-3</v>
      </c>
      <c r="O7" s="15"/>
    </row>
    <row r="8" spans="1:15" ht="15" thickBot="1" x14ac:dyDescent="0.4">
      <c r="A8" s="15"/>
      <c r="B8" s="9" t="s">
        <v>15</v>
      </c>
      <c r="C8" s="5">
        <v>3.92685</v>
      </c>
      <c r="D8" s="5">
        <v>3.92604</v>
      </c>
      <c r="E8" s="5">
        <v>3.9255900000000001</v>
      </c>
      <c r="F8" s="5">
        <v>3.9276499999999999</v>
      </c>
      <c r="G8" s="5">
        <v>3.9281000000000001</v>
      </c>
      <c r="H8" s="5">
        <f t="shared" si="0"/>
        <v>8.099999999999774E-4</v>
      </c>
      <c r="I8" s="5">
        <f t="shared" si="1"/>
        <v>1.2599999999998168E-3</v>
      </c>
      <c r="J8" s="5">
        <f t="shared" si="2"/>
        <v>7.9999999999991189E-4</v>
      </c>
      <c r="K8" s="5">
        <f t="shared" si="3"/>
        <v>1.2500000000001954E-3</v>
      </c>
      <c r="L8" s="5"/>
      <c r="M8" s="12">
        <f t="shared" si="4"/>
        <v>3.92685</v>
      </c>
      <c r="N8" s="16">
        <f t="shared" si="5"/>
        <v>1.2599999999998168E-3</v>
      </c>
      <c r="O8" s="15"/>
    </row>
    <row r="9" spans="1:15" x14ac:dyDescent="0.3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1:15" x14ac:dyDescent="0.35">
      <c r="A10" s="15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5"/>
    </row>
    <row r="11" spans="1:15" x14ac:dyDescent="0.35">
      <c r="A11" s="15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4"/>
      <c r="N11" s="14"/>
      <c r="O11" s="15"/>
    </row>
    <row r="12" spans="1:15" x14ac:dyDescent="0.35">
      <c r="A12" s="15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5"/>
    </row>
    <row r="13" spans="1:15" x14ac:dyDescent="0.35">
      <c r="B13" s="13" t="s">
        <v>11</v>
      </c>
      <c r="C13" s="13" t="s">
        <v>12</v>
      </c>
      <c r="D13" s="13"/>
      <c r="E13" s="13"/>
      <c r="F13" s="13" t="s">
        <v>12</v>
      </c>
      <c r="G13" s="13"/>
      <c r="H13" s="13"/>
      <c r="I13" s="13"/>
      <c r="J13" s="13"/>
      <c r="K13" s="13"/>
      <c r="L13" s="13"/>
      <c r="M13" s="13"/>
      <c r="N13" s="13"/>
    </row>
    <row r="14" spans="1:15" x14ac:dyDescent="0.35">
      <c r="B14">
        <v>294.66000000000003</v>
      </c>
      <c r="C14">
        <f>2.7258*10^-10</f>
        <v>2.7258E-10</v>
      </c>
      <c r="F14">
        <f>2.7258*10^-10</f>
        <v>2.7258E-10</v>
      </c>
      <c r="G14">
        <f>0.0037*10^-10</f>
        <v>3.7000000000000004E-13</v>
      </c>
    </row>
    <row r="15" spans="1:15" x14ac:dyDescent="0.35">
      <c r="B15">
        <f>B14+0.36</f>
        <v>295.02000000000004</v>
      </c>
      <c r="C15">
        <f>G14+C14</f>
        <v>2.7295000000000002E-10</v>
      </c>
    </row>
    <row r="16" spans="1:15" x14ac:dyDescent="0.35">
      <c r="B16">
        <f>B14-0.36</f>
        <v>294.3</v>
      </c>
      <c r="C16">
        <f>-0.0037*10^-10+C14</f>
        <v>2.7220999999999998E-10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Frederik Taube</dc:creator>
  <cp:lastModifiedBy>Frederik Taube</cp:lastModifiedBy>
  <dcterms:created xsi:type="dcterms:W3CDTF">2021-10-12T13:10:42Z</dcterms:created>
  <dcterms:modified xsi:type="dcterms:W3CDTF">2021-10-15T19:01:17Z</dcterms:modified>
</cp:coreProperties>
</file>