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taube\OneDrive\Desktop\C1\"/>
    </mc:Choice>
  </mc:AlternateContent>
  <xr:revisionPtr revIDLastSave="0" documentId="13_ncr:1_{7EFB1F85-B53F-4284-9157-FF4C49BA2C19}" xr6:coauthVersionLast="47" xr6:coauthVersionMax="47" xr10:uidLastSave="{00000000-0000-0000-0000-000000000000}"/>
  <bookViews>
    <workbookView xWindow="380" yWindow="380" windowWidth="14400" windowHeight="7360" activeTab="1" xr2:uid="{00000000-000D-0000-FFFF-FFFF00000000}"/>
  </bookViews>
  <sheets>
    <sheet name="Schwarzer Strahler" sheetId="1" r:id="rId1"/>
    <sheet name="Tabelle1" sheetId="4" r:id="rId2"/>
    <sheet name="Ultrarotdurchlässigkeit" sheetId="2" r:id="rId3"/>
    <sheet name="Lamber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8" i="4"/>
  <c r="H9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8" i="4"/>
  <c r="U3" i="1"/>
  <c r="U29" i="1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8" i="4"/>
  <c r="B9" i="4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P7" i="1"/>
  <c r="U14" i="1"/>
  <c r="U30" i="1"/>
  <c r="R30" i="1"/>
  <c r="N51" i="1"/>
  <c r="P4" i="1"/>
  <c r="P5" i="1"/>
  <c r="P6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3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29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29" i="1"/>
  <c r="U4" i="1"/>
  <c r="U5" i="1"/>
  <c r="U6" i="1"/>
  <c r="U7" i="1"/>
  <c r="U8" i="1"/>
  <c r="U9" i="1"/>
  <c r="U10" i="1"/>
  <c r="U11" i="1"/>
  <c r="U12" i="1"/>
  <c r="U13" i="1"/>
  <c r="U15" i="1"/>
  <c r="U16" i="1"/>
  <c r="U17" i="1"/>
  <c r="U18" i="1"/>
  <c r="U19" i="1"/>
  <c r="U20" i="1"/>
  <c r="U21" i="1"/>
  <c r="U22" i="1"/>
  <c r="V2" i="1"/>
  <c r="U2" i="1"/>
  <c r="L7" i="3"/>
  <c r="L6" i="3"/>
  <c r="F5" i="2"/>
  <c r="E5" i="2"/>
  <c r="F6" i="2"/>
  <c r="F7" i="2"/>
  <c r="F8" i="2"/>
  <c r="D4" i="2"/>
  <c r="D7" i="2"/>
  <c r="E4" i="2"/>
  <c r="E6" i="2"/>
  <c r="E7" i="2"/>
  <c r="E8" i="2"/>
  <c r="E3" i="2"/>
  <c r="D5" i="2"/>
  <c r="D6" i="2"/>
  <c r="D8" i="2"/>
  <c r="D3" i="2"/>
  <c r="M51" i="1"/>
  <c r="M52" i="1" s="1"/>
  <c r="L36" i="1"/>
  <c r="O28" i="1"/>
  <c r="J3" i="1"/>
  <c r="J4" i="1"/>
  <c r="J22" i="1"/>
  <c r="K6" i="1"/>
  <c r="J6" i="1" s="1"/>
  <c r="K5" i="1"/>
  <c r="J5" i="1" s="1"/>
  <c r="E14" i="1"/>
  <c r="E13" i="1"/>
  <c r="E15" i="1"/>
  <c r="E5" i="1"/>
  <c r="E6" i="1"/>
  <c r="E7" i="1"/>
  <c r="E8" i="1"/>
  <c r="E9" i="1"/>
  <c r="E10" i="1"/>
  <c r="E11" i="1"/>
  <c r="E12" i="1"/>
  <c r="E16" i="1"/>
  <c r="E17" i="1"/>
  <c r="E18" i="1"/>
  <c r="E19" i="1"/>
  <c r="E20" i="1"/>
  <c r="E21" i="1"/>
  <c r="E22" i="1"/>
  <c r="E23" i="1"/>
  <c r="E24" i="1"/>
  <c r="E25" i="1"/>
  <c r="E26" i="1"/>
  <c r="G26" i="1" s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G42" i="1" s="1"/>
  <c r="E43" i="1"/>
  <c r="E44" i="1"/>
  <c r="E45" i="1"/>
  <c r="E46" i="1"/>
  <c r="E47" i="1"/>
  <c r="E48" i="1"/>
  <c r="E49" i="1"/>
  <c r="E50" i="1"/>
  <c r="G50" i="1" s="1"/>
  <c r="E51" i="1"/>
  <c r="E52" i="1"/>
  <c r="E53" i="1"/>
  <c r="E54" i="1"/>
  <c r="E55" i="1"/>
  <c r="E56" i="1"/>
  <c r="E57" i="1"/>
  <c r="E58" i="1"/>
  <c r="G58" i="1" s="1"/>
  <c r="E59" i="1"/>
  <c r="E60" i="1"/>
  <c r="E61" i="1"/>
  <c r="E62" i="1"/>
  <c r="E63" i="1"/>
  <c r="E64" i="1"/>
  <c r="E65" i="1"/>
  <c r="E66" i="1"/>
  <c r="G66" i="1" s="1"/>
  <c r="E67" i="1"/>
  <c r="G67" i="1" s="1"/>
  <c r="E68" i="1"/>
  <c r="E69" i="1"/>
  <c r="E70" i="1"/>
  <c r="E71" i="1"/>
  <c r="E72" i="1"/>
  <c r="E73" i="1"/>
  <c r="E74" i="1"/>
  <c r="G74" i="1" s="1"/>
  <c r="E75" i="1"/>
  <c r="E76" i="1"/>
  <c r="E77" i="1"/>
  <c r="E78" i="1"/>
  <c r="E79" i="1"/>
  <c r="E80" i="1"/>
  <c r="E81" i="1"/>
  <c r="E82" i="1"/>
  <c r="G82" i="1" s="1"/>
  <c r="E83" i="1"/>
  <c r="E84" i="1"/>
  <c r="E85" i="1"/>
  <c r="E86" i="1"/>
  <c r="E87" i="1"/>
  <c r="E88" i="1"/>
  <c r="E89" i="1"/>
  <c r="E90" i="1"/>
  <c r="G90" i="1" s="1"/>
  <c r="E91" i="1"/>
  <c r="E92" i="1"/>
  <c r="E93" i="1"/>
  <c r="E94" i="1"/>
  <c r="E95" i="1"/>
  <c r="E96" i="1"/>
  <c r="E97" i="1"/>
  <c r="E98" i="1"/>
  <c r="G98" i="1" s="1"/>
  <c r="E99" i="1"/>
  <c r="E100" i="1"/>
  <c r="E101" i="1"/>
  <c r="E102" i="1"/>
  <c r="E103" i="1"/>
  <c r="E104" i="1"/>
  <c r="E105" i="1"/>
  <c r="E106" i="1"/>
  <c r="G106" i="1" s="1"/>
  <c r="E107" i="1"/>
  <c r="E108" i="1"/>
  <c r="E109" i="1"/>
  <c r="E110" i="1"/>
  <c r="E111" i="1"/>
  <c r="E112" i="1"/>
  <c r="E113" i="1"/>
  <c r="E114" i="1"/>
  <c r="G114" i="1" s="1"/>
  <c r="E115" i="1"/>
  <c r="E116" i="1"/>
  <c r="E117" i="1"/>
  <c r="E118" i="1"/>
  <c r="E119" i="1"/>
  <c r="E120" i="1"/>
  <c r="E121" i="1"/>
  <c r="E122" i="1"/>
  <c r="G122" i="1" s="1"/>
  <c r="E123" i="1"/>
  <c r="G123" i="1" s="1"/>
  <c r="E124" i="1"/>
  <c r="E125" i="1"/>
  <c r="E126" i="1"/>
  <c r="E127" i="1"/>
  <c r="E128" i="1"/>
  <c r="E129" i="1"/>
  <c r="E130" i="1"/>
  <c r="G130" i="1" s="1"/>
  <c r="E131" i="1"/>
  <c r="G131" i="1" s="1"/>
  <c r="E132" i="1"/>
  <c r="E133" i="1"/>
  <c r="E134" i="1"/>
  <c r="E135" i="1"/>
  <c r="E136" i="1"/>
  <c r="E137" i="1"/>
  <c r="E138" i="1"/>
  <c r="G138" i="1" s="1"/>
  <c r="E139" i="1"/>
  <c r="G139" i="1" s="1"/>
  <c r="E140" i="1"/>
  <c r="E141" i="1"/>
  <c r="E142" i="1"/>
  <c r="E143" i="1"/>
  <c r="E144" i="1"/>
  <c r="E145" i="1"/>
  <c r="E146" i="1"/>
  <c r="G146" i="1" s="1"/>
  <c r="E147" i="1"/>
  <c r="G147" i="1" s="1"/>
  <c r="E148" i="1"/>
  <c r="E149" i="1"/>
  <c r="E150" i="1"/>
  <c r="E151" i="1"/>
  <c r="E152" i="1"/>
  <c r="E153" i="1"/>
  <c r="E154" i="1"/>
  <c r="G154" i="1" s="1"/>
  <c r="E155" i="1"/>
  <c r="G155" i="1" s="1"/>
  <c r="E156" i="1"/>
  <c r="E157" i="1"/>
  <c r="E158" i="1"/>
  <c r="E159" i="1"/>
  <c r="E160" i="1"/>
  <c r="E161" i="1"/>
  <c r="E162" i="1"/>
  <c r="G162" i="1" s="1"/>
  <c r="E163" i="1"/>
  <c r="E164" i="1"/>
  <c r="E165" i="1"/>
  <c r="E166" i="1"/>
  <c r="E167" i="1"/>
  <c r="E168" i="1"/>
  <c r="E169" i="1"/>
  <c r="E170" i="1"/>
  <c r="G170" i="1" s="1"/>
  <c r="E171" i="1"/>
  <c r="G171" i="1" s="1"/>
  <c r="E172" i="1"/>
  <c r="E173" i="1"/>
  <c r="E174" i="1"/>
  <c r="E175" i="1"/>
  <c r="E176" i="1"/>
  <c r="E177" i="1"/>
  <c r="E178" i="1"/>
  <c r="G178" i="1" s="1"/>
  <c r="E179" i="1"/>
  <c r="G179" i="1" s="1"/>
  <c r="E180" i="1"/>
  <c r="E181" i="1"/>
  <c r="E182" i="1"/>
  <c r="E183" i="1"/>
  <c r="E184" i="1"/>
  <c r="E185" i="1"/>
  <c r="E186" i="1"/>
  <c r="G186" i="1" s="1"/>
  <c r="E187" i="1"/>
  <c r="E188" i="1"/>
  <c r="E189" i="1"/>
  <c r="E190" i="1"/>
  <c r="E191" i="1"/>
  <c r="E192" i="1"/>
  <c r="E193" i="1"/>
  <c r="E194" i="1"/>
  <c r="G194" i="1" s="1"/>
  <c r="E195" i="1"/>
  <c r="G195" i="1" s="1"/>
  <c r="E196" i="1"/>
  <c r="E197" i="1"/>
  <c r="E198" i="1"/>
  <c r="E199" i="1"/>
  <c r="E200" i="1"/>
  <c r="E201" i="1"/>
  <c r="G18" i="1"/>
  <c r="G19" i="1"/>
  <c r="G20" i="1"/>
  <c r="G24" i="1"/>
  <c r="G25" i="1"/>
  <c r="G28" i="1"/>
  <c r="G32" i="1"/>
  <c r="G33" i="1"/>
  <c r="G34" i="1"/>
  <c r="G36" i="1"/>
  <c r="G41" i="1"/>
  <c r="G49" i="1"/>
  <c r="G52" i="1"/>
  <c r="G59" i="1"/>
  <c r="G60" i="1"/>
  <c r="G68" i="1"/>
  <c r="G75" i="1"/>
  <c r="G76" i="1"/>
  <c r="G83" i="1"/>
  <c r="G84" i="1"/>
  <c r="G88" i="1"/>
  <c r="G89" i="1"/>
  <c r="G92" i="1"/>
  <c r="G96" i="1"/>
  <c r="G97" i="1"/>
  <c r="G100" i="1"/>
  <c r="G105" i="1"/>
  <c r="G108" i="1"/>
  <c r="G113" i="1"/>
  <c r="G124" i="1"/>
  <c r="G132" i="1"/>
  <c r="G140" i="1"/>
  <c r="G148" i="1"/>
  <c r="G152" i="1"/>
  <c r="G153" i="1"/>
  <c r="G156" i="1"/>
  <c r="G160" i="1"/>
  <c r="G161" i="1"/>
  <c r="G164" i="1"/>
  <c r="G169" i="1"/>
  <c r="G172" i="1"/>
  <c r="G177" i="1"/>
  <c r="G180" i="1"/>
  <c r="G187" i="1"/>
  <c r="G196" i="1"/>
  <c r="G44" i="1"/>
  <c r="G116" i="1"/>
  <c r="G188" i="1"/>
  <c r="E4" i="1"/>
  <c r="G14" i="1"/>
  <c r="H14" i="1"/>
  <c r="F15" i="1"/>
  <c r="G15" i="1"/>
  <c r="F16" i="1"/>
  <c r="G16" i="1"/>
  <c r="F17" i="1"/>
  <c r="G17" i="1"/>
  <c r="F18" i="1"/>
  <c r="F19" i="1"/>
  <c r="F20" i="1"/>
  <c r="F21" i="1"/>
  <c r="G21" i="1"/>
  <c r="F22" i="1"/>
  <c r="G22" i="1"/>
  <c r="F23" i="1"/>
  <c r="G23" i="1"/>
  <c r="F24" i="1"/>
  <c r="F25" i="1"/>
  <c r="F26" i="1"/>
  <c r="F27" i="1"/>
  <c r="G27" i="1"/>
  <c r="F28" i="1"/>
  <c r="F29" i="1"/>
  <c r="G29" i="1"/>
  <c r="F30" i="1"/>
  <c r="G30" i="1"/>
  <c r="F31" i="1"/>
  <c r="G31" i="1"/>
  <c r="F32" i="1"/>
  <c r="F33" i="1"/>
  <c r="F34" i="1"/>
  <c r="F35" i="1"/>
  <c r="G35" i="1"/>
  <c r="F36" i="1"/>
  <c r="F37" i="1"/>
  <c r="G37" i="1"/>
  <c r="F38" i="1"/>
  <c r="G38" i="1"/>
  <c r="F39" i="1"/>
  <c r="G39" i="1"/>
  <c r="F40" i="1"/>
  <c r="G40" i="1"/>
  <c r="F41" i="1"/>
  <c r="F42" i="1"/>
  <c r="F43" i="1"/>
  <c r="G43" i="1"/>
  <c r="F44" i="1"/>
  <c r="F45" i="1"/>
  <c r="G45" i="1"/>
  <c r="F46" i="1"/>
  <c r="G46" i="1"/>
  <c r="F47" i="1"/>
  <c r="G47" i="1"/>
  <c r="F48" i="1"/>
  <c r="G48" i="1"/>
  <c r="F49" i="1"/>
  <c r="F50" i="1"/>
  <c r="F51" i="1"/>
  <c r="G51" i="1"/>
  <c r="F52" i="1"/>
  <c r="F53" i="1"/>
  <c r="G53" i="1"/>
  <c r="F54" i="1"/>
  <c r="G54" i="1"/>
  <c r="F55" i="1"/>
  <c r="G55" i="1"/>
  <c r="F56" i="1"/>
  <c r="G56" i="1"/>
  <c r="F57" i="1"/>
  <c r="G57" i="1"/>
  <c r="F58" i="1"/>
  <c r="F59" i="1"/>
  <c r="F60" i="1"/>
  <c r="F61" i="1"/>
  <c r="G61" i="1"/>
  <c r="F62" i="1"/>
  <c r="G62" i="1"/>
  <c r="F63" i="1"/>
  <c r="G63" i="1"/>
  <c r="F64" i="1"/>
  <c r="G64" i="1"/>
  <c r="F65" i="1"/>
  <c r="G65" i="1"/>
  <c r="F66" i="1"/>
  <c r="F67" i="1"/>
  <c r="F68" i="1"/>
  <c r="F69" i="1"/>
  <c r="G69" i="1"/>
  <c r="F70" i="1"/>
  <c r="G70" i="1"/>
  <c r="F71" i="1"/>
  <c r="G71" i="1"/>
  <c r="F72" i="1"/>
  <c r="G72" i="1"/>
  <c r="F73" i="1"/>
  <c r="G73" i="1"/>
  <c r="F74" i="1"/>
  <c r="F75" i="1"/>
  <c r="F76" i="1"/>
  <c r="F77" i="1"/>
  <c r="G77" i="1"/>
  <c r="F78" i="1"/>
  <c r="G78" i="1"/>
  <c r="F79" i="1"/>
  <c r="G79" i="1"/>
  <c r="F80" i="1"/>
  <c r="G80" i="1"/>
  <c r="F81" i="1"/>
  <c r="G81" i="1"/>
  <c r="F82" i="1"/>
  <c r="F83" i="1"/>
  <c r="F84" i="1"/>
  <c r="F85" i="1"/>
  <c r="G85" i="1"/>
  <c r="F86" i="1"/>
  <c r="G86" i="1"/>
  <c r="F87" i="1"/>
  <c r="G87" i="1"/>
  <c r="F88" i="1"/>
  <c r="F89" i="1"/>
  <c r="F90" i="1"/>
  <c r="F91" i="1"/>
  <c r="G91" i="1"/>
  <c r="F92" i="1"/>
  <c r="F93" i="1"/>
  <c r="G93" i="1"/>
  <c r="F94" i="1"/>
  <c r="G94" i="1"/>
  <c r="F95" i="1"/>
  <c r="G95" i="1"/>
  <c r="F96" i="1"/>
  <c r="F97" i="1"/>
  <c r="F98" i="1"/>
  <c r="F99" i="1"/>
  <c r="G99" i="1"/>
  <c r="F100" i="1"/>
  <c r="F101" i="1"/>
  <c r="G101" i="1"/>
  <c r="F102" i="1"/>
  <c r="G102" i="1"/>
  <c r="F103" i="1"/>
  <c r="G103" i="1"/>
  <c r="F104" i="1"/>
  <c r="G104" i="1"/>
  <c r="F105" i="1"/>
  <c r="F106" i="1"/>
  <c r="F107" i="1"/>
  <c r="G107" i="1"/>
  <c r="F108" i="1"/>
  <c r="F109" i="1"/>
  <c r="G109" i="1"/>
  <c r="F110" i="1"/>
  <c r="G110" i="1"/>
  <c r="F111" i="1"/>
  <c r="G111" i="1"/>
  <c r="F112" i="1"/>
  <c r="G112" i="1"/>
  <c r="F113" i="1"/>
  <c r="F114" i="1"/>
  <c r="F115" i="1"/>
  <c r="G115" i="1"/>
  <c r="F116" i="1"/>
  <c r="F117" i="1"/>
  <c r="G117" i="1"/>
  <c r="F118" i="1"/>
  <c r="G118" i="1"/>
  <c r="F119" i="1"/>
  <c r="G119" i="1"/>
  <c r="F120" i="1"/>
  <c r="G120" i="1"/>
  <c r="F121" i="1"/>
  <c r="G121" i="1"/>
  <c r="F122" i="1"/>
  <c r="F123" i="1"/>
  <c r="F124" i="1"/>
  <c r="F125" i="1"/>
  <c r="G125" i="1"/>
  <c r="F126" i="1"/>
  <c r="G126" i="1"/>
  <c r="F127" i="1"/>
  <c r="G127" i="1"/>
  <c r="F128" i="1"/>
  <c r="G128" i="1"/>
  <c r="F129" i="1"/>
  <c r="G129" i="1"/>
  <c r="F130" i="1"/>
  <c r="F131" i="1"/>
  <c r="F132" i="1"/>
  <c r="F133" i="1"/>
  <c r="G133" i="1"/>
  <c r="F134" i="1"/>
  <c r="G134" i="1"/>
  <c r="F135" i="1"/>
  <c r="G135" i="1"/>
  <c r="F136" i="1"/>
  <c r="G136" i="1"/>
  <c r="F137" i="1"/>
  <c r="G137" i="1"/>
  <c r="F138" i="1"/>
  <c r="F139" i="1"/>
  <c r="F140" i="1"/>
  <c r="F141" i="1"/>
  <c r="G141" i="1"/>
  <c r="F142" i="1"/>
  <c r="G142" i="1"/>
  <c r="F143" i="1"/>
  <c r="G143" i="1"/>
  <c r="F144" i="1"/>
  <c r="G144" i="1"/>
  <c r="F145" i="1"/>
  <c r="G145" i="1"/>
  <c r="F146" i="1"/>
  <c r="F147" i="1"/>
  <c r="F148" i="1"/>
  <c r="F149" i="1"/>
  <c r="G149" i="1"/>
  <c r="F150" i="1"/>
  <c r="G150" i="1"/>
  <c r="F151" i="1"/>
  <c r="G151" i="1"/>
  <c r="F152" i="1"/>
  <c r="F153" i="1"/>
  <c r="F154" i="1"/>
  <c r="F155" i="1"/>
  <c r="F156" i="1"/>
  <c r="F157" i="1"/>
  <c r="G157" i="1"/>
  <c r="F158" i="1"/>
  <c r="G158" i="1"/>
  <c r="F159" i="1"/>
  <c r="G159" i="1"/>
  <c r="F160" i="1"/>
  <c r="F161" i="1"/>
  <c r="F162" i="1"/>
  <c r="F163" i="1"/>
  <c r="G163" i="1"/>
  <c r="F164" i="1"/>
  <c r="F165" i="1"/>
  <c r="G165" i="1"/>
  <c r="F166" i="1"/>
  <c r="G166" i="1"/>
  <c r="F167" i="1"/>
  <c r="G167" i="1"/>
  <c r="F168" i="1"/>
  <c r="G168" i="1"/>
  <c r="F169" i="1"/>
  <c r="F170" i="1"/>
  <c r="F171" i="1"/>
  <c r="F172" i="1"/>
  <c r="F173" i="1"/>
  <c r="G173" i="1"/>
  <c r="F174" i="1"/>
  <c r="G174" i="1"/>
  <c r="F175" i="1"/>
  <c r="G175" i="1"/>
  <c r="F176" i="1"/>
  <c r="G176" i="1"/>
  <c r="F177" i="1"/>
  <c r="F178" i="1"/>
  <c r="F179" i="1"/>
  <c r="F180" i="1"/>
  <c r="F181" i="1"/>
  <c r="G181" i="1"/>
  <c r="F182" i="1"/>
  <c r="G182" i="1"/>
  <c r="F183" i="1"/>
  <c r="G183" i="1"/>
  <c r="F184" i="1"/>
  <c r="G184" i="1"/>
  <c r="F185" i="1"/>
  <c r="G185" i="1"/>
  <c r="F186" i="1"/>
  <c r="F187" i="1"/>
  <c r="F188" i="1"/>
  <c r="F189" i="1"/>
  <c r="G189" i="1"/>
  <c r="F190" i="1"/>
  <c r="G190" i="1"/>
  <c r="F191" i="1"/>
  <c r="G191" i="1"/>
  <c r="F192" i="1"/>
  <c r="G192" i="1"/>
  <c r="F193" i="1"/>
  <c r="G193" i="1"/>
  <c r="F194" i="1"/>
  <c r="F195" i="1"/>
  <c r="F196" i="1"/>
  <c r="F197" i="1"/>
  <c r="G197" i="1"/>
  <c r="F198" i="1"/>
  <c r="G198" i="1"/>
  <c r="F199" i="1"/>
  <c r="G199" i="1"/>
  <c r="F200" i="1"/>
  <c r="G200" i="1"/>
  <c r="F201" i="1"/>
  <c r="G201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F1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B77" i="1"/>
  <c r="B78" i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K7" i="1" l="1"/>
  <c r="J7" i="1" l="1"/>
  <c r="K8" i="1"/>
  <c r="K9" i="1" l="1"/>
  <c r="J8" i="1"/>
  <c r="K10" i="1" l="1"/>
  <c r="J9" i="1"/>
  <c r="K11" i="1" l="1"/>
  <c r="J10" i="1"/>
  <c r="K12" i="1" l="1"/>
  <c r="J11" i="1"/>
  <c r="K13" i="1" l="1"/>
  <c r="J12" i="1"/>
  <c r="K14" i="1" l="1"/>
  <c r="J13" i="1"/>
  <c r="K15" i="1" l="1"/>
  <c r="J14" i="1"/>
  <c r="K16" i="1" l="1"/>
  <c r="J15" i="1"/>
  <c r="K17" i="1" l="1"/>
  <c r="J16" i="1"/>
  <c r="K18" i="1" l="1"/>
  <c r="J17" i="1"/>
  <c r="K19" i="1" l="1"/>
  <c r="J18" i="1"/>
  <c r="K20" i="1" l="1"/>
  <c r="J19" i="1"/>
  <c r="K21" i="1" l="1"/>
  <c r="J20" i="1"/>
  <c r="J21" i="1" l="1"/>
</calcChain>
</file>

<file path=xl/sharedStrings.xml><?xml version="1.0" encoding="utf-8"?>
<sst xmlns="http://schemas.openxmlformats.org/spreadsheetml/2006/main" count="35" uniqueCount="34">
  <si>
    <t>T/°C</t>
  </si>
  <si>
    <t>T/K</t>
  </si>
  <si>
    <r>
      <t>U/</t>
    </r>
    <r>
      <rPr>
        <sz val="11"/>
        <color theme="1"/>
        <rFont val="Calibri"/>
        <family val="2"/>
      </rPr>
      <t>μV</t>
    </r>
  </si>
  <si>
    <t>U*</t>
  </si>
  <si>
    <t>ln U</t>
  </si>
  <si>
    <t>Ln(U*)</t>
  </si>
  <si>
    <t>ln T</t>
  </si>
  <si>
    <t>korr y</t>
  </si>
  <si>
    <t>Temperatur T_0</t>
  </si>
  <si>
    <t>Schnittpunkte</t>
  </si>
  <si>
    <t>Si</t>
  </si>
  <si>
    <t>NaCl</t>
  </si>
  <si>
    <t>IR-Glas</t>
  </si>
  <si>
    <t>Glas</t>
  </si>
  <si>
    <t>Voll</t>
  </si>
  <si>
    <t>Nichts</t>
  </si>
  <si>
    <t>U / mV</t>
  </si>
  <si>
    <t>Delta U / mV</t>
  </si>
  <si>
    <t>Abweichung</t>
  </si>
  <si>
    <t>A</t>
  </si>
  <si>
    <t>Mess</t>
  </si>
  <si>
    <t>Korr</t>
  </si>
  <si>
    <t>Unkorr</t>
  </si>
  <si>
    <t>Winkel</t>
  </si>
  <si>
    <t>Messwert</t>
  </si>
  <si>
    <t>Cos Winkel</t>
  </si>
  <si>
    <t>Fehler Messwert</t>
  </si>
  <si>
    <t>Fehler Cos</t>
  </si>
  <si>
    <t>Fehler korr</t>
  </si>
  <si>
    <t>Wert</t>
  </si>
  <si>
    <t>Normierter  Messwert</t>
  </si>
  <si>
    <t>Fehler</t>
  </si>
  <si>
    <t>Kosinus</t>
  </si>
  <si>
    <t>Residuen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</si>
</sst>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0" fontId="0" fillId="0" borderId="1" xfId="0" applyBorder="1"/>
    <xf numFmtId="0" fontId="0" fillId="0" borderId="2" xfId="0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7" xfId="0" applyNumberFormat="1" applyBorder="1"/>
    <xf numFmtId="9" fontId="0" fillId="0" borderId="0" xfId="0" applyNumberFormat="1"/>
    <xf numFmtId="165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4" xfId="0" applyNumberFormat="1" applyBorder="1"/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6" xfId="0" applyBorder="1"/>
    <xf numFmtId="0" fontId="0" fillId="0" borderId="3" xfId="0" applyBorder="1"/>
    <xf numFmtId="0" fontId="0" fillId="0" borderId="16" xfId="0" applyBorder="1"/>
    <xf numFmtId="0" fontId="0" fillId="0" borderId="4" xfId="0" applyBorder="1"/>
    <xf numFmtId="0" fontId="0" fillId="0" borderId="0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201"/>
  <sheetViews>
    <sheetView topLeftCell="A97" zoomScale="66" zoomScaleNormal="93" workbookViewId="0">
      <selection activeCell="U3" sqref="U3"/>
    </sheetView>
  </sheetViews>
  <sheetFormatPr baseColWidth="10" defaultColWidth="8.7265625" defaultRowHeight="14.5" x14ac:dyDescent="0.35"/>
  <cols>
    <col min="27" max="27" width="10.81640625" bestFit="1" customWidth="1"/>
    <col min="30" max="30" width="12.453125" bestFit="1" customWidth="1"/>
  </cols>
  <sheetData>
    <row r="1" spans="2:22" x14ac:dyDescent="0.35">
      <c r="J1" t="s">
        <v>25</v>
      </c>
      <c r="K1" t="s">
        <v>23</v>
      </c>
      <c r="L1" t="s">
        <v>24</v>
      </c>
      <c r="M1" t="s">
        <v>26</v>
      </c>
      <c r="N1" t="s">
        <v>7</v>
      </c>
      <c r="P1" t="s">
        <v>27</v>
      </c>
      <c r="U1" t="s">
        <v>19</v>
      </c>
    </row>
    <row r="2" spans="2:22" x14ac:dyDescent="0.35">
      <c r="R2" t="s">
        <v>20</v>
      </c>
      <c r="U2">
        <f>AVERAGE(R6:R9)</f>
        <v>1.125</v>
      </c>
      <c r="V2">
        <f>SQRT((1-COS(5*PI()/180))^2 +(_xlfn.STDEV.S(R6:R9))^2/4)</f>
        <v>6.2434223477965019E-3</v>
      </c>
    </row>
    <row r="3" spans="2:22" x14ac:dyDescent="0.35">
      <c r="B3" t="s">
        <v>0</v>
      </c>
      <c r="C3" t="s">
        <v>1</v>
      </c>
      <c r="D3" t="s">
        <v>2</v>
      </c>
      <c r="E3" t="s">
        <v>3</v>
      </c>
      <c r="J3">
        <f t="shared" ref="J3:J22" si="0">COS(K3/180*PI())</f>
        <v>0.99619469809174555</v>
      </c>
      <c r="K3">
        <v>-5</v>
      </c>
      <c r="L3">
        <v>1.1020000000000001</v>
      </c>
      <c r="P3">
        <f>PI()/180*0.5*ABS(SIN(K3))</f>
        <v>8.3681929350851031E-3</v>
      </c>
      <c r="R3">
        <v>1.1020000000000001</v>
      </c>
      <c r="U3">
        <f>R3*0.025*0.01+0.008</f>
        <v>8.2754999999999999E-3</v>
      </c>
    </row>
    <row r="4" spans="2:22" x14ac:dyDescent="0.35">
      <c r="B4">
        <v>23</v>
      </c>
      <c r="C4">
        <f>B4+273.15</f>
        <v>296.14999999999998</v>
      </c>
      <c r="D4">
        <v>-5</v>
      </c>
      <c r="E4">
        <f>D4/(1+((22.1+273.15)/C4)^4)</f>
        <v>-2.5152179502625658</v>
      </c>
      <c r="J4">
        <f t="shared" si="0"/>
        <v>0.99862953475457383</v>
      </c>
      <c r="K4">
        <v>-3</v>
      </c>
      <c r="L4">
        <v>1.1120000000000001</v>
      </c>
      <c r="P4">
        <f t="shared" ref="P4:P22" si="1">PI()/180*0.5*ABS(SIN(K4))</f>
        <v>1.231504390542809E-3</v>
      </c>
      <c r="R4">
        <v>1.1120000000000001</v>
      </c>
      <c r="U4">
        <f t="shared" ref="U4:U22" si="2">R4*0.025*0.01+0.008</f>
        <v>8.2780000000000006E-3</v>
      </c>
    </row>
    <row r="5" spans="2:22" ht="15" thickBot="1" x14ac:dyDescent="0.4">
      <c r="B5">
        <v>24</v>
      </c>
      <c r="C5">
        <f t="shared" ref="C5:C68" si="3">B5+273.15</f>
        <v>297.14999999999998</v>
      </c>
      <c r="D5">
        <v>-6</v>
      </c>
      <c r="E5">
        <f t="shared" ref="E5:E68" si="4">D5/(1+((22.1+273.15)/C5)^4)</f>
        <v>-3.0384855290063908</v>
      </c>
      <c r="J5">
        <f t="shared" si="0"/>
        <v>1</v>
      </c>
      <c r="K5">
        <f>K4+3</f>
        <v>0</v>
      </c>
      <c r="L5">
        <v>1.117</v>
      </c>
      <c r="P5">
        <f t="shared" si="1"/>
        <v>0</v>
      </c>
      <c r="R5">
        <v>1.117</v>
      </c>
      <c r="U5">
        <f t="shared" si="2"/>
        <v>8.2792500000000002E-3</v>
      </c>
    </row>
    <row r="6" spans="2:22" x14ac:dyDescent="0.35">
      <c r="B6">
        <v>25</v>
      </c>
      <c r="C6">
        <f t="shared" si="3"/>
        <v>298.14999999999998</v>
      </c>
      <c r="D6">
        <v>-5</v>
      </c>
      <c r="E6">
        <f t="shared" si="4"/>
        <v>-2.5488650781070286</v>
      </c>
      <c r="J6">
        <f t="shared" si="0"/>
        <v>0.99862953475457383</v>
      </c>
      <c r="K6">
        <f t="shared" ref="K6:K21" si="5">K5+3</f>
        <v>3</v>
      </c>
      <c r="L6">
        <v>1.1319999999999999</v>
      </c>
      <c r="P6">
        <f t="shared" si="1"/>
        <v>1.231504390542809E-3</v>
      </c>
      <c r="R6" s="13">
        <v>1.1319999999999999</v>
      </c>
      <c r="U6">
        <f t="shared" si="2"/>
        <v>8.2830000000000004E-3</v>
      </c>
    </row>
    <row r="7" spans="2:22" x14ac:dyDescent="0.35">
      <c r="B7">
        <v>26</v>
      </c>
      <c r="C7">
        <f t="shared" si="3"/>
        <v>299.14999999999998</v>
      </c>
      <c r="D7">
        <v>-4</v>
      </c>
      <c r="E7">
        <f t="shared" si="4"/>
        <v>-2.0524786101956587</v>
      </c>
      <c r="J7">
        <f t="shared" si="0"/>
        <v>0.99452189536827329</v>
      </c>
      <c r="K7">
        <f t="shared" si="5"/>
        <v>6</v>
      </c>
      <c r="L7">
        <v>1.1319999999999999</v>
      </c>
      <c r="P7">
        <f>PI()/180*0.5*ABS(SIN(K7))</f>
        <v>2.438360212335771E-3</v>
      </c>
      <c r="R7" s="14">
        <v>1.1319999999999999</v>
      </c>
      <c r="U7">
        <f t="shared" si="2"/>
        <v>8.2830000000000004E-3</v>
      </c>
    </row>
    <row r="8" spans="2:22" x14ac:dyDescent="0.35">
      <c r="B8">
        <v>27</v>
      </c>
      <c r="C8">
        <f t="shared" si="3"/>
        <v>300.14999999999998</v>
      </c>
      <c r="D8">
        <v>-3</v>
      </c>
      <c r="E8">
        <f t="shared" si="4"/>
        <v>-1.5493618537962288</v>
      </c>
      <c r="J8">
        <f t="shared" si="0"/>
        <v>0.98768834059513777</v>
      </c>
      <c r="K8">
        <f t="shared" si="5"/>
        <v>9</v>
      </c>
      <c r="L8">
        <v>1.125</v>
      </c>
      <c r="P8">
        <f t="shared" si="1"/>
        <v>3.596412237900156E-3</v>
      </c>
      <c r="R8" s="14">
        <v>1.125</v>
      </c>
      <c r="U8">
        <f t="shared" si="2"/>
        <v>8.2812500000000004E-3</v>
      </c>
    </row>
    <row r="9" spans="2:22" ht="15" thickBot="1" x14ac:dyDescent="0.4">
      <c r="B9">
        <v>28</v>
      </c>
      <c r="C9">
        <f t="shared" si="3"/>
        <v>301.14999999999998</v>
      </c>
      <c r="D9">
        <v>-3</v>
      </c>
      <c r="E9">
        <f t="shared" si="4"/>
        <v>-1.5593271087655958</v>
      </c>
      <c r="J9">
        <f t="shared" si="0"/>
        <v>0.97814760073380569</v>
      </c>
      <c r="K9">
        <f t="shared" si="5"/>
        <v>12</v>
      </c>
      <c r="L9">
        <v>1.111</v>
      </c>
      <c r="P9">
        <f t="shared" si="1"/>
        <v>4.6824820480705692E-3</v>
      </c>
      <c r="R9" s="15">
        <v>1.111</v>
      </c>
      <c r="U9">
        <f t="shared" si="2"/>
        <v>8.2777500000000004E-3</v>
      </c>
    </row>
    <row r="10" spans="2:22" x14ac:dyDescent="0.35">
      <c r="B10">
        <v>29</v>
      </c>
      <c r="C10">
        <f t="shared" si="3"/>
        <v>302.14999999999998</v>
      </c>
      <c r="D10">
        <v>-3</v>
      </c>
      <c r="E10">
        <f t="shared" si="4"/>
        <v>-1.5692541124745525</v>
      </c>
      <c r="J10">
        <f t="shared" si="0"/>
        <v>0.96592582628906831</v>
      </c>
      <c r="K10">
        <f t="shared" si="5"/>
        <v>15</v>
      </c>
      <c r="L10">
        <v>1.0920000000000001</v>
      </c>
      <c r="P10">
        <f t="shared" si="1"/>
        <v>5.6748319482121442E-3</v>
      </c>
      <c r="R10">
        <v>1.0920000000000001</v>
      </c>
      <c r="U10">
        <f t="shared" si="2"/>
        <v>8.2730000000000008E-3</v>
      </c>
    </row>
    <row r="11" spans="2:22" x14ac:dyDescent="0.35">
      <c r="B11">
        <v>30</v>
      </c>
      <c r="C11">
        <f t="shared" si="3"/>
        <v>303.14999999999998</v>
      </c>
      <c r="D11">
        <v>-2</v>
      </c>
      <c r="E11">
        <f t="shared" si="4"/>
        <v>-1.0527615141735331</v>
      </c>
      <c r="J11">
        <f t="shared" si="0"/>
        <v>0.95105651629515353</v>
      </c>
      <c r="K11">
        <f t="shared" si="5"/>
        <v>18</v>
      </c>
      <c r="L11">
        <v>1.0720000000000001</v>
      </c>
      <c r="P11">
        <f t="shared" si="1"/>
        <v>6.5536000483264519E-3</v>
      </c>
      <c r="R11">
        <v>1.0720000000000001</v>
      </c>
      <c r="U11">
        <f t="shared" si="2"/>
        <v>8.268000000000001E-3</v>
      </c>
    </row>
    <row r="12" spans="2:22" x14ac:dyDescent="0.35">
      <c r="B12">
        <v>31</v>
      </c>
      <c r="C12">
        <f t="shared" si="3"/>
        <v>304.14999999999998</v>
      </c>
      <c r="D12">
        <v>-1</v>
      </c>
      <c r="E12">
        <f t="shared" si="4"/>
        <v>-0.52966366927329644</v>
      </c>
      <c r="J12">
        <f t="shared" si="0"/>
        <v>0.93358042649720174</v>
      </c>
      <c r="K12">
        <f t="shared" si="5"/>
        <v>21</v>
      </c>
      <c r="L12">
        <v>1.0349999999999999</v>
      </c>
      <c r="P12">
        <f t="shared" si="1"/>
        <v>7.3011977989148645E-3</v>
      </c>
      <c r="R12">
        <v>1.0349999999999999</v>
      </c>
      <c r="U12">
        <f t="shared" si="2"/>
        <v>8.2587500000000005E-3</v>
      </c>
    </row>
    <row r="13" spans="2:22" x14ac:dyDescent="0.35">
      <c r="B13">
        <v>32</v>
      </c>
      <c r="C13">
        <f t="shared" si="3"/>
        <v>305.14999999999998</v>
      </c>
      <c r="D13">
        <v>0</v>
      </c>
      <c r="E13">
        <f>D13/(1+((22.1+273.15)/C13)^4)</f>
        <v>0</v>
      </c>
      <c r="F13" t="s">
        <v>6</v>
      </c>
      <c r="G13" t="s">
        <v>5</v>
      </c>
      <c r="H13" t="s">
        <v>4</v>
      </c>
      <c r="J13">
        <f t="shared" si="0"/>
        <v>0.91354545764260087</v>
      </c>
      <c r="K13">
        <f t="shared" si="5"/>
        <v>24</v>
      </c>
      <c r="L13">
        <v>1.018</v>
      </c>
      <c r="P13">
        <f t="shared" si="1"/>
        <v>7.9026620259163554E-3</v>
      </c>
      <c r="R13">
        <v>1.018</v>
      </c>
      <c r="U13">
        <f t="shared" si="2"/>
        <v>8.2544999999999997E-3</v>
      </c>
    </row>
    <row r="14" spans="2:22" x14ac:dyDescent="0.35">
      <c r="B14">
        <v>33</v>
      </c>
      <c r="C14">
        <f t="shared" si="3"/>
        <v>306.14999999999998</v>
      </c>
      <c r="D14">
        <v>1</v>
      </c>
      <c r="E14">
        <f>D14/(1+((22.1+273.15)/C14)^4)</f>
        <v>0.5361893288152596</v>
      </c>
      <c r="F14">
        <f>LN(C14)</f>
        <v>5.7240751779239636</v>
      </c>
      <c r="G14">
        <f>LN(E14)</f>
        <v>-0.623267954879137</v>
      </c>
      <c r="H14">
        <f>LN(D14)</f>
        <v>0</v>
      </c>
      <c r="J14">
        <f t="shared" si="0"/>
        <v>0.8910065241883679</v>
      </c>
      <c r="K14">
        <f t="shared" si="5"/>
        <v>27</v>
      </c>
      <c r="L14">
        <v>0.98199999999999998</v>
      </c>
      <c r="P14">
        <f t="shared" si="1"/>
        <v>8.3459544187380694E-3</v>
      </c>
      <c r="R14">
        <v>0.98199999999999998</v>
      </c>
      <c r="U14">
        <f>R14*0.025*0.01+0.008</f>
        <v>8.2454999999999994E-3</v>
      </c>
    </row>
    <row r="15" spans="2:22" x14ac:dyDescent="0.35">
      <c r="B15">
        <v>34</v>
      </c>
      <c r="C15">
        <f t="shared" si="3"/>
        <v>307.14999999999998</v>
      </c>
      <c r="D15">
        <v>1</v>
      </c>
      <c r="E15">
        <f>D15/(1+((22.1+273.15)/C15)^4)</f>
        <v>0.5394317183582642</v>
      </c>
      <c r="F15">
        <f t="shared" ref="F15:F78" si="6">LN(C15)</f>
        <v>5.7273362276099364</v>
      </c>
      <c r="G15">
        <f t="shared" ref="G15:G78" si="7">LN(E15)</f>
        <v>-0.61723906696814101</v>
      </c>
      <c r="H15">
        <f t="shared" ref="H15:H78" si="8">LN(D15)</f>
        <v>0</v>
      </c>
      <c r="J15">
        <f t="shared" si="0"/>
        <v>0.86602540378443871</v>
      </c>
      <c r="K15">
        <f t="shared" si="5"/>
        <v>30</v>
      </c>
      <c r="L15">
        <v>0.95899999999999996</v>
      </c>
      <c r="P15">
        <f t="shared" si="1"/>
        <v>8.622202477123685E-3</v>
      </c>
      <c r="R15">
        <v>0.95899999999999996</v>
      </c>
      <c r="U15">
        <f t="shared" si="2"/>
        <v>8.2397500000000005E-3</v>
      </c>
    </row>
    <row r="16" spans="2:22" x14ac:dyDescent="0.35">
      <c r="B16">
        <v>35</v>
      </c>
      <c r="C16">
        <f t="shared" si="3"/>
        <v>308.14999999999998</v>
      </c>
      <c r="D16">
        <v>2</v>
      </c>
      <c r="E16">
        <f t="shared" si="4"/>
        <v>1.0853205029555846</v>
      </c>
      <c r="F16">
        <f t="shared" si="6"/>
        <v>5.7305866774082519</v>
      </c>
      <c r="G16">
        <f t="shared" si="7"/>
        <v>8.1875337801188636E-2</v>
      </c>
      <c r="H16">
        <f t="shared" si="8"/>
        <v>0.69314718055994529</v>
      </c>
      <c r="J16">
        <f t="shared" si="0"/>
        <v>0.83867056794542405</v>
      </c>
      <c r="K16">
        <f t="shared" si="5"/>
        <v>33</v>
      </c>
      <c r="L16">
        <v>0.90900000000000003</v>
      </c>
      <c r="P16">
        <f t="shared" si="1"/>
        <v>8.7258770943063769E-3</v>
      </c>
      <c r="R16">
        <v>0.90900000000000003</v>
      </c>
      <c r="U16">
        <f t="shared" si="2"/>
        <v>8.2272500000000002E-3</v>
      </c>
    </row>
    <row r="17" spans="2:23" x14ac:dyDescent="0.35">
      <c r="B17">
        <v>36</v>
      </c>
      <c r="C17">
        <f t="shared" si="3"/>
        <v>309.14999999999998</v>
      </c>
      <c r="D17">
        <v>3</v>
      </c>
      <c r="E17">
        <f t="shared" si="4"/>
        <v>1.6376242878785918</v>
      </c>
      <c r="F17">
        <f t="shared" si="6"/>
        <v>5.7338265960045778</v>
      </c>
      <c r="G17">
        <f t="shared" si="7"/>
        <v>0.49324658664149507</v>
      </c>
      <c r="H17">
        <f t="shared" si="8"/>
        <v>1.0986122886681098</v>
      </c>
      <c r="J17">
        <f t="shared" si="0"/>
        <v>0.80901699437494745</v>
      </c>
      <c r="K17">
        <f t="shared" si="5"/>
        <v>36</v>
      </c>
      <c r="L17">
        <v>0.871</v>
      </c>
      <c r="P17">
        <f t="shared" si="1"/>
        <v>8.6549032221183361E-3</v>
      </c>
      <c r="R17">
        <v>0.871</v>
      </c>
      <c r="U17">
        <f t="shared" si="2"/>
        <v>8.2177499999999994E-3</v>
      </c>
    </row>
    <row r="18" spans="2:23" x14ac:dyDescent="0.35">
      <c r="B18">
        <v>37</v>
      </c>
      <c r="C18">
        <f t="shared" si="3"/>
        <v>310.14999999999998</v>
      </c>
      <c r="D18">
        <v>4</v>
      </c>
      <c r="E18">
        <f t="shared" si="4"/>
        <v>2.1963003661603704</v>
      </c>
      <c r="F18">
        <f t="shared" si="6"/>
        <v>5.7370560514191267</v>
      </c>
      <c r="G18">
        <f t="shared" si="7"/>
        <v>0.7867742930554753</v>
      </c>
      <c r="H18">
        <f t="shared" si="8"/>
        <v>1.3862943611198906</v>
      </c>
      <c r="J18">
        <f t="shared" si="0"/>
        <v>0.7771459614569709</v>
      </c>
      <c r="K18">
        <f t="shared" si="5"/>
        <v>39</v>
      </c>
      <c r="L18">
        <v>0.82799999999999996</v>
      </c>
      <c r="P18">
        <f t="shared" si="1"/>
        <v>8.4107014030939641E-3</v>
      </c>
      <c r="R18">
        <v>0.82799999999999996</v>
      </c>
      <c r="U18">
        <f t="shared" si="2"/>
        <v>8.2070000000000008E-3</v>
      </c>
    </row>
    <row r="19" spans="2:23" x14ac:dyDescent="0.35">
      <c r="B19">
        <v>38</v>
      </c>
      <c r="C19">
        <f t="shared" si="3"/>
        <v>311.14999999999998</v>
      </c>
      <c r="D19">
        <v>5</v>
      </c>
      <c r="E19">
        <f t="shared" si="4"/>
        <v>2.7613054160200741</v>
      </c>
      <c r="F19">
        <f t="shared" si="6"/>
        <v>5.7402751110152268</v>
      </c>
      <c r="G19">
        <f t="shared" si="7"/>
        <v>1.0157035447296474</v>
      </c>
      <c r="H19">
        <f t="shared" si="8"/>
        <v>1.6094379124341003</v>
      </c>
      <c r="J19">
        <f t="shared" si="0"/>
        <v>0.74314482547739424</v>
      </c>
      <c r="K19">
        <f t="shared" si="5"/>
        <v>42</v>
      </c>
      <c r="L19">
        <v>0.78400000000000003</v>
      </c>
      <c r="P19">
        <f t="shared" si="1"/>
        <v>7.9981593383013916E-3</v>
      </c>
      <c r="R19">
        <v>0.78400000000000003</v>
      </c>
      <c r="U19">
        <f t="shared" si="2"/>
        <v>8.1960000000000002E-3</v>
      </c>
    </row>
    <row r="20" spans="2:23" x14ac:dyDescent="0.35">
      <c r="B20">
        <v>39</v>
      </c>
      <c r="C20">
        <f t="shared" si="3"/>
        <v>312.14999999999998</v>
      </c>
      <c r="D20">
        <v>6</v>
      </c>
      <c r="E20">
        <f t="shared" si="4"/>
        <v>3.3325955268718785</v>
      </c>
      <c r="F20">
        <f t="shared" si="6"/>
        <v>5.7434838415077527</v>
      </c>
      <c r="G20">
        <f t="shared" si="7"/>
        <v>1.2037514378877574</v>
      </c>
      <c r="H20">
        <f t="shared" si="8"/>
        <v>1.791759469228055</v>
      </c>
      <c r="J20">
        <f t="shared" si="0"/>
        <v>0.70710678118654757</v>
      </c>
      <c r="K20">
        <f t="shared" si="5"/>
        <v>45</v>
      </c>
      <c r="L20">
        <v>0.748</v>
      </c>
      <c r="P20">
        <f t="shared" si="1"/>
        <v>7.4255340599723579E-3</v>
      </c>
      <c r="R20">
        <v>0.748</v>
      </c>
      <c r="U20">
        <f t="shared" si="2"/>
        <v>8.1869999999999998E-3</v>
      </c>
    </row>
    <row r="21" spans="2:23" x14ac:dyDescent="0.35">
      <c r="B21">
        <v>40</v>
      </c>
      <c r="C21">
        <f t="shared" si="3"/>
        <v>313.14999999999998</v>
      </c>
      <c r="D21">
        <v>7</v>
      </c>
      <c r="E21">
        <f t="shared" si="4"/>
        <v>3.9101262250891105</v>
      </c>
      <c r="F21">
        <f t="shared" si="6"/>
        <v>5.7466823089714216</v>
      </c>
      <c r="G21">
        <f t="shared" si="7"/>
        <v>1.3635696561076875</v>
      </c>
      <c r="H21">
        <f t="shared" si="8"/>
        <v>1.9459101490553132</v>
      </c>
      <c r="J21">
        <f t="shared" si="0"/>
        <v>0.66913060635885824</v>
      </c>
      <c r="K21">
        <f t="shared" si="5"/>
        <v>48</v>
      </c>
      <c r="L21">
        <v>0.71</v>
      </c>
      <c r="P21">
        <f t="shared" si="1"/>
        <v>6.7042866669459623E-3</v>
      </c>
      <c r="R21">
        <v>0.71</v>
      </c>
      <c r="U21">
        <f t="shared" si="2"/>
        <v>8.1775000000000007E-3</v>
      </c>
    </row>
    <row r="22" spans="2:23" x14ac:dyDescent="0.35">
      <c r="B22">
        <v>41</v>
      </c>
      <c r="C22">
        <f t="shared" si="3"/>
        <v>314.14999999999998</v>
      </c>
      <c r="D22">
        <v>8</v>
      </c>
      <c r="E22">
        <f t="shared" si="4"/>
        <v>4.4938524995100728</v>
      </c>
      <c r="F22">
        <f t="shared" si="6"/>
        <v>5.7498705788489559</v>
      </c>
      <c r="G22">
        <f t="shared" si="7"/>
        <v>1.5027103515756464</v>
      </c>
      <c r="H22">
        <f t="shared" si="8"/>
        <v>2.0794415416798357</v>
      </c>
      <c r="J22">
        <f t="shared" si="0"/>
        <v>0.64278760968653936</v>
      </c>
      <c r="K22">
        <v>50</v>
      </c>
      <c r="L22">
        <v>0.67</v>
      </c>
      <c r="P22">
        <f t="shared" si="1"/>
        <v>2.2896525357859981E-3</v>
      </c>
      <c r="R22">
        <v>0.67</v>
      </c>
      <c r="U22">
        <f t="shared" si="2"/>
        <v>8.1674999999999994E-3</v>
      </c>
    </row>
    <row r="23" spans="2:23" x14ac:dyDescent="0.35">
      <c r="B23">
        <v>42</v>
      </c>
      <c r="C23">
        <f t="shared" si="3"/>
        <v>315.14999999999998</v>
      </c>
      <c r="D23">
        <v>9</v>
      </c>
      <c r="E23">
        <f t="shared" si="4"/>
        <v>5.0837288266727301</v>
      </c>
      <c r="F23">
        <f t="shared" si="6"/>
        <v>5.7530487159591193</v>
      </c>
      <c r="G23">
        <f t="shared" si="7"/>
        <v>1.6260450133273008</v>
      </c>
      <c r="H23">
        <f t="shared" si="8"/>
        <v>2.1972245773362196</v>
      </c>
    </row>
    <row r="24" spans="2:23" x14ac:dyDescent="0.35">
      <c r="B24">
        <v>43</v>
      </c>
      <c r="C24">
        <f t="shared" si="3"/>
        <v>316.14999999999998</v>
      </c>
      <c r="D24">
        <v>10</v>
      </c>
      <c r="E24">
        <f t="shared" si="4"/>
        <v>5.6797091957661019</v>
      </c>
      <c r="F24">
        <f t="shared" si="6"/>
        <v>5.7562167845046224</v>
      </c>
      <c r="G24">
        <f t="shared" si="7"/>
        <v>1.7369000334938982</v>
      </c>
      <c r="H24">
        <f t="shared" si="8"/>
        <v>2.3025850929940459</v>
      </c>
    </row>
    <row r="25" spans="2:23" x14ac:dyDescent="0.35">
      <c r="B25">
        <v>44</v>
      </c>
      <c r="C25">
        <f t="shared" si="3"/>
        <v>317.14999999999998</v>
      </c>
      <c r="D25">
        <v>11</v>
      </c>
      <c r="E25">
        <f t="shared" si="4"/>
        <v>6.2817471332868653</v>
      </c>
      <c r="F25">
        <f t="shared" si="6"/>
        <v>5.7593748480799061</v>
      </c>
      <c r="G25">
        <f t="shared" si="7"/>
        <v>1.8376481477254105</v>
      </c>
      <c r="H25">
        <f t="shared" si="8"/>
        <v>2.3978952727983707</v>
      </c>
    </row>
    <row r="26" spans="2:23" x14ac:dyDescent="0.35">
      <c r="B26">
        <v>45</v>
      </c>
      <c r="C26">
        <f t="shared" si="3"/>
        <v>318.14999999999998</v>
      </c>
      <c r="D26">
        <v>12</v>
      </c>
      <c r="E26">
        <f t="shared" si="4"/>
        <v>6.889795727390271</v>
      </c>
      <c r="F26">
        <f t="shared" si="6"/>
        <v>5.762522969678801</v>
      </c>
      <c r="G26">
        <f t="shared" si="7"/>
        <v>1.930041436892346</v>
      </c>
      <c r="H26">
        <f t="shared" si="8"/>
        <v>2.4849066497880004</v>
      </c>
      <c r="R26" t="s">
        <v>21</v>
      </c>
      <c r="U26" t="s">
        <v>28</v>
      </c>
      <c r="W26" t="s">
        <v>22</v>
      </c>
    </row>
    <row r="27" spans="2:23" x14ac:dyDescent="0.35">
      <c r="B27">
        <v>46</v>
      </c>
      <c r="C27">
        <f t="shared" si="3"/>
        <v>319.14999999999998</v>
      </c>
      <c r="D27">
        <v>13</v>
      </c>
      <c r="E27">
        <f t="shared" si="4"/>
        <v>7.5038076519252002</v>
      </c>
      <c r="F27">
        <f t="shared" si="6"/>
        <v>5.7656612117020662</v>
      </c>
      <c r="G27">
        <f t="shared" si="7"/>
        <v>2.01541057863622</v>
      </c>
      <c r="H27">
        <f t="shared" si="8"/>
        <v>2.5649493574615367</v>
      </c>
    </row>
    <row r="28" spans="2:23" x14ac:dyDescent="0.35">
      <c r="B28">
        <v>47</v>
      </c>
      <c r="C28">
        <f t="shared" si="3"/>
        <v>320.14999999999998</v>
      </c>
      <c r="D28">
        <v>14</v>
      </c>
      <c r="E28">
        <f t="shared" si="4"/>
        <v>8.1237351901437282</v>
      </c>
      <c r="F28">
        <f t="shared" si="6"/>
        <v>5.7687896359648114</v>
      </c>
      <c r="G28">
        <f t="shared" si="7"/>
        <v>2.0947900471927521</v>
      </c>
      <c r="H28">
        <f t="shared" si="8"/>
        <v>2.6390573296152584</v>
      </c>
      <c r="O28">
        <f>(22.1+273.15)*2.2</f>
        <v>649.55000000000007</v>
      </c>
    </row>
    <row r="29" spans="2:23" x14ac:dyDescent="0.35">
      <c r="B29">
        <v>48</v>
      </c>
      <c r="C29">
        <f t="shared" si="3"/>
        <v>321.14999999999998</v>
      </c>
      <c r="D29">
        <v>15</v>
      </c>
      <c r="E29">
        <f t="shared" si="4"/>
        <v>8.7495302580762395</v>
      </c>
      <c r="F29">
        <f t="shared" si="6"/>
        <v>5.7719083037038015</v>
      </c>
      <c r="G29">
        <f t="shared" si="7"/>
        <v>2.1690000141371564</v>
      </c>
      <c r="H29">
        <f t="shared" si="8"/>
        <v>2.7080502011022101</v>
      </c>
      <c r="R29">
        <f>R3/$U$2</f>
        <v>0.97955555555555562</v>
      </c>
      <c r="U29">
        <f>SQRT(U3^2/R3^2+$V$2^2/$U$2^2)*R29</f>
        <v>9.1467769605774463E-3</v>
      </c>
      <c r="W29">
        <f>L3/$U$2</f>
        <v>0.97955555555555562</v>
      </c>
    </row>
    <row r="30" spans="2:23" x14ac:dyDescent="0.35">
      <c r="B30">
        <v>49</v>
      </c>
      <c r="C30">
        <f t="shared" si="3"/>
        <v>322.14999999999998</v>
      </c>
      <c r="D30">
        <v>17</v>
      </c>
      <c r="E30">
        <f t="shared" si="4"/>
        <v>9.9674659542864763</v>
      </c>
      <c r="F30">
        <f t="shared" si="6"/>
        <v>5.7750172755846512</v>
      </c>
      <c r="G30">
        <f t="shared" si="7"/>
        <v>2.2993263845952523</v>
      </c>
      <c r="H30">
        <f t="shared" si="8"/>
        <v>2.8332133440562162</v>
      </c>
      <c r="R30">
        <f>R4/$U$2</f>
        <v>0.98844444444444457</v>
      </c>
      <c r="U30">
        <f>SQRT(U4^2/R4^2+$V$2^2/$U$2^2)*R30</f>
        <v>9.177963221029907E-3</v>
      </c>
      <c r="W30">
        <f t="shared" ref="W30:W48" si="9">L4/$U$2</f>
        <v>0.98844444444444457</v>
      </c>
    </row>
    <row r="31" spans="2:23" x14ac:dyDescent="0.35">
      <c r="B31">
        <v>50</v>
      </c>
      <c r="C31">
        <f t="shared" si="3"/>
        <v>323.14999999999998</v>
      </c>
      <c r="D31">
        <v>18</v>
      </c>
      <c r="E31">
        <f t="shared" si="4"/>
        <v>10.607854181230156</v>
      </c>
      <c r="F31">
        <f t="shared" si="6"/>
        <v>5.7781166117089047</v>
      </c>
      <c r="G31">
        <f t="shared" si="7"/>
        <v>2.3615946872357321</v>
      </c>
      <c r="H31">
        <f t="shared" si="8"/>
        <v>2.8903717578961645</v>
      </c>
      <c r="R31">
        <f t="shared" ref="R31:R48" si="10">R5/$U$2</f>
        <v>0.99288888888888893</v>
      </c>
      <c r="U31">
        <f t="shared" ref="U31:U48" si="11">SQRT(U5^2/R5^2+$V$2^2/$U$2^2)*R31</f>
        <v>9.1936161433930821E-3</v>
      </c>
      <c r="W31">
        <f t="shared" si="9"/>
        <v>0.99288888888888893</v>
      </c>
    </row>
    <row r="32" spans="2:23" x14ac:dyDescent="0.35">
      <c r="B32">
        <v>51</v>
      </c>
      <c r="C32">
        <f t="shared" si="3"/>
        <v>324.14999999999998</v>
      </c>
      <c r="D32">
        <v>19</v>
      </c>
      <c r="E32">
        <f t="shared" si="4"/>
        <v>11.253947816317575</v>
      </c>
      <c r="F32">
        <f t="shared" si="6"/>
        <v>5.7812063716210043</v>
      </c>
      <c r="G32">
        <f t="shared" si="7"/>
        <v>2.4207189840994636</v>
      </c>
      <c r="H32">
        <f t="shared" si="8"/>
        <v>2.9444389791664403</v>
      </c>
      <c r="R32">
        <f t="shared" si="10"/>
        <v>1.0062222222222221</v>
      </c>
      <c r="U32">
        <f t="shared" si="11"/>
        <v>9.2408116467313246E-3</v>
      </c>
      <c r="W32">
        <f t="shared" si="9"/>
        <v>1.0062222222222221</v>
      </c>
    </row>
    <row r="33" spans="2:23" x14ac:dyDescent="0.35">
      <c r="B33">
        <v>52</v>
      </c>
      <c r="C33">
        <f t="shared" si="3"/>
        <v>325.14999999999998</v>
      </c>
      <c r="D33">
        <v>20</v>
      </c>
      <c r="E33">
        <f t="shared" si="4"/>
        <v>11.905697447085394</v>
      </c>
      <c r="F33">
        <f t="shared" si="6"/>
        <v>5.7842866143151603</v>
      </c>
      <c r="G33">
        <f t="shared" si="7"/>
        <v>2.4770170626063135</v>
      </c>
      <c r="H33">
        <f t="shared" si="8"/>
        <v>2.9957322735539909</v>
      </c>
      <c r="R33">
        <f t="shared" si="10"/>
        <v>1.0062222222222221</v>
      </c>
      <c r="U33">
        <f t="shared" si="11"/>
        <v>9.2408116467313246E-3</v>
      </c>
      <c r="W33">
        <f t="shared" si="9"/>
        <v>1.0062222222222221</v>
      </c>
    </row>
    <row r="34" spans="2:23" x14ac:dyDescent="0.35">
      <c r="B34">
        <v>53</v>
      </c>
      <c r="C34">
        <f t="shared" si="3"/>
        <v>326.14999999999998</v>
      </c>
      <c r="D34">
        <v>21</v>
      </c>
      <c r="E34">
        <f t="shared" si="4"/>
        <v>12.56305340993161</v>
      </c>
      <c r="F34">
        <f t="shared" si="6"/>
        <v>5.7873573982421052</v>
      </c>
      <c r="G34">
        <f t="shared" si="7"/>
        <v>2.5307602373808797</v>
      </c>
      <c r="H34">
        <f t="shared" si="8"/>
        <v>3.044522437723423</v>
      </c>
      <c r="R34">
        <f t="shared" si="10"/>
        <v>1</v>
      </c>
      <c r="U34">
        <f t="shared" si="11"/>
        <v>9.218743083515963E-3</v>
      </c>
      <c r="W34">
        <f t="shared" si="9"/>
        <v>1</v>
      </c>
    </row>
    <row r="35" spans="2:23" x14ac:dyDescent="0.35">
      <c r="B35">
        <v>54</v>
      </c>
      <c r="C35">
        <f t="shared" si="3"/>
        <v>327.14999999999998</v>
      </c>
      <c r="D35">
        <v>22</v>
      </c>
      <c r="E35">
        <f t="shared" si="4"/>
        <v>13.225965811268608</v>
      </c>
      <c r="F35">
        <f t="shared" si="6"/>
        <v>5.7904187813157479</v>
      </c>
      <c r="G35">
        <f t="shared" si="7"/>
        <v>2.5821820042853165</v>
      </c>
      <c r="H35">
        <f t="shared" si="8"/>
        <v>3.0910424533583161</v>
      </c>
      <c r="R35">
        <f t="shared" si="10"/>
        <v>0.98755555555555552</v>
      </c>
      <c r="U35">
        <f t="shared" si="11"/>
        <v>9.1748374052687664E-3</v>
      </c>
      <c r="W35">
        <f t="shared" si="9"/>
        <v>0.98755555555555552</v>
      </c>
    </row>
    <row r="36" spans="2:23" x14ac:dyDescent="0.35">
      <c r="B36">
        <v>55</v>
      </c>
      <c r="C36">
        <f t="shared" si="3"/>
        <v>328.15</v>
      </c>
      <c r="D36">
        <v>23</v>
      </c>
      <c r="E36">
        <f t="shared" si="4"/>
        <v>13.894384548294628</v>
      </c>
      <c r="F36">
        <f t="shared" si="6"/>
        <v>5.7934708209197314</v>
      </c>
      <c r="G36">
        <f t="shared" si="7"/>
        <v>2.6314847691796497</v>
      </c>
      <c r="H36">
        <f t="shared" si="8"/>
        <v>3.1354942159291497</v>
      </c>
      <c r="L36">
        <f>12.59/6</f>
        <v>2.0983333333333332</v>
      </c>
      <c r="R36">
        <f t="shared" si="10"/>
        <v>0.97066666666666679</v>
      </c>
      <c r="U36">
        <f t="shared" si="11"/>
        <v>9.1157515086671605E-3</v>
      </c>
      <c r="W36">
        <f t="shared" si="9"/>
        <v>0.97066666666666679</v>
      </c>
    </row>
    <row r="37" spans="2:23" x14ac:dyDescent="0.35">
      <c r="B37">
        <v>56</v>
      </c>
      <c r="C37">
        <f t="shared" si="3"/>
        <v>329.15</v>
      </c>
      <c r="D37">
        <v>24</v>
      </c>
      <c r="E37">
        <f t="shared" si="4"/>
        <v>14.568259329379179</v>
      </c>
      <c r="F37">
        <f t="shared" si="6"/>
        <v>5.7965135739138853</v>
      </c>
      <c r="G37">
        <f t="shared" si="7"/>
        <v>2.678845143569665</v>
      </c>
      <c r="H37">
        <f t="shared" si="8"/>
        <v>3.1780538303479458</v>
      </c>
      <c r="R37">
        <f t="shared" si="10"/>
        <v>0.9528888888888889</v>
      </c>
      <c r="U37">
        <f t="shared" si="11"/>
        <v>9.0541896343038428E-3</v>
      </c>
      <c r="W37">
        <f t="shared" si="9"/>
        <v>0.9528888888888889</v>
      </c>
    </row>
    <row r="38" spans="2:23" x14ac:dyDescent="0.35">
      <c r="B38">
        <v>57</v>
      </c>
      <c r="C38">
        <f t="shared" si="3"/>
        <v>330.15</v>
      </c>
      <c r="D38">
        <v>25</v>
      </c>
      <c r="E38">
        <f t="shared" si="4"/>
        <v>15.247539694058643</v>
      </c>
      <c r="F38">
        <f t="shared" si="6"/>
        <v>5.7995470966405804</v>
      </c>
      <c r="G38">
        <f t="shared" si="7"/>
        <v>2.7244181585009501</v>
      </c>
      <c r="H38">
        <f t="shared" si="8"/>
        <v>3.2188758248682006</v>
      </c>
      <c r="R38">
        <f t="shared" si="10"/>
        <v>0.91999999999999993</v>
      </c>
      <c r="U38">
        <f t="shared" si="11"/>
        <v>8.9420586078300425E-3</v>
      </c>
      <c r="W38">
        <f t="shared" si="9"/>
        <v>0.91999999999999993</v>
      </c>
    </row>
    <row r="39" spans="2:23" x14ac:dyDescent="0.35">
      <c r="B39">
        <v>58</v>
      </c>
      <c r="C39">
        <f t="shared" si="3"/>
        <v>331.15</v>
      </c>
      <c r="D39">
        <v>27</v>
      </c>
      <c r="E39">
        <f t="shared" si="4"/>
        <v>16.544950995432515</v>
      </c>
      <c r="F39">
        <f t="shared" si="6"/>
        <v>5.8025714449309884</v>
      </c>
      <c r="G39">
        <f t="shared" si="7"/>
        <v>2.8060809794732999</v>
      </c>
      <c r="H39">
        <f t="shared" si="8"/>
        <v>3.2958368660043291</v>
      </c>
      <c r="R39">
        <f t="shared" si="10"/>
        <v>0.90488888888888885</v>
      </c>
      <c r="U39">
        <f t="shared" si="11"/>
        <v>8.8913236702445365E-3</v>
      </c>
      <c r="W39">
        <f t="shared" si="9"/>
        <v>0.90488888888888885</v>
      </c>
    </row>
    <row r="40" spans="2:23" ht="15" thickBot="1" x14ac:dyDescent="0.4">
      <c r="B40">
        <v>59</v>
      </c>
      <c r="C40">
        <f t="shared" si="3"/>
        <v>332.15</v>
      </c>
      <c r="D40">
        <v>29</v>
      </c>
      <c r="E40">
        <f t="shared" si="4"/>
        <v>17.853382353949005</v>
      </c>
      <c r="F40">
        <f t="shared" si="6"/>
        <v>5.8055866741112503</v>
      </c>
      <c r="G40">
        <f t="shared" si="7"/>
        <v>2.8821929778913282</v>
      </c>
      <c r="H40">
        <f t="shared" si="8"/>
        <v>3.3672958299864741</v>
      </c>
      <c r="R40">
        <f t="shared" si="10"/>
        <v>0.87288888888888883</v>
      </c>
      <c r="U40">
        <f t="shared" si="11"/>
        <v>8.7855658430909967E-3</v>
      </c>
      <c r="W40">
        <f t="shared" si="9"/>
        <v>0.87288888888888883</v>
      </c>
    </row>
    <row r="41" spans="2:23" x14ac:dyDescent="0.35">
      <c r="B41">
        <v>60</v>
      </c>
      <c r="C41">
        <f t="shared" si="3"/>
        <v>333.15</v>
      </c>
      <c r="D41">
        <v>30</v>
      </c>
      <c r="E41">
        <f t="shared" si="4"/>
        <v>18.554258101510708</v>
      </c>
      <c r="F41">
        <f t="shared" si="6"/>
        <v>5.8085928390085462</v>
      </c>
      <c r="G41">
        <f t="shared" si="7"/>
        <v>2.9206993099627558</v>
      </c>
      <c r="H41">
        <f t="shared" si="8"/>
        <v>3.4011973816621555</v>
      </c>
      <c r="M41" s="5" t="s">
        <v>9</v>
      </c>
      <c r="N41" s="6"/>
      <c r="R41">
        <f t="shared" si="10"/>
        <v>0.85244444444444445</v>
      </c>
      <c r="U41">
        <f t="shared" si="11"/>
        <v>8.719224383492645E-3</v>
      </c>
      <c r="W41">
        <f t="shared" si="9"/>
        <v>0.85244444444444445</v>
      </c>
    </row>
    <row r="42" spans="2:23" x14ac:dyDescent="0.35">
      <c r="B42">
        <v>61</v>
      </c>
      <c r="C42">
        <f t="shared" si="3"/>
        <v>334.15</v>
      </c>
      <c r="D42">
        <v>31</v>
      </c>
      <c r="E42">
        <f t="shared" si="4"/>
        <v>19.260303160848462</v>
      </c>
      <c r="F42">
        <f t="shared" si="6"/>
        <v>5.811589993957079</v>
      </c>
      <c r="G42">
        <f t="shared" si="7"/>
        <v>2.9580461466847532</v>
      </c>
      <c r="H42">
        <f t="shared" si="8"/>
        <v>3.4339872044851463</v>
      </c>
      <c r="J42">
        <v>-1.45052</v>
      </c>
      <c r="M42" s="9"/>
      <c r="N42" s="7"/>
      <c r="R42">
        <f t="shared" si="10"/>
        <v>0.80800000000000005</v>
      </c>
      <c r="U42">
        <f t="shared" si="11"/>
        <v>8.5784221706090881E-3</v>
      </c>
      <c r="W42">
        <f t="shared" si="9"/>
        <v>0.80800000000000005</v>
      </c>
    </row>
    <row r="43" spans="2:23" x14ac:dyDescent="0.35">
      <c r="B43">
        <v>62</v>
      </c>
      <c r="C43">
        <f t="shared" si="3"/>
        <v>335.15</v>
      </c>
      <c r="D43">
        <v>32</v>
      </c>
      <c r="E43">
        <f t="shared" si="4"/>
        <v>19.971466424952201</v>
      </c>
      <c r="F43">
        <f t="shared" si="6"/>
        <v>5.8145781928039666</v>
      </c>
      <c r="G43">
        <f t="shared" si="7"/>
        <v>2.9943045761264733</v>
      </c>
      <c r="H43">
        <f t="shared" si="8"/>
        <v>3.4657359027997265</v>
      </c>
      <c r="J43">
        <v>4.9500000000000004E-3</v>
      </c>
      <c r="M43" s="9">
        <v>292.93035714285702</v>
      </c>
      <c r="N43" s="7"/>
      <c r="R43">
        <f t="shared" si="10"/>
        <v>0.77422222222222226</v>
      </c>
      <c r="U43">
        <f t="shared" si="11"/>
        <v>8.4746594861922157E-3</v>
      </c>
      <c r="W43">
        <f t="shared" si="9"/>
        <v>0.77422222222222226</v>
      </c>
    </row>
    <row r="44" spans="2:23" x14ac:dyDescent="0.35">
      <c r="B44">
        <v>63</v>
      </c>
      <c r="C44">
        <f t="shared" si="3"/>
        <v>336.15</v>
      </c>
      <c r="D44">
        <v>33</v>
      </c>
      <c r="E44">
        <f t="shared" si="4"/>
        <v>20.687696737336278</v>
      </c>
      <c r="F44">
        <f t="shared" si="6"/>
        <v>5.8175574889150452</v>
      </c>
      <c r="G44">
        <f t="shared" si="7"/>
        <v>3.0295391630539368</v>
      </c>
      <c r="H44">
        <f t="shared" si="8"/>
        <v>3.4965075614664802</v>
      </c>
      <c r="J44">
        <v>-5.5547000000000004</v>
      </c>
      <c r="M44" s="9">
        <v>293.05555555555497</v>
      </c>
      <c r="N44" s="7"/>
      <c r="R44">
        <f t="shared" si="10"/>
        <v>0.73599999999999999</v>
      </c>
      <c r="U44">
        <f t="shared" si="11"/>
        <v>8.3607706579942355E-3</v>
      </c>
      <c r="W44">
        <f t="shared" si="9"/>
        <v>0.73599999999999999</v>
      </c>
    </row>
    <row r="45" spans="2:23" x14ac:dyDescent="0.35">
      <c r="B45">
        <v>64</v>
      </c>
      <c r="C45">
        <f t="shared" si="3"/>
        <v>337.15</v>
      </c>
      <c r="D45">
        <v>34</v>
      </c>
      <c r="E45">
        <f t="shared" si="4"/>
        <v>21.408942909106859</v>
      </c>
      <c r="F45">
        <f t="shared" si="6"/>
        <v>5.820527935180591</v>
      </c>
      <c r="G45">
        <f t="shared" si="7"/>
        <v>3.0638087276837846</v>
      </c>
      <c r="H45">
        <f t="shared" si="8"/>
        <v>3.5263605246161616</v>
      </c>
      <c r="J45">
        <v>1.8950000000000002E-2</v>
      </c>
      <c r="M45" s="9">
        <v>292.84805318138598</v>
      </c>
      <c r="N45" s="7"/>
      <c r="R45">
        <f t="shared" si="10"/>
        <v>0.69688888888888889</v>
      </c>
      <c r="U45">
        <f t="shared" si="11"/>
        <v>8.2482648428058199E-3</v>
      </c>
      <c r="W45">
        <f t="shared" si="9"/>
        <v>0.69688888888888889</v>
      </c>
    </row>
    <row r="46" spans="2:23" x14ac:dyDescent="0.35">
      <c r="B46">
        <v>65</v>
      </c>
      <c r="C46">
        <f t="shared" si="3"/>
        <v>338.15</v>
      </c>
      <c r="D46">
        <v>35</v>
      </c>
      <c r="E46">
        <f t="shared" si="4"/>
        <v>22.135153735624993</v>
      </c>
      <c r="F46">
        <f t="shared" si="6"/>
        <v>5.8234895840209493</v>
      </c>
      <c r="G46">
        <f t="shared" si="7"/>
        <v>3.0971670115236627</v>
      </c>
      <c r="H46">
        <f t="shared" si="8"/>
        <v>3.5553480614894135</v>
      </c>
      <c r="J46">
        <v>-8.6383899999999993</v>
      </c>
      <c r="M46" s="9">
        <v>293.02364451691801</v>
      </c>
      <c r="N46" s="7"/>
      <c r="R46">
        <f t="shared" si="10"/>
        <v>0.66488888888888886</v>
      </c>
      <c r="U46">
        <f t="shared" si="11"/>
        <v>8.1593648856348872E-3</v>
      </c>
      <c r="W46">
        <f t="shared" si="9"/>
        <v>0.66488888888888886</v>
      </c>
    </row>
    <row r="47" spans="2:23" ht="15" thickBot="1" x14ac:dyDescent="0.4">
      <c r="B47">
        <v>66</v>
      </c>
      <c r="C47">
        <f t="shared" si="3"/>
        <v>339.15</v>
      </c>
      <c r="D47">
        <v>37</v>
      </c>
      <c r="E47">
        <f t="shared" si="4"/>
        <v>23.501452402009189</v>
      </c>
      <c r="F47">
        <f t="shared" si="6"/>
        <v>5.8264424873920886</v>
      </c>
      <c r="G47">
        <f t="shared" si="7"/>
        <v>3.1570622235811201</v>
      </c>
      <c r="H47">
        <f t="shared" si="8"/>
        <v>3.6109179126442243</v>
      </c>
      <c r="J47">
        <v>2.9479999999999999E-2</v>
      </c>
      <c r="M47" s="10">
        <v>293.155714285714</v>
      </c>
      <c r="N47" s="8"/>
      <c r="R47">
        <f t="shared" si="10"/>
        <v>0.63111111111111107</v>
      </c>
      <c r="U47">
        <f t="shared" si="11"/>
        <v>8.0687131469878454E-3</v>
      </c>
      <c r="W47">
        <f t="shared" si="9"/>
        <v>0.63111111111111107</v>
      </c>
    </row>
    <row r="48" spans="2:23" x14ac:dyDescent="0.35">
      <c r="B48">
        <v>67</v>
      </c>
      <c r="C48">
        <f t="shared" si="3"/>
        <v>340.15</v>
      </c>
      <c r="D48">
        <v>38</v>
      </c>
      <c r="E48">
        <f t="shared" si="4"/>
        <v>24.24016359474032</v>
      </c>
      <c r="F48">
        <f t="shared" si="6"/>
        <v>5.8293866967910697</v>
      </c>
      <c r="G48">
        <f t="shared" si="7"/>
        <v>3.1880109101362737</v>
      </c>
      <c r="H48">
        <f t="shared" si="8"/>
        <v>3.6375861597263857</v>
      </c>
      <c r="J48">
        <v>-8.8355200000000007</v>
      </c>
      <c r="M48" s="1"/>
      <c r="N48" s="1"/>
      <c r="R48">
        <f t="shared" si="10"/>
        <v>0.59555555555555562</v>
      </c>
      <c r="U48">
        <f t="shared" si="11"/>
        <v>7.9769468991483378E-3</v>
      </c>
      <c r="W48">
        <f t="shared" si="9"/>
        <v>0.59555555555555562</v>
      </c>
    </row>
    <row r="49" spans="2:14" ht="15" thickBot="1" x14ac:dyDescent="0.4">
      <c r="B49">
        <v>68</v>
      </c>
      <c r="C49">
        <f t="shared" si="3"/>
        <v>341.15</v>
      </c>
      <c r="D49">
        <v>40</v>
      </c>
      <c r="E49">
        <f t="shared" si="4"/>
        <v>25.624275999700426</v>
      </c>
      <c r="F49">
        <f t="shared" si="6"/>
        <v>5.8323222632614327</v>
      </c>
      <c r="G49">
        <f t="shared" si="7"/>
        <v>3.2435401833892024</v>
      </c>
      <c r="H49">
        <f t="shared" si="8"/>
        <v>3.6888794541139363</v>
      </c>
      <c r="J49">
        <v>3.015E-2</v>
      </c>
      <c r="M49" s="1"/>
      <c r="N49" s="1"/>
    </row>
    <row r="50" spans="2:14" x14ac:dyDescent="0.35">
      <c r="B50">
        <v>69</v>
      </c>
      <c r="C50">
        <f t="shared" si="3"/>
        <v>342.15</v>
      </c>
      <c r="D50">
        <v>42</v>
      </c>
      <c r="E50">
        <f t="shared" si="4"/>
        <v>27.018513678727821</v>
      </c>
      <c r="F50">
        <f t="shared" si="6"/>
        <v>5.8352492373985063</v>
      </c>
      <c r="G50">
        <f t="shared" si="7"/>
        <v>3.2965223228298473</v>
      </c>
      <c r="H50">
        <f t="shared" si="8"/>
        <v>3.7376696182833684</v>
      </c>
      <c r="M50" s="2" t="s">
        <v>8</v>
      </c>
      <c r="N50" s="3"/>
    </row>
    <row r="51" spans="2:14" x14ac:dyDescent="0.35">
      <c r="B51">
        <v>70</v>
      </c>
      <c r="C51">
        <f t="shared" si="3"/>
        <v>343.15</v>
      </c>
      <c r="D51">
        <v>43</v>
      </c>
      <c r="E51">
        <f t="shared" si="4"/>
        <v>27.776802922671294</v>
      </c>
      <c r="F51">
        <f t="shared" si="6"/>
        <v>5.838167669354644</v>
      </c>
      <c r="G51">
        <f t="shared" si="7"/>
        <v>3.3242012451263574</v>
      </c>
      <c r="H51">
        <f t="shared" si="8"/>
        <v>3.7612001156935624</v>
      </c>
      <c r="M51" s="16">
        <f>AVERAGE(M42:M47)</f>
        <v>293.00266493648598</v>
      </c>
      <c r="N51" s="17">
        <f>_xlfn.STDEV.S(M43:M47)/SQRT(5)</f>
        <v>5.2818025102381753E-2</v>
      </c>
    </row>
    <row r="52" spans="2:14" ht="15" thickBot="1" x14ac:dyDescent="0.4">
      <c r="B52">
        <v>71</v>
      </c>
      <c r="C52">
        <f t="shared" si="3"/>
        <v>344.15</v>
      </c>
      <c r="D52">
        <v>44</v>
      </c>
      <c r="E52">
        <f t="shared" si="4"/>
        <v>28.539699624188351</v>
      </c>
      <c r="F52">
        <f t="shared" si="6"/>
        <v>5.8410776088443734</v>
      </c>
      <c r="G52">
        <f t="shared" si="7"/>
        <v>3.3512960872626936</v>
      </c>
      <c r="H52">
        <f t="shared" si="8"/>
        <v>3.784189633918261</v>
      </c>
      <c r="M52" s="4">
        <f>M51-273.15</f>
        <v>19.852664936486008</v>
      </c>
      <c r="N52" s="18"/>
    </row>
    <row r="53" spans="2:14" x14ac:dyDescent="0.35">
      <c r="B53">
        <v>72</v>
      </c>
      <c r="C53">
        <f t="shared" si="3"/>
        <v>345.15</v>
      </c>
      <c r="D53">
        <v>46</v>
      </c>
      <c r="E53">
        <f t="shared" si="4"/>
        <v>29.958422939273024</v>
      </c>
      <c r="F53">
        <f t="shared" si="6"/>
        <v>5.8439791051494847</v>
      </c>
      <c r="G53">
        <f t="shared" si="7"/>
        <v>3.3998105183874774</v>
      </c>
      <c r="H53">
        <f t="shared" si="8"/>
        <v>3.8286413964890951</v>
      </c>
    </row>
    <row r="54" spans="2:14" x14ac:dyDescent="0.35">
      <c r="B54">
        <v>73</v>
      </c>
      <c r="C54">
        <f t="shared" si="3"/>
        <v>346.15</v>
      </c>
      <c r="D54">
        <v>47</v>
      </c>
      <c r="E54">
        <f t="shared" si="4"/>
        <v>30.733005617573099</v>
      </c>
      <c r="F54">
        <f t="shared" si="6"/>
        <v>5.8468722071240347</v>
      </c>
      <c r="G54">
        <f t="shared" si="7"/>
        <v>3.4253371786349756</v>
      </c>
      <c r="H54">
        <f t="shared" si="8"/>
        <v>3.8501476017100584</v>
      </c>
    </row>
    <row r="55" spans="2:14" x14ac:dyDescent="0.35">
      <c r="B55">
        <v>74</v>
      </c>
      <c r="C55">
        <f t="shared" si="3"/>
        <v>347.15</v>
      </c>
      <c r="D55">
        <v>49</v>
      </c>
      <c r="E55">
        <f t="shared" si="4"/>
        <v>32.16852707669004</v>
      </c>
      <c r="F55">
        <f t="shared" si="6"/>
        <v>5.8497569631992823</v>
      </c>
      <c r="G55">
        <f t="shared" si="7"/>
        <v>3.4709885545853973</v>
      </c>
      <c r="H55">
        <f t="shared" si="8"/>
        <v>3.8918202981106265</v>
      </c>
    </row>
    <row r="56" spans="2:14" x14ac:dyDescent="0.35">
      <c r="B56">
        <v>75</v>
      </c>
      <c r="C56">
        <f t="shared" si="3"/>
        <v>348.15</v>
      </c>
      <c r="D56">
        <v>50</v>
      </c>
      <c r="E56">
        <f t="shared" si="4"/>
        <v>32.95452564091984</v>
      </c>
      <c r="F56">
        <f t="shared" si="6"/>
        <v>5.852633421388556</v>
      </c>
      <c r="G56">
        <f t="shared" si="7"/>
        <v>3.495128600255125</v>
      </c>
      <c r="H56">
        <f t="shared" si="8"/>
        <v>3.912023005428146</v>
      </c>
    </row>
    <row r="57" spans="2:14" x14ac:dyDescent="0.35">
      <c r="B57">
        <v>76</v>
      </c>
      <c r="C57">
        <f t="shared" si="3"/>
        <v>349.15</v>
      </c>
      <c r="D57">
        <v>52</v>
      </c>
      <c r="E57">
        <f t="shared" si="4"/>
        <v>34.406508294049715</v>
      </c>
      <c r="F57">
        <f t="shared" si="6"/>
        <v>5.8555016292920445</v>
      </c>
      <c r="G57">
        <f t="shared" si="7"/>
        <v>3.5382457410787809</v>
      </c>
      <c r="H57">
        <f t="shared" si="8"/>
        <v>3.9512437185814275</v>
      </c>
    </row>
    <row r="58" spans="2:14" x14ac:dyDescent="0.35">
      <c r="B58">
        <v>77</v>
      </c>
      <c r="C58">
        <f t="shared" si="3"/>
        <v>350.15</v>
      </c>
      <c r="D58">
        <v>54</v>
      </c>
      <c r="E58">
        <f t="shared" si="4"/>
        <v>35.867873734893422</v>
      </c>
      <c r="F58">
        <f t="shared" si="6"/>
        <v>5.8583616341015263</v>
      </c>
      <c r="G58">
        <f t="shared" si="7"/>
        <v>3.5798420128118704</v>
      </c>
      <c r="H58">
        <f t="shared" si="8"/>
        <v>3.9889840465642745</v>
      </c>
    </row>
    <row r="59" spans="2:14" x14ac:dyDescent="0.35">
      <c r="B59">
        <v>78</v>
      </c>
      <c r="C59">
        <f t="shared" si="3"/>
        <v>351.15</v>
      </c>
      <c r="D59">
        <v>55</v>
      </c>
      <c r="E59">
        <f t="shared" si="4"/>
        <v>36.671762118133401</v>
      </c>
      <c r="F59">
        <f t="shared" si="6"/>
        <v>5.8612134826050291</v>
      </c>
      <c r="G59">
        <f t="shared" si="7"/>
        <v>3.602007034327491</v>
      </c>
      <c r="H59">
        <f t="shared" si="8"/>
        <v>4.0073331852324712</v>
      </c>
    </row>
    <row r="60" spans="2:14" x14ac:dyDescent="0.35">
      <c r="B60">
        <v>79</v>
      </c>
      <c r="C60">
        <f t="shared" si="3"/>
        <v>352.15</v>
      </c>
      <c r="D60">
        <v>56</v>
      </c>
      <c r="E60">
        <f t="shared" si="4"/>
        <v>37.479787252422653</v>
      </c>
      <c r="F60">
        <f t="shared" si="6"/>
        <v>5.8640572211914197</v>
      </c>
      <c r="G60">
        <f t="shared" si="7"/>
        <v>3.6238017810580239</v>
      </c>
      <c r="H60">
        <f t="shared" si="8"/>
        <v>4.0253516907351496</v>
      </c>
    </row>
    <row r="61" spans="2:14" x14ac:dyDescent="0.35">
      <c r="B61">
        <v>80</v>
      </c>
      <c r="C61">
        <f t="shared" si="3"/>
        <v>353.15</v>
      </c>
      <c r="D61">
        <v>58</v>
      </c>
      <c r="E61">
        <f t="shared" si="4"/>
        <v>38.963687242252213</v>
      </c>
      <c r="F61">
        <f t="shared" si="6"/>
        <v>5.8668928958549316</v>
      </c>
      <c r="G61">
        <f t="shared" si="7"/>
        <v>3.6626301160376737</v>
      </c>
      <c r="H61">
        <f t="shared" si="8"/>
        <v>4.0604430105464191</v>
      </c>
    </row>
    <row r="62" spans="2:14" x14ac:dyDescent="0.35">
      <c r="B62">
        <v>81</v>
      </c>
      <c r="C62">
        <f t="shared" si="3"/>
        <v>354.15</v>
      </c>
      <c r="D62">
        <v>59</v>
      </c>
      <c r="E62">
        <f t="shared" si="4"/>
        <v>39.782326280230826</v>
      </c>
      <c r="F62">
        <f t="shared" si="6"/>
        <v>5.8697205521996318</v>
      </c>
      <c r="G62">
        <f t="shared" si="7"/>
        <v>3.6834227503542984</v>
      </c>
      <c r="H62">
        <f t="shared" si="8"/>
        <v>4.0775374439057197</v>
      </c>
    </row>
    <row r="63" spans="2:14" x14ac:dyDescent="0.35">
      <c r="B63">
        <v>82</v>
      </c>
      <c r="C63">
        <f t="shared" si="3"/>
        <v>355.15</v>
      </c>
      <c r="D63">
        <v>61</v>
      </c>
      <c r="E63">
        <f t="shared" si="4"/>
        <v>41.281686088938642</v>
      </c>
      <c r="F63">
        <f t="shared" si="6"/>
        <v>5.872540235443819</v>
      </c>
      <c r="G63">
        <f t="shared" si="7"/>
        <v>3.7204189655169428</v>
      </c>
      <c r="H63">
        <f t="shared" si="8"/>
        <v>4.1108738641733114</v>
      </c>
    </row>
    <row r="64" spans="2:14" x14ac:dyDescent="0.35">
      <c r="B64">
        <v>83</v>
      </c>
      <c r="C64">
        <f t="shared" si="3"/>
        <v>356.15</v>
      </c>
      <c r="D64">
        <v>63</v>
      </c>
      <c r="E64">
        <f t="shared" si="4"/>
        <v>42.789879785983338</v>
      </c>
      <c r="F64">
        <f t="shared" si="6"/>
        <v>5.8753519904243632</v>
      </c>
      <c r="G64">
        <f t="shared" si="7"/>
        <v>3.7563016210296714</v>
      </c>
      <c r="H64">
        <f t="shared" si="8"/>
        <v>4.1431347263915326</v>
      </c>
    </row>
    <row r="65" spans="2:8" x14ac:dyDescent="0.35">
      <c r="B65">
        <v>84</v>
      </c>
      <c r="C65">
        <f t="shared" si="3"/>
        <v>357.15</v>
      </c>
      <c r="D65">
        <v>64</v>
      </c>
      <c r="E65">
        <f t="shared" si="4"/>
        <v>43.625165337185543</v>
      </c>
      <c r="F65">
        <f t="shared" si="6"/>
        <v>5.8781558616009812</v>
      </c>
      <c r="G65">
        <f t="shared" si="7"/>
        <v>3.775634170479548</v>
      </c>
      <c r="H65">
        <f t="shared" si="8"/>
        <v>4.1588830833596715</v>
      </c>
    </row>
    <row r="66" spans="2:8" x14ac:dyDescent="0.35">
      <c r="B66">
        <v>85</v>
      </c>
      <c r="C66">
        <f t="shared" si="3"/>
        <v>358.15</v>
      </c>
      <c r="D66">
        <v>66</v>
      </c>
      <c r="E66">
        <f t="shared" si="4"/>
        <v>45.148308625980619</v>
      </c>
      <c r="F66">
        <f t="shared" si="6"/>
        <v>5.8809518930604598</v>
      </c>
      <c r="G66">
        <f t="shared" si="7"/>
        <v>3.8099528179427145</v>
      </c>
      <c r="H66">
        <f t="shared" si="8"/>
        <v>4.1896547420264252</v>
      </c>
    </row>
    <row r="67" spans="2:8" x14ac:dyDescent="0.35">
      <c r="B67">
        <v>86</v>
      </c>
      <c r="C67">
        <f t="shared" si="3"/>
        <v>359.15</v>
      </c>
      <c r="D67">
        <v>67</v>
      </c>
      <c r="E67">
        <f t="shared" si="4"/>
        <v>45.993536415032651</v>
      </c>
      <c r="F67">
        <f t="shared" si="6"/>
        <v>5.8837401285208104</v>
      </c>
      <c r="G67">
        <f t="shared" si="7"/>
        <v>3.8285008738995767</v>
      </c>
      <c r="H67">
        <f t="shared" si="8"/>
        <v>4.2046926193909657</v>
      </c>
    </row>
    <row r="68" spans="2:8" x14ac:dyDescent="0.35">
      <c r="B68">
        <v>87</v>
      </c>
      <c r="C68">
        <f t="shared" si="3"/>
        <v>360.15</v>
      </c>
      <c r="D68">
        <v>69</v>
      </c>
      <c r="E68">
        <f t="shared" si="4"/>
        <v>47.531303609774106</v>
      </c>
      <c r="F68">
        <f t="shared" si="6"/>
        <v>5.8865206113353716</v>
      </c>
      <c r="G68">
        <f t="shared" si="7"/>
        <v>3.8613885173437241</v>
      </c>
      <c r="H68">
        <f t="shared" si="8"/>
        <v>4.2341065045972597</v>
      </c>
    </row>
    <row r="69" spans="2:8" x14ac:dyDescent="0.35">
      <c r="B69">
        <v>88</v>
      </c>
      <c r="C69">
        <f t="shared" ref="C69:C132" si="12">B69+273.15</f>
        <v>361.15</v>
      </c>
      <c r="D69">
        <v>70</v>
      </c>
      <c r="E69">
        <f t="shared" ref="E69:E132" si="13">D69/(1+((22.1+273.15)/C69)^4)</f>
        <v>48.386215958362442</v>
      </c>
      <c r="F69">
        <f t="shared" si="6"/>
        <v>5.889293384496856</v>
      </c>
      <c r="G69">
        <f t="shared" si="7"/>
        <v>3.8792149789122927</v>
      </c>
      <c r="H69">
        <f t="shared" si="8"/>
        <v>4.2484952420493594</v>
      </c>
    </row>
    <row r="70" spans="2:8" x14ac:dyDescent="0.35">
      <c r="B70">
        <v>89</v>
      </c>
      <c r="C70">
        <f t="shared" si="12"/>
        <v>362.15</v>
      </c>
      <c r="D70">
        <v>71</v>
      </c>
      <c r="E70">
        <f t="shared" si="13"/>
        <v>49.244696992002353</v>
      </c>
      <c r="F70">
        <f t="shared" si="6"/>
        <v>5.8920584906413351</v>
      </c>
      <c r="G70">
        <f t="shared" si="7"/>
        <v>3.8968016865314055</v>
      </c>
      <c r="H70">
        <f t="shared" si="8"/>
        <v>4.2626798770413155</v>
      </c>
    </row>
    <row r="71" spans="2:8" x14ac:dyDescent="0.35">
      <c r="B71">
        <v>90</v>
      </c>
      <c r="C71">
        <f t="shared" si="12"/>
        <v>363.15</v>
      </c>
      <c r="D71">
        <v>72</v>
      </c>
      <c r="E71">
        <f t="shared" si="13"/>
        <v>50.10669985001374</v>
      </c>
      <c r="F71">
        <f t="shared" si="6"/>
        <v>5.8948159720521769</v>
      </c>
      <c r="G71">
        <f t="shared" si="7"/>
        <v>3.9141547286910137</v>
      </c>
      <c r="H71">
        <f t="shared" si="8"/>
        <v>4.2766661190160553</v>
      </c>
    </row>
    <row r="72" spans="2:8" x14ac:dyDescent="0.35">
      <c r="B72">
        <v>91</v>
      </c>
      <c r="C72">
        <f t="shared" si="12"/>
        <v>364.15</v>
      </c>
      <c r="D72">
        <v>74</v>
      </c>
      <c r="E72">
        <f t="shared" si="13"/>
        <v>51.670426992361278</v>
      </c>
      <c r="F72">
        <f t="shared" si="6"/>
        <v>5.8975658706639242</v>
      </c>
      <c r="G72">
        <f t="shared" si="7"/>
        <v>3.9448856061000801</v>
      </c>
      <c r="H72">
        <f t="shared" si="8"/>
        <v>4.3040650932041702</v>
      </c>
    </row>
    <row r="73" spans="2:8" x14ac:dyDescent="0.35">
      <c r="B73">
        <v>92</v>
      </c>
      <c r="C73">
        <f t="shared" si="12"/>
        <v>365.15</v>
      </c>
      <c r="D73">
        <v>76</v>
      </c>
      <c r="E73">
        <f t="shared" si="13"/>
        <v>53.242195547812045</v>
      </c>
      <c r="F73">
        <f t="shared" si="6"/>
        <v>5.9003082280661188</v>
      </c>
      <c r="G73">
        <f t="shared" si="7"/>
        <v>3.9748512313658013</v>
      </c>
      <c r="H73">
        <f t="shared" si="8"/>
        <v>4.3307333402863311</v>
      </c>
    </row>
    <row r="74" spans="2:8" x14ac:dyDescent="0.35">
      <c r="B74">
        <v>96</v>
      </c>
      <c r="C74">
        <f t="shared" si="12"/>
        <v>369.15</v>
      </c>
      <c r="D74">
        <v>87</v>
      </c>
      <c r="E74">
        <f t="shared" si="13"/>
        <v>61.736639472756721</v>
      </c>
      <c r="F74">
        <f t="shared" si="6"/>
        <v>5.9112030655051742</v>
      </c>
      <c r="G74">
        <f t="shared" si="7"/>
        <v>4.1228775872841874</v>
      </c>
      <c r="H74">
        <f t="shared" si="8"/>
        <v>4.4659081186545837</v>
      </c>
    </row>
    <row r="75" spans="2:8" x14ac:dyDescent="0.35">
      <c r="B75">
        <v>98</v>
      </c>
      <c r="C75">
        <f t="shared" si="12"/>
        <v>371.15</v>
      </c>
      <c r="D75">
        <v>90</v>
      </c>
      <c r="E75">
        <f t="shared" si="13"/>
        <v>64.264487805520304</v>
      </c>
      <c r="F75">
        <f t="shared" si="6"/>
        <v>5.9166062935635555</v>
      </c>
      <c r="G75">
        <f t="shared" si="7"/>
        <v>4.1630071894925269</v>
      </c>
      <c r="H75">
        <f t="shared" si="8"/>
        <v>4.499809670330265</v>
      </c>
    </row>
    <row r="76" spans="2:8" x14ac:dyDescent="0.35">
      <c r="B76">
        <v>103</v>
      </c>
      <c r="C76">
        <f t="shared" si="12"/>
        <v>376.15</v>
      </c>
      <c r="D76">
        <v>98</v>
      </c>
      <c r="E76">
        <f t="shared" si="13"/>
        <v>71.035570630581361</v>
      </c>
      <c r="F76">
        <f t="shared" si="6"/>
        <v>5.9299880000062304</v>
      </c>
      <c r="G76">
        <f t="shared" si="7"/>
        <v>4.2631807463822424</v>
      </c>
      <c r="H76">
        <f t="shared" si="8"/>
        <v>4.5849674786705723</v>
      </c>
    </row>
    <row r="77" spans="2:8" x14ac:dyDescent="0.35">
      <c r="B77">
        <f t="shared" ref="B77:B140" si="14">B76+3</f>
        <v>106</v>
      </c>
      <c r="C77">
        <f t="shared" si="12"/>
        <v>379.15</v>
      </c>
      <c r="D77">
        <v>103</v>
      </c>
      <c r="E77">
        <f t="shared" si="13"/>
        <v>75.307898608164663</v>
      </c>
      <c r="F77">
        <f t="shared" si="6"/>
        <v>5.9379319051469448</v>
      </c>
      <c r="G77">
        <f t="shared" si="7"/>
        <v>4.3215850244994813</v>
      </c>
      <c r="H77">
        <f t="shared" si="8"/>
        <v>4.6347289882296359</v>
      </c>
    </row>
    <row r="78" spans="2:8" x14ac:dyDescent="0.35">
      <c r="B78">
        <f t="shared" si="14"/>
        <v>109</v>
      </c>
      <c r="C78">
        <f t="shared" si="12"/>
        <v>382.15</v>
      </c>
      <c r="D78">
        <v>109</v>
      </c>
      <c r="E78">
        <f t="shared" si="13"/>
        <v>80.365295029430541</v>
      </c>
      <c r="F78">
        <f t="shared" si="6"/>
        <v>5.9458132016888934</v>
      </c>
      <c r="G78">
        <f t="shared" si="7"/>
        <v>4.38658242913277</v>
      </c>
      <c r="H78">
        <f t="shared" si="8"/>
        <v>4.6913478822291435</v>
      </c>
    </row>
    <row r="79" spans="2:8" x14ac:dyDescent="0.35">
      <c r="B79">
        <f t="shared" si="14"/>
        <v>112</v>
      </c>
      <c r="C79">
        <f t="shared" si="12"/>
        <v>385.15</v>
      </c>
      <c r="D79">
        <v>116</v>
      </c>
      <c r="E79">
        <f t="shared" si="13"/>
        <v>86.223906900341817</v>
      </c>
      <c r="F79">
        <f t="shared" ref="F79:F142" si="15">LN(C79)</f>
        <v>5.9536328687989748</v>
      </c>
      <c r="G79">
        <f t="shared" ref="G79:G142" si="16">LN(E79)</f>
        <v>4.4569474814487435</v>
      </c>
      <c r="H79">
        <f t="shared" ref="H79:H142" si="17">LN(D79)</f>
        <v>4.7535901911063645</v>
      </c>
    </row>
    <row r="80" spans="2:8" x14ac:dyDescent="0.35">
      <c r="B80">
        <f t="shared" si="14"/>
        <v>115</v>
      </c>
      <c r="C80">
        <f t="shared" si="12"/>
        <v>388.15</v>
      </c>
      <c r="D80">
        <v>121</v>
      </c>
      <c r="E80">
        <f t="shared" si="13"/>
        <v>90.651550924743844</v>
      </c>
      <c r="F80">
        <f t="shared" si="15"/>
        <v>5.9613918628516895</v>
      </c>
      <c r="G80">
        <f t="shared" si="16"/>
        <v>4.5070230459871441</v>
      </c>
      <c r="H80">
        <f t="shared" si="17"/>
        <v>4.7957905455967413</v>
      </c>
    </row>
    <row r="81" spans="2:9" x14ac:dyDescent="0.35">
      <c r="B81">
        <f t="shared" si="14"/>
        <v>118</v>
      </c>
      <c r="C81">
        <f t="shared" si="12"/>
        <v>391.15</v>
      </c>
      <c r="D81">
        <v>127</v>
      </c>
      <c r="E81">
        <f t="shared" si="13"/>
        <v>95.875957426554862</v>
      </c>
      <c r="F81">
        <f t="shared" si="15"/>
        <v>5.9690911181310895</v>
      </c>
      <c r="G81">
        <f t="shared" si="16"/>
        <v>4.5630552458336977</v>
      </c>
      <c r="H81">
        <f t="shared" si="17"/>
        <v>4.8441870864585912</v>
      </c>
    </row>
    <row r="82" spans="2:9" x14ac:dyDescent="0.35">
      <c r="B82">
        <f t="shared" si="14"/>
        <v>121</v>
      </c>
      <c r="C82">
        <f t="shared" si="12"/>
        <v>394.15</v>
      </c>
      <c r="D82">
        <v>134</v>
      </c>
      <c r="E82">
        <f t="shared" si="13"/>
        <v>101.91221481371147</v>
      </c>
      <c r="F82">
        <f t="shared" si="15"/>
        <v>5.9767315475059171</v>
      </c>
      <c r="G82">
        <f t="shared" si="16"/>
        <v>4.6241118036405684</v>
      </c>
      <c r="H82">
        <f t="shared" si="17"/>
        <v>4.8978397999509111</v>
      </c>
    </row>
    <row r="83" spans="2:9" x14ac:dyDescent="0.35">
      <c r="B83">
        <f t="shared" si="14"/>
        <v>124</v>
      </c>
      <c r="C83">
        <f t="shared" si="12"/>
        <v>397.15</v>
      </c>
      <c r="D83">
        <v>140</v>
      </c>
      <c r="E83">
        <f t="shared" si="13"/>
        <v>107.24264228140839</v>
      </c>
      <c r="F83">
        <f t="shared" si="15"/>
        <v>5.9843140430791406</v>
      </c>
      <c r="G83">
        <f t="shared" si="16"/>
        <v>4.6750939520180514</v>
      </c>
      <c r="H83">
        <f t="shared" si="17"/>
        <v>4.9416424226093039</v>
      </c>
    </row>
    <row r="84" spans="2:9" x14ac:dyDescent="0.35">
      <c r="B84">
        <f t="shared" si="14"/>
        <v>127</v>
      </c>
      <c r="C84">
        <f t="shared" si="12"/>
        <v>400.15</v>
      </c>
      <c r="D84">
        <v>148</v>
      </c>
      <c r="E84">
        <f t="shared" si="13"/>
        <v>114.16288811935051</v>
      </c>
      <c r="F84">
        <f t="shared" si="15"/>
        <v>5.9918394768130554</v>
      </c>
      <c r="G84">
        <f t="shared" si="16"/>
        <v>4.7376262717216475</v>
      </c>
      <c r="H84">
        <f t="shared" si="17"/>
        <v>4.9972122737641147</v>
      </c>
    </row>
    <row r="85" spans="2:9" x14ac:dyDescent="0.35">
      <c r="B85">
        <f t="shared" si="14"/>
        <v>130</v>
      </c>
      <c r="C85">
        <f t="shared" si="12"/>
        <v>403.15</v>
      </c>
      <c r="D85">
        <v>154</v>
      </c>
      <c r="E85">
        <f t="shared" si="13"/>
        <v>119.59595791269048</v>
      </c>
      <c r="F85">
        <f t="shared" si="15"/>
        <v>5.9993087011310307</v>
      </c>
      <c r="G85">
        <f t="shared" si="16"/>
        <v>4.7841190442287749</v>
      </c>
      <c r="H85">
        <f t="shared" si="17"/>
        <v>5.0369526024136295</v>
      </c>
    </row>
    <row r="86" spans="2:9" x14ac:dyDescent="0.35">
      <c r="B86">
        <f t="shared" si="14"/>
        <v>133</v>
      </c>
      <c r="C86">
        <f t="shared" si="12"/>
        <v>406.15</v>
      </c>
      <c r="D86">
        <v>161</v>
      </c>
      <c r="E86">
        <f t="shared" si="13"/>
        <v>125.85368917550508</v>
      </c>
      <c r="F86">
        <f t="shared" si="15"/>
        <v>6.0067225494969625</v>
      </c>
      <c r="G86">
        <f t="shared" si="16"/>
        <v>4.8351200352200516</v>
      </c>
      <c r="H86">
        <f t="shared" si="17"/>
        <v>5.0814043649844631</v>
      </c>
    </row>
    <row r="87" spans="2:9" x14ac:dyDescent="0.35">
      <c r="B87">
        <f t="shared" si="14"/>
        <v>136</v>
      </c>
      <c r="C87">
        <f t="shared" si="12"/>
        <v>409.15</v>
      </c>
      <c r="D87">
        <v>168</v>
      </c>
      <c r="E87">
        <f t="shared" si="13"/>
        <v>132.16250374214434</v>
      </c>
      <c r="F87">
        <f t="shared" si="15"/>
        <v>6.014081836973391</v>
      </c>
      <c r="G87">
        <f t="shared" si="16"/>
        <v>4.8840322543733654</v>
      </c>
      <c r="H87">
        <f t="shared" si="17"/>
        <v>5.1239639794032588</v>
      </c>
    </row>
    <row r="88" spans="2:9" x14ac:dyDescent="0.35">
      <c r="B88">
        <f t="shared" si="14"/>
        <v>139</v>
      </c>
      <c r="C88">
        <f t="shared" si="12"/>
        <v>412.15</v>
      </c>
      <c r="D88">
        <v>178</v>
      </c>
      <c r="E88">
        <f t="shared" si="13"/>
        <v>140.89489491406118</v>
      </c>
      <c r="F88">
        <f t="shared" si="15"/>
        <v>6.0213873607592365</v>
      </c>
      <c r="G88">
        <f t="shared" si="16"/>
        <v>4.9480141862685469</v>
      </c>
      <c r="H88">
        <f t="shared" si="17"/>
        <v>5.181783550292085</v>
      </c>
      <c r="I88">
        <v>176</v>
      </c>
    </row>
    <row r="89" spans="2:9" x14ac:dyDescent="0.35">
      <c r="B89">
        <f t="shared" si="14"/>
        <v>142</v>
      </c>
      <c r="C89">
        <f t="shared" si="12"/>
        <v>415.15</v>
      </c>
      <c r="D89">
        <v>184</v>
      </c>
      <c r="E89">
        <f t="shared" si="13"/>
        <v>146.51747208296484</v>
      </c>
      <c r="F89">
        <f t="shared" si="15"/>
        <v>6.0286399007080398</v>
      </c>
      <c r="G89">
        <f t="shared" si="16"/>
        <v>4.9871446847107599</v>
      </c>
      <c r="H89">
        <f t="shared" si="17"/>
        <v>5.2149357576089859</v>
      </c>
    </row>
    <row r="90" spans="2:9" x14ac:dyDescent="0.35">
      <c r="B90">
        <f t="shared" si="14"/>
        <v>145</v>
      </c>
      <c r="C90">
        <f t="shared" si="12"/>
        <v>418.15</v>
      </c>
      <c r="D90">
        <v>191</v>
      </c>
      <c r="E90">
        <f t="shared" si="13"/>
        <v>152.97622998893331</v>
      </c>
      <c r="F90">
        <f t="shared" si="15"/>
        <v>6.0358402198275352</v>
      </c>
      <c r="G90">
        <f t="shared" si="16"/>
        <v>5.0302825497734354</v>
      </c>
      <c r="H90">
        <f t="shared" si="17"/>
        <v>5.2522734280466299</v>
      </c>
    </row>
    <row r="91" spans="2:9" x14ac:dyDescent="0.35">
      <c r="B91">
        <f t="shared" si="14"/>
        <v>148</v>
      </c>
      <c r="C91">
        <f t="shared" si="12"/>
        <v>421.15</v>
      </c>
      <c r="D91">
        <v>199</v>
      </c>
      <c r="E91">
        <f t="shared" si="13"/>
        <v>160.28313147180049</v>
      </c>
      <c r="F91">
        <f t="shared" si="15"/>
        <v>6.0429890647613727</v>
      </c>
      <c r="G91">
        <f t="shared" si="16"/>
        <v>5.0769418230852033</v>
      </c>
      <c r="H91">
        <f t="shared" si="17"/>
        <v>5.2933048247244923</v>
      </c>
    </row>
    <row r="92" spans="2:9" x14ac:dyDescent="0.35">
      <c r="B92">
        <f t="shared" si="14"/>
        <v>151</v>
      </c>
      <c r="C92">
        <f t="shared" si="12"/>
        <v>424.15</v>
      </c>
      <c r="D92">
        <v>207</v>
      </c>
      <c r="E92">
        <f t="shared" si="13"/>
        <v>167.63968423106189</v>
      </c>
      <c r="F92">
        <f t="shared" si="15"/>
        <v>6.0500871662537437</v>
      </c>
      <c r="G92">
        <f t="shared" si="16"/>
        <v>5.1218169394417696</v>
      </c>
      <c r="H92">
        <f t="shared" si="17"/>
        <v>5.3327187932653688</v>
      </c>
    </row>
    <row r="93" spans="2:9" x14ac:dyDescent="0.35">
      <c r="B93">
        <f t="shared" si="14"/>
        <v>154</v>
      </c>
      <c r="C93">
        <f t="shared" si="12"/>
        <v>427.15</v>
      </c>
      <c r="D93">
        <v>215</v>
      </c>
      <c r="E93">
        <f t="shared" si="13"/>
        <v>175.04375978960672</v>
      </c>
      <c r="F93">
        <f t="shared" si="15"/>
        <v>6.0571352395976277</v>
      </c>
      <c r="G93">
        <f t="shared" si="16"/>
        <v>5.1650359986053482</v>
      </c>
      <c r="H93">
        <f t="shared" si="17"/>
        <v>5.3706380281276624</v>
      </c>
    </row>
    <row r="94" spans="2:9" x14ac:dyDescent="0.35">
      <c r="B94">
        <f t="shared" si="14"/>
        <v>157</v>
      </c>
      <c r="C94">
        <f t="shared" si="12"/>
        <v>430.15</v>
      </c>
      <c r="D94">
        <v>223</v>
      </c>
      <c r="E94">
        <f t="shared" si="13"/>
        <v>182.49330173927407</v>
      </c>
      <c r="F94">
        <f t="shared" si="15"/>
        <v>6.0641339850673575</v>
      </c>
      <c r="G94">
        <f t="shared" si="16"/>
        <v>5.2067134695504835</v>
      </c>
      <c r="H94">
        <f t="shared" si="17"/>
        <v>5.4071717714601188</v>
      </c>
    </row>
    <row r="95" spans="2:9" x14ac:dyDescent="0.35">
      <c r="B95">
        <f t="shared" si="14"/>
        <v>160</v>
      </c>
      <c r="C95">
        <f t="shared" si="12"/>
        <v>433.15</v>
      </c>
      <c r="D95">
        <v>232</v>
      </c>
      <c r="E95">
        <f t="shared" si="13"/>
        <v>190.80877610936173</v>
      </c>
      <c r="F95">
        <f t="shared" si="15"/>
        <v>6.071084088336149</v>
      </c>
      <c r="G95">
        <f t="shared" si="16"/>
        <v>5.2512717543366874</v>
      </c>
      <c r="H95">
        <f t="shared" si="17"/>
        <v>5.4467373716663099</v>
      </c>
    </row>
    <row r="96" spans="2:9" x14ac:dyDescent="0.35">
      <c r="B96">
        <f t="shared" si="14"/>
        <v>163</v>
      </c>
      <c r="C96">
        <f t="shared" si="12"/>
        <v>436.15</v>
      </c>
      <c r="D96">
        <v>240</v>
      </c>
      <c r="E96">
        <f t="shared" si="13"/>
        <v>198.34735924609953</v>
      </c>
      <c r="F96">
        <f t="shared" si="15"/>
        <v>6.0779862208792279</v>
      </c>
      <c r="G96">
        <f t="shared" si="16"/>
        <v>5.290019833264954</v>
      </c>
      <c r="H96">
        <f t="shared" si="17"/>
        <v>5.4806389233419912</v>
      </c>
    </row>
    <row r="97" spans="2:8" x14ac:dyDescent="0.35">
      <c r="B97">
        <f t="shared" si="14"/>
        <v>166</v>
      </c>
      <c r="C97">
        <f t="shared" si="12"/>
        <v>439.15</v>
      </c>
      <c r="D97">
        <v>249</v>
      </c>
      <c r="E97">
        <f t="shared" si="13"/>
        <v>206.75590595775981</v>
      </c>
      <c r="F97">
        <f t="shared" si="15"/>
        <v>6.0848410403631261</v>
      </c>
      <c r="G97">
        <f t="shared" si="16"/>
        <v>5.33153889919235</v>
      </c>
      <c r="H97">
        <f t="shared" si="17"/>
        <v>5.5174528964647074</v>
      </c>
    </row>
    <row r="98" spans="2:8" x14ac:dyDescent="0.35">
      <c r="B98">
        <f t="shared" si="14"/>
        <v>169</v>
      </c>
      <c r="C98">
        <f t="shared" si="12"/>
        <v>442.15</v>
      </c>
      <c r="D98">
        <v>257</v>
      </c>
      <c r="E98">
        <f t="shared" si="13"/>
        <v>214.37574884310425</v>
      </c>
      <c r="F98">
        <f t="shared" si="15"/>
        <v>6.0916491910217436</v>
      </c>
      <c r="G98">
        <f t="shared" si="16"/>
        <v>5.3677303110597787</v>
      </c>
      <c r="H98">
        <f t="shared" si="17"/>
        <v>5.5490760848952201</v>
      </c>
    </row>
    <row r="99" spans="2:8" x14ac:dyDescent="0.35">
      <c r="B99">
        <v>172</v>
      </c>
      <c r="C99">
        <f t="shared" si="12"/>
        <v>445.15</v>
      </c>
      <c r="D99">
        <v>266</v>
      </c>
      <c r="E99">
        <f t="shared" si="13"/>
        <v>222.86947834848544</v>
      </c>
      <c r="F99">
        <f t="shared" si="15"/>
        <v>6.0984113040196801</v>
      </c>
      <c r="G99">
        <f t="shared" si="16"/>
        <v>5.4065863012201447</v>
      </c>
      <c r="H99">
        <f t="shared" si="17"/>
        <v>5.5834963087816991</v>
      </c>
    </row>
    <row r="100" spans="2:8" x14ac:dyDescent="0.35">
      <c r="B100">
        <f t="shared" si="14"/>
        <v>175</v>
      </c>
      <c r="C100">
        <f t="shared" si="12"/>
        <v>448.15</v>
      </c>
      <c r="D100">
        <v>276</v>
      </c>
      <c r="E100">
        <f t="shared" si="13"/>
        <v>232.24629650607275</v>
      </c>
      <c r="F100">
        <f t="shared" si="15"/>
        <v>6.105127997803371</v>
      </c>
      <c r="G100">
        <f t="shared" si="16"/>
        <v>5.4477984314142676</v>
      </c>
      <c r="H100">
        <f t="shared" si="17"/>
        <v>5.6204008657171496</v>
      </c>
    </row>
    <row r="101" spans="2:8" x14ac:dyDescent="0.35">
      <c r="B101">
        <f t="shared" si="14"/>
        <v>178</v>
      </c>
      <c r="C101">
        <f t="shared" si="12"/>
        <v>451.15</v>
      </c>
      <c r="D101">
        <v>285</v>
      </c>
      <c r="E101">
        <f t="shared" si="13"/>
        <v>240.8249321757396</v>
      </c>
      <c r="F101">
        <f t="shared" si="15"/>
        <v>6.1117998784405101</v>
      </c>
      <c r="G101">
        <f t="shared" si="16"/>
        <v>5.4840702470106759</v>
      </c>
      <c r="H101">
        <f t="shared" si="17"/>
        <v>5.6524891802686508</v>
      </c>
    </row>
    <row r="102" spans="2:8" x14ac:dyDescent="0.35">
      <c r="B102">
        <f t="shared" si="14"/>
        <v>181</v>
      </c>
      <c r="C102">
        <f t="shared" si="12"/>
        <v>454.15</v>
      </c>
      <c r="D102">
        <v>295</v>
      </c>
      <c r="E102">
        <f t="shared" si="13"/>
        <v>250.28989697731734</v>
      </c>
      <c r="F102">
        <f t="shared" si="15"/>
        <v>6.1184275399482226</v>
      </c>
      <c r="G102">
        <f t="shared" si="16"/>
        <v>5.5226198339687489</v>
      </c>
      <c r="H102">
        <f t="shared" si="17"/>
        <v>5.6869753563398202</v>
      </c>
    </row>
    <row r="103" spans="2:8" x14ac:dyDescent="0.35">
      <c r="B103">
        <f t="shared" si="14"/>
        <v>184</v>
      </c>
      <c r="C103">
        <f t="shared" si="12"/>
        <v>457.15</v>
      </c>
      <c r="D103">
        <v>304</v>
      </c>
      <c r="E103">
        <f t="shared" si="13"/>
        <v>258.94594867959756</v>
      </c>
      <c r="F103">
        <f t="shared" si="15"/>
        <v>6.1250115646104355</v>
      </c>
      <c r="G103">
        <f t="shared" si="16"/>
        <v>5.5566193475634913</v>
      </c>
      <c r="H103">
        <f t="shared" si="17"/>
        <v>5.7170277014062219</v>
      </c>
    </row>
    <row r="104" spans="2:8" x14ac:dyDescent="0.35">
      <c r="B104">
        <f t="shared" si="14"/>
        <v>187</v>
      </c>
      <c r="C104">
        <f t="shared" si="12"/>
        <v>460.15</v>
      </c>
      <c r="D104">
        <v>314</v>
      </c>
      <c r="E104">
        <f t="shared" si="13"/>
        <v>268.49150538685609</v>
      </c>
      <c r="F104">
        <f t="shared" si="15"/>
        <v>6.1315525232848662</v>
      </c>
      <c r="G104">
        <f t="shared" si="16"/>
        <v>5.5928192761555486</v>
      </c>
      <c r="H104">
        <f t="shared" si="17"/>
        <v>5.7493929859082531</v>
      </c>
    </row>
    <row r="105" spans="2:8" x14ac:dyDescent="0.35">
      <c r="B105">
        <f t="shared" si="14"/>
        <v>190</v>
      </c>
      <c r="C105">
        <f t="shared" si="12"/>
        <v>463.15</v>
      </c>
      <c r="D105">
        <v>324</v>
      </c>
      <c r="E105">
        <f t="shared" si="13"/>
        <v>278.0762948644329</v>
      </c>
      <c r="F105">
        <f t="shared" si="15"/>
        <v>6.1380509757000361</v>
      </c>
      <c r="G105">
        <f t="shared" si="16"/>
        <v>5.6278955179967234</v>
      </c>
      <c r="H105">
        <f t="shared" si="17"/>
        <v>5.780743515792329</v>
      </c>
    </row>
    <row r="106" spans="2:8" x14ac:dyDescent="0.35">
      <c r="B106">
        <f t="shared" si="14"/>
        <v>193</v>
      </c>
      <c r="C106">
        <f t="shared" si="12"/>
        <v>466.15</v>
      </c>
      <c r="D106">
        <v>334</v>
      </c>
      <c r="E106">
        <f t="shared" si="13"/>
        <v>287.69855439447662</v>
      </c>
      <c r="F106">
        <f t="shared" si="15"/>
        <v>6.1445074707427025</v>
      </c>
      <c r="G106">
        <f t="shared" si="16"/>
        <v>5.6619132458471952</v>
      </c>
      <c r="H106">
        <f t="shared" si="17"/>
        <v>5.8111409929767008</v>
      </c>
    </row>
    <row r="107" spans="2:8" x14ac:dyDescent="0.35">
      <c r="B107">
        <f t="shared" si="14"/>
        <v>196</v>
      </c>
      <c r="C107">
        <f t="shared" si="12"/>
        <v>469.15</v>
      </c>
      <c r="D107">
        <v>344</v>
      </c>
      <c r="E107">
        <f t="shared" si="13"/>
        <v>297.35658842230384</v>
      </c>
      <c r="F107">
        <f t="shared" si="15"/>
        <v>6.1509225467360586</v>
      </c>
      <c r="G107">
        <f t="shared" si="16"/>
        <v>5.6949320530361227</v>
      </c>
      <c r="H107">
        <f t="shared" si="17"/>
        <v>5.8406416573733981</v>
      </c>
    </row>
    <row r="108" spans="2:8" x14ac:dyDescent="0.35">
      <c r="B108">
        <f t="shared" si="14"/>
        <v>199</v>
      </c>
      <c r="C108">
        <f t="shared" si="12"/>
        <v>472.15</v>
      </c>
      <c r="D108">
        <v>355</v>
      </c>
      <c r="E108">
        <f t="shared" si="13"/>
        <v>307.91613593608713</v>
      </c>
      <c r="F108">
        <f t="shared" si="15"/>
        <v>6.1572967317090779</v>
      </c>
      <c r="G108">
        <f t="shared" si="16"/>
        <v>5.7298274599752377</v>
      </c>
      <c r="H108">
        <f t="shared" si="17"/>
        <v>5.872117789475416</v>
      </c>
    </row>
    <row r="109" spans="2:8" x14ac:dyDescent="0.35">
      <c r="B109">
        <f t="shared" si="14"/>
        <v>202</v>
      </c>
      <c r="C109">
        <f t="shared" si="12"/>
        <v>475.15</v>
      </c>
      <c r="D109">
        <v>365</v>
      </c>
      <c r="E109">
        <f t="shared" si="13"/>
        <v>317.64377840509241</v>
      </c>
      <c r="F109">
        <f t="shared" si="15"/>
        <v>6.163630543657324</v>
      </c>
      <c r="G109">
        <f t="shared" si="16"/>
        <v>5.7609305611995953</v>
      </c>
      <c r="H109">
        <f t="shared" si="17"/>
        <v>5.8998973535824915</v>
      </c>
    </row>
    <row r="110" spans="2:8" x14ac:dyDescent="0.35">
      <c r="B110">
        <f t="shared" si="14"/>
        <v>205</v>
      </c>
      <c r="C110">
        <f t="shared" si="12"/>
        <v>478.15</v>
      </c>
      <c r="D110">
        <v>375</v>
      </c>
      <c r="E110">
        <f t="shared" si="13"/>
        <v>327.40242024939869</v>
      </c>
      <c r="F110">
        <f t="shared" si="15"/>
        <v>6.1699244907955517</v>
      </c>
      <c r="G110">
        <f t="shared" si="16"/>
        <v>5.7911900572414119</v>
      </c>
      <c r="H110">
        <f t="shared" si="17"/>
        <v>5.9269260259704106</v>
      </c>
    </row>
    <row r="111" spans="2:8" x14ac:dyDescent="0.35">
      <c r="B111">
        <f t="shared" si="14"/>
        <v>208</v>
      </c>
      <c r="C111">
        <f t="shared" si="12"/>
        <v>481.15</v>
      </c>
      <c r="D111">
        <v>386</v>
      </c>
      <c r="E111">
        <f t="shared" si="13"/>
        <v>338.06643614125977</v>
      </c>
      <c r="F111">
        <f t="shared" si="15"/>
        <v>6.1761790718024097</v>
      </c>
      <c r="G111">
        <f t="shared" si="16"/>
        <v>5.8232424327992414</v>
      </c>
      <c r="H111">
        <f t="shared" si="17"/>
        <v>5.955837369464831</v>
      </c>
    </row>
    <row r="112" spans="2:8" x14ac:dyDescent="0.35">
      <c r="B112">
        <f t="shared" si="14"/>
        <v>211</v>
      </c>
      <c r="C112">
        <f t="shared" si="12"/>
        <v>484.15</v>
      </c>
      <c r="D112">
        <v>398</v>
      </c>
      <c r="E112">
        <f t="shared" si="13"/>
        <v>349.6424748853147</v>
      </c>
      <c r="F112">
        <f t="shared" si="15"/>
        <v>6.1823947760575404</v>
      </c>
      <c r="G112">
        <f t="shared" si="16"/>
        <v>5.8569111320687561</v>
      </c>
      <c r="H112">
        <f t="shared" si="17"/>
        <v>5.9864520052844377</v>
      </c>
    </row>
    <row r="113" spans="2:8" x14ac:dyDescent="0.35">
      <c r="B113">
        <f t="shared" si="14"/>
        <v>214</v>
      </c>
      <c r="C113">
        <f t="shared" si="12"/>
        <v>487.15</v>
      </c>
      <c r="D113">
        <v>408</v>
      </c>
      <c r="E113">
        <f t="shared" si="13"/>
        <v>359.49350976290719</v>
      </c>
      <c r="F113">
        <f t="shared" si="15"/>
        <v>6.1885720838713505</v>
      </c>
      <c r="G113">
        <f t="shared" si="16"/>
        <v>5.8846961234874451</v>
      </c>
      <c r="H113">
        <f t="shared" si="17"/>
        <v>6.0112671744041615</v>
      </c>
    </row>
    <row r="114" spans="2:8" x14ac:dyDescent="0.35">
      <c r="B114">
        <f t="shared" si="14"/>
        <v>217</v>
      </c>
      <c r="C114">
        <f t="shared" si="12"/>
        <v>490.15</v>
      </c>
      <c r="D114">
        <v>420</v>
      </c>
      <c r="E114">
        <f t="shared" si="13"/>
        <v>371.13722641351143</v>
      </c>
      <c r="F114">
        <f t="shared" si="15"/>
        <v>6.1947114667077354</v>
      </c>
      <c r="G114">
        <f t="shared" si="16"/>
        <v>5.9165718767339639</v>
      </c>
      <c r="H114">
        <f t="shared" si="17"/>
        <v>6.0402547112774139</v>
      </c>
    </row>
    <row r="115" spans="2:8" x14ac:dyDescent="0.35">
      <c r="B115">
        <f t="shared" si="14"/>
        <v>220</v>
      </c>
      <c r="C115">
        <f t="shared" si="12"/>
        <v>493.15</v>
      </c>
      <c r="D115">
        <v>433</v>
      </c>
      <c r="E115">
        <f t="shared" si="13"/>
        <v>383.70117136737662</v>
      </c>
      <c r="F115">
        <f t="shared" si="15"/>
        <v>6.2008133874000029</v>
      </c>
      <c r="G115">
        <f t="shared" si="16"/>
        <v>5.9498640500691398</v>
      </c>
      <c r="H115">
        <f t="shared" si="17"/>
        <v>6.0707377280024897</v>
      </c>
    </row>
    <row r="116" spans="2:8" x14ac:dyDescent="0.35">
      <c r="B116">
        <f t="shared" si="14"/>
        <v>223</v>
      </c>
      <c r="C116">
        <f t="shared" si="12"/>
        <v>496.15</v>
      </c>
      <c r="D116">
        <v>444</v>
      </c>
      <c r="E116">
        <f t="shared" si="13"/>
        <v>394.52536765230769</v>
      </c>
      <c r="F116">
        <f t="shared" si="15"/>
        <v>6.2068783003602501</v>
      </c>
      <c r="G116">
        <f t="shared" si="16"/>
        <v>5.9776834415197202</v>
      </c>
      <c r="H116">
        <f t="shared" si="17"/>
        <v>6.0958245624322247</v>
      </c>
    </row>
    <row r="117" spans="2:8" x14ac:dyDescent="0.35">
      <c r="B117">
        <f t="shared" si="14"/>
        <v>226</v>
      </c>
      <c r="C117">
        <f t="shared" si="12"/>
        <v>499.15</v>
      </c>
      <c r="D117">
        <v>456</v>
      </c>
      <c r="E117">
        <f t="shared" si="13"/>
        <v>406.26677422617274</v>
      </c>
      <c r="F117">
        <f t="shared" si="15"/>
        <v>6.2129066517824345</v>
      </c>
      <c r="G117">
        <f t="shared" si="16"/>
        <v>6.0070100231944084</v>
      </c>
      <c r="H117">
        <f t="shared" si="17"/>
        <v>6.1224928095143865</v>
      </c>
    </row>
    <row r="118" spans="2:8" x14ac:dyDescent="0.35">
      <c r="B118">
        <f t="shared" si="14"/>
        <v>229</v>
      </c>
      <c r="C118">
        <f t="shared" si="12"/>
        <v>502.15</v>
      </c>
      <c r="D118">
        <v>468</v>
      </c>
      <c r="E118">
        <f t="shared" si="13"/>
        <v>418.03782496982075</v>
      </c>
      <c r="F118">
        <f t="shared" si="15"/>
        <v>6.2188988798393483</v>
      </c>
      <c r="G118">
        <f t="shared" si="16"/>
        <v>6.0355719187891737</v>
      </c>
      <c r="H118">
        <f t="shared" si="17"/>
        <v>6.1484682959176471</v>
      </c>
    </row>
    <row r="119" spans="2:8" x14ac:dyDescent="0.35">
      <c r="B119">
        <f t="shared" si="14"/>
        <v>232</v>
      </c>
      <c r="C119">
        <f t="shared" si="12"/>
        <v>505.15</v>
      </c>
      <c r="D119">
        <v>480</v>
      </c>
      <c r="E119">
        <f t="shared" si="13"/>
        <v>429.83715611157209</v>
      </c>
      <c r="F119">
        <f t="shared" si="15"/>
        <v>6.2248554148737414</v>
      </c>
      <c r="G119">
        <f t="shared" si="16"/>
        <v>6.0634064302428357</v>
      </c>
      <c r="H119">
        <f t="shared" si="17"/>
        <v>6.1737861039019366</v>
      </c>
    </row>
    <row r="120" spans="2:8" x14ac:dyDescent="0.35">
      <c r="B120">
        <f t="shared" si="14"/>
        <v>235</v>
      </c>
      <c r="C120">
        <f t="shared" si="12"/>
        <v>508.15</v>
      </c>
      <c r="D120">
        <v>494</v>
      </c>
      <c r="E120">
        <f t="shared" si="13"/>
        <v>443.45883825830509</v>
      </c>
      <c r="F120">
        <f t="shared" si="15"/>
        <v>6.2307766795837756</v>
      </c>
      <c r="G120">
        <f t="shared" si="16"/>
        <v>6.0946049862999221</v>
      </c>
      <c r="H120">
        <f t="shared" si="17"/>
        <v>6.2025355171879228</v>
      </c>
    </row>
    <row r="121" spans="2:8" x14ac:dyDescent="0.35">
      <c r="B121">
        <f t="shared" si="14"/>
        <v>238</v>
      </c>
      <c r="C121">
        <f t="shared" si="12"/>
        <v>511.15</v>
      </c>
      <c r="D121">
        <v>507</v>
      </c>
      <c r="E121">
        <f t="shared" si="13"/>
        <v>456.21497177089759</v>
      </c>
      <c r="F121">
        <f t="shared" si="15"/>
        <v>6.2366630892030228</v>
      </c>
      <c r="G121">
        <f t="shared" si="16"/>
        <v>6.1229641277486389</v>
      </c>
      <c r="H121">
        <f t="shared" si="17"/>
        <v>6.2285110035911835</v>
      </c>
    </row>
    <row r="122" spans="2:8" x14ac:dyDescent="0.35">
      <c r="B122">
        <f t="shared" si="14"/>
        <v>241</v>
      </c>
      <c r="C122">
        <f t="shared" si="12"/>
        <v>514.15</v>
      </c>
      <c r="D122">
        <v>519</v>
      </c>
      <c r="E122">
        <f t="shared" si="13"/>
        <v>468.09776706301921</v>
      </c>
      <c r="F122">
        <f t="shared" si="15"/>
        <v>6.2425150516751993</v>
      </c>
      <c r="G122">
        <f t="shared" si="16"/>
        <v>6.1486771780810585</v>
      </c>
      <c r="H122">
        <f t="shared" si="17"/>
        <v>6.2519038831658884</v>
      </c>
    </row>
    <row r="123" spans="2:8" x14ac:dyDescent="0.35">
      <c r="B123">
        <f t="shared" si="14"/>
        <v>244</v>
      </c>
      <c r="C123">
        <f t="shared" si="12"/>
        <v>517.15</v>
      </c>
      <c r="D123">
        <v>532</v>
      </c>
      <c r="E123">
        <f t="shared" si="13"/>
        <v>480.90772272829685</v>
      </c>
      <c r="F123">
        <f t="shared" si="15"/>
        <v>6.2483329678238126</v>
      </c>
      <c r="G123">
        <f t="shared" si="16"/>
        <v>6.175675407061509</v>
      </c>
      <c r="H123">
        <f t="shared" si="17"/>
        <v>6.2766434893416445</v>
      </c>
    </row>
    <row r="124" spans="2:8" x14ac:dyDescent="0.35">
      <c r="B124">
        <f t="shared" si="14"/>
        <v>247</v>
      </c>
      <c r="C124">
        <f t="shared" si="12"/>
        <v>520.15</v>
      </c>
      <c r="D124">
        <v>540</v>
      </c>
      <c r="E124">
        <f t="shared" si="13"/>
        <v>489.21399126981703</v>
      </c>
      <c r="F124">
        <f t="shared" si="15"/>
        <v>6.2541172315169042</v>
      </c>
      <c r="G124">
        <f t="shared" si="16"/>
        <v>6.1928000037102855</v>
      </c>
      <c r="H124">
        <f t="shared" si="17"/>
        <v>6.2915691395583204</v>
      </c>
    </row>
    <row r="125" spans="2:8" x14ac:dyDescent="0.35">
      <c r="B125">
        <f t="shared" si="14"/>
        <v>250</v>
      </c>
      <c r="C125">
        <f t="shared" si="12"/>
        <v>523.15</v>
      </c>
      <c r="D125">
        <v>560</v>
      </c>
      <c r="E125">
        <f t="shared" si="13"/>
        <v>508.42043184741971</v>
      </c>
      <c r="F125">
        <f t="shared" si="15"/>
        <v>6.259868229827056</v>
      </c>
      <c r="G125">
        <f t="shared" si="16"/>
        <v>6.231308727035338</v>
      </c>
      <c r="H125">
        <f t="shared" si="17"/>
        <v>6.3279367837291947</v>
      </c>
    </row>
    <row r="126" spans="2:8" x14ac:dyDescent="0.35">
      <c r="B126">
        <f t="shared" si="14"/>
        <v>253</v>
      </c>
      <c r="C126">
        <f t="shared" si="12"/>
        <v>526.15</v>
      </c>
      <c r="D126">
        <v>573</v>
      </c>
      <c r="E126">
        <f t="shared" si="13"/>
        <v>521.30882512199162</v>
      </c>
      <c r="F126">
        <f t="shared" si="15"/>
        <v>6.2655863431868211</v>
      </c>
      <c r="G126">
        <f t="shared" si="16"/>
        <v>6.2563426206965458</v>
      </c>
      <c r="H126">
        <f t="shared" si="17"/>
        <v>6.3508857167147399</v>
      </c>
    </row>
    <row r="127" spans="2:8" x14ac:dyDescent="0.35">
      <c r="B127">
        <f t="shared" si="14"/>
        <v>256</v>
      </c>
      <c r="C127">
        <f t="shared" si="12"/>
        <v>529.15</v>
      </c>
      <c r="D127">
        <v>589</v>
      </c>
      <c r="E127">
        <f t="shared" si="13"/>
        <v>536.954639346004</v>
      </c>
      <c r="F127">
        <f t="shared" si="15"/>
        <v>6.2712719455397332</v>
      </c>
      <c r="G127">
        <f t="shared" si="16"/>
        <v>6.2859136204494188</v>
      </c>
      <c r="H127">
        <f t="shared" si="17"/>
        <v>6.3784261836515865</v>
      </c>
    </row>
    <row r="128" spans="2:8" x14ac:dyDescent="0.35">
      <c r="B128">
        <f t="shared" si="14"/>
        <v>259</v>
      </c>
      <c r="C128">
        <f t="shared" si="12"/>
        <v>532.15</v>
      </c>
      <c r="D128">
        <v>601</v>
      </c>
      <c r="E128">
        <f t="shared" si="13"/>
        <v>548.97895682674971</v>
      </c>
      <c r="F128">
        <f t="shared" si="15"/>
        <v>6.2769254044870531</v>
      </c>
      <c r="G128">
        <f t="shared" si="16"/>
        <v>6.3080601107689969</v>
      </c>
      <c r="H128">
        <f t="shared" si="17"/>
        <v>6.3985949345352076</v>
      </c>
    </row>
    <row r="129" spans="2:8" x14ac:dyDescent="0.35">
      <c r="B129">
        <f t="shared" si="14"/>
        <v>262</v>
      </c>
      <c r="C129">
        <f t="shared" si="12"/>
        <v>535.15</v>
      </c>
      <c r="D129">
        <v>616</v>
      </c>
      <c r="E129">
        <f t="shared" si="13"/>
        <v>563.76565855214812</v>
      </c>
      <c r="F129">
        <f t="shared" si="15"/>
        <v>6.2825470814303843</v>
      </c>
      <c r="G129">
        <f t="shared" si="16"/>
        <v>6.3346386661334089</v>
      </c>
      <c r="H129">
        <f t="shared" si="17"/>
        <v>6.4232469635335194</v>
      </c>
    </row>
    <row r="130" spans="2:8" x14ac:dyDescent="0.35">
      <c r="B130">
        <f t="shared" si="14"/>
        <v>265</v>
      </c>
      <c r="C130">
        <f t="shared" si="12"/>
        <v>538.15</v>
      </c>
      <c r="D130">
        <v>630</v>
      </c>
      <c r="E130">
        <f t="shared" si="13"/>
        <v>577.66167696295486</v>
      </c>
      <c r="F130">
        <f t="shared" si="15"/>
        <v>6.2881373317103071</v>
      </c>
      <c r="G130">
        <f t="shared" si="16"/>
        <v>6.3589883633234425</v>
      </c>
      <c r="H130">
        <f t="shared" si="17"/>
        <v>6.4457198193855785</v>
      </c>
    </row>
    <row r="131" spans="2:8" x14ac:dyDescent="0.35">
      <c r="B131">
        <f t="shared" si="14"/>
        <v>268</v>
      </c>
      <c r="C131">
        <f t="shared" si="12"/>
        <v>541.15</v>
      </c>
      <c r="D131">
        <v>645</v>
      </c>
      <c r="E131">
        <f t="shared" si="13"/>
        <v>592.49799832592601</v>
      </c>
      <c r="F131">
        <f t="shared" si="15"/>
        <v>6.2936965047411553</v>
      </c>
      <c r="G131">
        <f t="shared" si="16"/>
        <v>6.3843474946507124</v>
      </c>
      <c r="H131">
        <f t="shared" si="17"/>
        <v>6.4692503167957724</v>
      </c>
    </row>
    <row r="132" spans="2:8" x14ac:dyDescent="0.35">
      <c r="B132">
        <f t="shared" si="14"/>
        <v>271</v>
      </c>
      <c r="C132">
        <f t="shared" si="12"/>
        <v>544.15</v>
      </c>
      <c r="D132">
        <v>661</v>
      </c>
      <c r="E132">
        <f t="shared" si="13"/>
        <v>608.27852241208871</v>
      </c>
      <c r="F132">
        <f t="shared" si="15"/>
        <v>6.2992249441420709</v>
      </c>
      <c r="G132">
        <f t="shared" si="16"/>
        <v>6.4106328731447082</v>
      </c>
      <c r="H132">
        <f t="shared" si="17"/>
        <v>6.4937538398516859</v>
      </c>
    </row>
    <row r="133" spans="2:8" x14ac:dyDescent="0.35">
      <c r="B133">
        <f t="shared" si="14"/>
        <v>274</v>
      </c>
      <c r="C133">
        <f t="shared" ref="C133:C196" si="18">B133+273.15</f>
        <v>547.15</v>
      </c>
      <c r="D133">
        <v>676</v>
      </c>
      <c r="E133">
        <f t="shared" ref="E133:E196" si="19">D133/(1+((22.1+273.15)/C133)^4)</f>
        <v>623.16327822526625</v>
      </c>
      <c r="F133">
        <f t="shared" si="15"/>
        <v>6.3047229878644524</v>
      </c>
      <c r="G133">
        <f t="shared" si="16"/>
        <v>6.4348085682781635</v>
      </c>
      <c r="H133">
        <f t="shared" si="17"/>
        <v>6.5161930760429643</v>
      </c>
    </row>
    <row r="134" spans="2:8" x14ac:dyDescent="0.35">
      <c r="B134">
        <f t="shared" si="14"/>
        <v>277</v>
      </c>
      <c r="C134">
        <f t="shared" si="18"/>
        <v>550.15</v>
      </c>
      <c r="D134">
        <v>692</v>
      </c>
      <c r="E134">
        <f t="shared" si="19"/>
        <v>638.9932219020593</v>
      </c>
      <c r="F134">
        <f t="shared" si="15"/>
        <v>6.3101909683159221</v>
      </c>
      <c r="G134">
        <f t="shared" si="16"/>
        <v>6.4598938469692566</v>
      </c>
      <c r="H134">
        <f t="shared" si="17"/>
        <v>6.5395859556176692</v>
      </c>
    </row>
    <row r="135" spans="2:8" x14ac:dyDescent="0.35">
      <c r="B135">
        <f t="shared" si="14"/>
        <v>280</v>
      </c>
      <c r="C135">
        <f t="shared" si="18"/>
        <v>553.15</v>
      </c>
      <c r="D135">
        <v>708</v>
      </c>
      <c r="E135">
        <f t="shared" si="19"/>
        <v>654.8469978502236</v>
      </c>
      <c r="F135">
        <f t="shared" si="15"/>
        <v>6.3156292124809195</v>
      </c>
      <c r="G135">
        <f t="shared" si="16"/>
        <v>6.4844016172802483</v>
      </c>
      <c r="H135">
        <f t="shared" si="17"/>
        <v>6.5624440936937196</v>
      </c>
    </row>
    <row r="136" spans="2:8" x14ac:dyDescent="0.35">
      <c r="B136">
        <f t="shared" si="14"/>
        <v>283</v>
      </c>
      <c r="C136">
        <f t="shared" si="18"/>
        <v>556.15</v>
      </c>
      <c r="D136">
        <v>724</v>
      </c>
      <c r="E136">
        <f t="shared" si="19"/>
        <v>670.72353458449084</v>
      </c>
      <c r="F136">
        <f t="shared" si="15"/>
        <v>6.3210380420380385</v>
      </c>
      <c r="G136">
        <f t="shared" si="16"/>
        <v>6.508357032074815</v>
      </c>
      <c r="H136">
        <f t="shared" si="17"/>
        <v>6.584791392385716</v>
      </c>
    </row>
    <row r="137" spans="2:8" x14ac:dyDescent="0.35">
      <c r="B137">
        <f t="shared" si="14"/>
        <v>286</v>
      </c>
      <c r="C137">
        <f t="shared" si="18"/>
        <v>559.15</v>
      </c>
      <c r="D137">
        <v>740</v>
      </c>
      <c r="E137">
        <f t="shared" si="19"/>
        <v>686.62180323541952</v>
      </c>
      <c r="F137">
        <f t="shared" si="15"/>
        <v>6.3264177734741969</v>
      </c>
      <c r="G137">
        <f t="shared" si="16"/>
        <v>6.531783635887038</v>
      </c>
      <c r="H137">
        <f t="shared" si="17"/>
        <v>6.6066501861982152</v>
      </c>
    </row>
    <row r="138" spans="2:8" x14ac:dyDescent="0.35">
      <c r="B138">
        <f t="shared" si="14"/>
        <v>289</v>
      </c>
      <c r="C138">
        <f t="shared" si="18"/>
        <v>562.15</v>
      </c>
      <c r="D138">
        <v>757</v>
      </c>
      <c r="E138">
        <f t="shared" si="19"/>
        <v>703.47010273053263</v>
      </c>
      <c r="F138">
        <f t="shared" si="15"/>
        <v>6.3317687181957689</v>
      </c>
      <c r="G138">
        <f t="shared" si="16"/>
        <v>6.5560253777559065</v>
      </c>
      <c r="H138">
        <f t="shared" si="17"/>
        <v>6.6293632534374485</v>
      </c>
    </row>
    <row r="139" spans="2:8" x14ac:dyDescent="0.35">
      <c r="B139">
        <f t="shared" si="14"/>
        <v>292</v>
      </c>
      <c r="C139">
        <f t="shared" si="18"/>
        <v>565.15</v>
      </c>
      <c r="D139">
        <v>774</v>
      </c>
      <c r="E139">
        <f t="shared" si="19"/>
        <v>720.34097044623081</v>
      </c>
      <c r="F139">
        <f t="shared" si="15"/>
        <v>6.3370911826367404</v>
      </c>
      <c r="G139">
        <f t="shared" si="16"/>
        <v>6.5797246699753975</v>
      </c>
      <c r="H139">
        <f t="shared" si="17"/>
        <v>6.6515718735897273</v>
      </c>
    </row>
    <row r="140" spans="2:8" x14ac:dyDescent="0.35">
      <c r="B140">
        <f t="shared" si="14"/>
        <v>295</v>
      </c>
      <c r="C140">
        <f t="shared" si="18"/>
        <v>568.15</v>
      </c>
      <c r="D140">
        <v>793</v>
      </c>
      <c r="E140">
        <f t="shared" si="19"/>
        <v>739.09745302096258</v>
      </c>
      <c r="F140">
        <f t="shared" si="15"/>
        <v>6.342385468364018</v>
      </c>
      <c r="G140">
        <f t="shared" si="16"/>
        <v>6.6054297837301919</v>
      </c>
      <c r="H140">
        <f t="shared" si="17"/>
        <v>6.6758232216348476</v>
      </c>
    </row>
    <row r="141" spans="2:8" x14ac:dyDescent="0.35">
      <c r="B141">
        <f t="shared" ref="B141:B163" si="20">B140+3</f>
        <v>298</v>
      </c>
      <c r="C141">
        <f t="shared" si="18"/>
        <v>571.15</v>
      </c>
      <c r="D141">
        <v>809</v>
      </c>
      <c r="E141">
        <f t="shared" si="19"/>
        <v>755.07977006474619</v>
      </c>
      <c r="F141">
        <f t="shared" si="15"/>
        <v>6.3476518721799557</v>
      </c>
      <c r="G141">
        <f t="shared" si="16"/>
        <v>6.6268233993827481</v>
      </c>
      <c r="H141">
        <f t="shared" si="17"/>
        <v>6.6957989170584913</v>
      </c>
    </row>
    <row r="142" spans="2:8" x14ac:dyDescent="0.35">
      <c r="B142">
        <f t="shared" si="20"/>
        <v>301</v>
      </c>
      <c r="C142">
        <f t="shared" si="18"/>
        <v>574.15</v>
      </c>
      <c r="D142">
        <v>826</v>
      </c>
      <c r="E142">
        <f t="shared" si="19"/>
        <v>772.01374739349876</v>
      </c>
      <c r="F142">
        <f t="shared" si="15"/>
        <v>6.3528906862221985</v>
      </c>
      <c r="G142">
        <f t="shared" si="16"/>
        <v>6.6490023573707564</v>
      </c>
      <c r="H142">
        <f t="shared" si="17"/>
        <v>6.7165947735209777</v>
      </c>
    </row>
    <row r="143" spans="2:8" x14ac:dyDescent="0.35">
      <c r="B143">
        <f t="shared" si="20"/>
        <v>304</v>
      </c>
      <c r="C143">
        <f t="shared" si="18"/>
        <v>577.15</v>
      </c>
      <c r="D143">
        <v>844</v>
      </c>
      <c r="E143">
        <f t="shared" si="19"/>
        <v>789.90236967179396</v>
      </c>
      <c r="F143">
        <f t="shared" ref="F143:F201" si="21">LN(C143)</f>
        <v>6.3581021980609211</v>
      </c>
      <c r="G143">
        <f t="shared" ref="G143:G201" si="22">LN(E143)</f>
        <v>6.6719093551301656</v>
      </c>
      <c r="H143">
        <f t="shared" ref="H143:H201" si="23">LN(D143)</f>
        <v>6.7381524945959574</v>
      </c>
    </row>
    <row r="144" spans="2:8" x14ac:dyDescent="0.35">
      <c r="B144">
        <f t="shared" si="20"/>
        <v>307</v>
      </c>
      <c r="C144">
        <f t="shared" si="18"/>
        <v>580.15</v>
      </c>
      <c r="D144">
        <v>863</v>
      </c>
      <c r="E144">
        <f t="shared" si="19"/>
        <v>808.74847933681963</v>
      </c>
      <c r="F144">
        <f t="shared" si="21"/>
        <v>6.3632866907935544</v>
      </c>
      <c r="G144">
        <f t="shared" si="22"/>
        <v>6.6954879655497503</v>
      </c>
      <c r="H144">
        <f t="shared" si="23"/>
        <v>6.7604146910834277</v>
      </c>
    </row>
    <row r="145" spans="2:8" x14ac:dyDescent="0.35">
      <c r="B145">
        <f t="shared" si="20"/>
        <v>310</v>
      </c>
      <c r="C145">
        <f t="shared" si="18"/>
        <v>583.15</v>
      </c>
      <c r="D145">
        <v>881</v>
      </c>
      <c r="E145">
        <f t="shared" si="19"/>
        <v>826.67810161813713</v>
      </c>
      <c r="F145">
        <f t="shared" si="21"/>
        <v>6.3684444431370588</v>
      </c>
      <c r="G145">
        <f t="shared" si="22"/>
        <v>6.7174153829978343</v>
      </c>
      <c r="H145">
        <f t="shared" si="23"/>
        <v>6.7810576259361799</v>
      </c>
    </row>
    <row r="146" spans="2:8" x14ac:dyDescent="0.35">
      <c r="B146">
        <v>312</v>
      </c>
      <c r="C146">
        <f t="shared" si="18"/>
        <v>585.15</v>
      </c>
      <c r="D146">
        <v>894</v>
      </c>
      <c r="E146">
        <f t="shared" si="19"/>
        <v>839.58066667749927</v>
      </c>
      <c r="F146">
        <f t="shared" si="21"/>
        <v>6.3718682246207754</v>
      </c>
      <c r="G146">
        <f t="shared" si="22"/>
        <v>6.7329025608560817</v>
      </c>
      <c r="H146">
        <f t="shared" si="23"/>
        <v>6.7957057751735137</v>
      </c>
    </row>
    <row r="147" spans="2:8" x14ac:dyDescent="0.35">
      <c r="B147">
        <f t="shared" si="20"/>
        <v>315</v>
      </c>
      <c r="C147">
        <f t="shared" si="18"/>
        <v>588.15</v>
      </c>
      <c r="D147">
        <v>913</v>
      </c>
      <c r="E147">
        <f t="shared" si="19"/>
        <v>858.48217728466943</v>
      </c>
      <c r="F147">
        <f t="shared" si="21"/>
        <v>6.3769820174064504</v>
      </c>
      <c r="G147">
        <f t="shared" si="22"/>
        <v>6.7551659198246172</v>
      </c>
      <c r="H147">
        <f t="shared" si="23"/>
        <v>6.816735880594968</v>
      </c>
    </row>
    <row r="148" spans="2:8" x14ac:dyDescent="0.35">
      <c r="B148">
        <f t="shared" si="20"/>
        <v>318</v>
      </c>
      <c r="C148">
        <f t="shared" si="18"/>
        <v>591.15</v>
      </c>
      <c r="D148">
        <v>931</v>
      </c>
      <c r="E148">
        <f t="shared" si="19"/>
        <v>876.46167685377725</v>
      </c>
      <c r="F148">
        <f t="shared" si="21"/>
        <v>6.3820697923091227</v>
      </c>
      <c r="G148">
        <f t="shared" si="22"/>
        <v>6.7758929804776074</v>
      </c>
      <c r="H148">
        <f t="shared" si="23"/>
        <v>6.8362592772770672</v>
      </c>
    </row>
    <row r="149" spans="2:8" x14ac:dyDescent="0.35">
      <c r="B149">
        <f t="shared" si="20"/>
        <v>321</v>
      </c>
      <c r="C149">
        <f t="shared" si="18"/>
        <v>594.15</v>
      </c>
      <c r="D149">
        <v>951</v>
      </c>
      <c r="E149">
        <f t="shared" si="19"/>
        <v>896.34256585841956</v>
      </c>
      <c r="F149">
        <f t="shared" si="21"/>
        <v>6.387131812736035</v>
      </c>
      <c r="G149">
        <f t="shared" si="22"/>
        <v>6.7983226678732027</v>
      </c>
      <c r="H149">
        <f t="shared" si="23"/>
        <v>6.8575140625453903</v>
      </c>
    </row>
    <row r="150" spans="2:8" x14ac:dyDescent="0.35">
      <c r="B150">
        <f t="shared" si="20"/>
        <v>324</v>
      </c>
      <c r="C150">
        <f t="shared" si="18"/>
        <v>597.15</v>
      </c>
      <c r="D150">
        <v>970</v>
      </c>
      <c r="E150">
        <f t="shared" si="19"/>
        <v>915.29976056535247</v>
      </c>
      <c r="F150">
        <f t="shared" si="21"/>
        <v>6.3921683381144359</v>
      </c>
      <c r="G150">
        <f t="shared" si="22"/>
        <v>6.8192516187992567</v>
      </c>
      <c r="H150">
        <f t="shared" si="23"/>
        <v>6.8772960714974287</v>
      </c>
    </row>
    <row r="151" spans="2:8" x14ac:dyDescent="0.35">
      <c r="B151">
        <f t="shared" si="20"/>
        <v>327</v>
      </c>
      <c r="C151">
        <f t="shared" si="18"/>
        <v>600.15</v>
      </c>
      <c r="D151">
        <v>992</v>
      </c>
      <c r="E151">
        <f t="shared" si="19"/>
        <v>937.10788368561612</v>
      </c>
      <c r="F151">
        <f t="shared" si="21"/>
        <v>6.3971796239713541</v>
      </c>
      <c r="G151">
        <f t="shared" si="22"/>
        <v>6.8427984129485315</v>
      </c>
      <c r="H151">
        <f t="shared" si="23"/>
        <v>6.8997231072848724</v>
      </c>
    </row>
    <row r="152" spans="2:8" x14ac:dyDescent="0.35">
      <c r="B152">
        <f t="shared" si="20"/>
        <v>330</v>
      </c>
      <c r="C152">
        <f t="shared" si="18"/>
        <v>603.15</v>
      </c>
      <c r="D152">
        <v>1011</v>
      </c>
      <c r="E152">
        <f t="shared" si="19"/>
        <v>956.10128269963275</v>
      </c>
      <c r="F152">
        <f t="shared" si="21"/>
        <v>6.4021659220113927</v>
      </c>
      <c r="G152">
        <f t="shared" si="22"/>
        <v>6.8628638516861837</v>
      </c>
      <c r="H152">
        <f t="shared" si="23"/>
        <v>6.9186952190204716</v>
      </c>
    </row>
    <row r="153" spans="2:8" x14ac:dyDescent="0.35">
      <c r="B153">
        <f t="shared" si="20"/>
        <v>333</v>
      </c>
      <c r="C153">
        <f t="shared" si="18"/>
        <v>606.15</v>
      </c>
      <c r="D153">
        <v>1033</v>
      </c>
      <c r="E153">
        <f t="shared" si="19"/>
        <v>977.95017821903798</v>
      </c>
      <c r="F153">
        <f t="shared" si="21"/>
        <v>6.4071274801925924</v>
      </c>
      <c r="G153">
        <f t="shared" si="22"/>
        <v>6.8854587262208824</v>
      </c>
      <c r="H153">
        <f t="shared" si="23"/>
        <v>6.9402224691196386</v>
      </c>
    </row>
    <row r="154" spans="2:8" x14ac:dyDescent="0.35">
      <c r="B154">
        <f t="shared" si="20"/>
        <v>336</v>
      </c>
      <c r="C154">
        <f t="shared" si="18"/>
        <v>609.15</v>
      </c>
      <c r="D154">
        <v>1052</v>
      </c>
      <c r="E154">
        <f t="shared" si="19"/>
        <v>996.97657918948778</v>
      </c>
      <c r="F154">
        <f t="shared" si="21"/>
        <v>6.4120645428004162</v>
      </c>
      <c r="G154">
        <f t="shared" si="22"/>
        <v>6.9047272784015483</v>
      </c>
      <c r="H154">
        <f t="shared" si="23"/>
        <v>6.9584483932976555</v>
      </c>
    </row>
    <row r="155" spans="2:8" x14ac:dyDescent="0.35">
      <c r="B155">
        <f t="shared" si="20"/>
        <v>339</v>
      </c>
      <c r="C155">
        <f t="shared" si="18"/>
        <v>612.15</v>
      </c>
      <c r="D155">
        <v>1073</v>
      </c>
      <c r="E155">
        <f t="shared" si="19"/>
        <v>1017.9142334875962</v>
      </c>
      <c r="F155">
        <f t="shared" si="21"/>
        <v>6.4169773505199244</v>
      </c>
      <c r="G155">
        <f t="shared" si="22"/>
        <v>6.9255109435490523</v>
      </c>
      <c r="H155">
        <f t="shared" si="23"/>
        <v>6.9782137426306985</v>
      </c>
    </row>
    <row r="156" spans="2:8" x14ac:dyDescent="0.35">
      <c r="B156">
        <f t="shared" si="20"/>
        <v>342</v>
      </c>
      <c r="C156">
        <f t="shared" si="18"/>
        <v>615.15</v>
      </c>
      <c r="D156">
        <v>1095</v>
      </c>
      <c r="E156">
        <f t="shared" si="19"/>
        <v>1039.8185542987294</v>
      </c>
      <c r="F156">
        <f t="shared" si="21"/>
        <v>6.4218661405061779</v>
      </c>
      <c r="G156">
        <f t="shared" si="22"/>
        <v>6.9468015098938247</v>
      </c>
      <c r="H156">
        <f t="shared" si="23"/>
        <v>6.9985096422506015</v>
      </c>
    </row>
    <row r="157" spans="2:8" x14ac:dyDescent="0.35">
      <c r="B157">
        <f t="shared" si="20"/>
        <v>345</v>
      </c>
      <c r="C157">
        <f t="shared" si="18"/>
        <v>618.15</v>
      </c>
      <c r="D157">
        <v>1116</v>
      </c>
      <c r="E157">
        <f t="shared" si="19"/>
        <v>1060.7905074277801</v>
      </c>
      <c r="F157">
        <f t="shared" si="21"/>
        <v>6.4267311464529362</v>
      </c>
      <c r="G157">
        <f t="shared" si="22"/>
        <v>6.9667696708883362</v>
      </c>
      <c r="H157">
        <f t="shared" si="23"/>
        <v>7.0175061429412562</v>
      </c>
    </row>
    <row r="158" spans="2:8" x14ac:dyDescent="0.35">
      <c r="B158">
        <f t="shared" si="20"/>
        <v>348</v>
      </c>
      <c r="C158">
        <f t="shared" si="18"/>
        <v>621.15</v>
      </c>
      <c r="D158">
        <v>1138</v>
      </c>
      <c r="E158">
        <f t="shared" si="19"/>
        <v>1082.7294705511558</v>
      </c>
      <c r="F158">
        <f t="shared" si="21"/>
        <v>6.4315725986596863</v>
      </c>
      <c r="G158">
        <f t="shared" si="22"/>
        <v>6.9872404194450288</v>
      </c>
      <c r="H158">
        <f t="shared" si="23"/>
        <v>7.0370276146862762</v>
      </c>
    </row>
    <row r="159" spans="2:8" x14ac:dyDescent="0.35">
      <c r="B159">
        <f t="shared" si="20"/>
        <v>351</v>
      </c>
      <c r="C159">
        <f t="shared" si="18"/>
        <v>624.15</v>
      </c>
      <c r="D159">
        <v>1161</v>
      </c>
      <c r="E159">
        <f t="shared" si="19"/>
        <v>1105.6374037631176</v>
      </c>
      <c r="F159">
        <f t="shared" si="21"/>
        <v>6.4363907240970599</v>
      </c>
      <c r="G159">
        <f t="shared" si="22"/>
        <v>7.0081772836306495</v>
      </c>
      <c r="H159">
        <f t="shared" si="23"/>
        <v>7.0570369816978911</v>
      </c>
    </row>
    <row r="160" spans="2:8" x14ac:dyDescent="0.35">
      <c r="B160">
        <f t="shared" si="20"/>
        <v>354</v>
      </c>
      <c r="C160">
        <f t="shared" si="18"/>
        <v>627.15</v>
      </c>
      <c r="D160">
        <v>1185</v>
      </c>
      <c r="E160">
        <f t="shared" si="19"/>
        <v>1129.5161774383168</v>
      </c>
      <c r="F160">
        <f t="shared" si="21"/>
        <v>6.4411857464706834</v>
      </c>
      <c r="G160">
        <f t="shared" si="22"/>
        <v>7.0295446584600416</v>
      </c>
      <c r="H160">
        <f t="shared" si="23"/>
        <v>7.0774980535692311</v>
      </c>
    </row>
    <row r="161" spans="2:8" x14ac:dyDescent="0.35">
      <c r="B161">
        <f t="shared" si="20"/>
        <v>357</v>
      </c>
      <c r="C161">
        <f t="shared" si="18"/>
        <v>630.15</v>
      </c>
      <c r="D161">
        <v>1212</v>
      </c>
      <c r="E161">
        <f t="shared" si="19"/>
        <v>1156.2756216772534</v>
      </c>
      <c r="F161">
        <f t="shared" si="21"/>
        <v>6.4459578862835007</v>
      </c>
      <c r="G161">
        <f t="shared" si="22"/>
        <v>7.052959447869557</v>
      </c>
      <c r="H161">
        <f t="shared" si="23"/>
        <v>7.1000271666292596</v>
      </c>
    </row>
    <row r="162" spans="2:8" x14ac:dyDescent="0.35">
      <c r="B162">
        <f t="shared" si="20"/>
        <v>360</v>
      </c>
      <c r="C162">
        <f t="shared" si="18"/>
        <v>633.15</v>
      </c>
      <c r="D162">
        <v>1236</v>
      </c>
      <c r="E162">
        <f t="shared" si="19"/>
        <v>1180.1933021068255</v>
      </c>
      <c r="F162">
        <f t="shared" si="21"/>
        <v>6.450707360896617</v>
      </c>
      <c r="G162">
        <f t="shared" si="22"/>
        <v>7.0734335193882094</v>
      </c>
      <c r="H162">
        <f t="shared" si="23"/>
        <v>7.1196356380176358</v>
      </c>
    </row>
    <row r="163" spans="2:8" x14ac:dyDescent="0.35">
      <c r="B163">
        <f t="shared" si="20"/>
        <v>363</v>
      </c>
      <c r="C163">
        <f t="shared" si="18"/>
        <v>636.15</v>
      </c>
      <c r="D163">
        <v>1262</v>
      </c>
      <c r="E163">
        <f t="shared" si="19"/>
        <v>1206.0393220804031</v>
      </c>
      <c r="F163">
        <f t="shared" si="21"/>
        <v>6.4554343845887097</v>
      </c>
      <c r="G163">
        <f t="shared" si="22"/>
        <v>7.0950969821290553</v>
      </c>
      <c r="H163">
        <f t="shared" si="23"/>
        <v>7.1404530431011581</v>
      </c>
    </row>
    <row r="164" spans="2:8" x14ac:dyDescent="0.35">
      <c r="B164">
        <v>365</v>
      </c>
      <c r="C164">
        <f t="shared" si="18"/>
        <v>638.15</v>
      </c>
      <c r="D164">
        <v>1279</v>
      </c>
      <c r="E164">
        <f t="shared" si="19"/>
        <v>1222.9621398173492</v>
      </c>
      <c r="F164">
        <f t="shared" si="21"/>
        <v>6.4585733654287001</v>
      </c>
      <c r="G164">
        <f t="shared" si="22"/>
        <v>7.1090311783947131</v>
      </c>
      <c r="H164">
        <f t="shared" si="23"/>
        <v>7.153833801578843</v>
      </c>
    </row>
    <row r="165" spans="2:8" x14ac:dyDescent="0.35">
      <c r="B165">
        <v>366</v>
      </c>
      <c r="C165">
        <f t="shared" si="18"/>
        <v>639.15</v>
      </c>
      <c r="D165">
        <v>1288</v>
      </c>
      <c r="E165">
        <f t="shared" si="19"/>
        <v>1231.9048125082672</v>
      </c>
      <c r="F165">
        <f t="shared" si="21"/>
        <v>6.460139168614031</v>
      </c>
      <c r="G165">
        <f t="shared" si="22"/>
        <v>7.1163168785341</v>
      </c>
      <c r="H165">
        <f t="shared" si="23"/>
        <v>7.1608459066642993</v>
      </c>
    </row>
    <row r="166" spans="2:8" x14ac:dyDescent="0.35">
      <c r="B166">
        <v>367</v>
      </c>
      <c r="C166">
        <f t="shared" si="18"/>
        <v>640.15</v>
      </c>
      <c r="D166">
        <v>1297</v>
      </c>
      <c r="E166">
        <f t="shared" si="19"/>
        <v>1240.84973402572</v>
      </c>
      <c r="F166">
        <f t="shared" si="21"/>
        <v>6.4617025238921881</v>
      </c>
      <c r="G166">
        <f t="shared" si="22"/>
        <v>7.1235516932848153</v>
      </c>
      <c r="H166">
        <f t="shared" si="23"/>
        <v>7.167809184316444</v>
      </c>
    </row>
    <row r="167" spans="2:8" x14ac:dyDescent="0.35">
      <c r="B167">
        <v>368</v>
      </c>
      <c r="C167">
        <f t="shared" si="18"/>
        <v>641.15</v>
      </c>
      <c r="D167">
        <v>1305</v>
      </c>
      <c r="E167">
        <f t="shared" si="19"/>
        <v>1248.8399083995307</v>
      </c>
      <c r="F167">
        <f t="shared" si="21"/>
        <v>6.4632634389051251</v>
      </c>
      <c r="G167">
        <f t="shared" si="22"/>
        <v>7.1299703260893228</v>
      </c>
      <c r="H167">
        <f t="shared" si="23"/>
        <v>7.1739583197567942</v>
      </c>
    </row>
    <row r="168" spans="2:8" x14ac:dyDescent="0.35">
      <c r="B168">
        <v>369</v>
      </c>
      <c r="C168">
        <f t="shared" si="18"/>
        <v>642.15</v>
      </c>
      <c r="D168">
        <v>1313</v>
      </c>
      <c r="E168">
        <f t="shared" si="19"/>
        <v>1256.8317589342262</v>
      </c>
      <c r="F168">
        <f t="shared" si="21"/>
        <v>6.4648219212590652</v>
      </c>
      <c r="G168">
        <f t="shared" si="22"/>
        <v>7.1363493563024587</v>
      </c>
      <c r="H168">
        <f t="shared" si="23"/>
        <v>7.180069874302796</v>
      </c>
    </row>
    <row r="169" spans="2:8" x14ac:dyDescent="0.35">
      <c r="B169">
        <v>370</v>
      </c>
      <c r="C169">
        <f t="shared" si="18"/>
        <v>643.15</v>
      </c>
      <c r="D169">
        <v>1321</v>
      </c>
      <c r="E169">
        <f t="shared" si="19"/>
        <v>1264.8252614104526</v>
      </c>
      <c r="F169">
        <f t="shared" si="21"/>
        <v>6.4663779785247248</v>
      </c>
      <c r="G169">
        <f t="shared" si="22"/>
        <v>7.1426892583479722</v>
      </c>
      <c r="H169">
        <f t="shared" si="23"/>
        <v>7.1861443045223252</v>
      </c>
    </row>
    <row r="170" spans="2:8" x14ac:dyDescent="0.35">
      <c r="B170">
        <v>371</v>
      </c>
      <c r="C170">
        <f t="shared" si="18"/>
        <v>644.15</v>
      </c>
      <c r="D170">
        <v>1330</v>
      </c>
      <c r="E170">
        <f t="shared" si="19"/>
        <v>1273.7781198264872</v>
      </c>
      <c r="F170">
        <f t="shared" si="21"/>
        <v>6.4679316182375333</v>
      </c>
      <c r="G170">
        <f t="shared" si="22"/>
        <v>7.1497426607026648</v>
      </c>
      <c r="H170">
        <f t="shared" si="23"/>
        <v>7.1929342212157996</v>
      </c>
    </row>
    <row r="171" spans="2:8" x14ac:dyDescent="0.35">
      <c r="B171">
        <v>372</v>
      </c>
      <c r="C171">
        <f t="shared" si="18"/>
        <v>645.15</v>
      </c>
      <c r="D171">
        <v>1338</v>
      </c>
      <c r="E171">
        <f t="shared" si="19"/>
        <v>1281.7751052506576</v>
      </c>
      <c r="F171">
        <f t="shared" si="21"/>
        <v>6.4694828478978552</v>
      </c>
      <c r="G171">
        <f t="shared" si="22"/>
        <v>7.1560011971703803</v>
      </c>
      <c r="H171">
        <f t="shared" si="23"/>
        <v>7.1989312406881734</v>
      </c>
    </row>
    <row r="172" spans="2:8" x14ac:dyDescent="0.35">
      <c r="B172">
        <v>373</v>
      </c>
      <c r="C172">
        <f t="shared" si="18"/>
        <v>646.15</v>
      </c>
      <c r="D172">
        <v>1347</v>
      </c>
      <c r="E172">
        <f t="shared" si="19"/>
        <v>1290.7318970815118</v>
      </c>
      <c r="F172">
        <f t="shared" si="21"/>
        <v>6.4710316749712007</v>
      </c>
      <c r="G172">
        <f t="shared" si="22"/>
        <v>7.1629646985453972</v>
      </c>
      <c r="H172">
        <f t="shared" si="23"/>
        <v>7.2056351764103637</v>
      </c>
    </row>
    <row r="173" spans="2:8" x14ac:dyDescent="0.35">
      <c r="B173">
        <v>374</v>
      </c>
      <c r="C173">
        <f t="shared" si="18"/>
        <v>647.15</v>
      </c>
      <c r="D173">
        <v>1356</v>
      </c>
      <c r="E173">
        <f t="shared" si="19"/>
        <v>1299.6907390309564</v>
      </c>
      <c r="F173">
        <f t="shared" si="21"/>
        <v>6.4725781068884469</v>
      </c>
      <c r="G173">
        <f t="shared" si="22"/>
        <v>7.1698816220954766</v>
      </c>
      <c r="H173">
        <f t="shared" si="23"/>
        <v>7.2122944685003407</v>
      </c>
    </row>
    <row r="174" spans="2:8" x14ac:dyDescent="0.35">
      <c r="B174">
        <v>375</v>
      </c>
      <c r="C174">
        <f t="shared" si="18"/>
        <v>648.15</v>
      </c>
      <c r="D174">
        <v>1364</v>
      </c>
      <c r="E174">
        <f t="shared" si="19"/>
        <v>1307.692883949604</v>
      </c>
      <c r="F174">
        <f t="shared" si="21"/>
        <v>6.4741221510460516</v>
      </c>
      <c r="G174">
        <f t="shared" si="22"/>
        <v>7.1760197062440634</v>
      </c>
      <c r="H174">
        <f t="shared" si="23"/>
        <v>7.2181768384034077</v>
      </c>
    </row>
    <row r="175" spans="2:8" x14ac:dyDescent="0.35">
      <c r="B175">
        <v>376</v>
      </c>
      <c r="C175">
        <f t="shared" si="18"/>
        <v>649.15</v>
      </c>
      <c r="D175">
        <v>1373</v>
      </c>
      <c r="E175">
        <f t="shared" si="19"/>
        <v>1316.6554990382153</v>
      </c>
      <c r="F175">
        <f t="shared" si="21"/>
        <v>6.4756638148062624</v>
      </c>
      <c r="G175">
        <f t="shared" si="22"/>
        <v>7.1828500874479602</v>
      </c>
      <c r="H175">
        <f t="shared" si="23"/>
        <v>7.224753405767971</v>
      </c>
    </row>
    <row r="176" spans="2:8" x14ac:dyDescent="0.35">
      <c r="B176">
        <v>377</v>
      </c>
      <c r="C176">
        <f t="shared" si="18"/>
        <v>650.15</v>
      </c>
      <c r="D176">
        <v>1381</v>
      </c>
      <c r="E176">
        <f t="shared" si="19"/>
        <v>1324.6608788388166</v>
      </c>
      <c r="F176">
        <f t="shared" si="21"/>
        <v>6.4772031054973285</v>
      </c>
      <c r="G176">
        <f t="shared" si="22"/>
        <v>7.188911765162957</v>
      </c>
      <c r="H176">
        <f t="shared" si="23"/>
        <v>7.2305631534092925</v>
      </c>
    </row>
    <row r="177" spans="2:8" x14ac:dyDescent="0.35">
      <c r="B177">
        <v>378</v>
      </c>
      <c r="C177">
        <f t="shared" si="18"/>
        <v>651.15</v>
      </c>
      <c r="D177">
        <v>1390</v>
      </c>
      <c r="E177">
        <f t="shared" si="19"/>
        <v>1333.6271646742639</v>
      </c>
      <c r="F177">
        <f t="shared" si="21"/>
        <v>6.4787400304137126</v>
      </c>
      <c r="G177">
        <f t="shared" si="22"/>
        <v>7.1956577006609415</v>
      </c>
      <c r="H177">
        <f t="shared" si="23"/>
        <v>7.2370590261247374</v>
      </c>
    </row>
    <row r="178" spans="2:8" x14ac:dyDescent="0.35">
      <c r="B178">
        <v>379</v>
      </c>
      <c r="C178">
        <f t="shared" si="18"/>
        <v>652.15</v>
      </c>
      <c r="D178">
        <v>1399</v>
      </c>
      <c r="E178">
        <f t="shared" si="19"/>
        <v>1342.5953673650611</v>
      </c>
      <c r="F178">
        <f t="shared" si="21"/>
        <v>6.480274596816292</v>
      </c>
      <c r="G178">
        <f t="shared" si="22"/>
        <v>7.2023598610034361</v>
      </c>
      <c r="H178">
        <f t="shared" si="23"/>
        <v>7.2435129746654816</v>
      </c>
    </row>
    <row r="179" spans="2:8" x14ac:dyDescent="0.35">
      <c r="B179">
        <v>380</v>
      </c>
      <c r="C179">
        <f t="shared" si="18"/>
        <v>653.15</v>
      </c>
      <c r="D179">
        <v>1409</v>
      </c>
      <c r="E179">
        <f t="shared" si="19"/>
        <v>1352.5253792040048</v>
      </c>
      <c r="F179">
        <f t="shared" si="21"/>
        <v>6.4818068119325725</v>
      </c>
      <c r="G179">
        <f t="shared" si="22"/>
        <v>7.2097287752055843</v>
      </c>
      <c r="H179">
        <f t="shared" si="23"/>
        <v>7.2506355118986798</v>
      </c>
    </row>
    <row r="180" spans="2:8" x14ac:dyDescent="0.35">
      <c r="B180">
        <v>381</v>
      </c>
      <c r="C180">
        <f t="shared" si="18"/>
        <v>654.15</v>
      </c>
      <c r="D180">
        <v>1409</v>
      </c>
      <c r="E180">
        <f t="shared" si="19"/>
        <v>1352.8561907224926</v>
      </c>
      <c r="F180">
        <f t="shared" si="21"/>
        <v>6.4833366829568853</v>
      </c>
      <c r="G180">
        <f t="shared" si="22"/>
        <v>7.2099733333291507</v>
      </c>
      <c r="H180">
        <f t="shared" si="23"/>
        <v>7.2506355118986798</v>
      </c>
    </row>
    <row r="181" spans="2:8" x14ac:dyDescent="0.35">
      <c r="B181">
        <v>382</v>
      </c>
      <c r="C181">
        <f t="shared" si="18"/>
        <v>655.15</v>
      </c>
      <c r="D181">
        <v>1426</v>
      </c>
      <c r="E181">
        <f t="shared" si="19"/>
        <v>1369.5112146189997</v>
      </c>
      <c r="F181">
        <f t="shared" si="21"/>
        <v>6.4848642170505943</v>
      </c>
      <c r="G181">
        <f t="shared" si="22"/>
        <v>7.2222091775115169</v>
      </c>
      <c r="H181">
        <f t="shared" si="23"/>
        <v>7.2626286009742413</v>
      </c>
    </row>
    <row r="182" spans="2:8" x14ac:dyDescent="0.35">
      <c r="B182">
        <v>383</v>
      </c>
      <c r="C182">
        <f t="shared" si="18"/>
        <v>656.15</v>
      </c>
      <c r="D182">
        <v>1434</v>
      </c>
      <c r="E182">
        <f t="shared" si="19"/>
        <v>1377.5262064035176</v>
      </c>
      <c r="F182">
        <f t="shared" si="21"/>
        <v>6.4863894213422952</v>
      </c>
      <c r="G182">
        <f t="shared" si="22"/>
        <v>7.2280445654584575</v>
      </c>
      <c r="H182">
        <f t="shared" si="23"/>
        <v>7.2682230211595655</v>
      </c>
    </row>
    <row r="183" spans="2:8" x14ac:dyDescent="0.35">
      <c r="B183">
        <v>384</v>
      </c>
      <c r="C183">
        <f t="shared" si="18"/>
        <v>657.15</v>
      </c>
      <c r="D183">
        <v>1443</v>
      </c>
      <c r="E183">
        <f t="shared" si="19"/>
        <v>1386.5033746752395</v>
      </c>
      <c r="F183">
        <f t="shared" si="21"/>
        <v>6.4879123029280175</v>
      </c>
      <c r="G183">
        <f t="shared" si="22"/>
        <v>7.2345402990054417</v>
      </c>
      <c r="H183">
        <f t="shared" si="23"/>
        <v>7.2744795587738711</v>
      </c>
    </row>
    <row r="184" spans="2:8" x14ac:dyDescent="0.35">
      <c r="B184">
        <v>385</v>
      </c>
      <c r="C184">
        <f t="shared" si="18"/>
        <v>658.15</v>
      </c>
      <c r="D184">
        <v>1452</v>
      </c>
      <c r="E184">
        <f t="shared" si="19"/>
        <v>1395.4823081115107</v>
      </c>
      <c r="F184">
        <f t="shared" si="21"/>
        <v>6.4894328688714165</v>
      </c>
      <c r="G184">
        <f t="shared" si="22"/>
        <v>7.2409953750826919</v>
      </c>
      <c r="H184">
        <f t="shared" si="23"/>
        <v>7.2806971953847412</v>
      </c>
    </row>
    <row r="185" spans="2:8" x14ac:dyDescent="0.35">
      <c r="B185">
        <v>386</v>
      </c>
      <c r="C185">
        <f t="shared" si="18"/>
        <v>659.15</v>
      </c>
      <c r="D185">
        <v>1462</v>
      </c>
      <c r="E185">
        <f t="shared" si="19"/>
        <v>1405.4242847634191</v>
      </c>
      <c r="F185">
        <f t="shared" si="21"/>
        <v>6.4909511262039787</v>
      </c>
      <c r="G185">
        <f t="shared" si="22"/>
        <v>7.2480945182184691</v>
      </c>
      <c r="H185">
        <f t="shared" si="23"/>
        <v>7.2875606403097235</v>
      </c>
    </row>
    <row r="186" spans="2:8" x14ac:dyDescent="0.35">
      <c r="B186">
        <v>387</v>
      </c>
      <c r="C186">
        <f t="shared" si="18"/>
        <v>660.15</v>
      </c>
      <c r="D186">
        <v>1471</v>
      </c>
      <c r="E186">
        <f t="shared" si="19"/>
        <v>1414.40690036874</v>
      </c>
      <c r="F186">
        <f t="shared" si="21"/>
        <v>6.4924670819252102</v>
      </c>
      <c r="G186">
        <f t="shared" si="22"/>
        <v>7.2544655705258476</v>
      </c>
      <c r="H186">
        <f t="shared" si="23"/>
        <v>7.293697720601438</v>
      </c>
    </row>
    <row r="187" spans="2:8" x14ac:dyDescent="0.35">
      <c r="B187">
        <v>388</v>
      </c>
      <c r="C187">
        <f t="shared" si="18"/>
        <v>661.15</v>
      </c>
      <c r="D187">
        <v>1480</v>
      </c>
      <c r="E187">
        <f t="shared" si="19"/>
        <v>1423.391207044519</v>
      </c>
      <c r="F187">
        <f t="shared" si="21"/>
        <v>6.4939807430028322</v>
      </c>
      <c r="G187">
        <f t="shared" si="22"/>
        <v>7.2607974774149531</v>
      </c>
      <c r="H187">
        <f t="shared" si="23"/>
        <v>7.2997973667581606</v>
      </c>
    </row>
    <row r="188" spans="2:8" x14ac:dyDescent="0.35">
      <c r="B188">
        <v>389</v>
      </c>
      <c r="C188">
        <f t="shared" si="18"/>
        <v>662.15</v>
      </c>
      <c r="D188">
        <v>1489</v>
      </c>
      <c r="E188">
        <f t="shared" si="19"/>
        <v>1432.3771812339864</v>
      </c>
      <c r="F188">
        <f t="shared" si="21"/>
        <v>6.4954921163729731</v>
      </c>
      <c r="G188">
        <f t="shared" si="22"/>
        <v>7.2670907075547637</v>
      </c>
      <c r="H188">
        <f t="shared" si="23"/>
        <v>7.3058600326840093</v>
      </c>
    </row>
    <row r="189" spans="2:8" x14ac:dyDescent="0.35">
      <c r="B189">
        <v>390</v>
      </c>
      <c r="C189">
        <f t="shared" si="18"/>
        <v>663.15</v>
      </c>
      <c r="D189">
        <v>1499</v>
      </c>
      <c r="E189">
        <f t="shared" si="19"/>
        <v>1442.3269924628305</v>
      </c>
      <c r="F189">
        <f t="shared" si="21"/>
        <v>6.4970012089403619</v>
      </c>
      <c r="G189">
        <f t="shared" si="22"/>
        <v>7.2740130552883855</v>
      </c>
      <c r="H189">
        <f t="shared" si="23"/>
        <v>7.3125534981025977</v>
      </c>
    </row>
    <row r="190" spans="2:8" x14ac:dyDescent="0.35">
      <c r="B190">
        <v>391</v>
      </c>
      <c r="C190">
        <f t="shared" si="18"/>
        <v>664.15</v>
      </c>
      <c r="D190">
        <v>1508</v>
      </c>
      <c r="E190">
        <f t="shared" si="19"/>
        <v>1451.316450824271</v>
      </c>
      <c r="F190">
        <f t="shared" si="21"/>
        <v>6.4985080275785121</v>
      </c>
      <c r="G190">
        <f t="shared" si="22"/>
        <v>7.2802263206454993</v>
      </c>
      <c r="H190">
        <f t="shared" si="23"/>
        <v>7.3185395485679017</v>
      </c>
    </row>
    <row r="191" spans="2:8" x14ac:dyDescent="0.35">
      <c r="B191">
        <v>392</v>
      </c>
      <c r="C191">
        <f t="shared" si="18"/>
        <v>665.15</v>
      </c>
      <c r="D191">
        <v>1516</v>
      </c>
      <c r="E191">
        <f t="shared" si="19"/>
        <v>1459.3448776794742</v>
      </c>
      <c r="F191">
        <f t="shared" si="21"/>
        <v>6.5000125791299146</v>
      </c>
      <c r="G191">
        <f t="shared" si="22"/>
        <v>7.2857429000819982</v>
      </c>
      <c r="H191">
        <f t="shared" si="23"/>
        <v>7.3238305662023171</v>
      </c>
    </row>
    <row r="192" spans="2:8" x14ac:dyDescent="0.35">
      <c r="B192">
        <v>393</v>
      </c>
      <c r="C192">
        <f t="shared" si="18"/>
        <v>666.15</v>
      </c>
      <c r="D192">
        <v>1526</v>
      </c>
      <c r="E192">
        <f t="shared" si="19"/>
        <v>1469.300136273718</v>
      </c>
      <c r="F192">
        <f t="shared" si="21"/>
        <v>6.5015148704062211</v>
      </c>
      <c r="G192">
        <f t="shared" si="22"/>
        <v>7.2925414686292713</v>
      </c>
      <c r="H192">
        <f t="shared" si="23"/>
        <v>7.3304052118444023</v>
      </c>
    </row>
    <row r="193" spans="2:8" x14ac:dyDescent="0.35">
      <c r="B193">
        <v>394</v>
      </c>
      <c r="C193">
        <f t="shared" si="18"/>
        <v>667.15</v>
      </c>
      <c r="D193">
        <v>1534</v>
      </c>
      <c r="E193">
        <f t="shared" si="19"/>
        <v>1477.3312606583704</v>
      </c>
      <c r="F193">
        <f t="shared" si="21"/>
        <v>6.5030149081884296</v>
      </c>
      <c r="G193">
        <f t="shared" si="22"/>
        <v>7.2979925367740712</v>
      </c>
      <c r="H193">
        <f t="shared" si="23"/>
        <v>7.3356339819272014</v>
      </c>
    </row>
    <row r="194" spans="2:8" x14ac:dyDescent="0.35">
      <c r="B194">
        <v>395</v>
      </c>
      <c r="C194">
        <f t="shared" si="18"/>
        <v>668.15</v>
      </c>
      <c r="D194">
        <v>1545</v>
      </c>
      <c r="E194">
        <f t="shared" si="19"/>
        <v>1488.2533028473099</v>
      </c>
      <c r="F194">
        <f t="shared" si="21"/>
        <v>6.5045126992270701</v>
      </c>
      <c r="G194">
        <f t="shared" si="22"/>
        <v>7.3053584313136239</v>
      </c>
      <c r="H194">
        <f t="shared" si="23"/>
        <v>7.3427791893318455</v>
      </c>
    </row>
    <row r="195" spans="2:8" x14ac:dyDescent="0.35">
      <c r="B195">
        <v>396</v>
      </c>
      <c r="C195">
        <f t="shared" si="18"/>
        <v>669.15</v>
      </c>
      <c r="D195">
        <v>1553</v>
      </c>
      <c r="E195">
        <f t="shared" si="19"/>
        <v>1496.287254464484</v>
      </c>
      <c r="F195">
        <f t="shared" si="21"/>
        <v>6.5060082502423837</v>
      </c>
      <c r="G195">
        <f t="shared" si="22"/>
        <v>7.3107421551182652</v>
      </c>
      <c r="H195">
        <f t="shared" si="23"/>
        <v>7.3479438231486869</v>
      </c>
    </row>
    <row r="196" spans="2:8" x14ac:dyDescent="0.35">
      <c r="B196">
        <v>397</v>
      </c>
      <c r="C196">
        <f t="shared" si="18"/>
        <v>670.15</v>
      </c>
      <c r="D196">
        <v>1563</v>
      </c>
      <c r="E196">
        <f t="shared" si="19"/>
        <v>1506.2496560299751</v>
      </c>
      <c r="F196">
        <f t="shared" si="21"/>
        <v>6.5075015679245061</v>
      </c>
      <c r="G196">
        <f t="shared" si="22"/>
        <v>7.3173781688770969</v>
      </c>
      <c r="H196">
        <f t="shared" si="23"/>
        <v>7.3543623304214769</v>
      </c>
    </row>
    <row r="197" spans="2:8" x14ac:dyDescent="0.35">
      <c r="B197">
        <v>398</v>
      </c>
      <c r="C197">
        <f t="shared" ref="C197:C201" si="24">B197+273.15</f>
        <v>671.15</v>
      </c>
      <c r="D197">
        <v>1572</v>
      </c>
      <c r="E197">
        <f t="shared" ref="E197:E201" si="25">D197/(1+((22.1+273.15)/C197)^4)</f>
        <v>1515.250041078187</v>
      </c>
      <c r="F197">
        <f t="shared" si="21"/>
        <v>6.5089926589336446</v>
      </c>
      <c r="G197">
        <f t="shared" si="22"/>
        <v>7.3233357479412353</v>
      </c>
      <c r="H197">
        <f t="shared" si="23"/>
        <v>7.360103972989152</v>
      </c>
    </row>
    <row r="198" spans="2:8" x14ac:dyDescent="0.35">
      <c r="B198">
        <v>399</v>
      </c>
      <c r="C198">
        <f t="shared" si="24"/>
        <v>672.15</v>
      </c>
      <c r="D198">
        <v>1583</v>
      </c>
      <c r="E198">
        <f t="shared" si="25"/>
        <v>1526.1800830137756</v>
      </c>
      <c r="F198">
        <f t="shared" si="21"/>
        <v>6.5104815299002619</v>
      </c>
      <c r="G198">
        <f t="shared" si="22"/>
        <v>7.3305232147204364</v>
      </c>
      <c r="H198">
        <f t="shared" si="23"/>
        <v>7.3670770598810122</v>
      </c>
    </row>
    <row r="199" spans="2:8" x14ac:dyDescent="0.35">
      <c r="B199">
        <v>400</v>
      </c>
      <c r="C199">
        <f t="shared" si="24"/>
        <v>673.15</v>
      </c>
      <c r="D199">
        <v>1591</v>
      </c>
      <c r="E199">
        <f t="shared" si="25"/>
        <v>1534.2194356454634</v>
      </c>
      <c r="F199">
        <f t="shared" si="21"/>
        <v>6.5119681874252437</v>
      </c>
      <c r="G199">
        <f t="shared" si="22"/>
        <v>7.3357770197055876</v>
      </c>
      <c r="H199">
        <f t="shared" si="23"/>
        <v>7.3721180283377867</v>
      </c>
    </row>
    <row r="200" spans="2:8" x14ac:dyDescent="0.35">
      <c r="B200">
        <v>401</v>
      </c>
      <c r="C200">
        <f t="shared" si="24"/>
        <v>674.15</v>
      </c>
      <c r="D200">
        <v>1599</v>
      </c>
      <c r="E200">
        <f t="shared" si="25"/>
        <v>1542.2597816015727</v>
      </c>
      <c r="F200">
        <f t="shared" si="21"/>
        <v>6.5134526380800839</v>
      </c>
      <c r="G200">
        <f t="shared" si="22"/>
        <v>7.3410040104924414</v>
      </c>
      <c r="H200">
        <f t="shared" si="23"/>
        <v>7.3771337128339542</v>
      </c>
    </row>
    <row r="201" spans="2:8" x14ac:dyDescent="0.35">
      <c r="B201">
        <v>402</v>
      </c>
      <c r="C201">
        <f t="shared" si="24"/>
        <v>675.15</v>
      </c>
      <c r="D201">
        <v>1607</v>
      </c>
      <c r="E201">
        <f t="shared" si="25"/>
        <v>1550.3011051634735</v>
      </c>
      <c r="F201">
        <f t="shared" si="21"/>
        <v>6.5149348884070513</v>
      </c>
      <c r="G201">
        <f t="shared" si="22"/>
        <v>7.3462044524427803</v>
      </c>
      <c r="H201">
        <f t="shared" si="23"/>
        <v>7.3821243657375124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E69E9-D8D3-4D20-BA94-D7A4790CE6D5}">
  <dimension ref="B6:I25"/>
  <sheetViews>
    <sheetView tabSelected="1" topLeftCell="A4" zoomScale="61" workbookViewId="0">
      <selection activeCell="I25" sqref="I8:I25"/>
    </sheetView>
  </sheetViews>
  <sheetFormatPr baseColWidth="10" defaultRowHeight="14.5" x14ac:dyDescent="0.35"/>
  <sheetData>
    <row r="6" spans="2:9" ht="15" thickBot="1" x14ac:dyDescent="0.4"/>
    <row r="7" spans="2:9" x14ac:dyDescent="0.35">
      <c r="B7" s="5" t="s">
        <v>23</v>
      </c>
      <c r="C7" s="20" t="s">
        <v>29</v>
      </c>
      <c r="D7" s="6" t="s">
        <v>31</v>
      </c>
      <c r="E7" s="5" t="s">
        <v>30</v>
      </c>
      <c r="F7" s="6"/>
      <c r="G7" s="5" t="s">
        <v>32</v>
      </c>
      <c r="H7" s="6"/>
      <c r="I7" s="26" t="s">
        <v>33</v>
      </c>
    </row>
    <row r="8" spans="2:9" x14ac:dyDescent="0.35">
      <c r="B8" s="21">
        <v>0</v>
      </c>
      <c r="C8" s="19">
        <v>1.117</v>
      </c>
      <c r="D8" s="22">
        <f>C8*0.025*0.01+0.008</f>
        <v>8.2792500000000002E-3</v>
      </c>
      <c r="E8" s="21">
        <f t="shared" ref="E8:E25" si="0">C8/$C$8</f>
        <v>1</v>
      </c>
      <c r="F8" s="22">
        <f>SQRT((D8/E8)^2+($D$8/$E$8)^2)*E8</f>
        <v>1.1708627636277447E-2</v>
      </c>
      <c r="G8" s="21">
        <f>COS(B8*PI()/180)</f>
        <v>1</v>
      </c>
      <c r="H8" s="22">
        <f>SQRT(SIN(B8*PI()/180)^2*(0.5*PI()/180)^2)</f>
        <v>0</v>
      </c>
      <c r="I8">
        <f>-G8+E8</f>
        <v>0</v>
      </c>
    </row>
    <row r="9" spans="2:9" x14ac:dyDescent="0.35">
      <c r="B9" s="21">
        <f t="shared" ref="B9:B24" si="1">B8+3</f>
        <v>3</v>
      </c>
      <c r="C9" s="19">
        <v>1.1319999999999999</v>
      </c>
      <c r="D9" s="22">
        <f t="shared" ref="D9:D25" si="2">C9*0.025*0.01+0.008</f>
        <v>8.2830000000000004E-3</v>
      </c>
      <c r="E9" s="21">
        <f t="shared" si="0"/>
        <v>1.0134288272157563</v>
      </c>
      <c r="F9" s="22">
        <f t="shared" ref="F9:F25" si="3">SQRT((D9/E9)^2+($D$8/$E$8)^2)*E9</f>
        <v>1.1790140582320245E-2</v>
      </c>
      <c r="G9" s="21">
        <f t="shared" ref="G9:G25" si="4">COS(B9*PI()/180)</f>
        <v>0.99862953475457383</v>
      </c>
      <c r="H9" s="22">
        <f>SQRT(SIN(B9*PI()/180)^2*(0.5*PI()/180)^2)</f>
        <v>4.5671737680952557E-4</v>
      </c>
      <c r="I9">
        <f t="shared" ref="I9:I25" si="5">-G9+E9</f>
        <v>1.4799292461182501E-2</v>
      </c>
    </row>
    <row r="10" spans="2:9" x14ac:dyDescent="0.35">
      <c r="B10" s="21">
        <f t="shared" si="1"/>
        <v>6</v>
      </c>
      <c r="C10" s="19">
        <v>1.1319999999999999</v>
      </c>
      <c r="D10" s="22">
        <f t="shared" si="2"/>
        <v>8.2830000000000004E-3</v>
      </c>
      <c r="E10" s="21">
        <f t="shared" si="0"/>
        <v>1.0134288272157563</v>
      </c>
      <c r="F10" s="22">
        <f t="shared" si="3"/>
        <v>1.1790140582320245E-2</v>
      </c>
      <c r="G10" s="21">
        <f t="shared" si="4"/>
        <v>0.99452189536827329</v>
      </c>
      <c r="H10" s="22">
        <f t="shared" ref="H10:H25" si="6">SQRT(SIN(B10*PI()/180)^2*(0.5*PI()/180)^2)</f>
        <v>9.1218292303525184E-4</v>
      </c>
      <c r="I10">
        <f t="shared" si="5"/>
        <v>1.8906931847483044E-2</v>
      </c>
    </row>
    <row r="11" spans="2:9" x14ac:dyDescent="0.35">
      <c r="B11" s="21">
        <f t="shared" si="1"/>
        <v>9</v>
      </c>
      <c r="C11" s="19">
        <v>1.125</v>
      </c>
      <c r="D11" s="22">
        <f t="shared" si="2"/>
        <v>8.2812500000000004E-3</v>
      </c>
      <c r="E11" s="21">
        <f t="shared" si="0"/>
        <v>1.0071620411817368</v>
      </c>
      <c r="F11" s="22">
        <f t="shared" si="3"/>
        <v>1.1752040522860233E-2</v>
      </c>
      <c r="G11" s="21">
        <f t="shared" si="4"/>
        <v>0.98768834059513777</v>
      </c>
      <c r="H11" s="22">
        <f t="shared" si="6"/>
        <v>1.3651482392739961E-3</v>
      </c>
      <c r="I11">
        <f t="shared" si="5"/>
        <v>1.947370058659903E-2</v>
      </c>
    </row>
    <row r="12" spans="2:9" x14ac:dyDescent="0.35">
      <c r="B12" s="21">
        <f t="shared" si="1"/>
        <v>12</v>
      </c>
      <c r="C12" s="19">
        <v>1.111</v>
      </c>
      <c r="D12" s="22">
        <f t="shared" si="2"/>
        <v>8.2777500000000004E-3</v>
      </c>
      <c r="E12" s="21">
        <f t="shared" si="0"/>
        <v>0.9946284691136974</v>
      </c>
      <c r="F12" s="22">
        <f t="shared" si="3"/>
        <v>1.1676159886808443E-2</v>
      </c>
      <c r="G12" s="21">
        <f t="shared" si="4"/>
        <v>0.97814760073380569</v>
      </c>
      <c r="H12" s="22">
        <f t="shared" si="6"/>
        <v>1.8143717790791809E-3</v>
      </c>
      <c r="I12">
        <f t="shared" si="5"/>
        <v>1.6480868379891711E-2</v>
      </c>
    </row>
    <row r="13" spans="2:9" x14ac:dyDescent="0.35">
      <c r="B13" s="21">
        <f t="shared" si="1"/>
        <v>15</v>
      </c>
      <c r="C13" s="19">
        <v>1.0920000000000001</v>
      </c>
      <c r="D13" s="22">
        <f t="shared" si="2"/>
        <v>8.2730000000000008E-3</v>
      </c>
      <c r="E13" s="21">
        <f t="shared" si="0"/>
        <v>0.97761862130707256</v>
      </c>
      <c r="F13" s="22">
        <f t="shared" si="3"/>
        <v>1.1573873117343009E-2</v>
      </c>
      <c r="G13" s="21">
        <f t="shared" si="4"/>
        <v>0.96592582628906831</v>
      </c>
      <c r="H13" s="22">
        <f t="shared" si="6"/>
        <v>2.2586222519533458E-3</v>
      </c>
      <c r="I13">
        <f t="shared" si="5"/>
        <v>1.1692795018004243E-2</v>
      </c>
    </row>
    <row r="14" spans="2:9" x14ac:dyDescent="0.35">
      <c r="B14" s="21">
        <f t="shared" si="1"/>
        <v>18</v>
      </c>
      <c r="C14" s="19">
        <v>1.0720000000000001</v>
      </c>
      <c r="D14" s="22">
        <f t="shared" si="2"/>
        <v>8.268000000000001E-3</v>
      </c>
      <c r="E14" s="21">
        <f t="shared" si="0"/>
        <v>0.95971351835273055</v>
      </c>
      <c r="F14" s="22">
        <f t="shared" si="3"/>
        <v>1.1467087771290106E-2</v>
      </c>
      <c r="G14" s="21">
        <f t="shared" si="4"/>
        <v>0.95105651629515353</v>
      </c>
      <c r="H14" s="22">
        <f t="shared" si="6"/>
        <v>2.6966819982298142E-3</v>
      </c>
      <c r="I14">
        <f t="shared" si="5"/>
        <v>8.6570020575770235E-3</v>
      </c>
    </row>
    <row r="15" spans="2:9" x14ac:dyDescent="0.35">
      <c r="B15" s="21">
        <f t="shared" si="1"/>
        <v>21</v>
      </c>
      <c r="C15" s="19">
        <v>1.0349999999999999</v>
      </c>
      <c r="D15" s="22">
        <f t="shared" si="2"/>
        <v>8.2587500000000005E-3</v>
      </c>
      <c r="E15" s="21">
        <f t="shared" si="0"/>
        <v>0.9265890778871978</v>
      </c>
      <c r="F15" s="22">
        <f t="shared" si="3"/>
        <v>1.1272013588533473E-2</v>
      </c>
      <c r="G15" s="21">
        <f t="shared" si="4"/>
        <v>0.93358042649720174</v>
      </c>
      <c r="H15" s="22">
        <f t="shared" si="6"/>
        <v>3.1273503265932027E-3</v>
      </c>
      <c r="I15">
        <f t="shared" si="5"/>
        <v>-6.9913486100039446E-3</v>
      </c>
    </row>
    <row r="16" spans="2:9" x14ac:dyDescent="0.35">
      <c r="B16" s="21">
        <f t="shared" si="1"/>
        <v>24</v>
      </c>
      <c r="C16" s="19">
        <v>1.018</v>
      </c>
      <c r="D16" s="22">
        <f t="shared" si="2"/>
        <v>8.2544999999999997E-3</v>
      </c>
      <c r="E16" s="21">
        <f t="shared" si="0"/>
        <v>0.91136974037600715</v>
      </c>
      <c r="F16" s="22">
        <f t="shared" si="3"/>
        <v>1.118350148736455E-2</v>
      </c>
      <c r="G16" s="21">
        <f t="shared" si="4"/>
        <v>0.91354545764260087</v>
      </c>
      <c r="H16" s="22">
        <f t="shared" si="6"/>
        <v>3.5494468050908542E-3</v>
      </c>
      <c r="I16">
        <f t="shared" si="5"/>
        <v>-2.175717266593713E-3</v>
      </c>
    </row>
    <row r="17" spans="2:9" x14ac:dyDescent="0.35">
      <c r="B17" s="21">
        <f t="shared" si="1"/>
        <v>27</v>
      </c>
      <c r="C17" s="19">
        <v>0.98199999999999998</v>
      </c>
      <c r="D17" s="22">
        <f t="shared" si="2"/>
        <v>8.2454999999999994E-3</v>
      </c>
      <c r="E17" s="21">
        <f t="shared" si="0"/>
        <v>0.87914055505819155</v>
      </c>
      <c r="F17" s="22">
        <f t="shared" si="3"/>
        <v>1.0998483713464423E-2</v>
      </c>
      <c r="G17" s="21">
        <f t="shared" si="4"/>
        <v>0.8910065241883679</v>
      </c>
      <c r="H17" s="22">
        <f t="shared" si="6"/>
        <v>3.9618144966147746E-3</v>
      </c>
      <c r="I17">
        <f t="shared" si="5"/>
        <v>-1.1865969130176346E-2</v>
      </c>
    </row>
    <row r="18" spans="2:9" x14ac:dyDescent="0.35">
      <c r="B18" s="21">
        <f t="shared" si="1"/>
        <v>30</v>
      </c>
      <c r="C18" s="19">
        <v>0.95899999999999996</v>
      </c>
      <c r="D18" s="22">
        <f t="shared" si="2"/>
        <v>8.2397500000000005E-3</v>
      </c>
      <c r="E18" s="21">
        <f t="shared" si="0"/>
        <v>0.85854968666069831</v>
      </c>
      <c r="F18" s="22">
        <f t="shared" si="3"/>
        <v>1.0882060505658025E-2</v>
      </c>
      <c r="G18" s="21">
        <f t="shared" si="4"/>
        <v>0.86602540378443871</v>
      </c>
      <c r="H18" s="22">
        <f t="shared" si="6"/>
        <v>4.363323129985823E-3</v>
      </c>
      <c r="I18">
        <f t="shared" si="5"/>
        <v>-7.4757171237403996E-3</v>
      </c>
    </row>
    <row r="19" spans="2:9" x14ac:dyDescent="0.35">
      <c r="B19" s="21">
        <f t="shared" si="1"/>
        <v>33</v>
      </c>
      <c r="C19" s="19">
        <v>0.90900000000000003</v>
      </c>
      <c r="D19" s="22">
        <f t="shared" si="2"/>
        <v>8.2272500000000002E-3</v>
      </c>
      <c r="E19" s="21">
        <f t="shared" si="0"/>
        <v>0.81378692927484342</v>
      </c>
      <c r="F19" s="22">
        <f t="shared" si="3"/>
        <v>1.0634009640788953E-2</v>
      </c>
      <c r="G19" s="21">
        <f t="shared" si="4"/>
        <v>0.83867056794542405</v>
      </c>
      <c r="H19" s="22">
        <f t="shared" si="6"/>
        <v>4.7528721979484536E-3</v>
      </c>
      <c r="I19">
        <f t="shared" si="5"/>
        <v>-2.4883638670580632E-2</v>
      </c>
    </row>
    <row r="20" spans="2:9" x14ac:dyDescent="0.35">
      <c r="B20" s="21">
        <f t="shared" si="1"/>
        <v>36</v>
      </c>
      <c r="C20" s="19">
        <v>0.871</v>
      </c>
      <c r="D20" s="22">
        <f t="shared" si="2"/>
        <v>8.2177499999999994E-3</v>
      </c>
      <c r="E20" s="21">
        <f t="shared" si="0"/>
        <v>0.77976723366159351</v>
      </c>
      <c r="F20" s="22">
        <f t="shared" si="3"/>
        <v>1.0450354216168046E-2</v>
      </c>
      <c r="G20" s="21">
        <f t="shared" si="4"/>
        <v>0.80901699437494745</v>
      </c>
      <c r="H20" s="22">
        <f t="shared" si="6"/>
        <v>5.1293939735846021E-3</v>
      </c>
      <c r="I20">
        <f t="shared" si="5"/>
        <v>-2.9249760713353945E-2</v>
      </c>
    </row>
    <row r="21" spans="2:9" x14ac:dyDescent="0.35">
      <c r="B21" s="21">
        <f t="shared" si="1"/>
        <v>39</v>
      </c>
      <c r="C21" s="19">
        <v>0.82799999999999996</v>
      </c>
      <c r="D21" s="22">
        <f t="shared" si="2"/>
        <v>8.2070000000000008E-3</v>
      </c>
      <c r="E21" s="21">
        <f t="shared" si="0"/>
        <v>0.74127126230975826</v>
      </c>
      <c r="F21" s="22">
        <f t="shared" si="3"/>
        <v>1.0247912266293719E-2</v>
      </c>
      <c r="G21" s="21">
        <f t="shared" si="4"/>
        <v>0.7771459614569709</v>
      </c>
      <c r="H21" s="22">
        <f t="shared" si="6"/>
        <v>5.4918564368789582E-3</v>
      </c>
      <c r="I21">
        <f t="shared" si="5"/>
        <v>-3.5874699147212641E-2</v>
      </c>
    </row>
    <row r="22" spans="2:9" x14ac:dyDescent="0.35">
      <c r="B22" s="21">
        <f t="shared" si="1"/>
        <v>42</v>
      </c>
      <c r="C22" s="19">
        <v>0.78400000000000003</v>
      </c>
      <c r="D22" s="22">
        <f t="shared" si="2"/>
        <v>8.1960000000000002E-3</v>
      </c>
      <c r="E22" s="21">
        <f t="shared" si="0"/>
        <v>0.70188003581020597</v>
      </c>
      <c r="F22" s="22">
        <f t="shared" si="3"/>
        <v>1.0047019717862244E-2</v>
      </c>
      <c r="G22" s="21">
        <f t="shared" si="4"/>
        <v>0.74314482547739424</v>
      </c>
      <c r="H22" s="22">
        <f t="shared" si="6"/>
        <v>5.8392661034140907E-3</v>
      </c>
      <c r="I22">
        <f t="shared" si="5"/>
        <v>-4.1264789667188273E-2</v>
      </c>
    </row>
    <row r="23" spans="2:9" x14ac:dyDescent="0.35">
      <c r="B23" s="21">
        <f t="shared" si="1"/>
        <v>45</v>
      </c>
      <c r="C23" s="19">
        <v>0.748</v>
      </c>
      <c r="D23" s="22">
        <f t="shared" si="2"/>
        <v>8.1869999999999998E-3</v>
      </c>
      <c r="E23" s="21">
        <f t="shared" si="0"/>
        <v>0.66965085049239037</v>
      </c>
      <c r="F23" s="22">
        <f t="shared" si="3"/>
        <v>9.8876285369569206E-3</v>
      </c>
      <c r="G23" s="21">
        <f t="shared" si="4"/>
        <v>0.70710678118654757</v>
      </c>
      <c r="H23" s="22">
        <f t="shared" si="6"/>
        <v>6.1706707474421746E-3</v>
      </c>
      <c r="I23">
        <f t="shared" si="5"/>
        <v>-3.7455930694157202E-2</v>
      </c>
    </row>
    <row r="24" spans="2:9" x14ac:dyDescent="0.35">
      <c r="B24" s="21">
        <f t="shared" si="1"/>
        <v>48</v>
      </c>
      <c r="C24" s="19">
        <v>0.71</v>
      </c>
      <c r="D24" s="22">
        <f t="shared" si="2"/>
        <v>8.1775000000000007E-3</v>
      </c>
      <c r="E24" s="21">
        <f t="shared" si="0"/>
        <v>0.63563115487914057</v>
      </c>
      <c r="F24" s="22">
        <f t="shared" si="3"/>
        <v>9.7245015678567356E-3</v>
      </c>
      <c r="G24" s="21">
        <f t="shared" si="4"/>
        <v>0.66913060635885824</v>
      </c>
      <c r="H24" s="22">
        <f t="shared" si="6"/>
        <v>6.4851620118695835E-3</v>
      </c>
      <c r="I24">
        <f t="shared" si="5"/>
        <v>-3.3499451479717668E-2</v>
      </c>
    </row>
    <row r="25" spans="2:9" ht="15" thickBot="1" x14ac:dyDescent="0.4">
      <c r="B25" s="23">
        <v>50</v>
      </c>
      <c r="C25" s="24">
        <v>0.67</v>
      </c>
      <c r="D25" s="25">
        <f t="shared" si="2"/>
        <v>8.1674999999999994E-3</v>
      </c>
      <c r="E25" s="23">
        <f t="shared" si="0"/>
        <v>0.59982094897045657</v>
      </c>
      <c r="F25" s="25">
        <f t="shared" si="3"/>
        <v>9.5587595207728294E-3</v>
      </c>
      <c r="G25" s="21">
        <f t="shared" si="4"/>
        <v>0.64278760968653936</v>
      </c>
      <c r="H25" s="22">
        <f t="shared" si="6"/>
        <v>6.6849988745162929E-3</v>
      </c>
      <c r="I25">
        <f t="shared" si="5"/>
        <v>-4.2966660716082794E-2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B2DC7-31DD-4C2B-B455-900C6CEE9833}">
  <dimension ref="B2:F8"/>
  <sheetViews>
    <sheetView workbookViewId="0">
      <selection activeCell="E5" sqref="E5"/>
    </sheetView>
  </sheetViews>
  <sheetFormatPr baseColWidth="10" defaultRowHeight="14.5" x14ac:dyDescent="0.35"/>
  <sheetData>
    <row r="2" spans="2:6" x14ac:dyDescent="0.35">
      <c r="C2" t="s">
        <v>16</v>
      </c>
      <c r="D2" t="s">
        <v>17</v>
      </c>
      <c r="E2" t="s">
        <v>18</v>
      </c>
    </row>
    <row r="3" spans="2:6" x14ac:dyDescent="0.35">
      <c r="B3" s="11" t="s">
        <v>14</v>
      </c>
      <c r="C3" s="1">
        <v>2.0390000000000001</v>
      </c>
      <c r="D3" s="1">
        <f>0.025*C3+0.008*0.1</f>
        <v>5.1775000000000009E-2</v>
      </c>
      <c r="E3">
        <f>(C3-$C$4)/($C$3-$C$4)</f>
        <v>1</v>
      </c>
    </row>
    <row r="4" spans="2:6" x14ac:dyDescent="0.35">
      <c r="B4" t="s">
        <v>15</v>
      </c>
      <c r="C4" s="12">
        <v>-8.0000000000000002E-3</v>
      </c>
      <c r="D4" s="12">
        <f>ABS(0.025*C4)+0.008*0.1</f>
        <v>1E-3</v>
      </c>
      <c r="E4">
        <f t="shared" ref="E4:E8" si="0">(C4-$C$4)/($C$3-$C$4)</f>
        <v>0</v>
      </c>
    </row>
    <row r="5" spans="2:6" x14ac:dyDescent="0.35">
      <c r="B5" t="s">
        <v>13</v>
      </c>
      <c r="C5" s="12">
        <v>2.5999999999999999E-2</v>
      </c>
      <c r="D5" s="12">
        <f t="shared" ref="D5:D8" si="1">0.025*C5+0.008*0.1</f>
        <v>1.4499999999999999E-3</v>
      </c>
      <c r="E5">
        <f>(C5-$C$4)/($C$3-$C$4)</f>
        <v>1.6609672691744015E-2</v>
      </c>
      <c r="F5">
        <f>SQRT((D5/($C$3-$C$4))^2+($D$3/($C$4-C5))^2+(($D$4*(C5-$C$3)/($C$3-$C$4)))^2)</f>
        <v>1.5227945999254031</v>
      </c>
    </row>
    <row r="6" spans="2:6" x14ac:dyDescent="0.35">
      <c r="B6" t="s">
        <v>10</v>
      </c>
      <c r="C6" s="1">
        <v>0.93899999999999995</v>
      </c>
      <c r="D6" s="1">
        <f t="shared" si="1"/>
        <v>2.4274999999999998E-2</v>
      </c>
      <c r="E6">
        <f t="shared" si="0"/>
        <v>0.46262823644357592</v>
      </c>
      <c r="F6">
        <f t="shared" ref="F6:F8" si="2">SQRT((D6/($C$3-$C$4))^2+($D$3/($C$4-C6))^2+(($D$4*(C6-$C$3)/($C$3-$C$4)))^2)</f>
        <v>5.594657306380367E-2</v>
      </c>
    </row>
    <row r="7" spans="2:6" x14ac:dyDescent="0.35">
      <c r="B7" t="s">
        <v>11</v>
      </c>
      <c r="C7" s="1">
        <v>1.597</v>
      </c>
      <c r="D7" s="1">
        <f>0.025*C7+0.008*0.1</f>
        <v>4.0725000000000004E-2</v>
      </c>
      <c r="E7">
        <f t="shared" si="0"/>
        <v>0.78407425500732775</v>
      </c>
      <c r="F7">
        <f t="shared" si="2"/>
        <v>3.7900811718639835E-2</v>
      </c>
    </row>
    <row r="8" spans="2:6" x14ac:dyDescent="0.35">
      <c r="B8" t="s">
        <v>12</v>
      </c>
      <c r="C8" s="1">
        <v>0.73799999999999999</v>
      </c>
      <c r="D8" s="1">
        <f t="shared" si="1"/>
        <v>1.925E-2</v>
      </c>
      <c r="E8">
        <f t="shared" si="0"/>
        <v>0.36443575964826574</v>
      </c>
      <c r="F8">
        <f t="shared" si="2"/>
        <v>7.0040581334386551E-2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96B07-7651-4728-9BE4-E4EF45012839}">
  <dimension ref="K6:L7"/>
  <sheetViews>
    <sheetView topLeftCell="H4" zoomScale="77" workbookViewId="0">
      <selection activeCell="L6" sqref="L6:L7"/>
    </sheetView>
  </sheetViews>
  <sheetFormatPr baseColWidth="10" defaultRowHeight="14.5" x14ac:dyDescent="0.35"/>
  <sheetData>
    <row r="6" spans="11:12" x14ac:dyDescent="0.35">
      <c r="K6">
        <v>6.1609999999999998E-2</v>
      </c>
      <c r="L6">
        <f>K6*180/PI()</f>
        <v>3.5299929758010022</v>
      </c>
    </row>
    <row r="7" spans="11:12" x14ac:dyDescent="0.35">
      <c r="K7">
        <v>7.3499999999999998E-3</v>
      </c>
      <c r="L7">
        <f>K7*180/PI()</f>
        <v>0.42112397942115504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Schwarzer Strahler</vt:lpstr>
      <vt:lpstr>Tabelle1</vt:lpstr>
      <vt:lpstr>Ultrarotdurchlässigkeit</vt:lpstr>
      <vt:lpstr>Lambert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Frederik Taube</dc:creator>
  <cp:lastModifiedBy>Frederik Taube</cp:lastModifiedBy>
  <dcterms:created xsi:type="dcterms:W3CDTF">2015-06-05T18:19:34Z</dcterms:created>
  <dcterms:modified xsi:type="dcterms:W3CDTF">2021-10-13T12:29:48Z</dcterms:modified>
</cp:coreProperties>
</file>