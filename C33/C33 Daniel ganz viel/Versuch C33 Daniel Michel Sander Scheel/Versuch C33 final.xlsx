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Uni\Praktikum\Modul C1\"/>
    </mc:Choice>
  </mc:AlternateContent>
  <xr:revisionPtr revIDLastSave="0" documentId="13_ncr:1_{0A50C220-0C6C-4394-ADA7-AA2AA61D236F}" xr6:coauthVersionLast="46" xr6:coauthVersionMax="47" xr10:uidLastSave="{00000000-0000-0000-0000-000000000000}"/>
  <bookViews>
    <workbookView xWindow="-120" yWindow="-120" windowWidth="29040" windowHeight="15840" xr2:uid="{1C560CD2-3D7B-4D3B-92F0-697F9ACF97A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/>
  <c r="E41" i="1"/>
  <c r="D41" i="1"/>
  <c r="AW10" i="1"/>
  <c r="AX10" i="1"/>
  <c r="AY10" i="1"/>
  <c r="AV10" i="1"/>
  <c r="AW9" i="1"/>
  <c r="AX9" i="1"/>
  <c r="AY9" i="1"/>
  <c r="AV9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4" i="1"/>
  <c r="C39" i="1"/>
  <c r="B39" i="1"/>
  <c r="A39" i="1"/>
  <c r="B7" i="1" s="1"/>
  <c r="D3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4" i="1"/>
  <c r="D5" i="1"/>
  <c r="D6" i="1"/>
  <c r="D7" i="1"/>
  <c r="D8" i="1"/>
  <c r="B5" i="1"/>
  <c r="B6" i="1"/>
  <c r="B9" i="1"/>
  <c r="B10" i="1"/>
  <c r="B11" i="1"/>
  <c r="B12" i="1"/>
  <c r="B13" i="1"/>
  <c r="B14" i="1"/>
  <c r="B17" i="1"/>
  <c r="B18" i="1"/>
  <c r="B19" i="1"/>
  <c r="B20" i="1"/>
  <c r="B21" i="1"/>
  <c r="B22" i="1"/>
  <c r="B25" i="1"/>
  <c r="B26" i="1"/>
  <c r="B27" i="1"/>
  <c r="B28" i="1"/>
  <c r="B29" i="1"/>
  <c r="B30" i="1"/>
  <c r="B33" i="1"/>
  <c r="B34" i="1"/>
  <c r="B35" i="1"/>
  <c r="B36" i="1"/>
  <c r="B4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7" i="1"/>
  <c r="R36" i="1" s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54" i="1"/>
  <c r="R4" i="1"/>
  <c r="W34" i="1" s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54" i="1"/>
  <c r="G64" i="1"/>
  <c r="G83" i="1"/>
  <c r="G128" i="1"/>
  <c r="V26" i="1"/>
  <c r="W29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C55" i="1"/>
  <c r="G55" i="1" s="1"/>
  <c r="C56" i="1"/>
  <c r="G56" i="1" s="1"/>
  <c r="C57" i="1"/>
  <c r="G57" i="1" s="1"/>
  <c r="I57" i="1" s="1"/>
  <c r="J57" i="1" s="1"/>
  <c r="C58" i="1"/>
  <c r="G58" i="1" s="1"/>
  <c r="C59" i="1"/>
  <c r="G59" i="1" s="1"/>
  <c r="C60" i="1"/>
  <c r="G60" i="1" s="1"/>
  <c r="C61" i="1"/>
  <c r="G61" i="1" s="1"/>
  <c r="W61" i="1" s="1"/>
  <c r="C62" i="1"/>
  <c r="G62" i="1" s="1"/>
  <c r="C63" i="1"/>
  <c r="G63" i="1" s="1"/>
  <c r="C64" i="1"/>
  <c r="C65" i="1"/>
  <c r="G65" i="1" s="1"/>
  <c r="I65" i="1" s="1"/>
  <c r="J65" i="1" s="1"/>
  <c r="C66" i="1"/>
  <c r="G66" i="1" s="1"/>
  <c r="C67" i="1"/>
  <c r="G67" i="1" s="1"/>
  <c r="C68" i="1"/>
  <c r="G68" i="1" s="1"/>
  <c r="C69" i="1"/>
  <c r="G69" i="1" s="1"/>
  <c r="W69" i="1" s="1"/>
  <c r="C70" i="1"/>
  <c r="G70" i="1" s="1"/>
  <c r="C71" i="1"/>
  <c r="G71" i="1" s="1"/>
  <c r="C72" i="1"/>
  <c r="G72" i="1" s="1"/>
  <c r="C73" i="1"/>
  <c r="G73" i="1" s="1"/>
  <c r="I73" i="1" s="1"/>
  <c r="J73" i="1" s="1"/>
  <c r="C74" i="1"/>
  <c r="G74" i="1" s="1"/>
  <c r="C75" i="1"/>
  <c r="G75" i="1" s="1"/>
  <c r="C76" i="1"/>
  <c r="G76" i="1" s="1"/>
  <c r="C77" i="1"/>
  <c r="G77" i="1" s="1"/>
  <c r="W77" i="1" s="1"/>
  <c r="C78" i="1"/>
  <c r="G78" i="1" s="1"/>
  <c r="C79" i="1"/>
  <c r="G79" i="1" s="1"/>
  <c r="C80" i="1"/>
  <c r="G80" i="1" s="1"/>
  <c r="C81" i="1"/>
  <c r="G81" i="1" s="1"/>
  <c r="I81" i="1" s="1"/>
  <c r="J81" i="1" s="1"/>
  <c r="C82" i="1"/>
  <c r="G82" i="1" s="1"/>
  <c r="C83" i="1"/>
  <c r="C84" i="1"/>
  <c r="G84" i="1" s="1"/>
  <c r="C85" i="1"/>
  <c r="G85" i="1" s="1"/>
  <c r="W85" i="1" s="1"/>
  <c r="C86" i="1"/>
  <c r="G86" i="1" s="1"/>
  <c r="C87" i="1"/>
  <c r="G87" i="1" s="1"/>
  <c r="C88" i="1"/>
  <c r="G88" i="1" s="1"/>
  <c r="C89" i="1"/>
  <c r="G89" i="1" s="1"/>
  <c r="I89" i="1" s="1"/>
  <c r="J89" i="1" s="1"/>
  <c r="C90" i="1"/>
  <c r="G90" i="1" s="1"/>
  <c r="C91" i="1"/>
  <c r="G91" i="1" s="1"/>
  <c r="C92" i="1"/>
  <c r="G92" i="1" s="1"/>
  <c r="C93" i="1"/>
  <c r="G93" i="1" s="1"/>
  <c r="W93" i="1" s="1"/>
  <c r="C94" i="1"/>
  <c r="G94" i="1" s="1"/>
  <c r="C95" i="1"/>
  <c r="G95" i="1" s="1"/>
  <c r="C96" i="1"/>
  <c r="G96" i="1" s="1"/>
  <c r="C97" i="1"/>
  <c r="G97" i="1" s="1"/>
  <c r="I97" i="1" s="1"/>
  <c r="J97" i="1" s="1"/>
  <c r="C98" i="1"/>
  <c r="G98" i="1" s="1"/>
  <c r="C99" i="1"/>
  <c r="G99" i="1" s="1"/>
  <c r="C100" i="1"/>
  <c r="G100" i="1" s="1"/>
  <c r="C101" i="1"/>
  <c r="G101" i="1" s="1"/>
  <c r="W101" i="1" s="1"/>
  <c r="C102" i="1"/>
  <c r="G102" i="1" s="1"/>
  <c r="C103" i="1"/>
  <c r="G103" i="1" s="1"/>
  <c r="C104" i="1"/>
  <c r="G104" i="1" s="1"/>
  <c r="C105" i="1"/>
  <c r="G105" i="1" s="1"/>
  <c r="I105" i="1" s="1"/>
  <c r="J105" i="1" s="1"/>
  <c r="C106" i="1"/>
  <c r="G106" i="1" s="1"/>
  <c r="C107" i="1"/>
  <c r="G107" i="1" s="1"/>
  <c r="C108" i="1"/>
  <c r="G108" i="1" s="1"/>
  <c r="C109" i="1"/>
  <c r="G109" i="1" s="1"/>
  <c r="W109" i="1" s="1"/>
  <c r="C110" i="1"/>
  <c r="G110" i="1" s="1"/>
  <c r="C111" i="1"/>
  <c r="G111" i="1" s="1"/>
  <c r="C112" i="1"/>
  <c r="G112" i="1" s="1"/>
  <c r="C113" i="1"/>
  <c r="G113" i="1" s="1"/>
  <c r="I113" i="1" s="1"/>
  <c r="J113" i="1" s="1"/>
  <c r="C114" i="1"/>
  <c r="G114" i="1" s="1"/>
  <c r="C115" i="1"/>
  <c r="G115" i="1" s="1"/>
  <c r="C116" i="1"/>
  <c r="G116" i="1" s="1"/>
  <c r="C117" i="1"/>
  <c r="G117" i="1" s="1"/>
  <c r="W117" i="1" s="1"/>
  <c r="C118" i="1"/>
  <c r="G118" i="1" s="1"/>
  <c r="C119" i="1"/>
  <c r="G119" i="1" s="1"/>
  <c r="C120" i="1"/>
  <c r="G120" i="1" s="1"/>
  <c r="C121" i="1"/>
  <c r="G121" i="1" s="1"/>
  <c r="I121" i="1" s="1"/>
  <c r="J121" i="1" s="1"/>
  <c r="C122" i="1"/>
  <c r="G122" i="1" s="1"/>
  <c r="C123" i="1"/>
  <c r="G123" i="1" s="1"/>
  <c r="C124" i="1"/>
  <c r="G124" i="1" s="1"/>
  <c r="C125" i="1"/>
  <c r="G125" i="1" s="1"/>
  <c r="W125" i="1" s="1"/>
  <c r="C126" i="1"/>
  <c r="G126" i="1" s="1"/>
  <c r="C127" i="1"/>
  <c r="G127" i="1" s="1"/>
  <c r="C128" i="1"/>
  <c r="E54" i="1"/>
  <c r="C54" i="1"/>
  <c r="G54" i="1" s="1"/>
  <c r="O46" i="1"/>
  <c r="Q46" i="1" s="1"/>
  <c r="X46" i="1" s="1"/>
  <c r="I46" i="1"/>
  <c r="I47" i="1"/>
  <c r="I48" i="1"/>
  <c r="I50" i="1"/>
  <c r="I49" i="1"/>
  <c r="H46" i="1"/>
  <c r="K46" i="1" s="1"/>
  <c r="H47" i="1"/>
  <c r="H48" i="1"/>
  <c r="H49" i="1"/>
  <c r="H50" i="1"/>
  <c r="AL54" i="1"/>
  <c r="AK54" i="1" s="1"/>
  <c r="AL55" i="1"/>
  <c r="AK55" i="1" s="1"/>
  <c r="AL56" i="1"/>
  <c r="AK56" i="1" s="1"/>
  <c r="AL57" i="1"/>
  <c r="AK57" i="1" s="1"/>
  <c r="AL58" i="1"/>
  <c r="AK58" i="1" s="1"/>
  <c r="AL59" i="1"/>
  <c r="AK59" i="1" s="1"/>
  <c r="AL60" i="1"/>
  <c r="AK60" i="1" s="1"/>
  <c r="AL61" i="1"/>
  <c r="AK61" i="1" s="1"/>
  <c r="AL62" i="1"/>
  <c r="AK62" i="1" s="1"/>
  <c r="F62" i="1"/>
  <c r="AL63" i="1"/>
  <c r="AK63" i="1" s="1"/>
  <c r="F63" i="1"/>
  <c r="AL64" i="1"/>
  <c r="AK64" i="1" s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46" i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46" i="1"/>
  <c r="E146" i="1" s="1"/>
  <c r="D146" i="1"/>
  <c r="G146" i="1" s="1"/>
  <c r="D147" i="1"/>
  <c r="G147" i="1" s="1"/>
  <c r="D148" i="1"/>
  <c r="G148" i="1" s="1"/>
  <c r="D149" i="1"/>
  <c r="G149" i="1" s="1"/>
  <c r="D150" i="1"/>
  <c r="G150" i="1" s="1"/>
  <c r="D151" i="1"/>
  <c r="D152" i="1"/>
  <c r="G152" i="1" s="1"/>
  <c r="D153" i="1"/>
  <c r="G153" i="1" s="1"/>
  <c r="D154" i="1"/>
  <c r="G154" i="1" s="1"/>
  <c r="D155" i="1"/>
  <c r="G155" i="1" s="1"/>
  <c r="D156" i="1"/>
  <c r="G156" i="1" s="1"/>
  <c r="D157" i="1"/>
  <c r="G157" i="1" s="1"/>
  <c r="D158" i="1"/>
  <c r="G158" i="1" s="1"/>
  <c r="D159" i="1"/>
  <c r="D160" i="1"/>
  <c r="G160" i="1" s="1"/>
  <c r="D161" i="1"/>
  <c r="G161" i="1" s="1"/>
  <c r="D162" i="1"/>
  <c r="G162" i="1" s="1"/>
  <c r="D163" i="1"/>
  <c r="G163" i="1" s="1"/>
  <c r="D164" i="1"/>
  <c r="G164" i="1" s="1"/>
  <c r="D165" i="1"/>
  <c r="G165" i="1" s="1"/>
  <c r="AL65" i="1"/>
  <c r="AK65" i="1" s="1"/>
  <c r="AL66" i="1"/>
  <c r="AK66" i="1" s="1"/>
  <c r="AL67" i="1"/>
  <c r="AK67" i="1" s="1"/>
  <c r="AL68" i="1"/>
  <c r="AK68" i="1" s="1"/>
  <c r="AL69" i="1"/>
  <c r="AK69" i="1" s="1"/>
  <c r="AL70" i="1"/>
  <c r="AK70" i="1" s="1"/>
  <c r="AL71" i="1"/>
  <c r="AK71" i="1" s="1"/>
  <c r="AL72" i="1"/>
  <c r="AK72" i="1" s="1"/>
  <c r="AL73" i="1"/>
  <c r="AK73" i="1" s="1"/>
  <c r="AL74" i="1"/>
  <c r="AK74" i="1" s="1"/>
  <c r="AL75" i="1"/>
  <c r="AK75" i="1" s="1"/>
  <c r="AL76" i="1"/>
  <c r="AK76" i="1" s="1"/>
  <c r="AL77" i="1"/>
  <c r="AK77" i="1" s="1"/>
  <c r="AL78" i="1"/>
  <c r="AK78" i="1" s="1"/>
  <c r="AL79" i="1"/>
  <c r="AK79" i="1" s="1"/>
  <c r="AL80" i="1"/>
  <c r="AK80" i="1" s="1"/>
  <c r="AL81" i="1"/>
  <c r="AK81" i="1" s="1"/>
  <c r="AL82" i="1"/>
  <c r="AK82" i="1" s="1"/>
  <c r="AL83" i="1"/>
  <c r="AK83" i="1" s="1"/>
  <c r="AL84" i="1"/>
  <c r="AK84" i="1" s="1"/>
  <c r="AL85" i="1"/>
  <c r="AK85" i="1" s="1"/>
  <c r="AL86" i="1"/>
  <c r="AK86" i="1" s="1"/>
  <c r="AL87" i="1"/>
  <c r="AK87" i="1" s="1"/>
  <c r="AL88" i="1"/>
  <c r="AK88" i="1" s="1"/>
  <c r="AL89" i="1"/>
  <c r="AK89" i="1" s="1"/>
  <c r="AL90" i="1"/>
  <c r="AK90" i="1" s="1"/>
  <c r="AL91" i="1"/>
  <c r="AK91" i="1" s="1"/>
  <c r="AL92" i="1"/>
  <c r="AK92" i="1" s="1"/>
  <c r="AL93" i="1"/>
  <c r="AK93" i="1" s="1"/>
  <c r="AL94" i="1"/>
  <c r="AK94" i="1" s="1"/>
  <c r="AL95" i="1"/>
  <c r="AK95" i="1" s="1"/>
  <c r="AL96" i="1"/>
  <c r="AK96" i="1" s="1"/>
  <c r="AL97" i="1"/>
  <c r="AK97" i="1" s="1"/>
  <c r="AL98" i="1"/>
  <c r="AK98" i="1" s="1"/>
  <c r="AL99" i="1"/>
  <c r="AK99" i="1" s="1"/>
  <c r="AL100" i="1"/>
  <c r="AK100" i="1" s="1"/>
  <c r="AL101" i="1"/>
  <c r="AK101" i="1" s="1"/>
  <c r="AL102" i="1"/>
  <c r="AK102" i="1" s="1"/>
  <c r="AL103" i="1"/>
  <c r="AK103" i="1" s="1"/>
  <c r="AL104" i="1"/>
  <c r="AK104" i="1" s="1"/>
  <c r="AL105" i="1"/>
  <c r="AK105" i="1" s="1"/>
  <c r="AL106" i="1"/>
  <c r="AK106" i="1" s="1"/>
  <c r="AL107" i="1"/>
  <c r="AK107" i="1" s="1"/>
  <c r="AL108" i="1"/>
  <c r="AK108" i="1" s="1"/>
  <c r="AL109" i="1"/>
  <c r="AK109" i="1" s="1"/>
  <c r="AL110" i="1"/>
  <c r="AK110" i="1" s="1"/>
  <c r="AL111" i="1"/>
  <c r="AK111" i="1" s="1"/>
  <c r="AL112" i="1"/>
  <c r="AK112" i="1" s="1"/>
  <c r="AL113" i="1"/>
  <c r="AK113" i="1" s="1"/>
  <c r="AL114" i="1"/>
  <c r="AK114" i="1" s="1"/>
  <c r="AL115" i="1"/>
  <c r="AK115" i="1" s="1"/>
  <c r="AL116" i="1"/>
  <c r="AK116" i="1" s="1"/>
  <c r="AL117" i="1"/>
  <c r="AK117" i="1" s="1"/>
  <c r="AL118" i="1"/>
  <c r="AK118" i="1" s="1"/>
  <c r="AL119" i="1"/>
  <c r="AK119" i="1" s="1"/>
  <c r="AL120" i="1"/>
  <c r="AK120" i="1" s="1"/>
  <c r="AL121" i="1"/>
  <c r="AK121" i="1" s="1"/>
  <c r="AL122" i="1"/>
  <c r="AK122" i="1" s="1"/>
  <c r="AL123" i="1"/>
  <c r="AK123" i="1" s="1"/>
  <c r="AL124" i="1"/>
  <c r="AK124" i="1" s="1"/>
  <c r="AL125" i="1"/>
  <c r="AK125" i="1" s="1"/>
  <c r="AL126" i="1"/>
  <c r="AK126" i="1" s="1"/>
  <c r="AL127" i="1"/>
  <c r="AK127" i="1" s="1"/>
  <c r="AL128" i="1"/>
  <c r="AK128" i="1" s="1"/>
  <c r="AS55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G5" i="1"/>
  <c r="A5" i="1" s="1"/>
  <c r="G6" i="1"/>
  <c r="A6" i="1" s="1"/>
  <c r="G7" i="1"/>
  <c r="A7" i="1" s="1"/>
  <c r="G8" i="1"/>
  <c r="A8" i="1" s="1"/>
  <c r="G9" i="1"/>
  <c r="A9" i="1" s="1"/>
  <c r="G10" i="1"/>
  <c r="Z10" i="1" s="1"/>
  <c r="G11" i="1"/>
  <c r="V11" i="1" s="1"/>
  <c r="G12" i="1"/>
  <c r="V12" i="1" s="1"/>
  <c r="G13" i="1"/>
  <c r="A13" i="1" s="1"/>
  <c r="G14" i="1"/>
  <c r="A14" i="1" s="1"/>
  <c r="G15" i="1"/>
  <c r="A15" i="1" s="1"/>
  <c r="G16" i="1"/>
  <c r="A16" i="1" s="1"/>
  <c r="G17" i="1"/>
  <c r="A17" i="1" s="1"/>
  <c r="G18" i="1"/>
  <c r="Z18" i="1" s="1"/>
  <c r="G19" i="1"/>
  <c r="V19" i="1" s="1"/>
  <c r="G20" i="1"/>
  <c r="V20" i="1" s="1"/>
  <c r="G21" i="1"/>
  <c r="A21" i="1" s="1"/>
  <c r="G22" i="1"/>
  <c r="A22" i="1" s="1"/>
  <c r="G23" i="1"/>
  <c r="A23" i="1" s="1"/>
  <c r="G24" i="1"/>
  <c r="A24" i="1" s="1"/>
  <c r="G25" i="1"/>
  <c r="A25" i="1" s="1"/>
  <c r="G26" i="1"/>
  <c r="Z26" i="1" s="1"/>
  <c r="G27" i="1"/>
  <c r="V27" i="1" s="1"/>
  <c r="G28" i="1"/>
  <c r="V28" i="1" s="1"/>
  <c r="G29" i="1"/>
  <c r="A29" i="1" s="1"/>
  <c r="G30" i="1"/>
  <c r="A30" i="1" s="1"/>
  <c r="G31" i="1"/>
  <c r="A31" i="1" s="1"/>
  <c r="G32" i="1"/>
  <c r="A32" i="1" s="1"/>
  <c r="G33" i="1"/>
  <c r="A33" i="1" s="1"/>
  <c r="G34" i="1"/>
  <c r="Z34" i="1" s="1"/>
  <c r="G35" i="1"/>
  <c r="V35" i="1" s="1"/>
  <c r="G36" i="1"/>
  <c r="V36" i="1" s="1"/>
  <c r="G4" i="1"/>
  <c r="A4" i="1" s="1"/>
  <c r="B32" i="1" l="1"/>
  <c r="B24" i="1"/>
  <c r="B16" i="1"/>
  <c r="B8" i="1"/>
  <c r="B31" i="1"/>
  <c r="B23" i="1"/>
  <c r="B15" i="1"/>
  <c r="V34" i="1"/>
  <c r="S36" i="1"/>
  <c r="V18" i="1"/>
  <c r="V10" i="1"/>
  <c r="Z33" i="1"/>
  <c r="Z25" i="1"/>
  <c r="Z17" i="1"/>
  <c r="Z9" i="1"/>
  <c r="A36" i="1"/>
  <c r="A28" i="1"/>
  <c r="A20" i="1"/>
  <c r="A12" i="1"/>
  <c r="W26" i="1"/>
  <c r="X26" i="1" s="1"/>
  <c r="AR27" i="1" s="1"/>
  <c r="V33" i="1"/>
  <c r="V25" i="1"/>
  <c r="V17" i="1"/>
  <c r="V9" i="1"/>
  <c r="Z32" i="1"/>
  <c r="Z24" i="1"/>
  <c r="Z16" i="1"/>
  <c r="Z8" i="1"/>
  <c r="A35" i="1"/>
  <c r="A27" i="1"/>
  <c r="A19" i="1"/>
  <c r="A11" i="1"/>
  <c r="W21" i="1"/>
  <c r="V32" i="1"/>
  <c r="V24" i="1"/>
  <c r="V16" i="1"/>
  <c r="V8" i="1"/>
  <c r="Z31" i="1"/>
  <c r="Z23" i="1"/>
  <c r="Z15" i="1"/>
  <c r="Z7" i="1"/>
  <c r="A34" i="1"/>
  <c r="A26" i="1"/>
  <c r="A18" i="1"/>
  <c r="A10" i="1"/>
  <c r="W18" i="1"/>
  <c r="X18" i="1" s="1"/>
  <c r="AR19" i="1" s="1"/>
  <c r="V31" i="1"/>
  <c r="V23" i="1"/>
  <c r="V15" i="1"/>
  <c r="V7" i="1"/>
  <c r="Z30" i="1"/>
  <c r="Z22" i="1"/>
  <c r="Z14" i="1"/>
  <c r="Z6" i="1"/>
  <c r="K50" i="1"/>
  <c r="W13" i="1"/>
  <c r="V30" i="1"/>
  <c r="V22" i="1"/>
  <c r="V14" i="1"/>
  <c r="V6" i="1"/>
  <c r="Z4" i="1"/>
  <c r="Z29" i="1"/>
  <c r="Z21" i="1"/>
  <c r="Z13" i="1"/>
  <c r="Z5" i="1"/>
  <c r="V4" i="1"/>
  <c r="W10" i="1"/>
  <c r="X10" i="1" s="1"/>
  <c r="AR11" i="1" s="1"/>
  <c r="V29" i="1"/>
  <c r="X29" i="1" s="1"/>
  <c r="V21" i="1"/>
  <c r="V13" i="1"/>
  <c r="V5" i="1"/>
  <c r="Z36" i="1"/>
  <c r="Z28" i="1"/>
  <c r="Z20" i="1"/>
  <c r="Z12" i="1"/>
  <c r="W4" i="1"/>
  <c r="W5" i="1"/>
  <c r="X5" i="1" s="1"/>
  <c r="AP6" i="1" s="1"/>
  <c r="Z35" i="1"/>
  <c r="Z27" i="1"/>
  <c r="Z19" i="1"/>
  <c r="Z11" i="1"/>
  <c r="I54" i="1"/>
  <c r="J54" i="1" s="1"/>
  <c r="W36" i="1"/>
  <c r="X36" i="1" s="1"/>
  <c r="AD36" i="1" s="1"/>
  <c r="W28" i="1"/>
  <c r="W20" i="1"/>
  <c r="X20" i="1" s="1"/>
  <c r="W12" i="1"/>
  <c r="X12" i="1" s="1"/>
  <c r="W35" i="1"/>
  <c r="X35" i="1" s="1"/>
  <c r="AD35" i="1" s="1"/>
  <c r="W27" i="1"/>
  <c r="X27" i="1" s="1"/>
  <c r="W19" i="1"/>
  <c r="X19" i="1" s="1"/>
  <c r="AR20" i="1" s="1"/>
  <c r="W11" i="1"/>
  <c r="X11" i="1" s="1"/>
  <c r="AQ12" i="1" s="1"/>
  <c r="I128" i="1"/>
  <c r="K128" i="1" s="1"/>
  <c r="R128" i="1" s="1"/>
  <c r="U128" i="1" s="1"/>
  <c r="W124" i="1"/>
  <c r="I120" i="1"/>
  <c r="J120" i="1" s="1"/>
  <c r="W116" i="1"/>
  <c r="I112" i="1"/>
  <c r="K112" i="1" s="1"/>
  <c r="R112" i="1" s="1"/>
  <c r="U112" i="1" s="1"/>
  <c r="W108" i="1"/>
  <c r="I104" i="1"/>
  <c r="J104" i="1" s="1"/>
  <c r="W100" i="1"/>
  <c r="I96" i="1"/>
  <c r="N96" i="1" s="1"/>
  <c r="W92" i="1"/>
  <c r="I88" i="1"/>
  <c r="J88" i="1" s="1"/>
  <c r="W84" i="1"/>
  <c r="I80" i="1"/>
  <c r="W76" i="1"/>
  <c r="I72" i="1"/>
  <c r="J72" i="1" s="1"/>
  <c r="W68" i="1"/>
  <c r="I64" i="1"/>
  <c r="K64" i="1" s="1"/>
  <c r="R64" i="1" s="1"/>
  <c r="U64" i="1" s="1"/>
  <c r="W60" i="1"/>
  <c r="I56" i="1"/>
  <c r="J56" i="1" s="1"/>
  <c r="AQ27" i="1"/>
  <c r="AH26" i="1"/>
  <c r="W33" i="1"/>
  <c r="W25" i="1"/>
  <c r="W17" i="1"/>
  <c r="X17" i="1" s="1"/>
  <c r="W9" i="1"/>
  <c r="X9" i="1" s="1"/>
  <c r="AP10" i="1" s="1"/>
  <c r="I127" i="1"/>
  <c r="W123" i="1"/>
  <c r="I119" i="1"/>
  <c r="J119" i="1" s="1"/>
  <c r="W115" i="1"/>
  <c r="I111" i="1"/>
  <c r="J111" i="1" s="1"/>
  <c r="W107" i="1"/>
  <c r="I103" i="1"/>
  <c r="J103" i="1" s="1"/>
  <c r="W99" i="1"/>
  <c r="I95" i="1"/>
  <c r="J95" i="1" s="1"/>
  <c r="W91" i="1"/>
  <c r="I87" i="1"/>
  <c r="J87" i="1" s="1"/>
  <c r="W83" i="1"/>
  <c r="I79" i="1"/>
  <c r="J79" i="1" s="1"/>
  <c r="W75" i="1"/>
  <c r="I71" i="1"/>
  <c r="J71" i="1" s="1"/>
  <c r="W67" i="1"/>
  <c r="I63" i="1"/>
  <c r="J63" i="1" s="1"/>
  <c r="W59" i="1"/>
  <c r="I55" i="1"/>
  <c r="J55" i="1" s="1"/>
  <c r="W32" i="1"/>
  <c r="W24" i="1"/>
  <c r="X24" i="1" s="1"/>
  <c r="AF24" i="1" s="1"/>
  <c r="W16" i="1"/>
  <c r="X16" i="1" s="1"/>
  <c r="AR17" i="1" s="1"/>
  <c r="W8" i="1"/>
  <c r="W31" i="1"/>
  <c r="X31" i="1" s="1"/>
  <c r="W23" i="1"/>
  <c r="X23" i="1" s="1"/>
  <c r="AO24" i="1" s="1"/>
  <c r="W15" i="1"/>
  <c r="X15" i="1" s="1"/>
  <c r="AS16" i="1" s="1"/>
  <c r="W7" i="1"/>
  <c r="I126" i="1"/>
  <c r="N126" i="1" s="1"/>
  <c r="W122" i="1"/>
  <c r="I110" i="1"/>
  <c r="W106" i="1"/>
  <c r="I102" i="1"/>
  <c r="J102" i="1" s="1"/>
  <c r="W98" i="1"/>
  <c r="I94" i="1"/>
  <c r="N94" i="1" s="1"/>
  <c r="W90" i="1"/>
  <c r="I86" i="1"/>
  <c r="J86" i="1" s="1"/>
  <c r="W82" i="1"/>
  <c r="I78" i="1"/>
  <c r="W74" i="1"/>
  <c r="I70" i="1"/>
  <c r="J70" i="1" s="1"/>
  <c r="W66" i="1"/>
  <c r="I62" i="1"/>
  <c r="K62" i="1" s="1"/>
  <c r="R62" i="1" s="1"/>
  <c r="U62" i="1" s="1"/>
  <c r="W58" i="1"/>
  <c r="AQ19" i="1"/>
  <c r="W30" i="1"/>
  <c r="W22" i="1"/>
  <c r="W14" i="1"/>
  <c r="W6" i="1"/>
  <c r="AH18" i="1"/>
  <c r="AO6" i="1"/>
  <c r="AS28" i="1"/>
  <c r="AP27" i="1"/>
  <c r="AS20" i="1"/>
  <c r="AP19" i="1"/>
  <c r="AS12" i="1"/>
  <c r="AP11" i="1"/>
  <c r="I98" i="1"/>
  <c r="W102" i="1"/>
  <c r="AO27" i="1"/>
  <c r="AQ25" i="1"/>
  <c r="AR12" i="1"/>
  <c r="AO11" i="1"/>
  <c r="AF36" i="1"/>
  <c r="AF35" i="1"/>
  <c r="AF27" i="1"/>
  <c r="AF26" i="1"/>
  <c r="AF19" i="1"/>
  <c r="AF18" i="1"/>
  <c r="AF17" i="1"/>
  <c r="AF11" i="1"/>
  <c r="AF9" i="1"/>
  <c r="I90" i="1"/>
  <c r="J90" i="1" s="1"/>
  <c r="AQ28" i="1"/>
  <c r="AQ20" i="1"/>
  <c r="AS18" i="1"/>
  <c r="AP17" i="1"/>
  <c r="AS10" i="1"/>
  <c r="W86" i="1"/>
  <c r="AS37" i="1"/>
  <c r="AR18" i="1"/>
  <c r="AO17" i="1"/>
  <c r="AP12" i="1"/>
  <c r="AR10" i="1"/>
  <c r="AD27" i="1"/>
  <c r="AD26" i="1"/>
  <c r="AD19" i="1"/>
  <c r="AD18" i="1"/>
  <c r="AD17" i="1"/>
  <c r="AD11" i="1"/>
  <c r="AO36" i="1"/>
  <c r="AQ18" i="1"/>
  <c r="AO12" i="1"/>
  <c r="AQ10" i="1"/>
  <c r="I66" i="1"/>
  <c r="J66" i="1" s="1"/>
  <c r="W70" i="1"/>
  <c r="AS27" i="1"/>
  <c r="AR24" i="1"/>
  <c r="AS19" i="1"/>
  <c r="AP18" i="1"/>
  <c r="AB26" i="1"/>
  <c r="AB18" i="1"/>
  <c r="AB17" i="1"/>
  <c r="I122" i="1"/>
  <c r="J122" i="1" s="1"/>
  <c r="I58" i="1"/>
  <c r="W126" i="1"/>
  <c r="N88" i="1"/>
  <c r="N55" i="1"/>
  <c r="K119" i="1"/>
  <c r="R119" i="1" s="1"/>
  <c r="U119" i="1" s="1"/>
  <c r="K126" i="1"/>
  <c r="R126" i="1" s="1"/>
  <c r="U126" i="1" s="1"/>
  <c r="K94" i="1"/>
  <c r="R94" i="1" s="1"/>
  <c r="U94" i="1" s="1"/>
  <c r="N121" i="1"/>
  <c r="K121" i="1"/>
  <c r="R121" i="1" s="1"/>
  <c r="U121" i="1" s="1"/>
  <c r="M121" i="1"/>
  <c r="N113" i="1"/>
  <c r="K113" i="1"/>
  <c r="R113" i="1" s="1"/>
  <c r="U113" i="1" s="1"/>
  <c r="M113" i="1"/>
  <c r="N105" i="1"/>
  <c r="M105" i="1"/>
  <c r="K105" i="1"/>
  <c r="R105" i="1" s="1"/>
  <c r="U105" i="1" s="1"/>
  <c r="N97" i="1"/>
  <c r="K97" i="1"/>
  <c r="R97" i="1" s="1"/>
  <c r="U97" i="1" s="1"/>
  <c r="M97" i="1"/>
  <c r="N89" i="1"/>
  <c r="K89" i="1"/>
  <c r="R89" i="1" s="1"/>
  <c r="U89" i="1" s="1"/>
  <c r="M89" i="1"/>
  <c r="N81" i="1"/>
  <c r="K81" i="1"/>
  <c r="R81" i="1" s="1"/>
  <c r="U81" i="1" s="1"/>
  <c r="M81" i="1"/>
  <c r="N73" i="1"/>
  <c r="K73" i="1"/>
  <c r="R73" i="1" s="1"/>
  <c r="U73" i="1" s="1"/>
  <c r="M73" i="1"/>
  <c r="N65" i="1"/>
  <c r="K65" i="1"/>
  <c r="R65" i="1" s="1"/>
  <c r="U65" i="1" s="1"/>
  <c r="M65" i="1"/>
  <c r="N57" i="1"/>
  <c r="K57" i="1"/>
  <c r="R57" i="1" s="1"/>
  <c r="U57" i="1" s="1"/>
  <c r="M57" i="1"/>
  <c r="M54" i="1"/>
  <c r="K54" i="1"/>
  <c r="R54" i="1" s="1"/>
  <c r="U54" i="1" s="1"/>
  <c r="I125" i="1"/>
  <c r="J125" i="1" s="1"/>
  <c r="I117" i="1"/>
  <c r="J117" i="1" s="1"/>
  <c r="I109" i="1"/>
  <c r="J109" i="1" s="1"/>
  <c r="I101" i="1"/>
  <c r="J101" i="1" s="1"/>
  <c r="I93" i="1"/>
  <c r="J93" i="1" s="1"/>
  <c r="I85" i="1"/>
  <c r="J85" i="1" s="1"/>
  <c r="I77" i="1"/>
  <c r="J77" i="1" s="1"/>
  <c r="I69" i="1"/>
  <c r="J69" i="1" s="1"/>
  <c r="I61" i="1"/>
  <c r="J61" i="1" s="1"/>
  <c r="W54" i="1"/>
  <c r="W121" i="1"/>
  <c r="W113" i="1"/>
  <c r="W105" i="1"/>
  <c r="W97" i="1"/>
  <c r="W89" i="1"/>
  <c r="W81" i="1"/>
  <c r="W73" i="1"/>
  <c r="W65" i="1"/>
  <c r="W57" i="1"/>
  <c r="I124" i="1"/>
  <c r="J124" i="1" s="1"/>
  <c r="I116" i="1"/>
  <c r="J116" i="1" s="1"/>
  <c r="I108" i="1"/>
  <c r="J108" i="1" s="1"/>
  <c r="I100" i="1"/>
  <c r="J100" i="1" s="1"/>
  <c r="I92" i="1"/>
  <c r="J92" i="1" s="1"/>
  <c r="I76" i="1"/>
  <c r="J76" i="1" s="1"/>
  <c r="I68" i="1"/>
  <c r="J68" i="1" s="1"/>
  <c r="I60" i="1"/>
  <c r="J60" i="1" s="1"/>
  <c r="W128" i="1"/>
  <c r="W120" i="1"/>
  <c r="W104" i="1"/>
  <c r="W96" i="1"/>
  <c r="W88" i="1"/>
  <c r="W72" i="1"/>
  <c r="W64" i="1"/>
  <c r="W56" i="1"/>
  <c r="X25" i="1"/>
  <c r="Y25" i="1" s="1"/>
  <c r="I123" i="1"/>
  <c r="J123" i="1" s="1"/>
  <c r="I115" i="1"/>
  <c r="J115" i="1" s="1"/>
  <c r="I107" i="1"/>
  <c r="J107" i="1" s="1"/>
  <c r="I99" i="1"/>
  <c r="J99" i="1" s="1"/>
  <c r="I91" i="1"/>
  <c r="J91" i="1" s="1"/>
  <c r="I83" i="1"/>
  <c r="J83" i="1" s="1"/>
  <c r="I75" i="1"/>
  <c r="J75" i="1" s="1"/>
  <c r="I59" i="1"/>
  <c r="J59" i="1" s="1"/>
  <c r="W119" i="1"/>
  <c r="W111" i="1"/>
  <c r="W103" i="1"/>
  <c r="W87" i="1"/>
  <c r="W79" i="1"/>
  <c r="W71" i="1"/>
  <c r="W55" i="1"/>
  <c r="Y11" i="1"/>
  <c r="Y27" i="1"/>
  <c r="Y19" i="1"/>
  <c r="Y17" i="1"/>
  <c r="Y26" i="1"/>
  <c r="Y24" i="1"/>
  <c r="Y16" i="1"/>
  <c r="X30" i="1"/>
  <c r="X14" i="1"/>
  <c r="X28" i="1"/>
  <c r="X34" i="1"/>
  <c r="L46" i="1"/>
  <c r="L50" i="1"/>
  <c r="K49" i="1"/>
  <c r="L49" i="1" s="1"/>
  <c r="O45" i="1"/>
  <c r="Q45" i="1" s="1"/>
  <c r="X45" i="1" s="1"/>
  <c r="K48" i="1"/>
  <c r="L48" i="1" s="1"/>
  <c r="K47" i="1"/>
  <c r="L47" i="1" s="1"/>
  <c r="H162" i="1"/>
  <c r="H164" i="1"/>
  <c r="H156" i="1"/>
  <c r="H148" i="1"/>
  <c r="H163" i="1"/>
  <c r="H155" i="1"/>
  <c r="H147" i="1"/>
  <c r="H146" i="1"/>
  <c r="H159" i="1"/>
  <c r="H151" i="1"/>
  <c r="H154" i="1"/>
  <c r="H150" i="1"/>
  <c r="AS84" i="1"/>
  <c r="AS76" i="1"/>
  <c r="AS67" i="1"/>
  <c r="AS59" i="1"/>
  <c r="H158" i="1"/>
  <c r="AS83" i="1"/>
  <c r="AS75" i="1"/>
  <c r="AS66" i="1"/>
  <c r="AS58" i="1"/>
  <c r="G151" i="1"/>
  <c r="H165" i="1"/>
  <c r="H157" i="1"/>
  <c r="H149" i="1"/>
  <c r="AS82" i="1"/>
  <c r="AS74" i="1"/>
  <c r="AS65" i="1"/>
  <c r="AS57" i="1"/>
  <c r="AS87" i="1"/>
  <c r="AS79" i="1"/>
  <c r="AS71" i="1"/>
  <c r="AS62" i="1"/>
  <c r="G159" i="1"/>
  <c r="H161" i="1"/>
  <c r="H153" i="1"/>
  <c r="AS81" i="1"/>
  <c r="AS73" i="1"/>
  <c r="AS64" i="1"/>
  <c r="AS56" i="1"/>
  <c r="AS72" i="1"/>
  <c r="AS69" i="1"/>
  <c r="AS86" i="1"/>
  <c r="AS78" i="1"/>
  <c r="AS70" i="1"/>
  <c r="AS61" i="1"/>
  <c r="H160" i="1"/>
  <c r="H152" i="1"/>
  <c r="AS80" i="1"/>
  <c r="AS63" i="1"/>
  <c r="AS85" i="1"/>
  <c r="AS77" i="1"/>
  <c r="AS68" i="1"/>
  <c r="AS60" i="1"/>
  <c r="T4" i="1"/>
  <c r="E39" i="1" l="1"/>
  <c r="D39" i="1"/>
  <c r="Y29" i="1"/>
  <c r="AP30" i="1"/>
  <c r="M88" i="1"/>
  <c r="K88" i="1"/>
  <c r="R88" i="1" s="1"/>
  <c r="U88" i="1" s="1"/>
  <c r="N120" i="1"/>
  <c r="K122" i="1"/>
  <c r="R122" i="1" s="1"/>
  <c r="U122" i="1" s="1"/>
  <c r="K90" i="1"/>
  <c r="R90" i="1" s="1"/>
  <c r="U90" i="1" s="1"/>
  <c r="M120" i="1"/>
  <c r="L120" i="1" s="1"/>
  <c r="S120" i="1" s="1"/>
  <c r="N122" i="1"/>
  <c r="N90" i="1"/>
  <c r="K120" i="1"/>
  <c r="R120" i="1" s="1"/>
  <c r="U120" i="1" s="1"/>
  <c r="X33" i="1"/>
  <c r="M122" i="1"/>
  <c r="M90" i="1"/>
  <c r="N62" i="1"/>
  <c r="N56" i="1"/>
  <c r="AB5" i="1"/>
  <c r="M87" i="1"/>
  <c r="N64" i="1"/>
  <c r="N128" i="1"/>
  <c r="AB36" i="1"/>
  <c r="AK36" i="1" s="1"/>
  <c r="AO20" i="1"/>
  <c r="AK27" i="1"/>
  <c r="AR6" i="1"/>
  <c r="AG5" i="1" s="1"/>
  <c r="AL18" i="1"/>
  <c r="Y15" i="1"/>
  <c r="Y10" i="1"/>
  <c r="Y36" i="1"/>
  <c r="M111" i="1"/>
  <c r="N86" i="1"/>
  <c r="N87" i="1"/>
  <c r="N79" i="1"/>
  <c r="K96" i="1"/>
  <c r="R96" i="1" s="1"/>
  <c r="U96" i="1" s="1"/>
  <c r="AQ34" i="1"/>
  <c r="AD15" i="1"/>
  <c r="AD29" i="1"/>
  <c r="AO30" i="1"/>
  <c r="AF15" i="1"/>
  <c r="AF29" i="1"/>
  <c r="AQ30" i="1"/>
  <c r="AH5" i="1"/>
  <c r="X6" i="1"/>
  <c r="AQ11" i="1"/>
  <c r="X21" i="1"/>
  <c r="AK26" i="1"/>
  <c r="AL26" i="1"/>
  <c r="Y5" i="1"/>
  <c r="AE5" i="1" s="1"/>
  <c r="K55" i="1"/>
  <c r="R55" i="1" s="1"/>
  <c r="U55" i="1" s="1"/>
  <c r="AB10" i="1"/>
  <c r="AQ37" i="1"/>
  <c r="Y23" i="1"/>
  <c r="Y18" i="1"/>
  <c r="L89" i="1"/>
  <c r="S89" i="1" s="1"/>
  <c r="N111" i="1"/>
  <c r="M86" i="1"/>
  <c r="L86" i="1" s="1"/>
  <c r="S86" i="1" s="1"/>
  <c r="K87" i="1"/>
  <c r="R87" i="1" s="1"/>
  <c r="U87" i="1" s="1"/>
  <c r="M79" i="1"/>
  <c r="N72" i="1"/>
  <c r="N104" i="1"/>
  <c r="AB15" i="1"/>
  <c r="AS11" i="1"/>
  <c r="AI10" i="1" s="1"/>
  <c r="AD16" i="1"/>
  <c r="AP20" i="1"/>
  <c r="AC19" i="1" s="1"/>
  <c r="AF16" i="1"/>
  <c r="AQ17" i="1"/>
  <c r="AO16" i="1"/>
  <c r="AF5" i="1"/>
  <c r="AH10" i="1"/>
  <c r="AR30" i="1"/>
  <c r="AH29" i="1"/>
  <c r="X13" i="1"/>
  <c r="N54" i="1"/>
  <c r="L54" i="1" s="1"/>
  <c r="S54" i="1" s="1"/>
  <c r="K111" i="1"/>
  <c r="R111" i="1" s="1"/>
  <c r="U111" i="1" s="1"/>
  <c r="K86" i="1"/>
  <c r="R86" i="1" s="1"/>
  <c r="U86" i="1" s="1"/>
  <c r="N119" i="1"/>
  <c r="K79" i="1"/>
  <c r="R79" i="1" s="1"/>
  <c r="U79" i="1" s="1"/>
  <c r="M72" i="1"/>
  <c r="L72" i="1" s="1"/>
  <c r="S72" i="1" s="1"/>
  <c r="M104" i="1"/>
  <c r="AS30" i="1"/>
  <c r="AR16" i="1"/>
  <c r="AG15" i="1" s="1"/>
  <c r="AR37" i="1"/>
  <c r="AK17" i="1"/>
  <c r="AD33" i="1"/>
  <c r="AF33" i="1"/>
  <c r="AO19" i="1"/>
  <c r="AI18" i="1" s="1"/>
  <c r="AD5" i="1"/>
  <c r="X22" i="1"/>
  <c r="AQ23" i="1" s="1"/>
  <c r="X8" i="1"/>
  <c r="AH8" i="1" s="1"/>
  <c r="M119" i="1"/>
  <c r="K72" i="1"/>
  <c r="R72" i="1" s="1"/>
  <c r="U72" i="1" s="1"/>
  <c r="K104" i="1"/>
  <c r="R104" i="1" s="1"/>
  <c r="U104" i="1" s="1"/>
  <c r="AK18" i="1"/>
  <c r="AR34" i="1"/>
  <c r="AQ6" i="1"/>
  <c r="AS6" i="1"/>
  <c r="L121" i="1"/>
  <c r="S121" i="1" s="1"/>
  <c r="M55" i="1"/>
  <c r="AB29" i="1"/>
  <c r="AD10" i="1"/>
  <c r="AD24" i="1"/>
  <c r="AF10" i="1"/>
  <c r="AF23" i="1"/>
  <c r="X7" i="1"/>
  <c r="AF7" i="1" s="1"/>
  <c r="X32" i="1"/>
  <c r="AB32" i="1" s="1"/>
  <c r="X4" i="1"/>
  <c r="M98" i="1"/>
  <c r="J98" i="1"/>
  <c r="M110" i="1"/>
  <c r="J110" i="1"/>
  <c r="M80" i="1"/>
  <c r="J80" i="1"/>
  <c r="N103" i="1"/>
  <c r="N70" i="1"/>
  <c r="N102" i="1"/>
  <c r="K63" i="1"/>
  <c r="R63" i="1" s="1"/>
  <c r="U63" i="1" s="1"/>
  <c r="M56" i="1"/>
  <c r="N127" i="1"/>
  <c r="J127" i="1"/>
  <c r="M71" i="1"/>
  <c r="K103" i="1"/>
  <c r="R103" i="1" s="1"/>
  <c r="U103" i="1" s="1"/>
  <c r="M70" i="1"/>
  <c r="L70" i="1" s="1"/>
  <c r="S70" i="1" s="1"/>
  <c r="M102" i="1"/>
  <c r="K56" i="1"/>
  <c r="R56" i="1" s="1"/>
  <c r="U56" i="1" s="1"/>
  <c r="M58" i="1"/>
  <c r="J58" i="1"/>
  <c r="M126" i="1"/>
  <c r="J126" i="1"/>
  <c r="M64" i="1"/>
  <c r="J64" i="1"/>
  <c r="M96" i="1"/>
  <c r="J96" i="1"/>
  <c r="M128" i="1"/>
  <c r="J128" i="1"/>
  <c r="L128" i="1" s="1"/>
  <c r="S128" i="1" s="1"/>
  <c r="K98" i="1"/>
  <c r="R98" i="1" s="1"/>
  <c r="U98" i="1" s="1"/>
  <c r="N71" i="1"/>
  <c r="M103" i="1"/>
  <c r="L103" i="1" s="1"/>
  <c r="S103" i="1" s="1"/>
  <c r="K70" i="1"/>
  <c r="R70" i="1" s="1"/>
  <c r="U70" i="1" s="1"/>
  <c r="K102" i="1"/>
  <c r="R102" i="1" s="1"/>
  <c r="U102" i="1" s="1"/>
  <c r="M112" i="1"/>
  <c r="J112" i="1"/>
  <c r="M78" i="1"/>
  <c r="J78" i="1"/>
  <c r="K71" i="1"/>
  <c r="R71" i="1" s="1"/>
  <c r="U71" i="1" s="1"/>
  <c r="K66" i="1"/>
  <c r="R66" i="1" s="1"/>
  <c r="U66" i="1" s="1"/>
  <c r="M62" i="1"/>
  <c r="L62" i="1" s="1"/>
  <c r="S62" i="1" s="1"/>
  <c r="J62" i="1"/>
  <c r="M94" i="1"/>
  <c r="J94" i="1"/>
  <c r="K80" i="1"/>
  <c r="R80" i="1" s="1"/>
  <c r="U80" i="1" s="1"/>
  <c r="L73" i="1"/>
  <c r="S73" i="1" s="1"/>
  <c r="K95" i="1"/>
  <c r="R95" i="1" s="1"/>
  <c r="U95" i="1" s="1"/>
  <c r="M66" i="1"/>
  <c r="N95" i="1"/>
  <c r="K127" i="1"/>
  <c r="R127" i="1" s="1"/>
  <c r="U127" i="1" s="1"/>
  <c r="K78" i="1"/>
  <c r="R78" i="1" s="1"/>
  <c r="U78" i="1" s="1"/>
  <c r="K110" i="1"/>
  <c r="R110" i="1" s="1"/>
  <c r="U110" i="1" s="1"/>
  <c r="M63" i="1"/>
  <c r="AD9" i="1"/>
  <c r="AD22" i="1"/>
  <c r="AQ24" i="1"/>
  <c r="AE23" i="1" s="1"/>
  <c r="AH23" i="1"/>
  <c r="AP24" i="1"/>
  <c r="AC23" i="1" s="1"/>
  <c r="AB27" i="1"/>
  <c r="AH27" i="1"/>
  <c r="AL27" i="1" s="1"/>
  <c r="Y35" i="1"/>
  <c r="AI35" i="1" s="1"/>
  <c r="W63" i="1"/>
  <c r="W127" i="1"/>
  <c r="W80" i="1"/>
  <c r="AP34" i="1"/>
  <c r="W78" i="1"/>
  <c r="AS36" i="1"/>
  <c r="I118" i="1"/>
  <c r="J118" i="1" s="1"/>
  <c r="W118" i="1"/>
  <c r="AO18" i="1"/>
  <c r="AE17" i="1" s="1"/>
  <c r="AH17" i="1"/>
  <c r="AL17" i="1" s="1"/>
  <c r="AP36" i="1"/>
  <c r="W62" i="1"/>
  <c r="I74" i="1"/>
  <c r="J74" i="1" s="1"/>
  <c r="AQ36" i="1"/>
  <c r="AR28" i="1"/>
  <c r="AB16" i="1"/>
  <c r="AS17" i="1"/>
  <c r="AH16" i="1"/>
  <c r="AO10" i="1"/>
  <c r="AH9" i="1"/>
  <c r="I82" i="1"/>
  <c r="W110" i="1"/>
  <c r="AB24" i="1"/>
  <c r="AH24" i="1"/>
  <c r="AS25" i="1"/>
  <c r="AO34" i="1"/>
  <c r="AH33" i="1"/>
  <c r="W114" i="1"/>
  <c r="I114" i="1"/>
  <c r="J114" i="1" s="1"/>
  <c r="Y9" i="1"/>
  <c r="I67" i="1"/>
  <c r="M67" i="1" s="1"/>
  <c r="I84" i="1"/>
  <c r="J84" i="1" s="1"/>
  <c r="M127" i="1"/>
  <c r="N78" i="1"/>
  <c r="L94" i="1"/>
  <c r="S94" i="1" s="1"/>
  <c r="N110" i="1"/>
  <c r="N63" i="1"/>
  <c r="N80" i="1"/>
  <c r="L80" i="1" s="1"/>
  <c r="S80" i="1" s="1"/>
  <c r="N112" i="1"/>
  <c r="L112" i="1" s="1"/>
  <c r="S112" i="1" s="1"/>
  <c r="AB23" i="1"/>
  <c r="AS24" i="1"/>
  <c r="AI23" i="1" s="1"/>
  <c r="AO25" i="1"/>
  <c r="W94" i="1"/>
  <c r="AR25" i="1"/>
  <c r="AG24" i="1" s="1"/>
  <c r="I106" i="1"/>
  <c r="J106" i="1" s="1"/>
  <c r="AR23" i="1"/>
  <c r="AB11" i="1"/>
  <c r="AK11" i="1" s="1"/>
  <c r="AH11" i="1"/>
  <c r="AL11" i="1" s="1"/>
  <c r="AB35" i="1"/>
  <c r="AK35" i="1" s="1"/>
  <c r="AH35" i="1"/>
  <c r="AL35" i="1" s="1"/>
  <c r="W95" i="1"/>
  <c r="W112" i="1"/>
  <c r="M95" i="1"/>
  <c r="L95" i="1" s="1"/>
  <c r="S95" i="1" s="1"/>
  <c r="AB9" i="1"/>
  <c r="AO28" i="1"/>
  <c r="AI27" i="1" s="1"/>
  <c r="AD23" i="1"/>
  <c r="AP28" i="1"/>
  <c r="AP25" i="1"/>
  <c r="AR36" i="1"/>
  <c r="AQ16" i="1"/>
  <c r="AP16" i="1"/>
  <c r="AH15" i="1"/>
  <c r="AL15" i="1" s="1"/>
  <c r="AB19" i="1"/>
  <c r="AK19" i="1" s="1"/>
  <c r="AH19" i="1"/>
  <c r="AP37" i="1"/>
  <c r="AO37" i="1"/>
  <c r="AI36" i="1" s="1"/>
  <c r="AH36" i="1"/>
  <c r="AB30" i="1"/>
  <c r="AO31" i="1"/>
  <c r="AP31" i="1"/>
  <c r="AD30" i="1"/>
  <c r="AQ31" i="1"/>
  <c r="AR31" i="1"/>
  <c r="AF30" i="1"/>
  <c r="AS31" i="1"/>
  <c r="AH30" i="1"/>
  <c r="AL30" i="1" s="1"/>
  <c r="AI16" i="1"/>
  <c r="AC16" i="1"/>
  <c r="AE16" i="1"/>
  <c r="AG16" i="1"/>
  <c r="N66" i="1"/>
  <c r="AI26" i="1"/>
  <c r="AC26" i="1"/>
  <c r="AE26" i="1"/>
  <c r="AG26" i="1"/>
  <c r="AI19" i="1"/>
  <c r="AE19" i="1"/>
  <c r="AG19" i="1"/>
  <c r="AR35" i="1"/>
  <c r="AB34" i="1"/>
  <c r="AS35" i="1"/>
  <c r="AQ35" i="1"/>
  <c r="AD34" i="1"/>
  <c r="AF34" i="1"/>
  <c r="AO35" i="1"/>
  <c r="AH34" i="1"/>
  <c r="AP35" i="1"/>
  <c r="N98" i="1"/>
  <c r="L98" i="1" s="1"/>
  <c r="S98" i="1" s="1"/>
  <c r="L96" i="1"/>
  <c r="S96" i="1" s="1"/>
  <c r="AC24" i="1"/>
  <c r="AC10" i="1"/>
  <c r="AE10" i="1"/>
  <c r="AG10" i="1"/>
  <c r="AI5" i="1"/>
  <c r="AC5" i="1"/>
  <c r="AP13" i="1"/>
  <c r="AB12" i="1"/>
  <c r="AQ13" i="1"/>
  <c r="AR13" i="1"/>
  <c r="AD12" i="1"/>
  <c r="AK12" i="1" s="1"/>
  <c r="AS13" i="1"/>
  <c r="AO13" i="1"/>
  <c r="AF12" i="1"/>
  <c r="AH12" i="1"/>
  <c r="AE27" i="1"/>
  <c r="AG27" i="1"/>
  <c r="AG23" i="1"/>
  <c r="L119" i="1"/>
  <c r="S119" i="1" s="1"/>
  <c r="L90" i="1"/>
  <c r="S90" i="1" s="1"/>
  <c r="K58" i="1"/>
  <c r="R58" i="1" s="1"/>
  <c r="U58" i="1" s="1"/>
  <c r="AP29" i="1"/>
  <c r="AB28" i="1"/>
  <c r="AQ29" i="1"/>
  <c r="AR29" i="1"/>
  <c r="AD28" i="1"/>
  <c r="AK28" i="1" s="1"/>
  <c r="AS29" i="1"/>
  <c r="AH28" i="1"/>
  <c r="AL28" i="1" s="1"/>
  <c r="AF28" i="1"/>
  <c r="AO29" i="1"/>
  <c r="AQ32" i="1"/>
  <c r="AB31" i="1"/>
  <c r="AR32" i="1"/>
  <c r="AS32" i="1"/>
  <c r="AD31" i="1"/>
  <c r="AK31" i="1" s="1"/>
  <c r="AH31" i="1"/>
  <c r="AL31" i="1" s="1"/>
  <c r="AF31" i="1"/>
  <c r="AP32" i="1"/>
  <c r="AO32" i="1"/>
  <c r="L57" i="1"/>
  <c r="S57" i="1" s="1"/>
  <c r="N58" i="1"/>
  <c r="AC35" i="1"/>
  <c r="AC18" i="1"/>
  <c r="AP21" i="1"/>
  <c r="AB20" i="1"/>
  <c r="AQ21" i="1"/>
  <c r="AR21" i="1"/>
  <c r="AD20" i="1"/>
  <c r="AK20" i="1" s="1"/>
  <c r="AS21" i="1"/>
  <c r="AF20" i="1"/>
  <c r="AH20" i="1"/>
  <c r="AL20" i="1" s="1"/>
  <c r="AO21" i="1"/>
  <c r="AB14" i="1"/>
  <c r="AO15" i="1"/>
  <c r="AP15" i="1"/>
  <c r="AD14" i="1"/>
  <c r="AK14" i="1" s="1"/>
  <c r="AQ15" i="1"/>
  <c r="AR15" i="1"/>
  <c r="AH14" i="1"/>
  <c r="AL14" i="1" s="1"/>
  <c r="AF14" i="1"/>
  <c r="AS15" i="1"/>
  <c r="AO26" i="1"/>
  <c r="AB25" i="1"/>
  <c r="AP26" i="1"/>
  <c r="AQ26" i="1"/>
  <c r="AD25" i="1"/>
  <c r="AK25" i="1" s="1"/>
  <c r="AR26" i="1"/>
  <c r="AS26" i="1"/>
  <c r="AF25" i="1"/>
  <c r="AH25" i="1"/>
  <c r="AL25" i="1" s="1"/>
  <c r="L105" i="1"/>
  <c r="S105" i="1" s="1"/>
  <c r="AI11" i="1"/>
  <c r="AC11" i="1"/>
  <c r="AE11" i="1"/>
  <c r="AG11" i="1"/>
  <c r="AI29" i="1"/>
  <c r="L55" i="1"/>
  <c r="S55" i="1" s="1"/>
  <c r="L102" i="1"/>
  <c r="S102" i="1" s="1"/>
  <c r="L56" i="1"/>
  <c r="S56" i="1" s="1"/>
  <c r="L88" i="1"/>
  <c r="S88" i="1" s="1"/>
  <c r="N59" i="1"/>
  <c r="K59" i="1"/>
  <c r="R59" i="1" s="1"/>
  <c r="U59" i="1" s="1"/>
  <c r="M59" i="1"/>
  <c r="N123" i="1"/>
  <c r="K123" i="1"/>
  <c r="R123" i="1" s="1"/>
  <c r="U123" i="1" s="1"/>
  <c r="M123" i="1"/>
  <c r="M108" i="1"/>
  <c r="N108" i="1"/>
  <c r="K108" i="1"/>
  <c r="R108" i="1" s="1"/>
  <c r="U108" i="1" s="1"/>
  <c r="N85" i="1"/>
  <c r="M85" i="1"/>
  <c r="K85" i="1"/>
  <c r="R85" i="1" s="1"/>
  <c r="U85" i="1" s="1"/>
  <c r="Y31" i="1"/>
  <c r="M116" i="1"/>
  <c r="N116" i="1"/>
  <c r="K116" i="1"/>
  <c r="R116" i="1" s="1"/>
  <c r="U116" i="1" s="1"/>
  <c r="N93" i="1"/>
  <c r="M93" i="1"/>
  <c r="K93" i="1"/>
  <c r="R93" i="1" s="1"/>
  <c r="U93" i="1" s="1"/>
  <c r="M60" i="1"/>
  <c r="N60" i="1"/>
  <c r="K60" i="1"/>
  <c r="R60" i="1" s="1"/>
  <c r="U60" i="1" s="1"/>
  <c r="N101" i="1"/>
  <c r="M101" i="1"/>
  <c r="K101" i="1"/>
  <c r="R101" i="1" s="1"/>
  <c r="U101" i="1" s="1"/>
  <c r="N83" i="1"/>
  <c r="M83" i="1"/>
  <c r="K83" i="1"/>
  <c r="R83" i="1" s="1"/>
  <c r="U83" i="1" s="1"/>
  <c r="M68" i="1"/>
  <c r="N68" i="1"/>
  <c r="K68" i="1"/>
  <c r="R68" i="1" s="1"/>
  <c r="U68" i="1" s="1"/>
  <c r="N109" i="1"/>
  <c r="M109" i="1"/>
  <c r="K109" i="1"/>
  <c r="R109" i="1" s="1"/>
  <c r="U109" i="1" s="1"/>
  <c r="M75" i="1"/>
  <c r="N75" i="1"/>
  <c r="K75" i="1"/>
  <c r="R75" i="1" s="1"/>
  <c r="U75" i="1" s="1"/>
  <c r="M124" i="1"/>
  <c r="N124" i="1"/>
  <c r="K124" i="1"/>
  <c r="R124" i="1" s="1"/>
  <c r="U124" i="1" s="1"/>
  <c r="N91" i="1"/>
  <c r="K91" i="1"/>
  <c r="R91" i="1" s="1"/>
  <c r="U91" i="1" s="1"/>
  <c r="M91" i="1"/>
  <c r="M76" i="1"/>
  <c r="N76" i="1"/>
  <c r="K76" i="1"/>
  <c r="R76" i="1" s="1"/>
  <c r="U76" i="1" s="1"/>
  <c r="N117" i="1"/>
  <c r="M117" i="1"/>
  <c r="K117" i="1"/>
  <c r="R117" i="1" s="1"/>
  <c r="U117" i="1" s="1"/>
  <c r="L111" i="1"/>
  <c r="S111" i="1" s="1"/>
  <c r="L104" i="1"/>
  <c r="S104" i="1" s="1"/>
  <c r="M99" i="1"/>
  <c r="N99" i="1"/>
  <c r="K99" i="1"/>
  <c r="R99" i="1" s="1"/>
  <c r="U99" i="1" s="1"/>
  <c r="N61" i="1"/>
  <c r="M61" i="1"/>
  <c r="K61" i="1"/>
  <c r="R61" i="1" s="1"/>
  <c r="U61" i="1" s="1"/>
  <c r="N125" i="1"/>
  <c r="M125" i="1"/>
  <c r="K125" i="1"/>
  <c r="R125" i="1" s="1"/>
  <c r="U125" i="1" s="1"/>
  <c r="M107" i="1"/>
  <c r="N107" i="1"/>
  <c r="K107" i="1"/>
  <c r="R107" i="1" s="1"/>
  <c r="U107" i="1" s="1"/>
  <c r="M92" i="1"/>
  <c r="N92" i="1"/>
  <c r="K92" i="1"/>
  <c r="R92" i="1" s="1"/>
  <c r="U92" i="1" s="1"/>
  <c r="N69" i="1"/>
  <c r="M69" i="1"/>
  <c r="K69" i="1"/>
  <c r="R69" i="1" s="1"/>
  <c r="U69" i="1" s="1"/>
  <c r="L122" i="1"/>
  <c r="S122" i="1" s="1"/>
  <c r="N115" i="1"/>
  <c r="M115" i="1"/>
  <c r="K115" i="1"/>
  <c r="R115" i="1" s="1"/>
  <c r="U115" i="1" s="1"/>
  <c r="M100" i="1"/>
  <c r="N100" i="1"/>
  <c r="K100" i="1"/>
  <c r="R100" i="1" s="1"/>
  <c r="U100" i="1" s="1"/>
  <c r="N77" i="1"/>
  <c r="M77" i="1"/>
  <c r="K77" i="1"/>
  <c r="R77" i="1" s="1"/>
  <c r="U77" i="1" s="1"/>
  <c r="L65" i="1"/>
  <c r="S65" i="1" s="1"/>
  <c r="L81" i="1"/>
  <c r="S81" i="1" s="1"/>
  <c r="L97" i="1"/>
  <c r="S97" i="1" s="1"/>
  <c r="L113" i="1"/>
  <c r="S113" i="1" s="1"/>
  <c r="Y20" i="1"/>
  <c r="Y14" i="1"/>
  <c r="Y30" i="1"/>
  <c r="Y12" i="1"/>
  <c r="Y28" i="1"/>
  <c r="Y34" i="1"/>
  <c r="U4" i="1"/>
  <c r="AR68" i="1"/>
  <c r="AR85" i="1"/>
  <c r="AR76" i="1"/>
  <c r="AR84" i="1"/>
  <c r="AR73" i="1"/>
  <c r="AR61" i="1"/>
  <c r="AR64" i="1"/>
  <c r="AR70" i="1"/>
  <c r="AR55" i="1"/>
  <c r="L71" i="1" l="1"/>
  <c r="S71" i="1" s="1"/>
  <c r="AL36" i="1"/>
  <c r="AI17" i="1"/>
  <c r="AK9" i="1"/>
  <c r="L126" i="1"/>
  <c r="S126" i="1" s="1"/>
  <c r="AK5" i="1"/>
  <c r="AL29" i="1"/>
  <c r="AK16" i="1"/>
  <c r="AG29" i="1"/>
  <c r="AB22" i="1"/>
  <c r="AE18" i="1"/>
  <c r="AL19" i="1"/>
  <c r="AK23" i="1"/>
  <c r="AP23" i="1"/>
  <c r="AI24" i="1"/>
  <c r="AC9" i="1"/>
  <c r="AS34" i="1"/>
  <c r="AB33" i="1"/>
  <c r="AL33" i="1" s="1"/>
  <c r="Y33" i="1"/>
  <c r="AG33" i="1" s="1"/>
  <c r="AK22" i="1"/>
  <c r="AE29" i="1"/>
  <c r="AK30" i="1"/>
  <c r="AI15" i="1"/>
  <c r="L87" i="1"/>
  <c r="S87" i="1" s="1"/>
  <c r="AC29" i="1"/>
  <c r="AL24" i="1"/>
  <c r="AL16" i="1"/>
  <c r="L79" i="1"/>
  <c r="S79" i="1" s="1"/>
  <c r="AL5" i="1"/>
  <c r="AQ8" i="1"/>
  <c r="AC15" i="1"/>
  <c r="AS33" i="1"/>
  <c r="AH22" i="1"/>
  <c r="AL22" i="1" s="1"/>
  <c r="AS23" i="1"/>
  <c r="K84" i="1"/>
  <c r="R84" i="1" s="1"/>
  <c r="U84" i="1" s="1"/>
  <c r="AL12" i="1"/>
  <c r="AE24" i="1"/>
  <c r="AL34" i="1"/>
  <c r="L66" i="1"/>
  <c r="S66" i="1" s="1"/>
  <c r="AH32" i="1"/>
  <c r="AL32" i="1" s="1"/>
  <c r="L110" i="1"/>
  <c r="S110" i="1" s="1"/>
  <c r="AK24" i="1"/>
  <c r="AO23" i="1"/>
  <c r="AF22" i="1"/>
  <c r="M84" i="1"/>
  <c r="AG18" i="1"/>
  <c r="AE15" i="1"/>
  <c r="AP8" i="1"/>
  <c r="AS9" i="1"/>
  <c r="AL23" i="1"/>
  <c r="AK29" i="1"/>
  <c r="L63" i="1"/>
  <c r="S63" i="1" s="1"/>
  <c r="N84" i="1"/>
  <c r="L84" i="1" s="1"/>
  <c r="S84" i="1" s="1"/>
  <c r="AK10" i="1"/>
  <c r="AL10" i="1"/>
  <c r="AP22" i="1"/>
  <c r="Y21" i="1"/>
  <c r="AQ22" i="1"/>
  <c r="AS22" i="1"/>
  <c r="AR22" i="1"/>
  <c r="AB21" i="1"/>
  <c r="AH21" i="1"/>
  <c r="AD21" i="1"/>
  <c r="AF21" i="1"/>
  <c r="AO22" i="1"/>
  <c r="L117" i="1"/>
  <c r="S117" i="1" s="1"/>
  <c r="AK34" i="1"/>
  <c r="AC27" i="1"/>
  <c r="L127" i="1"/>
  <c r="S127" i="1" s="1"/>
  <c r="AL9" i="1"/>
  <c r="Y22" i="1"/>
  <c r="L64" i="1"/>
  <c r="S64" i="1" s="1"/>
  <c r="Y4" i="1"/>
  <c r="AB4" i="1"/>
  <c r="AH4" i="1"/>
  <c r="AD4" i="1"/>
  <c r="AS5" i="1"/>
  <c r="AQ5" i="1"/>
  <c r="AF4" i="1"/>
  <c r="AO5" i="1"/>
  <c r="AR5" i="1"/>
  <c r="AP5" i="1"/>
  <c r="AK15" i="1"/>
  <c r="Y32" i="1"/>
  <c r="AO33" i="1"/>
  <c r="AR33" i="1"/>
  <c r="AF32" i="1"/>
  <c r="AP33" i="1"/>
  <c r="AD32" i="1"/>
  <c r="AK32" i="1" s="1"/>
  <c r="AQ33" i="1"/>
  <c r="AO7" i="1"/>
  <c r="AD6" i="1"/>
  <c r="AH6" i="1"/>
  <c r="AL6" i="1" s="1"/>
  <c r="AP7" i="1"/>
  <c r="AQ7" i="1"/>
  <c r="AB6" i="1"/>
  <c r="AF6" i="1"/>
  <c r="Y6" i="1"/>
  <c r="AR7" i="1"/>
  <c r="AS7" i="1"/>
  <c r="AO8" i="1"/>
  <c r="AD7" i="1"/>
  <c r="AS8" i="1"/>
  <c r="Y7" i="1"/>
  <c r="AR8" i="1"/>
  <c r="AB7" i="1"/>
  <c r="AH7" i="1"/>
  <c r="AR9" i="1"/>
  <c r="AQ9" i="1"/>
  <c r="AO9" i="1"/>
  <c r="AB8" i="1"/>
  <c r="AL8" i="1" s="1"/>
  <c r="AF8" i="1"/>
  <c r="Y8" i="1"/>
  <c r="AD8" i="1"/>
  <c r="AP9" i="1"/>
  <c r="Y13" i="1"/>
  <c r="AH13" i="1"/>
  <c r="AO14" i="1"/>
  <c r="AR14" i="1"/>
  <c r="AS14" i="1"/>
  <c r="AF13" i="1"/>
  <c r="AD13" i="1"/>
  <c r="AQ14" i="1"/>
  <c r="AP14" i="1"/>
  <c r="AB13" i="1"/>
  <c r="L59" i="1"/>
  <c r="S59" i="1" s="1"/>
  <c r="N67" i="1"/>
  <c r="J67" i="1"/>
  <c r="L78" i="1"/>
  <c r="S78" i="1" s="1"/>
  <c r="M82" i="1"/>
  <c r="J82" i="1"/>
  <c r="N74" i="1"/>
  <c r="M74" i="1"/>
  <c r="K74" i="1"/>
  <c r="R74" i="1" s="1"/>
  <c r="U74" i="1" s="1"/>
  <c r="L93" i="1"/>
  <c r="S93" i="1" s="1"/>
  <c r="AG35" i="1"/>
  <c r="AI9" i="1"/>
  <c r="AE36" i="1"/>
  <c r="K118" i="1"/>
  <c r="R118" i="1" s="1"/>
  <c r="U118" i="1" s="1"/>
  <c r="M118" i="1"/>
  <c r="N118" i="1"/>
  <c r="K67" i="1"/>
  <c r="R67" i="1" s="1"/>
  <c r="U67" i="1" s="1"/>
  <c r="AE35" i="1"/>
  <c r="AE9" i="1"/>
  <c r="M106" i="1"/>
  <c r="N106" i="1"/>
  <c r="K106" i="1"/>
  <c r="R106" i="1" s="1"/>
  <c r="U106" i="1" s="1"/>
  <c r="K82" i="1"/>
  <c r="R82" i="1" s="1"/>
  <c r="U82" i="1" s="1"/>
  <c r="N82" i="1"/>
  <c r="AG9" i="1"/>
  <c r="AE33" i="1"/>
  <c r="AG36" i="1"/>
  <c r="AC36" i="1"/>
  <c r="AC17" i="1"/>
  <c r="AG17" i="1"/>
  <c r="L58" i="1"/>
  <c r="S58" i="1" s="1"/>
  <c r="K114" i="1"/>
  <c r="R114" i="1" s="1"/>
  <c r="U114" i="1" s="1"/>
  <c r="M114" i="1"/>
  <c r="N114" i="1"/>
  <c r="L91" i="1"/>
  <c r="S91" i="1" s="1"/>
  <c r="AI28" i="1"/>
  <c r="AC28" i="1"/>
  <c r="AE28" i="1"/>
  <c r="AG28" i="1"/>
  <c r="AI25" i="1"/>
  <c r="AC25" i="1"/>
  <c r="AE25" i="1"/>
  <c r="AG25" i="1"/>
  <c r="AI14" i="1"/>
  <c r="AC14" i="1"/>
  <c r="AE14" i="1"/>
  <c r="AG14" i="1"/>
  <c r="AI31" i="1"/>
  <c r="AC31" i="1"/>
  <c r="AE31" i="1"/>
  <c r="AG31" i="1"/>
  <c r="L109" i="1"/>
  <c r="S109" i="1" s="1"/>
  <c r="AI34" i="1"/>
  <c r="AC34" i="1"/>
  <c r="AE34" i="1"/>
  <c r="AG34" i="1"/>
  <c r="AI20" i="1"/>
  <c r="AC20" i="1"/>
  <c r="AE20" i="1"/>
  <c r="AG20" i="1"/>
  <c r="AI30" i="1"/>
  <c r="AC30" i="1"/>
  <c r="AE30" i="1"/>
  <c r="AG30" i="1"/>
  <c r="L115" i="1"/>
  <c r="S115" i="1" s="1"/>
  <c r="L61" i="1"/>
  <c r="S61" i="1" s="1"/>
  <c r="L85" i="1"/>
  <c r="S85" i="1" s="1"/>
  <c r="AI12" i="1"/>
  <c r="AC12" i="1"/>
  <c r="AE12" i="1"/>
  <c r="AG12" i="1"/>
  <c r="L92" i="1"/>
  <c r="S92" i="1" s="1"/>
  <c r="L124" i="1"/>
  <c r="S124" i="1" s="1"/>
  <c r="L60" i="1"/>
  <c r="S60" i="1" s="1"/>
  <c r="L125" i="1"/>
  <c r="S125" i="1" s="1"/>
  <c r="L77" i="1"/>
  <c r="S77" i="1" s="1"/>
  <c r="L123" i="1"/>
  <c r="S123" i="1" s="1"/>
  <c r="L83" i="1"/>
  <c r="S83" i="1" s="1"/>
  <c r="L116" i="1"/>
  <c r="S116" i="1" s="1"/>
  <c r="L108" i="1"/>
  <c r="S108" i="1" s="1"/>
  <c r="L69" i="1"/>
  <c r="S69" i="1" s="1"/>
  <c r="L100" i="1"/>
  <c r="S100" i="1" s="1"/>
  <c r="L107" i="1"/>
  <c r="S107" i="1" s="1"/>
  <c r="L76" i="1"/>
  <c r="S76" i="1" s="1"/>
  <c r="L75" i="1"/>
  <c r="S75" i="1" s="1"/>
  <c r="L99" i="1"/>
  <c r="S99" i="1" s="1"/>
  <c r="L68" i="1"/>
  <c r="S68" i="1" s="1"/>
  <c r="L101" i="1"/>
  <c r="S101" i="1" s="1"/>
  <c r="AM61" i="1"/>
  <c r="AM64" i="1"/>
  <c r="AM57" i="1"/>
  <c r="AM56" i="1"/>
  <c r="AM62" i="1"/>
  <c r="AM58" i="1"/>
  <c r="AM60" i="1"/>
  <c r="AM55" i="1"/>
  <c r="AM54" i="1"/>
  <c r="AM59" i="1"/>
  <c r="AM63" i="1"/>
  <c r="AM86" i="1"/>
  <c r="AM102" i="1"/>
  <c r="AM118" i="1"/>
  <c r="AM70" i="1"/>
  <c r="AM112" i="1"/>
  <c r="AM114" i="1"/>
  <c r="AM101" i="1"/>
  <c r="AM116" i="1"/>
  <c r="AM127" i="1"/>
  <c r="AM122" i="1"/>
  <c r="AM105" i="1"/>
  <c r="AM82" i="1"/>
  <c r="AM95" i="1"/>
  <c r="AM84" i="1"/>
  <c r="AM126" i="1"/>
  <c r="AM90" i="1"/>
  <c r="AM115" i="1"/>
  <c r="AM123" i="1"/>
  <c r="AM107" i="1"/>
  <c r="AM121" i="1"/>
  <c r="AM104" i="1"/>
  <c r="AM98" i="1"/>
  <c r="AM100" i="1"/>
  <c r="AM106" i="1"/>
  <c r="AM96" i="1"/>
  <c r="AM108" i="1"/>
  <c r="AM79" i="1"/>
  <c r="AM89" i="1"/>
  <c r="AM88" i="1"/>
  <c r="AM66" i="1"/>
  <c r="AM78" i="1"/>
  <c r="AM94" i="1"/>
  <c r="AM125" i="1"/>
  <c r="AM74" i="1"/>
  <c r="AM99" i="1"/>
  <c r="AM113" i="1"/>
  <c r="AM68" i="1"/>
  <c r="AM65" i="1"/>
  <c r="AM73" i="1"/>
  <c r="AM80" i="1"/>
  <c r="AM111" i="1"/>
  <c r="AM109" i="1"/>
  <c r="AM117" i="1"/>
  <c r="AM85" i="1"/>
  <c r="AM83" i="1"/>
  <c r="AM119" i="1"/>
  <c r="AM97" i="1"/>
  <c r="AM91" i="1"/>
  <c r="AM72" i="1"/>
  <c r="AM110" i="1"/>
  <c r="AM93" i="1"/>
  <c r="AM69" i="1"/>
  <c r="AM77" i="1"/>
  <c r="AM67" i="1"/>
  <c r="AM103" i="1"/>
  <c r="AM81" i="1"/>
  <c r="AM75" i="1"/>
  <c r="AM128" i="1"/>
  <c r="AM92" i="1"/>
  <c r="AM124" i="1"/>
  <c r="AM87" i="1"/>
  <c r="AM120" i="1"/>
  <c r="AM76" i="1"/>
  <c r="AM71" i="1"/>
  <c r="AT55" i="1"/>
  <c r="AT64" i="1"/>
  <c r="AT68" i="1"/>
  <c r="AT73" i="1"/>
  <c r="AT84" i="1"/>
  <c r="AT61" i="1"/>
  <c r="AT85" i="1"/>
  <c r="AT70" i="1"/>
  <c r="AT76" i="1"/>
  <c r="AR57" i="1"/>
  <c r="AT57" i="1" s="1"/>
  <c r="AR83" i="1"/>
  <c r="AT83" i="1" s="1"/>
  <c r="AR67" i="1"/>
  <c r="AT67" i="1" s="1"/>
  <c r="AR87" i="1"/>
  <c r="AT87" i="1" s="1"/>
  <c r="AR71" i="1"/>
  <c r="AT71" i="1" s="1"/>
  <c r="AR81" i="1"/>
  <c r="AT81" i="1" s="1"/>
  <c r="AR82" i="1"/>
  <c r="AT82" i="1" s="1"/>
  <c r="AR86" i="1"/>
  <c r="AT86" i="1" s="1"/>
  <c r="AR58" i="1"/>
  <c r="AT58" i="1" s="1"/>
  <c r="AR60" i="1"/>
  <c r="AT60" i="1" s="1"/>
  <c r="AR56" i="1"/>
  <c r="AT56" i="1" s="1"/>
  <c r="AR72" i="1"/>
  <c r="AT72" i="1" s="1"/>
  <c r="AR62" i="1"/>
  <c r="AT62" i="1" s="1"/>
  <c r="AR77" i="1"/>
  <c r="AT77" i="1" s="1"/>
  <c r="AR80" i="1"/>
  <c r="AT80" i="1" s="1"/>
  <c r="AR66" i="1"/>
  <c r="AT66" i="1" s="1"/>
  <c r="AR78" i="1"/>
  <c r="AT78" i="1" s="1"/>
  <c r="AR74" i="1"/>
  <c r="AT74" i="1" s="1"/>
  <c r="AR65" i="1"/>
  <c r="AT65" i="1" s="1"/>
  <c r="AR69" i="1"/>
  <c r="AT69" i="1" s="1"/>
  <c r="AR75" i="1"/>
  <c r="AT75" i="1" s="1"/>
  <c r="AR59" i="1"/>
  <c r="AT59" i="1" s="1"/>
  <c r="AR79" i="1"/>
  <c r="AT79" i="1" s="1"/>
  <c r="AR63" i="1"/>
  <c r="AT63" i="1" s="1"/>
  <c r="AC33" i="1" l="1"/>
  <c r="L67" i="1"/>
  <c r="S67" i="1" s="1"/>
  <c r="AK21" i="1"/>
  <c r="AC7" i="1"/>
  <c r="AK33" i="1"/>
  <c r="AK7" i="1"/>
  <c r="AL21" i="1"/>
  <c r="AI33" i="1"/>
  <c r="AK6" i="1"/>
  <c r="AK4" i="1"/>
  <c r="AL37" i="1"/>
  <c r="AL13" i="1"/>
  <c r="AE7" i="1"/>
  <c r="AI7" i="1"/>
  <c r="AG7" i="1"/>
  <c r="AG32" i="1"/>
  <c r="AC32" i="1"/>
  <c r="AE32" i="1"/>
  <c r="AI32" i="1"/>
  <c r="AL7" i="1"/>
  <c r="AI6" i="1"/>
  <c r="AC6" i="1"/>
  <c r="AE6" i="1"/>
  <c r="AG6" i="1"/>
  <c r="AL4" i="1"/>
  <c r="AI8" i="1"/>
  <c r="AE8" i="1"/>
  <c r="AC8" i="1"/>
  <c r="AG8" i="1"/>
  <c r="AK8" i="1"/>
  <c r="AG22" i="1"/>
  <c r="AI22" i="1"/>
  <c r="AC22" i="1"/>
  <c r="AE22" i="1"/>
  <c r="AI21" i="1"/>
  <c r="AG21" i="1"/>
  <c r="AC21" i="1"/>
  <c r="AE21" i="1"/>
  <c r="AE13" i="1"/>
  <c r="AG13" i="1"/>
  <c r="AC13" i="1"/>
  <c r="AI13" i="1"/>
  <c r="AK13" i="1"/>
  <c r="AG4" i="1"/>
  <c r="AE4" i="1"/>
  <c r="AC4" i="1"/>
  <c r="AI4" i="1"/>
  <c r="L114" i="1"/>
  <c r="S114" i="1" s="1"/>
  <c r="L82" i="1"/>
  <c r="S82" i="1" s="1"/>
  <c r="L118" i="1"/>
  <c r="S118" i="1" s="1"/>
  <c r="L74" i="1"/>
  <c r="S74" i="1" s="1"/>
  <c r="L106" i="1"/>
  <c r="S106" i="1" s="1"/>
  <c r="AK37" i="1" l="1"/>
</calcChain>
</file>

<file path=xl/sharedStrings.xml><?xml version="1.0" encoding="utf-8"?>
<sst xmlns="http://schemas.openxmlformats.org/spreadsheetml/2006/main" count="153" uniqueCount="98">
  <si>
    <t>Schwarz</t>
  </si>
  <si>
    <t>spiegel</t>
  </si>
  <si>
    <t>weiß</t>
  </si>
  <si>
    <t>matt</t>
  </si>
  <si>
    <t>silizium</t>
  </si>
  <si>
    <t>infrarotglas</t>
  </si>
  <si>
    <t>fensterglas</t>
  </si>
  <si>
    <t>quarzglas</t>
  </si>
  <si>
    <t>100mv bereich</t>
  </si>
  <si>
    <t>nickel</t>
  </si>
  <si>
    <t>2.2.2 Lambert- Gesetz</t>
  </si>
  <si>
    <t>Winkel in Grad</t>
  </si>
  <si>
    <t>U in 100mV</t>
  </si>
  <si>
    <t>Filter:</t>
  </si>
  <si>
    <t>(steigt mit zeit)</t>
  </si>
  <si>
    <t>2.2.1 Strahlung eines schwarzen Körpers</t>
  </si>
  <si>
    <t>Temperatur in Grad</t>
  </si>
  <si>
    <t>2.1.2 Ultrarotdurchlässigkeit</t>
  </si>
  <si>
    <t>2.1.1 Leslie Würfel</t>
  </si>
  <si>
    <t>(referenzwert für nullpunkt)</t>
  </si>
  <si>
    <t>Messung ohne Filter in 2.1.1</t>
  </si>
  <si>
    <t>Temperatur (°C)</t>
  </si>
  <si>
    <t>T in Kelvin</t>
  </si>
  <si>
    <t>Linear:</t>
  </si>
  <si>
    <t>T Fehler</t>
  </si>
  <si>
    <t>Fehler U</t>
  </si>
  <si>
    <t>Spannung in mV (100 mv Berreich, Agilent 34405A Digitalmultimeter)</t>
  </si>
  <si>
    <t>Kelvin</t>
  </si>
  <si>
    <t>T^4-T0^4</t>
  </si>
  <si>
    <t>Fehler T</t>
  </si>
  <si>
    <t>T0^4</t>
  </si>
  <si>
    <t>Fehler T0^4</t>
  </si>
  <si>
    <t>Fehler T^4</t>
  </si>
  <si>
    <t>Fehler T^4-T0^4</t>
  </si>
  <si>
    <t>U in mV</t>
  </si>
  <si>
    <t xml:space="preserve">Fehler U </t>
  </si>
  <si>
    <t>T0 Kelvin</t>
  </si>
  <si>
    <t>T0 °C</t>
  </si>
  <si>
    <t>Cos(Winkel)</t>
  </si>
  <si>
    <t>Winkel in rad</t>
  </si>
  <si>
    <t>Fehler Winkel</t>
  </si>
  <si>
    <t>Fehler rad</t>
  </si>
  <si>
    <t>Fehler (Cos)</t>
  </si>
  <si>
    <t>U in 100mV (norm.)</t>
  </si>
  <si>
    <t>kein Filter</t>
  </si>
  <si>
    <t>ohne Filter</t>
  </si>
  <si>
    <t>IR-Glas</t>
  </si>
  <si>
    <t>Fensterglas</t>
  </si>
  <si>
    <t>Silizium</t>
  </si>
  <si>
    <t>Quarzglas</t>
  </si>
  <si>
    <t>Offset:</t>
  </si>
  <si>
    <t>Messung bei 79°C, schwarze Seite</t>
  </si>
  <si>
    <t>Range Spannung: 100mV</t>
  </si>
  <si>
    <t>Spannung (mv)</t>
  </si>
  <si>
    <t>Fehler U:</t>
  </si>
  <si>
    <t>mit Offset:</t>
  </si>
  <si>
    <t>Spannung (mV)</t>
  </si>
  <si>
    <t>Durchlass %:</t>
  </si>
  <si>
    <t>Fehler in %</t>
  </si>
  <si>
    <t>Wellenlängenpeak:</t>
  </si>
  <si>
    <t>Raumtemp.:</t>
  </si>
  <si>
    <t>Messtemp.:</t>
  </si>
  <si>
    <t>Wellenlänge (µm):</t>
  </si>
  <si>
    <t>Fehler Wellenlänge:</t>
  </si>
  <si>
    <t>Temp in Kelvin:</t>
  </si>
  <si>
    <t>Fehler T:</t>
  </si>
  <si>
    <t>Raumtemperaturwerte</t>
  </si>
  <si>
    <t>T^4 Auftragung</t>
  </si>
  <si>
    <t>Versuch 33 Wärmeleitung, Sander Scheel, Daniel Michel, 10.09.2021</t>
  </si>
  <si>
    <t>Ultrarotdurchlässigkeit:</t>
  </si>
  <si>
    <t>rohe Messwerte:</t>
  </si>
  <si>
    <t>Bereich T: 330 bis 335 °C</t>
  </si>
  <si>
    <t>Range U: 100mV</t>
  </si>
  <si>
    <t>U*</t>
  </si>
  <si>
    <t>T^4</t>
  </si>
  <si>
    <t>T/T0</t>
  </si>
  <si>
    <t>Fehler</t>
  </si>
  <si>
    <t>schwarz</t>
  </si>
  <si>
    <t>T</t>
  </si>
  <si>
    <t>schwrz</t>
  </si>
  <si>
    <t>ln</t>
  </si>
  <si>
    <t>T^4+T0^4</t>
  </si>
  <si>
    <t>T0/T</t>
  </si>
  <si>
    <t>epsilon (matt)</t>
  </si>
  <si>
    <t>epsilon (spiegel)</t>
  </si>
  <si>
    <t>partielle Ableitungen</t>
  </si>
  <si>
    <t>max fehler</t>
  </si>
  <si>
    <t>min fehler</t>
  </si>
  <si>
    <t>standartfehler</t>
  </si>
  <si>
    <t>stichproben</t>
  </si>
  <si>
    <t>bestwert</t>
  </si>
  <si>
    <t>Konstante k:</t>
  </si>
  <si>
    <t>Fit:</t>
  </si>
  <si>
    <t>best</t>
  </si>
  <si>
    <t>min</t>
  </si>
  <si>
    <t>max</t>
  </si>
  <si>
    <t>best - min</t>
  </si>
  <si>
    <t>best -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</si>
</sst>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3" xfId="0" applyBorder="1"/>
    <xf numFmtId="0" fontId="0" fillId="0" borderId="0" xfId="0" applyBorder="1"/>
    <xf numFmtId="164" fontId="0" fillId="0" borderId="0" xfId="0" applyNumberFormat="1" applyBorder="1"/>
    <xf numFmtId="164" fontId="0" fillId="0" borderId="6" xfId="0" applyNumberFormat="1" applyBorder="1"/>
    <xf numFmtId="0" fontId="0" fillId="0" borderId="8" xfId="0" applyBorder="1"/>
    <xf numFmtId="164" fontId="0" fillId="0" borderId="8" xfId="0" applyNumberForma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164" fontId="0" fillId="0" borderId="1" xfId="0" applyNumberFormat="1" applyBorder="1"/>
    <xf numFmtId="2" fontId="0" fillId="0" borderId="6" xfId="0" applyNumberFormat="1" applyBorder="1"/>
    <xf numFmtId="0" fontId="0" fillId="2" borderId="7" xfId="0" applyFill="1" applyBorder="1"/>
    <xf numFmtId="0" fontId="0" fillId="2" borderId="9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3" xfId="0" applyFill="1" applyBorder="1"/>
    <xf numFmtId="0" fontId="0" fillId="2" borderId="14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64" fontId="0" fillId="2" borderId="0" xfId="0" applyNumberFormat="1" applyFill="1" applyBorder="1"/>
    <xf numFmtId="165" fontId="0" fillId="2" borderId="8" xfId="0" applyNumberFormat="1" applyFill="1" applyBorder="1"/>
    <xf numFmtId="164" fontId="0" fillId="2" borderId="8" xfId="0" applyNumberFormat="1" applyFill="1" applyBorder="1"/>
    <xf numFmtId="0" fontId="0" fillId="3" borderId="10" xfId="0" applyFill="1" applyBorder="1"/>
    <xf numFmtId="0" fontId="1" fillId="0" borderId="0" xfId="0" applyFont="1"/>
    <xf numFmtId="0" fontId="1" fillId="0" borderId="0" xfId="0" applyFont="1" applyBorder="1"/>
    <xf numFmtId="164" fontId="0" fillId="0" borderId="2" xfId="0" applyNumberFormat="1" applyBorder="1"/>
    <xf numFmtId="2" fontId="0" fillId="0" borderId="0" xfId="0" applyNumberFormat="1" applyBorder="1"/>
    <xf numFmtId="164" fontId="0" fillId="0" borderId="5" xfId="0" applyNumberFormat="1" applyBorder="1"/>
    <xf numFmtId="0" fontId="0" fillId="0" borderId="0" xfId="0" applyFont="1"/>
    <xf numFmtId="3" fontId="1" fillId="0" borderId="0" xfId="0" applyNumberFormat="1" applyFont="1"/>
    <xf numFmtId="2" fontId="0" fillId="4" borderId="2" xfId="0" applyNumberFormat="1" applyFill="1" applyBorder="1"/>
    <xf numFmtId="2" fontId="0" fillId="4" borderId="4" xfId="0" applyNumberFormat="1" applyFill="1" applyBorder="1"/>
    <xf numFmtId="2" fontId="0" fillId="4" borderId="5" xfId="0" applyNumberFormat="1" applyFill="1" applyBorder="1"/>
    <xf numFmtId="2" fontId="0" fillId="4" borderId="6" xfId="0" applyNumberFormat="1" applyFill="1" applyBorder="1"/>
    <xf numFmtId="2" fontId="0" fillId="4" borderId="7" xfId="0" applyNumberFormat="1" applyFill="1" applyBorder="1"/>
    <xf numFmtId="2" fontId="0" fillId="4" borderId="9" xfId="0" applyNumberFormat="1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8" xfId="0" applyFill="1" applyBorder="1"/>
    <xf numFmtId="0" fontId="0" fillId="0" borderId="0" xfId="0" applyFill="1" applyBorder="1"/>
    <xf numFmtId="0" fontId="0" fillId="5" borderId="0" xfId="0" applyFill="1"/>
    <xf numFmtId="0" fontId="0" fillId="5" borderId="0" xfId="0" applyFill="1" applyBorder="1"/>
    <xf numFmtId="0" fontId="0" fillId="2" borderId="21" xfId="0" applyFill="1" applyBorder="1"/>
    <xf numFmtId="164" fontId="0" fillId="2" borderId="21" xfId="0" applyNumberFormat="1" applyFill="1" applyBorder="1"/>
    <xf numFmtId="0" fontId="0" fillId="3" borderId="23" xfId="0" applyFill="1" applyBorder="1"/>
    <xf numFmtId="0" fontId="0" fillId="5" borderId="3" xfId="0" applyFill="1" applyBorder="1"/>
    <xf numFmtId="0" fontId="0" fillId="0" borderId="24" xfId="0" applyBorder="1"/>
    <xf numFmtId="0" fontId="0" fillId="5" borderId="8" xfId="0" applyFill="1" applyBorder="1"/>
    <xf numFmtId="0" fontId="0" fillId="2" borderId="3" xfId="0" applyFill="1" applyBorder="1"/>
    <xf numFmtId="0" fontId="0" fillId="3" borderId="25" xfId="0" applyFill="1" applyBorder="1"/>
    <xf numFmtId="0" fontId="0" fillId="3" borderId="22" xfId="0" applyFill="1" applyBorder="1"/>
    <xf numFmtId="0" fontId="0" fillId="4" borderId="14" xfId="0" applyFill="1" applyBorder="1"/>
    <xf numFmtId="2" fontId="0" fillId="0" borderId="0" xfId="0" applyNumberFormat="1"/>
    <xf numFmtId="2" fontId="0" fillId="0" borderId="12" xfId="0" applyNumberFormat="1" applyFill="1" applyBorder="1"/>
    <xf numFmtId="2" fontId="0" fillId="0" borderId="14" xfId="0" applyNumberFormat="1" applyFill="1" applyBorder="1"/>
    <xf numFmtId="11" fontId="0" fillId="0" borderId="0" xfId="0" applyNumberFormat="1"/>
    <xf numFmtId="164" fontId="0" fillId="2" borderId="6" xfId="0" applyNumberFormat="1" applyFill="1" applyBorder="1"/>
    <xf numFmtId="164" fontId="0" fillId="2" borderId="9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F6AD-115F-4C47-B15D-9F73A7A7936A}">
  <dimension ref="A1:BB165"/>
  <sheetViews>
    <sheetView tabSelected="1" topLeftCell="A22" zoomScaleNormal="100" workbookViewId="0">
      <selection activeCell="A40" sqref="A40"/>
    </sheetView>
  </sheetViews>
  <sheetFormatPr baseColWidth="10" defaultRowHeight="15" x14ac:dyDescent="0.25"/>
  <cols>
    <col min="1" max="1" width="24.42578125" customWidth="1"/>
    <col min="2" max="2" width="19.85546875" customWidth="1"/>
    <col min="3" max="3" width="12.5703125" customWidth="1"/>
    <col min="4" max="4" width="13.85546875" customWidth="1"/>
    <col min="5" max="6" width="11.85546875" bestFit="1" customWidth="1"/>
    <col min="7" max="7" width="16.42578125" bestFit="1" customWidth="1"/>
    <col min="8" max="8" width="14.42578125" customWidth="1"/>
    <col min="9" max="9" width="12.42578125" customWidth="1"/>
    <col min="10" max="10" width="11.7109375" bestFit="1" customWidth="1"/>
    <col min="11" max="11" width="12.140625" customWidth="1"/>
    <col min="12" max="13" width="11.7109375" bestFit="1" customWidth="1"/>
    <col min="14" max="14" width="15.7109375" bestFit="1" customWidth="1"/>
    <col min="15" max="15" width="14.5703125" customWidth="1"/>
    <col min="16" max="16" width="17.140625" customWidth="1"/>
    <col min="17" max="23" width="16.5703125" customWidth="1"/>
    <col min="24" max="25" width="18.5703125" customWidth="1"/>
    <col min="26" max="26" width="16" customWidth="1"/>
    <col min="27" max="28" width="11.5703125" bestFit="1" customWidth="1"/>
    <col min="29" max="29" width="15" bestFit="1" customWidth="1"/>
    <col min="30" max="32" width="11.5703125" bestFit="1" customWidth="1"/>
    <col min="33" max="33" width="15.42578125" bestFit="1" customWidth="1"/>
    <col min="34" max="34" width="14.42578125" bestFit="1" customWidth="1"/>
    <col min="36" max="36" width="14" bestFit="1" customWidth="1"/>
    <col min="37" max="37" width="12.28515625" bestFit="1" customWidth="1"/>
    <col min="38" max="39" width="13.42578125" bestFit="1" customWidth="1"/>
    <col min="40" max="40" width="11.7109375" bestFit="1" customWidth="1"/>
    <col min="41" max="41" width="11.5703125" bestFit="1" customWidth="1"/>
    <col min="43" max="43" width="11.7109375" bestFit="1" customWidth="1"/>
    <col min="44" max="44" width="11.5703125" bestFit="1" customWidth="1"/>
    <col min="45" max="45" width="14.140625" bestFit="1" customWidth="1"/>
    <col min="46" max="46" width="13.42578125" bestFit="1" customWidth="1"/>
    <col min="47" max="54" width="11.5703125" bestFit="1" customWidth="1"/>
  </cols>
  <sheetData>
    <row r="1" spans="1:54" x14ac:dyDescent="0.25">
      <c r="A1" s="42" t="s">
        <v>68</v>
      </c>
      <c r="G1">
        <v>100</v>
      </c>
      <c r="H1">
        <v>2.5000000000000001E-4</v>
      </c>
      <c r="I1">
        <v>8.0000000000000007E-5</v>
      </c>
    </row>
    <row r="2" spans="1:54" ht="15.75" thickBot="1" x14ac:dyDescent="0.3">
      <c r="A2" s="42" t="s">
        <v>18</v>
      </c>
      <c r="B2" s="43" t="s">
        <v>23</v>
      </c>
      <c r="C2" t="s">
        <v>26</v>
      </c>
      <c r="Q2" s="42" t="s">
        <v>66</v>
      </c>
      <c r="AB2" s="42" t="s">
        <v>77</v>
      </c>
      <c r="AD2" s="42" t="s">
        <v>3</v>
      </c>
      <c r="AF2" s="42" t="s">
        <v>2</v>
      </c>
      <c r="AH2" s="42" t="s">
        <v>1</v>
      </c>
    </row>
    <row r="3" spans="1:54" ht="15.75" thickBot="1" x14ac:dyDescent="0.3">
      <c r="A3" s="42" t="s">
        <v>91</v>
      </c>
      <c r="F3" s="26" t="s">
        <v>21</v>
      </c>
      <c r="G3" s="29" t="s">
        <v>22</v>
      </c>
      <c r="H3" s="29" t="s">
        <v>24</v>
      </c>
      <c r="I3" s="29" t="s">
        <v>0</v>
      </c>
      <c r="J3" s="29" t="s">
        <v>25</v>
      </c>
      <c r="K3" s="29" t="s">
        <v>3</v>
      </c>
      <c r="L3" s="29" t="s">
        <v>25</v>
      </c>
      <c r="M3" s="29" t="s">
        <v>2</v>
      </c>
      <c r="N3" s="29" t="s">
        <v>25</v>
      </c>
      <c r="O3" s="29" t="s">
        <v>1</v>
      </c>
      <c r="P3" s="30" t="s">
        <v>25</v>
      </c>
      <c r="Q3" s="71" t="s">
        <v>37</v>
      </c>
      <c r="R3" s="41" t="s">
        <v>36</v>
      </c>
      <c r="S3" s="41" t="s">
        <v>29</v>
      </c>
      <c r="T3" s="41" t="s">
        <v>30</v>
      </c>
      <c r="U3" s="41" t="s">
        <v>31</v>
      </c>
      <c r="V3" s="11" t="s">
        <v>74</v>
      </c>
      <c r="W3" s="5" t="s">
        <v>30</v>
      </c>
      <c r="X3" s="67" t="s">
        <v>82</v>
      </c>
      <c r="Y3" s="67" t="s">
        <v>76</v>
      </c>
      <c r="Z3" s="70" t="s">
        <v>22</v>
      </c>
      <c r="AA3" s="70" t="s">
        <v>24</v>
      </c>
      <c r="AB3" s="5" t="s">
        <v>73</v>
      </c>
      <c r="AC3" s="5" t="s">
        <v>76</v>
      </c>
      <c r="AD3" s="5" t="s">
        <v>73</v>
      </c>
      <c r="AE3" s="5" t="s">
        <v>76</v>
      </c>
      <c r="AF3" s="5" t="s">
        <v>73</v>
      </c>
      <c r="AG3" s="5" t="s">
        <v>76</v>
      </c>
      <c r="AH3" s="5" t="s">
        <v>73</v>
      </c>
      <c r="AI3" s="12" t="s">
        <v>76</v>
      </c>
      <c r="AO3" t="s">
        <v>85</v>
      </c>
      <c r="AV3" t="s">
        <v>92</v>
      </c>
      <c r="AY3" s="2"/>
      <c r="AZ3" s="2"/>
      <c r="BA3" s="2"/>
      <c r="BB3" s="2"/>
    </row>
    <row r="4" spans="1:54" ht="15.75" thickBot="1" x14ac:dyDescent="0.3">
      <c r="A4">
        <f t="shared" ref="A4:A36" si="0">I4/((G4^4)-($R$4^4))</f>
        <v>2.7338604641082693E-10</v>
      </c>
      <c r="B4">
        <f>(A4-$A$39)^2</f>
        <v>2.6302672015142648E-25</v>
      </c>
      <c r="D4">
        <f t="shared" ref="D4:D36" si="1">K4/((G4^4)-($R$4^4))</f>
        <v>1.534798857043239E-10</v>
      </c>
      <c r="F4" s="13">
        <v>19</v>
      </c>
      <c r="G4" s="22">
        <f t="shared" ref="G4:G36" si="2">F4+$Q$5</f>
        <v>292</v>
      </c>
      <c r="H4" s="22">
        <v>1</v>
      </c>
      <c r="I4" s="38">
        <v>-0.114</v>
      </c>
      <c r="J4" s="38">
        <f>($H$1*I4+$I$1*$G$1)+0.003</f>
        <v>1.0971499999999999E-2</v>
      </c>
      <c r="K4" s="38">
        <v>-6.4000000000000001E-2</v>
      </c>
      <c r="L4" s="38">
        <f>($H$1*K4+$I$1*$G$1)+0.003</f>
        <v>1.0984000000000001E-2</v>
      </c>
      <c r="M4" s="38">
        <v>-0.114</v>
      </c>
      <c r="N4" s="38">
        <f>($H$1*M4+$I$1*$G$1)+0.003</f>
        <v>1.0971499999999999E-2</v>
      </c>
      <c r="O4" s="38">
        <v>-1.4999999999999999E-2</v>
      </c>
      <c r="P4" s="78">
        <f>($H$1*O4+$I$1*$G$1)+0.003</f>
        <v>1.0996249999999999E-2</v>
      </c>
      <c r="Q4" s="72">
        <v>24</v>
      </c>
      <c r="R4" s="41">
        <f>23.1+273</f>
        <v>296.10000000000002</v>
      </c>
      <c r="S4" s="41">
        <v>0.1</v>
      </c>
      <c r="T4" s="41">
        <f>R4^4</f>
        <v>7686942448.5441008</v>
      </c>
      <c r="U4" s="66">
        <f>T4*(SQRT(16*(S4/R4)^2))</f>
        <v>10384251.872400001</v>
      </c>
      <c r="V4" s="13">
        <f t="shared" ref="V4:V36" si="3">G4^4</f>
        <v>7269949696</v>
      </c>
      <c r="W4" s="6">
        <f t="shared" ref="W4:W36" si="4">$R$4^4</f>
        <v>7686942448.5441008</v>
      </c>
      <c r="X4" s="63">
        <f t="shared" ref="X4:X36" si="5">W4/V4</f>
        <v>1.0573584096150672</v>
      </c>
      <c r="Y4" s="63">
        <f t="shared" ref="Y4:Y36" si="6">X4*SQRT((((H4/G4)^2)*16)+((($S$4/$R$4)^2)*16))</f>
        <v>1.4554621462329468E-2</v>
      </c>
      <c r="Z4" s="22">
        <f t="shared" ref="Z4:Z36" si="7">G4</f>
        <v>292</v>
      </c>
      <c r="AA4" s="22">
        <v>1</v>
      </c>
      <c r="AB4" s="6">
        <f>I4/(1-X4)</f>
        <v>1.9875028049950301</v>
      </c>
      <c r="AC4" s="6">
        <f t="shared" ref="AC4:AC36" si="8">SQRT((AO5*J4^2)+(AP5*Y4^2))</f>
        <v>0.53938194522776006</v>
      </c>
      <c r="AD4" s="6">
        <f>K4/(1-X4)</f>
        <v>1.1157910484182625</v>
      </c>
      <c r="AE4" s="6">
        <f t="shared" ref="AE4:AE36" si="9">SQRT((AO5*L4^2)+(AQ5*Y4^2))</f>
        <v>0.34181023533281135</v>
      </c>
      <c r="AF4" s="6">
        <f>M4/(1-X4)</f>
        <v>1.9875028049950301</v>
      </c>
      <c r="AG4" s="6">
        <f t="shared" ref="AG4:AG36" si="10">SQRT((AO5*N4^2)+(AR5*Y4^2))</f>
        <v>0.53938194522776006</v>
      </c>
      <c r="AH4" s="6">
        <f>O4/(1-X4)</f>
        <v>0.26151352697303026</v>
      </c>
      <c r="AI4" s="14">
        <f t="shared" ref="AI4:AI36" si="11">SQRT((AO5*P4^2)+(AS5*Y4^2))</f>
        <v>0.20287105864871297</v>
      </c>
      <c r="AK4" s="74">
        <f>AD4/AB4</f>
        <v>0.56140350877192979</v>
      </c>
      <c r="AL4" s="74">
        <f>AH4/AB4</f>
        <v>0.13157894736842105</v>
      </c>
      <c r="AO4" t="s">
        <v>78</v>
      </c>
      <c r="AP4" s="1" t="s">
        <v>79</v>
      </c>
      <c r="AQ4" t="s">
        <v>3</v>
      </c>
      <c r="AR4" t="s">
        <v>2</v>
      </c>
      <c r="AS4" t="s">
        <v>1</v>
      </c>
      <c r="AV4" t="s">
        <v>77</v>
      </c>
      <c r="AW4" t="s">
        <v>2</v>
      </c>
      <c r="AX4" t="s">
        <v>3</v>
      </c>
      <c r="AY4" s="2" t="s">
        <v>1</v>
      </c>
      <c r="AZ4" s="2"/>
      <c r="BA4" s="2"/>
      <c r="BB4" s="2"/>
    </row>
    <row r="5" spans="1:54" ht="15.75" thickBot="1" x14ac:dyDescent="0.3">
      <c r="A5">
        <f t="shared" si="0"/>
        <v>2.8272108049847474E-10</v>
      </c>
      <c r="B5">
        <f t="shared" ref="B5:B36" si="12">(A5-$A$39)^2</f>
        <v>7.7830732572743886E-23</v>
      </c>
      <c r="D5">
        <f t="shared" si="1"/>
        <v>1.668517852122146E-10</v>
      </c>
      <c r="F5" s="13">
        <v>21</v>
      </c>
      <c r="G5" s="22">
        <f t="shared" si="2"/>
        <v>294</v>
      </c>
      <c r="H5" s="22">
        <v>1</v>
      </c>
      <c r="I5" s="38">
        <v>-6.0999999999999999E-2</v>
      </c>
      <c r="J5" s="38">
        <f t="shared" ref="J5:J36" si="13">($H$1*I5+$I$1*$G$1)+0.003</f>
        <v>1.0984750000000001E-2</v>
      </c>
      <c r="K5" s="38">
        <v>-3.5999999999999997E-2</v>
      </c>
      <c r="L5" s="38">
        <f t="shared" ref="L5:L36" si="14">($H$1*K5+$I$1*$G$1)+0.003</f>
        <v>1.0991000000000001E-2</v>
      </c>
      <c r="M5" s="38">
        <v>-6.0999999999999999E-2</v>
      </c>
      <c r="N5" s="38">
        <f t="shared" ref="N5:N36" si="15">($H$1*M5+$I$1*$G$1)+0.003</f>
        <v>1.0984750000000001E-2</v>
      </c>
      <c r="O5" s="38">
        <v>-8.0000000000000002E-3</v>
      </c>
      <c r="P5" s="78">
        <f t="shared" ref="P5:P36" si="16">($H$1*O5+$I$1*$G$1)+0.003</f>
        <v>1.0998000000000001E-2</v>
      </c>
      <c r="Q5" s="73">
        <v>273</v>
      </c>
      <c r="R5" s="6"/>
      <c r="V5" s="13">
        <f t="shared" si="3"/>
        <v>7471182096</v>
      </c>
      <c r="W5" s="6">
        <f t="shared" si="4"/>
        <v>7686942448.5441008</v>
      </c>
      <c r="X5" s="63">
        <f t="shared" si="5"/>
        <v>1.0288790113494379</v>
      </c>
      <c r="Y5" s="63">
        <f t="shared" si="6"/>
        <v>1.4067187160033554E-2</v>
      </c>
      <c r="Z5" s="22">
        <f t="shared" si="7"/>
        <v>294</v>
      </c>
      <c r="AA5" s="22">
        <v>1</v>
      </c>
      <c r="AB5" s="6">
        <f t="shared" ref="AB5:AB36" si="17">I5/(1-X5)</f>
        <v>2.1122606747819721</v>
      </c>
      <c r="AC5" s="6">
        <f t="shared" si="8"/>
        <v>1.0969567695042712</v>
      </c>
      <c r="AD5" s="6">
        <f t="shared" ref="AD5:AD9" si="18">K5/(1-X5)</f>
        <v>1.2465800703631309</v>
      </c>
      <c r="AE5" s="6">
        <f t="shared" si="9"/>
        <v>0.71663213375778823</v>
      </c>
      <c r="AF5" s="6">
        <f t="shared" ref="AF5:AF36" si="19">M5/(1-X5)</f>
        <v>2.1122606747819721</v>
      </c>
      <c r="AG5" s="6">
        <f t="shared" si="10"/>
        <v>1.0969567695042712</v>
      </c>
      <c r="AH5" s="6">
        <f t="shared" ref="AH5:AH36" si="20">O5/(1-X5)</f>
        <v>0.27701779341402916</v>
      </c>
      <c r="AI5" s="14">
        <f t="shared" si="11"/>
        <v>0.40402942307930156</v>
      </c>
      <c r="AK5" s="74">
        <f t="shared" ref="AK5:AK36" si="21">AD5/AB5</f>
        <v>0.59016393442622939</v>
      </c>
      <c r="AL5" s="74">
        <f t="shared" ref="AL5:AL36" si="22">AH5/AB5</f>
        <v>0.13114754098360656</v>
      </c>
      <c r="AO5">
        <f t="shared" ref="AO5:AO37" si="23">(1/(1-X4))^2</f>
        <v>303.95255462166153</v>
      </c>
      <c r="AP5">
        <f t="shared" ref="AP5:AP37" si="24">(I4/(1-X4)^2)^2</f>
        <v>1200.6634723715993</v>
      </c>
      <c r="AQ5">
        <f t="shared" ref="AQ5:AQ37" si="25">(K4/(1-X4)^2)^2</f>
        <v>378.41778876839572</v>
      </c>
      <c r="AR5">
        <f t="shared" ref="AR5:AR37" si="26">(M4/(1-X4)^2)^2</f>
        <v>1200.6634723715993</v>
      </c>
      <c r="AS5">
        <f t="shared" ref="AS5:AS37" si="27">(O4/(1-X4)^2)^2</f>
        <v>20.787109978732669</v>
      </c>
      <c r="AU5" t="s">
        <v>93</v>
      </c>
      <c r="AV5" s="4">
        <v>4.0003200000000003</v>
      </c>
      <c r="AW5" s="4">
        <v>4.0004600000000003</v>
      </c>
      <c r="AX5" s="4">
        <v>3.9268100000000001</v>
      </c>
      <c r="AY5" s="4">
        <v>3.7031499999999999</v>
      </c>
      <c r="AZ5" s="2"/>
      <c r="BA5" s="2"/>
      <c r="BB5" s="2"/>
    </row>
    <row r="6" spans="1:54" x14ac:dyDescent="0.25">
      <c r="A6">
        <f t="shared" si="0"/>
        <v>4.8174232506236006E-10</v>
      </c>
      <c r="B6">
        <f t="shared" si="12"/>
        <v>4.3198886133480651E-20</v>
      </c>
      <c r="D6">
        <f t="shared" si="1"/>
        <v>-2.8904539503741599E-9</v>
      </c>
      <c r="F6" s="13">
        <v>23</v>
      </c>
      <c r="G6" s="22">
        <f t="shared" si="2"/>
        <v>296</v>
      </c>
      <c r="H6" s="22">
        <v>1</v>
      </c>
      <c r="I6" s="38">
        <v>-5.0000000000000001E-3</v>
      </c>
      <c r="J6" s="38">
        <f t="shared" si="13"/>
        <v>1.0998750000000002E-2</v>
      </c>
      <c r="K6" s="38">
        <v>0.03</v>
      </c>
      <c r="L6" s="38">
        <f t="shared" si="14"/>
        <v>1.10075E-2</v>
      </c>
      <c r="M6" s="38">
        <v>-2E-3</v>
      </c>
      <c r="N6" s="38">
        <f t="shared" si="15"/>
        <v>1.0999499999999999E-2</v>
      </c>
      <c r="O6" s="38">
        <v>0</v>
      </c>
      <c r="P6" s="78">
        <f t="shared" si="16"/>
        <v>1.0999999999999999E-2</v>
      </c>
      <c r="R6" s="6" t="s">
        <v>83</v>
      </c>
      <c r="S6" t="s">
        <v>84</v>
      </c>
      <c r="V6" s="13">
        <f t="shared" si="3"/>
        <v>7676563456</v>
      </c>
      <c r="W6" s="6">
        <f t="shared" si="4"/>
        <v>7686942448.5441008</v>
      </c>
      <c r="X6" s="63">
        <f t="shared" si="5"/>
        <v>1.0013520363120283</v>
      </c>
      <c r="Y6" s="63">
        <f t="shared" si="6"/>
        <v>1.3599229423398399E-2</v>
      </c>
      <c r="Z6" s="22">
        <f t="shared" si="7"/>
        <v>296</v>
      </c>
      <c r="AA6" s="22">
        <v>1</v>
      </c>
      <c r="AB6" s="6">
        <f t="shared" si="17"/>
        <v>3.6981255277819556</v>
      </c>
      <c r="AC6" s="6">
        <f t="shared" si="8"/>
        <v>38.076136878701348</v>
      </c>
      <c r="AD6" s="6">
        <f t="shared" si="18"/>
        <v>-22.188753166691733</v>
      </c>
      <c r="AE6" s="6">
        <f t="shared" si="9"/>
        <v>223.33028050692411</v>
      </c>
      <c r="AF6" s="6">
        <f t="shared" si="19"/>
        <v>1.4792502111127823</v>
      </c>
      <c r="AG6" s="6">
        <f t="shared" si="10"/>
        <v>16.957736446871952</v>
      </c>
      <c r="AH6" s="6">
        <f t="shared" si="20"/>
        <v>0</v>
      </c>
      <c r="AI6" s="14">
        <f t="shared" si="11"/>
        <v>8.1358761611203025</v>
      </c>
      <c r="AK6" s="74">
        <f t="shared" si="21"/>
        <v>-6</v>
      </c>
      <c r="AL6" s="74">
        <f t="shared" si="22"/>
        <v>0</v>
      </c>
      <c r="AO6">
        <f t="shared" si="23"/>
        <v>1199.044654187152</v>
      </c>
      <c r="AP6">
        <f t="shared" si="24"/>
        <v>5349.7117758561399</v>
      </c>
      <c r="AQ6">
        <f t="shared" si="25"/>
        <v>1863.269675224283</v>
      </c>
      <c r="AR6">
        <f t="shared" si="26"/>
        <v>5349.7117758561399</v>
      </c>
      <c r="AS6">
        <f t="shared" si="27"/>
        <v>92.013317295026368</v>
      </c>
      <c r="AU6" t="s">
        <v>94</v>
      </c>
      <c r="AV6" s="4">
        <v>3.9998399999999998</v>
      </c>
      <c r="AW6" s="4">
        <v>3.9999699999999998</v>
      </c>
      <c r="AX6" s="4">
        <v>3.92632</v>
      </c>
      <c r="AY6" s="4">
        <v>3.7026599999999998</v>
      </c>
      <c r="AZ6" s="2"/>
      <c r="BA6" s="2"/>
      <c r="BB6" s="2"/>
    </row>
    <row r="7" spans="1:54" x14ac:dyDescent="0.25">
      <c r="A7">
        <f t="shared" si="0"/>
        <v>2.6103373607037975E-10</v>
      </c>
      <c r="B7">
        <f t="shared" si="12"/>
        <v>1.6551264151661528E-22</v>
      </c>
      <c r="D7">
        <f t="shared" si="1"/>
        <v>2.0079518159259981E-10</v>
      </c>
      <c r="F7" s="68">
        <v>25</v>
      </c>
      <c r="G7" s="64">
        <f t="shared" si="2"/>
        <v>298</v>
      </c>
      <c r="H7" s="64">
        <v>1</v>
      </c>
      <c r="I7" s="65">
        <v>5.1999999999999998E-2</v>
      </c>
      <c r="J7" s="38">
        <f t="shared" si="13"/>
        <v>1.1013000000000002E-2</v>
      </c>
      <c r="K7" s="65">
        <v>0.04</v>
      </c>
      <c r="L7" s="38">
        <f t="shared" si="14"/>
        <v>1.1009999999999999E-2</v>
      </c>
      <c r="M7" s="65">
        <v>5.5E-2</v>
      </c>
      <c r="N7" s="38">
        <f t="shared" si="15"/>
        <v>1.1013749999999999E-2</v>
      </c>
      <c r="O7" s="65">
        <v>0.01</v>
      </c>
      <c r="P7" s="78">
        <f t="shared" si="16"/>
        <v>1.1002500000000002E-2</v>
      </c>
      <c r="Q7" s="6"/>
      <c r="R7" s="45">
        <f>K7/I7</f>
        <v>0.76923076923076927</v>
      </c>
      <c r="S7" s="74">
        <f>O7/I7</f>
        <v>0.19230769230769232</v>
      </c>
      <c r="T7" s="4"/>
      <c r="V7" s="13">
        <f t="shared" si="3"/>
        <v>7886150416</v>
      </c>
      <c r="W7" s="6">
        <f t="shared" si="4"/>
        <v>7686942448.5441008</v>
      </c>
      <c r="X7" s="63">
        <f t="shared" si="5"/>
        <v>0.97473951713478202</v>
      </c>
      <c r="Y7" s="63">
        <f t="shared" si="6"/>
        <v>1.3149845971931135E-2</v>
      </c>
      <c r="Z7" s="22">
        <f t="shared" si="7"/>
        <v>298</v>
      </c>
      <c r="AA7" s="22">
        <v>1</v>
      </c>
      <c r="AB7" s="6">
        <f t="shared" si="17"/>
        <v>2.0585513063014549</v>
      </c>
      <c r="AC7" s="6">
        <f t="shared" si="8"/>
        <v>1.1569119314706642</v>
      </c>
      <c r="AD7" s="6">
        <f t="shared" si="18"/>
        <v>1.5835010048472733</v>
      </c>
      <c r="AE7" s="6">
        <f t="shared" si="9"/>
        <v>0.93245964836585726</v>
      </c>
      <c r="AF7" s="6">
        <f t="shared" si="19"/>
        <v>2.1773138816650008</v>
      </c>
      <c r="AG7" s="6">
        <f t="shared" si="10"/>
        <v>1.2144123870990933</v>
      </c>
      <c r="AH7" s="6">
        <f t="shared" si="20"/>
        <v>0.39587525121181832</v>
      </c>
      <c r="AI7" s="14">
        <f t="shared" si="11"/>
        <v>0.48185402178856851</v>
      </c>
      <c r="AK7" s="74">
        <f t="shared" si="21"/>
        <v>0.76923076923076938</v>
      </c>
      <c r="AL7" s="74">
        <f t="shared" si="22"/>
        <v>0.19230769230769235</v>
      </c>
      <c r="AO7">
        <f t="shared" si="23"/>
        <v>547045.2967693028</v>
      </c>
      <c r="AP7">
        <f t="shared" si="24"/>
        <v>7481463.9179353612</v>
      </c>
      <c r="AQ7">
        <f t="shared" si="25"/>
        <v>269332701.04567307</v>
      </c>
      <c r="AR7">
        <f t="shared" si="26"/>
        <v>1197034.2268696579</v>
      </c>
      <c r="AS7">
        <f t="shared" si="27"/>
        <v>0</v>
      </c>
      <c r="AU7" t="s">
        <v>95</v>
      </c>
      <c r="AV7" s="4">
        <v>4.0008100000000004</v>
      </c>
      <c r="AW7" s="4">
        <v>4.0009499999999996</v>
      </c>
      <c r="AX7" s="4">
        <v>3.9272999999999998</v>
      </c>
      <c r="AY7" s="4">
        <v>3.70364</v>
      </c>
      <c r="AZ7" s="2"/>
      <c r="BA7" s="2"/>
      <c r="BB7" s="2"/>
    </row>
    <row r="8" spans="1:54" x14ac:dyDescent="0.25">
      <c r="A8">
        <f t="shared" si="0"/>
        <v>2.7114865617450858E-10</v>
      </c>
      <c r="B8">
        <f t="shared" si="12"/>
        <v>7.5638835511693448E-24</v>
      </c>
      <c r="D8">
        <f>K8/((G8^4)-($R$4^4))</f>
        <v>1.8641470111997464E-10</v>
      </c>
      <c r="F8" s="13">
        <v>27</v>
      </c>
      <c r="G8" s="22">
        <f t="shared" si="2"/>
        <v>300</v>
      </c>
      <c r="H8" s="22">
        <v>1</v>
      </c>
      <c r="I8" s="38">
        <v>0.112</v>
      </c>
      <c r="J8" s="38">
        <f t="shared" si="13"/>
        <v>1.1028E-2</v>
      </c>
      <c r="K8" s="38">
        <v>7.6999999999999999E-2</v>
      </c>
      <c r="L8" s="38">
        <f t="shared" si="14"/>
        <v>1.1019250000000001E-2</v>
      </c>
      <c r="M8" s="38">
        <v>0.11600000000000001</v>
      </c>
      <c r="N8" s="38">
        <f t="shared" si="15"/>
        <v>1.1029000000000001E-2</v>
      </c>
      <c r="O8" s="38">
        <v>2.1999999999999999E-2</v>
      </c>
      <c r="P8" s="78">
        <f t="shared" si="16"/>
        <v>1.1005500000000001E-2</v>
      </c>
      <c r="Q8" s="6"/>
      <c r="R8" s="45">
        <f t="shared" ref="R8:R35" si="28">K8/I8</f>
        <v>0.6875</v>
      </c>
      <c r="S8" s="74">
        <f t="shared" ref="S8:S35" si="29">O8/I8</f>
        <v>0.19642857142857142</v>
      </c>
      <c r="T8" s="4"/>
      <c r="V8" s="13">
        <f t="shared" si="3"/>
        <v>8100000000</v>
      </c>
      <c r="W8" s="6">
        <f t="shared" si="4"/>
        <v>7686942448.5441008</v>
      </c>
      <c r="X8" s="63">
        <f t="shared" si="5"/>
        <v>0.94900524056100011</v>
      </c>
      <c r="Y8" s="63">
        <f t="shared" si="6"/>
        <v>1.2718181990794213E-2</v>
      </c>
      <c r="Z8" s="22">
        <f t="shared" si="7"/>
        <v>300</v>
      </c>
      <c r="AA8" s="22">
        <v>1</v>
      </c>
      <c r="AB8" s="6">
        <f t="shared" si="17"/>
        <v>2.1963041150135201</v>
      </c>
      <c r="AC8" s="6">
        <f t="shared" si="8"/>
        <v>0.58890628136528911</v>
      </c>
      <c r="AD8" s="6">
        <f t="shared" si="18"/>
        <v>1.5099590790717949</v>
      </c>
      <c r="AE8" s="6">
        <f t="shared" si="9"/>
        <v>0.43417792166702435</v>
      </c>
      <c r="AF8" s="6">
        <f t="shared" si="19"/>
        <v>2.2747435476925744</v>
      </c>
      <c r="AG8" s="6">
        <f t="shared" si="10"/>
        <v>0.60715192694342068</v>
      </c>
      <c r="AH8" s="6">
        <f t="shared" si="20"/>
        <v>0.43141687973479853</v>
      </c>
      <c r="AI8" s="14">
        <f t="shared" si="11"/>
        <v>0.2411505720494754</v>
      </c>
      <c r="AK8" s="74">
        <f t="shared" si="21"/>
        <v>0.6875</v>
      </c>
      <c r="AL8" s="74">
        <f t="shared" si="22"/>
        <v>0.1964285714285714</v>
      </c>
      <c r="AO8">
        <f t="shared" si="23"/>
        <v>1567.1721452202023</v>
      </c>
      <c r="AP8">
        <f t="shared" si="24"/>
        <v>6641.1011525670638</v>
      </c>
      <c r="AQ8">
        <f t="shared" si="25"/>
        <v>3929.6456524065461</v>
      </c>
      <c r="AR8">
        <f t="shared" si="26"/>
        <v>7429.4863115811268</v>
      </c>
      <c r="AS8">
        <f t="shared" si="27"/>
        <v>245.60285327540913</v>
      </c>
      <c r="AY8" s="2"/>
      <c r="AZ8" s="2"/>
      <c r="BA8" s="2"/>
      <c r="BB8" s="2"/>
    </row>
    <row r="9" spans="1:54" x14ac:dyDescent="0.25">
      <c r="A9">
        <f t="shared" si="0"/>
        <v>2.7248510341091549E-10</v>
      </c>
      <c r="B9">
        <f t="shared" si="12"/>
        <v>1.998842618058507E-24</v>
      </c>
      <c r="D9">
        <f t="shared" si="1"/>
        <v>1.8218480751311213E-10</v>
      </c>
      <c r="F9" s="13">
        <v>29</v>
      </c>
      <c r="G9" s="22">
        <f t="shared" si="2"/>
        <v>302</v>
      </c>
      <c r="H9" s="22">
        <v>1</v>
      </c>
      <c r="I9" s="38">
        <v>0.17199999999999999</v>
      </c>
      <c r="J9" s="38">
        <f t="shared" si="13"/>
        <v>1.1043000000000001E-2</v>
      </c>
      <c r="K9" s="38">
        <v>0.115</v>
      </c>
      <c r="L9" s="38">
        <f t="shared" si="14"/>
        <v>1.102875E-2</v>
      </c>
      <c r="M9" s="38">
        <v>0.17599999999999999</v>
      </c>
      <c r="N9" s="38">
        <f t="shared" si="15"/>
        <v>1.1044000000000002E-2</v>
      </c>
      <c r="O9" s="38">
        <v>0.03</v>
      </c>
      <c r="P9" s="78">
        <f t="shared" si="16"/>
        <v>1.10075E-2</v>
      </c>
      <c r="Q9" s="6"/>
      <c r="R9" s="45">
        <f t="shared" si="28"/>
        <v>0.66860465116279078</v>
      </c>
      <c r="S9" s="74">
        <f t="shared" si="29"/>
        <v>0.1744186046511628</v>
      </c>
      <c r="T9" s="4"/>
      <c r="V9" s="13">
        <f t="shared" si="3"/>
        <v>8318169616</v>
      </c>
      <c r="W9" s="6">
        <f t="shared" si="4"/>
        <v>7686942448.5441008</v>
      </c>
      <c r="X9" s="63">
        <f t="shared" si="5"/>
        <v>0.92411465543552584</v>
      </c>
      <c r="Y9" s="63">
        <f t="shared" si="6"/>
        <v>1.2303427339765262E-2</v>
      </c>
      <c r="Z9" s="22">
        <f t="shared" si="7"/>
        <v>302</v>
      </c>
      <c r="AA9" s="22">
        <v>1</v>
      </c>
      <c r="AB9" s="6">
        <f t="shared" si="17"/>
        <v>2.266577308005294</v>
      </c>
      <c r="AC9" s="6">
        <f t="shared" si="8"/>
        <v>0.39524850243882442</v>
      </c>
      <c r="AD9" s="6">
        <f t="shared" si="18"/>
        <v>1.5154441303523769</v>
      </c>
      <c r="AE9" s="6">
        <f t="shared" si="9"/>
        <v>0.28546698601460951</v>
      </c>
      <c r="AF9" s="6">
        <f t="shared" si="19"/>
        <v>2.3192884081914635</v>
      </c>
      <c r="AG9" s="6">
        <f t="shared" si="10"/>
        <v>0.40321135714284978</v>
      </c>
      <c r="AH9" s="6">
        <f t="shared" si="20"/>
        <v>0.39533325139627218</v>
      </c>
      <c r="AI9" s="14">
        <f t="shared" si="11"/>
        <v>0.15858460160577648</v>
      </c>
      <c r="AK9" s="74">
        <f t="shared" si="21"/>
        <v>0.66860465116279078</v>
      </c>
      <c r="AL9" s="74">
        <f t="shared" si="22"/>
        <v>0.17441860465116277</v>
      </c>
      <c r="AO9">
        <f t="shared" si="23"/>
        <v>384.54653743824304</v>
      </c>
      <c r="AP9">
        <f t="shared" si="24"/>
        <v>1854.9570389328287</v>
      </c>
      <c r="AQ9">
        <f t="shared" si="25"/>
        <v>876.75703793309469</v>
      </c>
      <c r="AR9">
        <f t="shared" si="26"/>
        <v>1989.8199869164657</v>
      </c>
      <c r="AS9">
        <f t="shared" si="27"/>
        <v>71.572003096579152</v>
      </c>
      <c r="AU9" t="s">
        <v>96</v>
      </c>
      <c r="AV9" s="4">
        <f>AV5-AV6</f>
        <v>4.8000000000048004E-4</v>
      </c>
      <c r="AW9" s="4">
        <f t="shared" ref="AW9:AY9" si="30">AW5-AW6</f>
        <v>4.9000000000054555E-4</v>
      </c>
      <c r="AX9" s="4">
        <f t="shared" si="30"/>
        <v>4.9000000000010147E-4</v>
      </c>
      <c r="AY9" s="4">
        <f t="shared" si="30"/>
        <v>4.9000000000010147E-4</v>
      </c>
      <c r="AZ9" s="2"/>
      <c r="BA9" s="2"/>
      <c r="BB9" s="2"/>
    </row>
    <row r="10" spans="1:54" x14ac:dyDescent="0.25">
      <c r="A10">
        <f t="shared" si="0"/>
        <v>2.7173448117802415E-10</v>
      </c>
      <c r="B10">
        <f t="shared" si="12"/>
        <v>4.6847422459227315E-24</v>
      </c>
      <c r="D10">
        <f t="shared" si="1"/>
        <v>1.8154674389049027E-10</v>
      </c>
      <c r="F10" s="13">
        <v>31</v>
      </c>
      <c r="G10" s="22">
        <f t="shared" si="2"/>
        <v>304</v>
      </c>
      <c r="H10" s="22">
        <v>1</v>
      </c>
      <c r="I10" s="38">
        <v>0.23200000000000001</v>
      </c>
      <c r="J10" s="38">
        <f t="shared" si="13"/>
        <v>1.1058000000000002E-2</v>
      </c>
      <c r="K10" s="38">
        <v>0.155</v>
      </c>
      <c r="L10" s="38">
        <f t="shared" si="14"/>
        <v>1.103875E-2</v>
      </c>
      <c r="M10" s="38">
        <v>0.23699999999999999</v>
      </c>
      <c r="N10" s="38">
        <f t="shared" si="15"/>
        <v>1.105925E-2</v>
      </c>
      <c r="O10" s="38">
        <v>3.7999999999999999E-2</v>
      </c>
      <c r="P10" s="78">
        <f t="shared" si="16"/>
        <v>1.1009500000000002E-2</v>
      </c>
      <c r="Q10" s="6"/>
      <c r="R10" s="45">
        <f t="shared" si="28"/>
        <v>0.66810344827586199</v>
      </c>
      <c r="S10" s="74">
        <f t="shared" si="29"/>
        <v>0.16379310344827586</v>
      </c>
      <c r="T10" s="4"/>
      <c r="V10" s="13">
        <f t="shared" si="3"/>
        <v>8540717056</v>
      </c>
      <c r="W10" s="6">
        <f t="shared" si="4"/>
        <v>7686942448.5441008</v>
      </c>
      <c r="X10" s="63">
        <f t="shared" si="5"/>
        <v>0.90003478608905463</v>
      </c>
      <c r="Y10" s="63">
        <f t="shared" si="6"/>
        <v>1.1904813943374903E-2</v>
      </c>
      <c r="Z10" s="22">
        <f t="shared" si="7"/>
        <v>304</v>
      </c>
      <c r="AA10" s="22">
        <v>1</v>
      </c>
      <c r="AB10" s="6">
        <f t="shared" si="17"/>
        <v>2.3208073181004609</v>
      </c>
      <c r="AC10" s="6">
        <f t="shared" si="8"/>
        <v>0.29769872079688436</v>
      </c>
      <c r="AD10" s="6">
        <f t="shared" ref="AD10:AD36" si="31">K10/(1-X10)</f>
        <v>1.5505393720067733</v>
      </c>
      <c r="AE10" s="6">
        <f t="shared" si="9"/>
        <v>0.21515258572141038</v>
      </c>
      <c r="AF10" s="6">
        <f t="shared" si="19"/>
        <v>2.3708247171974532</v>
      </c>
      <c r="AG10" s="6">
        <f t="shared" si="10"/>
        <v>0.30324143038870999</v>
      </c>
      <c r="AH10" s="6">
        <f t="shared" si="20"/>
        <v>0.38013223313714445</v>
      </c>
      <c r="AI10" s="14">
        <f t="shared" si="11"/>
        <v>0.11907434413661851</v>
      </c>
      <c r="AK10" s="74">
        <f t="shared" si="21"/>
        <v>0.66810344827586199</v>
      </c>
      <c r="AL10" s="74">
        <f t="shared" si="22"/>
        <v>0.16379310344827586</v>
      </c>
      <c r="AO10">
        <f t="shared" si="23"/>
        <v>173.65375517727577</v>
      </c>
      <c r="AP10">
        <f t="shared" si="24"/>
        <v>892.12405991321418</v>
      </c>
      <c r="AQ10">
        <f t="shared" si="25"/>
        <v>398.80816293781299</v>
      </c>
      <c r="AR10">
        <f t="shared" si="26"/>
        <v>934.10069226175381</v>
      </c>
      <c r="AS10">
        <f t="shared" si="27"/>
        <v>27.1400640184523</v>
      </c>
      <c r="AU10" t="s">
        <v>97</v>
      </c>
      <c r="AV10" s="4">
        <f>AV7-AV5</f>
        <v>4.9000000000010147E-4</v>
      </c>
      <c r="AW10" s="4">
        <f t="shared" ref="AW10:AY10" si="32">AW7-AW5</f>
        <v>4.8999999999921329E-4</v>
      </c>
      <c r="AX10" s="4">
        <f t="shared" si="32"/>
        <v>4.8999999999965738E-4</v>
      </c>
      <c r="AY10" s="4">
        <f t="shared" si="32"/>
        <v>4.9000000000010147E-4</v>
      </c>
      <c r="AZ10" s="2"/>
      <c r="BA10" s="2"/>
      <c r="BB10" s="2"/>
    </row>
    <row r="11" spans="1:54" x14ac:dyDescent="0.25">
      <c r="A11">
        <f t="shared" si="0"/>
        <v>2.7388183756464546E-10</v>
      </c>
      <c r="B11">
        <f t="shared" si="12"/>
        <v>2.9139012743135946E-28</v>
      </c>
      <c r="D11">
        <f t="shared" si="1"/>
        <v>1.804289132604928E-10</v>
      </c>
      <c r="F11" s="13">
        <v>33</v>
      </c>
      <c r="G11" s="22">
        <f t="shared" si="2"/>
        <v>306</v>
      </c>
      <c r="H11" s="22">
        <v>1</v>
      </c>
      <c r="I11" s="38">
        <v>0.29599999999999999</v>
      </c>
      <c r="J11" s="38">
        <f t="shared" si="13"/>
        <v>1.1074000000000001E-2</v>
      </c>
      <c r="K11" s="38">
        <v>0.19500000000000001</v>
      </c>
      <c r="L11" s="38">
        <f t="shared" si="14"/>
        <v>1.104875E-2</v>
      </c>
      <c r="M11" s="38">
        <v>0.30199999999999999</v>
      </c>
      <c r="N11" s="38">
        <f t="shared" si="15"/>
        <v>1.1075499999999999E-2</v>
      </c>
      <c r="O11" s="38">
        <v>0.05</v>
      </c>
      <c r="P11" s="78">
        <f t="shared" si="16"/>
        <v>1.1012500000000001E-2</v>
      </c>
      <c r="Q11" s="6"/>
      <c r="R11" s="45">
        <f t="shared" si="28"/>
        <v>0.65878378378378388</v>
      </c>
      <c r="S11" s="74">
        <f t="shared" si="29"/>
        <v>0.16891891891891894</v>
      </c>
      <c r="T11" s="4"/>
      <c r="V11" s="13">
        <f t="shared" si="3"/>
        <v>8767700496</v>
      </c>
      <c r="W11" s="6">
        <f t="shared" si="4"/>
        <v>7686942448.5441008</v>
      </c>
      <c r="X11" s="63">
        <f t="shared" si="5"/>
        <v>0.87673415076747174</v>
      </c>
      <c r="Y11" s="63">
        <f t="shared" si="6"/>
        <v>1.1521613349368345E-2</v>
      </c>
      <c r="Z11" s="22">
        <f t="shared" si="7"/>
        <v>306</v>
      </c>
      <c r="AA11" s="22">
        <v>1</v>
      </c>
      <c r="AB11" s="6">
        <f t="shared" si="17"/>
        <v>2.4013139230609335</v>
      </c>
      <c r="AC11" s="6">
        <f t="shared" si="8"/>
        <v>0.24176165327532501</v>
      </c>
      <c r="AD11" s="6">
        <f t="shared" si="31"/>
        <v>1.5819466722867637</v>
      </c>
      <c r="AE11" s="6">
        <f t="shared" si="9"/>
        <v>0.17291014670146096</v>
      </c>
      <c r="AF11" s="6">
        <f t="shared" si="19"/>
        <v>2.4499892052851417</v>
      </c>
      <c r="AG11" s="6">
        <f t="shared" si="10"/>
        <v>0.24599578243971096</v>
      </c>
      <c r="AH11" s="6">
        <f t="shared" si="20"/>
        <v>0.40562735186840099</v>
      </c>
      <c r="AI11" s="14">
        <f t="shared" si="11"/>
        <v>9.7051490880879193E-2</v>
      </c>
      <c r="AK11" s="74">
        <f t="shared" si="21"/>
        <v>0.65878378378378377</v>
      </c>
      <c r="AL11" s="74">
        <f t="shared" si="22"/>
        <v>0.16891891891891894</v>
      </c>
      <c r="AO11">
        <f t="shared" si="23"/>
        <v>100.06960849711379</v>
      </c>
      <c r="AP11">
        <f t="shared" si="24"/>
        <v>538.98958234546524</v>
      </c>
      <c r="AQ11">
        <f t="shared" si="25"/>
        <v>240.58458523799422</v>
      </c>
      <c r="AR11">
        <f t="shared" si="26"/>
        <v>562.47224009294064</v>
      </c>
      <c r="AS11">
        <f t="shared" si="27"/>
        <v>14.460109930641568</v>
      </c>
      <c r="AY11" s="2"/>
      <c r="AZ11" s="2"/>
      <c r="BA11" s="2"/>
      <c r="BB11" s="2"/>
    </row>
    <row r="12" spans="1:54" x14ac:dyDescent="0.25">
      <c r="A12">
        <f t="shared" si="0"/>
        <v>2.7357882805918345E-10</v>
      </c>
      <c r="B12">
        <f t="shared" si="12"/>
        <v>1.0245098783593629E-25</v>
      </c>
      <c r="D12">
        <f t="shared" si="1"/>
        <v>1.7984569198319583E-10</v>
      </c>
      <c r="F12" s="13">
        <v>35</v>
      </c>
      <c r="G12" s="22">
        <f t="shared" si="2"/>
        <v>308</v>
      </c>
      <c r="H12" s="22">
        <v>1</v>
      </c>
      <c r="I12" s="38">
        <v>0.35899999999999999</v>
      </c>
      <c r="J12" s="38">
        <f t="shared" si="13"/>
        <v>1.1089749999999999E-2</v>
      </c>
      <c r="K12" s="38">
        <v>0.23599999999999999</v>
      </c>
      <c r="L12" s="38">
        <f t="shared" si="14"/>
        <v>1.1058999999999999E-2</v>
      </c>
      <c r="M12" s="38">
        <v>0.36499999999999999</v>
      </c>
      <c r="N12" s="38">
        <f t="shared" si="15"/>
        <v>1.109125E-2</v>
      </c>
      <c r="O12" s="38">
        <v>6.3E-2</v>
      </c>
      <c r="P12" s="78">
        <f t="shared" si="16"/>
        <v>1.1015750000000001E-2</v>
      </c>
      <c r="Q12" s="6"/>
      <c r="R12" s="45">
        <f t="shared" si="28"/>
        <v>0.65738161559888575</v>
      </c>
      <c r="S12" s="74">
        <f t="shared" si="29"/>
        <v>0.17548746518105851</v>
      </c>
      <c r="T12" s="4"/>
      <c r="V12" s="13">
        <f t="shared" si="3"/>
        <v>8999178496</v>
      </c>
      <c r="W12" s="6">
        <f t="shared" si="4"/>
        <v>7686942448.5441008</v>
      </c>
      <c r="X12" s="63">
        <f t="shared" si="5"/>
        <v>0.85418268478182002</v>
      </c>
      <c r="Y12" s="63">
        <f t="shared" si="6"/>
        <v>1.1153134443625291E-2</v>
      </c>
      <c r="Z12" s="22">
        <f t="shared" si="7"/>
        <v>308</v>
      </c>
      <c r="AA12" s="22">
        <v>1</v>
      </c>
      <c r="AB12" s="6">
        <f t="shared" si="17"/>
        <v>2.4619847064310862</v>
      </c>
      <c r="AC12" s="6">
        <f t="shared" si="8"/>
        <v>0.20308762901654243</v>
      </c>
      <c r="AD12" s="6">
        <f t="shared" si="31"/>
        <v>1.618463483893416</v>
      </c>
      <c r="AE12" s="6">
        <f t="shared" si="9"/>
        <v>0.14517664701655908</v>
      </c>
      <c r="AF12" s="6">
        <f t="shared" si="19"/>
        <v>2.5031320831402408</v>
      </c>
      <c r="AG12" s="6">
        <f t="shared" si="10"/>
        <v>0.20601302950327918</v>
      </c>
      <c r="AH12" s="6">
        <f t="shared" si="20"/>
        <v>0.43204745544612377</v>
      </c>
      <c r="AI12" s="14">
        <f t="shared" si="11"/>
        <v>8.2456457286487525E-2</v>
      </c>
      <c r="AK12" s="74">
        <f t="shared" si="21"/>
        <v>0.65738161559888575</v>
      </c>
      <c r="AL12" s="74">
        <f t="shared" si="22"/>
        <v>0.17548746518105851</v>
      </c>
      <c r="AO12">
        <f t="shared" si="23"/>
        <v>65.813419433508628</v>
      </c>
      <c r="AP12">
        <f t="shared" si="24"/>
        <v>379.50048365054994</v>
      </c>
      <c r="AQ12">
        <f t="shared" si="25"/>
        <v>164.70171990061363</v>
      </c>
      <c r="AR12">
        <f t="shared" si="26"/>
        <v>395.04156901553091</v>
      </c>
      <c r="AS12">
        <f t="shared" si="27"/>
        <v>10.828515443827326</v>
      </c>
      <c r="AY12" s="2"/>
      <c r="AZ12" s="2"/>
      <c r="BA12" s="2"/>
      <c r="BB12" s="2"/>
    </row>
    <row r="13" spans="1:54" x14ac:dyDescent="0.25">
      <c r="A13">
        <f t="shared" si="0"/>
        <v>2.7514624303752589E-10</v>
      </c>
      <c r="B13">
        <f t="shared" si="12"/>
        <v>1.5558453999297917E-24</v>
      </c>
      <c r="D13">
        <f t="shared" si="1"/>
        <v>1.7761787989511649E-10</v>
      </c>
      <c r="F13" s="13">
        <v>37</v>
      </c>
      <c r="G13" s="22">
        <f t="shared" si="2"/>
        <v>310</v>
      </c>
      <c r="H13" s="22">
        <v>1</v>
      </c>
      <c r="I13" s="38">
        <v>0.42599999999999999</v>
      </c>
      <c r="J13" s="38">
        <f t="shared" si="13"/>
        <v>1.1106500000000002E-2</v>
      </c>
      <c r="K13" s="38">
        <v>0.27500000000000002</v>
      </c>
      <c r="L13" s="38">
        <f t="shared" si="14"/>
        <v>1.1068749999999999E-2</v>
      </c>
      <c r="M13" s="38">
        <v>0.42699999999999999</v>
      </c>
      <c r="N13" s="38">
        <f t="shared" si="15"/>
        <v>1.1106749999999999E-2</v>
      </c>
      <c r="O13" s="38">
        <v>7.1999999999999995E-2</v>
      </c>
      <c r="P13" s="78">
        <f t="shared" si="16"/>
        <v>1.1018E-2</v>
      </c>
      <c r="Q13" s="6"/>
      <c r="R13" s="45">
        <f t="shared" si="28"/>
        <v>0.64553990610328649</v>
      </c>
      <c r="S13" s="74">
        <f t="shared" si="29"/>
        <v>0.16901408450704225</v>
      </c>
      <c r="T13" s="4"/>
      <c r="V13" s="13">
        <f t="shared" si="3"/>
        <v>9235210000</v>
      </c>
      <c r="W13" s="6">
        <f t="shared" si="4"/>
        <v>7686942448.5441008</v>
      </c>
      <c r="X13" s="63">
        <f t="shared" si="5"/>
        <v>0.83235166807729344</v>
      </c>
      <c r="Y13" s="63">
        <f t="shared" si="6"/>
        <v>1.0798721310579316E-2</v>
      </c>
      <c r="Z13" s="22">
        <f t="shared" si="7"/>
        <v>310</v>
      </c>
      <c r="AA13" s="22">
        <v>1</v>
      </c>
      <c r="AB13" s="6">
        <f t="shared" si="17"/>
        <v>2.5410333351625902</v>
      </c>
      <c r="AC13" s="6">
        <f t="shared" si="8"/>
        <v>0.17657447539748994</v>
      </c>
      <c r="AD13" s="6">
        <f t="shared" si="31"/>
        <v>1.6403384205861793</v>
      </c>
      <c r="AE13" s="6">
        <f t="shared" si="9"/>
        <v>0.12459111460154583</v>
      </c>
      <c r="AF13" s="6">
        <f t="shared" si="19"/>
        <v>2.5469982021465398</v>
      </c>
      <c r="AG13" s="6">
        <f t="shared" si="10"/>
        <v>0.176931239573733</v>
      </c>
      <c r="AH13" s="6">
        <f t="shared" si="20"/>
        <v>0.42947042284438142</v>
      </c>
      <c r="AI13" s="14">
        <f t="shared" si="11"/>
        <v>7.1305706627133453E-2</v>
      </c>
      <c r="AK13" s="74">
        <f t="shared" si="21"/>
        <v>0.64553990610328649</v>
      </c>
      <c r="AL13" s="74">
        <f t="shared" si="22"/>
        <v>0.16901408450704225</v>
      </c>
      <c r="AO13">
        <f t="shared" si="23"/>
        <v>47.030739167918952</v>
      </c>
      <c r="AP13">
        <f t="shared" si="24"/>
        <v>285.07065008105144</v>
      </c>
      <c r="AQ13">
        <f t="shared" si="25"/>
        <v>123.19344920441527</v>
      </c>
      <c r="AR13">
        <f t="shared" si="26"/>
        <v>294.679102094553</v>
      </c>
      <c r="AS13">
        <f t="shared" si="27"/>
        <v>8.7789931034961981</v>
      </c>
      <c r="AY13" s="2"/>
      <c r="AZ13" s="2"/>
      <c r="BA13" s="2"/>
      <c r="BB13" s="2"/>
    </row>
    <row r="14" spans="1:54" x14ac:dyDescent="0.25">
      <c r="A14">
        <f t="shared" si="0"/>
        <v>2.755865190773146E-10</v>
      </c>
      <c r="B14">
        <f t="shared" si="12"/>
        <v>2.8480321008900379E-24</v>
      </c>
      <c r="D14">
        <f t="shared" si="1"/>
        <v>1.7608469271674259E-10</v>
      </c>
      <c r="F14" s="13">
        <v>39</v>
      </c>
      <c r="G14" s="22">
        <f t="shared" si="2"/>
        <v>312</v>
      </c>
      <c r="H14" s="22">
        <v>1</v>
      </c>
      <c r="I14" s="38">
        <v>0.49299999999999999</v>
      </c>
      <c r="J14" s="38">
        <f t="shared" si="13"/>
        <v>1.1123250000000001E-2</v>
      </c>
      <c r="K14" s="38">
        <v>0.315</v>
      </c>
      <c r="L14" s="38">
        <f t="shared" si="14"/>
        <v>1.1078750000000002E-2</v>
      </c>
      <c r="M14" s="38">
        <v>0.49399999999999999</v>
      </c>
      <c r="N14" s="38">
        <f t="shared" si="15"/>
        <v>1.1123500000000001E-2</v>
      </c>
      <c r="O14" s="38">
        <v>8.3000000000000004E-2</v>
      </c>
      <c r="P14" s="78">
        <f t="shared" si="16"/>
        <v>1.1020749999999999E-2</v>
      </c>
      <c r="Q14" s="6"/>
      <c r="R14" s="45">
        <f t="shared" si="28"/>
        <v>0.63894523326572006</v>
      </c>
      <c r="S14" s="74">
        <f t="shared" si="29"/>
        <v>0.16835699797160245</v>
      </c>
      <c r="T14" s="4"/>
      <c r="V14" s="13">
        <f t="shared" si="3"/>
        <v>9475854336</v>
      </c>
      <c r="W14" s="6">
        <f t="shared" si="4"/>
        <v>7686942448.5441008</v>
      </c>
      <c r="X14" s="63">
        <f t="shared" si="5"/>
        <v>0.81121365694071601</v>
      </c>
      <c r="Y14" s="63">
        <f t="shared" si="6"/>
        <v>1.0457751229009864E-2</v>
      </c>
      <c r="Z14" s="22">
        <f t="shared" si="7"/>
        <v>312</v>
      </c>
      <c r="AA14" s="22">
        <v>1</v>
      </c>
      <c r="AB14" s="6">
        <f t="shared" si="17"/>
        <v>2.6114177117419173</v>
      </c>
      <c r="AC14" s="6">
        <f t="shared" si="8"/>
        <v>0.15619741942206097</v>
      </c>
      <c r="AD14" s="6">
        <f t="shared" si="31"/>
        <v>1.6685528989831724</v>
      </c>
      <c r="AE14" s="6">
        <f t="shared" si="9"/>
        <v>0.10948478519621545</v>
      </c>
      <c r="AF14" s="6">
        <f t="shared" si="19"/>
        <v>2.6167147050720225</v>
      </c>
      <c r="AG14" s="6">
        <f t="shared" si="10"/>
        <v>0.15646970587342982</v>
      </c>
      <c r="AH14" s="6">
        <f t="shared" si="20"/>
        <v>0.43965044639874068</v>
      </c>
      <c r="AI14" s="14">
        <f t="shared" si="11"/>
        <v>6.3253349277851506E-2</v>
      </c>
      <c r="AK14" s="74">
        <f t="shared" si="21"/>
        <v>0.63894523326572006</v>
      </c>
      <c r="AL14" s="74">
        <f t="shared" si="22"/>
        <v>0.16835699797160245</v>
      </c>
      <c r="AO14">
        <f t="shared" si="23"/>
        <v>35.579638136213703</v>
      </c>
      <c r="AP14">
        <f t="shared" si="24"/>
        <v>229.73240110196232</v>
      </c>
      <c r="AQ14">
        <f t="shared" si="25"/>
        <v>95.734492898983376</v>
      </c>
      <c r="AR14">
        <f t="shared" si="26"/>
        <v>230.8122228863304</v>
      </c>
      <c r="AS14">
        <f t="shared" si="27"/>
        <v>6.5624808091018796</v>
      </c>
      <c r="AY14" s="2"/>
      <c r="AZ14" s="2"/>
      <c r="BA14" s="2"/>
      <c r="BB14" s="2"/>
    </row>
    <row r="15" spans="1:54" x14ac:dyDescent="0.25">
      <c r="A15">
        <f t="shared" si="0"/>
        <v>2.7479701838014579E-10</v>
      </c>
      <c r="B15">
        <f t="shared" si="12"/>
        <v>8.0660276188695107E-25</v>
      </c>
      <c r="D15">
        <f t="shared" si="1"/>
        <v>1.7647965938903815E-10</v>
      </c>
      <c r="F15" s="13">
        <v>41</v>
      </c>
      <c r="G15" s="22">
        <f t="shared" si="2"/>
        <v>314</v>
      </c>
      <c r="H15" s="22">
        <v>1</v>
      </c>
      <c r="I15" s="38">
        <v>0.55900000000000005</v>
      </c>
      <c r="J15" s="38">
        <f t="shared" si="13"/>
        <v>1.113975E-2</v>
      </c>
      <c r="K15" s="38">
        <v>0.35899999999999999</v>
      </c>
      <c r="L15" s="38">
        <f t="shared" si="14"/>
        <v>1.1089749999999999E-2</v>
      </c>
      <c r="M15" s="38">
        <v>0.56000000000000005</v>
      </c>
      <c r="N15" s="38">
        <f t="shared" si="15"/>
        <v>1.1140000000000001E-2</v>
      </c>
      <c r="O15" s="38">
        <v>9.5000000000000001E-2</v>
      </c>
      <c r="P15" s="78">
        <f t="shared" si="16"/>
        <v>1.1023749999999999E-2</v>
      </c>
      <c r="Q15" s="6"/>
      <c r="R15" s="45">
        <f t="shared" si="28"/>
        <v>0.64221824686940954</v>
      </c>
      <c r="S15" s="74">
        <f t="shared" si="29"/>
        <v>0.16994633273703039</v>
      </c>
      <c r="T15" s="4"/>
      <c r="V15" s="13">
        <f t="shared" si="3"/>
        <v>9721171216</v>
      </c>
      <c r="W15" s="6">
        <f t="shared" si="4"/>
        <v>7686942448.5441008</v>
      </c>
      <c r="X15" s="63">
        <f t="shared" si="5"/>
        <v>0.79074241958543245</v>
      </c>
      <c r="Y15" s="63">
        <f t="shared" si="6"/>
        <v>1.0129632793844269E-2</v>
      </c>
      <c r="Z15" s="22">
        <f t="shared" si="7"/>
        <v>314</v>
      </c>
      <c r="AA15" s="22">
        <v>1</v>
      </c>
      <c r="AB15" s="6">
        <f t="shared" si="17"/>
        <v>2.671348865319696</v>
      </c>
      <c r="AC15" s="6">
        <f t="shared" si="8"/>
        <v>0.13984222904453392</v>
      </c>
      <c r="AD15" s="6">
        <f t="shared" si="31"/>
        <v>1.7155889850622017</v>
      </c>
      <c r="AE15" s="6">
        <f t="shared" si="9"/>
        <v>9.8516012484009041E-2</v>
      </c>
      <c r="AF15" s="6">
        <f t="shared" si="19"/>
        <v>2.6761276647209833</v>
      </c>
      <c r="AG15" s="6">
        <f t="shared" si="10"/>
        <v>0.14005662329038876</v>
      </c>
      <c r="AH15" s="6">
        <f t="shared" si="20"/>
        <v>0.45398594312230967</v>
      </c>
      <c r="AI15" s="14">
        <f t="shared" si="11"/>
        <v>5.7080394599998467E-2</v>
      </c>
      <c r="AK15" s="74">
        <f t="shared" si="21"/>
        <v>0.64221824686940965</v>
      </c>
      <c r="AL15" s="74">
        <f t="shared" si="22"/>
        <v>0.16994633273703041</v>
      </c>
      <c r="AO15">
        <f t="shared" si="23"/>
        <v>28.058138339180129</v>
      </c>
      <c r="AP15">
        <f t="shared" si="24"/>
        <v>191.34254357294446</v>
      </c>
      <c r="AQ15">
        <f t="shared" si="25"/>
        <v>78.11578688258507</v>
      </c>
      <c r="AR15">
        <f t="shared" si="26"/>
        <v>192.11956833135324</v>
      </c>
      <c r="AS15">
        <f t="shared" si="27"/>
        <v>5.4234281263202666</v>
      </c>
      <c r="AY15" s="2"/>
      <c r="AZ15" s="2"/>
      <c r="BA15" s="2"/>
      <c r="BB15" s="2"/>
    </row>
    <row r="16" spans="1:54" x14ac:dyDescent="0.25">
      <c r="A16">
        <f t="shared" si="0"/>
        <v>2.7404716992569396E-10</v>
      </c>
      <c r="B16">
        <f t="shared" si="12"/>
        <v>2.1981682300778355E-26</v>
      </c>
      <c r="D16">
        <f t="shared" si="1"/>
        <v>1.7686111285939355E-10</v>
      </c>
      <c r="F16" s="13">
        <v>43</v>
      </c>
      <c r="G16" s="22">
        <f t="shared" si="2"/>
        <v>316</v>
      </c>
      <c r="H16" s="22">
        <v>1</v>
      </c>
      <c r="I16" s="38">
        <v>0.626</v>
      </c>
      <c r="J16" s="38">
        <f t="shared" si="13"/>
        <v>1.11565E-2</v>
      </c>
      <c r="K16" s="38">
        <v>0.40400000000000003</v>
      </c>
      <c r="L16" s="38">
        <f t="shared" si="14"/>
        <v>1.1101E-2</v>
      </c>
      <c r="M16" s="38">
        <v>0.628</v>
      </c>
      <c r="N16" s="38">
        <f t="shared" si="15"/>
        <v>1.1157E-2</v>
      </c>
      <c r="O16" s="38">
        <v>0.105</v>
      </c>
      <c r="P16" s="78">
        <f t="shared" si="16"/>
        <v>1.1026250000000001E-2</v>
      </c>
      <c r="Q16" s="6"/>
      <c r="R16" s="45">
        <f t="shared" si="28"/>
        <v>0.64536741214057514</v>
      </c>
      <c r="S16" s="74">
        <f t="shared" si="29"/>
        <v>0.16773162939297123</v>
      </c>
      <c r="T16" s="4"/>
      <c r="V16" s="13">
        <f t="shared" si="3"/>
        <v>9971220736</v>
      </c>
      <c r="W16" s="6">
        <f t="shared" si="4"/>
        <v>7686942448.5441008</v>
      </c>
      <c r="X16" s="63">
        <f t="shared" si="5"/>
        <v>0.77091287537053887</v>
      </c>
      <c r="Y16" s="63">
        <f t="shared" si="6"/>
        <v>9.8138041553090076E-3</v>
      </c>
      <c r="Z16" s="22">
        <f t="shared" si="7"/>
        <v>316</v>
      </c>
      <c r="AA16" s="22">
        <v>1</v>
      </c>
      <c r="AB16" s="6">
        <f t="shared" si="17"/>
        <v>2.7325848234051953</v>
      </c>
      <c r="AC16" s="6">
        <f t="shared" si="8"/>
        <v>0.12678655808041037</v>
      </c>
      <c r="AD16" s="6">
        <f t="shared" si="31"/>
        <v>1.7635211959356214</v>
      </c>
      <c r="AE16" s="6">
        <f t="shared" si="9"/>
        <v>8.9752367106147007E-2</v>
      </c>
      <c r="AF16" s="6">
        <f t="shared" si="19"/>
        <v>2.7413151263553717</v>
      </c>
      <c r="AG16" s="6">
        <f t="shared" si="10"/>
        <v>0.1271327805650794</v>
      </c>
      <c r="AH16" s="6">
        <f t="shared" si="20"/>
        <v>0.45834090488425799</v>
      </c>
      <c r="AI16" s="14">
        <f t="shared" si="11"/>
        <v>5.1982118856058961E-2</v>
      </c>
      <c r="AK16" s="74">
        <f t="shared" si="21"/>
        <v>0.64536741214057514</v>
      </c>
      <c r="AL16" s="74">
        <f t="shared" si="22"/>
        <v>0.16773162939297126</v>
      </c>
      <c r="AO16">
        <f t="shared" si="23"/>
        <v>22.836923717745485</v>
      </c>
      <c r="AP16">
        <f t="shared" si="24"/>
        <v>162.96668005155152</v>
      </c>
      <c r="AQ16">
        <f t="shared" si="25"/>
        <v>67.214674465724343</v>
      </c>
      <c r="AR16">
        <f t="shared" si="26"/>
        <v>163.55026662154356</v>
      </c>
      <c r="AS16">
        <f t="shared" si="27"/>
        <v>4.706763891133388</v>
      </c>
      <c r="AY16" s="2"/>
      <c r="AZ16" s="2"/>
      <c r="BA16" s="2"/>
      <c r="BB16" s="2"/>
    </row>
    <row r="17" spans="1:54" x14ac:dyDescent="0.25">
      <c r="A17">
        <f t="shared" si="0"/>
        <v>2.7411061540001756E-10</v>
      </c>
      <c r="B17">
        <f t="shared" si="12"/>
        <v>4.4820142725905976E-26</v>
      </c>
      <c r="D17">
        <f t="shared" si="1"/>
        <v>1.7604517971811475E-10</v>
      </c>
      <c r="F17" s="13">
        <v>45</v>
      </c>
      <c r="G17" s="22">
        <f t="shared" si="2"/>
        <v>318</v>
      </c>
      <c r="H17" s="22">
        <v>1</v>
      </c>
      <c r="I17" s="38">
        <v>0.69599999999999995</v>
      </c>
      <c r="J17" s="38">
        <f t="shared" si="13"/>
        <v>1.1174E-2</v>
      </c>
      <c r="K17" s="38">
        <v>0.44700000000000001</v>
      </c>
      <c r="L17" s="38">
        <f t="shared" si="14"/>
        <v>1.111175E-2</v>
      </c>
      <c r="M17" s="38">
        <v>0.69799999999999995</v>
      </c>
      <c r="N17" s="38">
        <f t="shared" si="15"/>
        <v>1.11745E-2</v>
      </c>
      <c r="O17" s="38">
        <v>0.115</v>
      </c>
      <c r="P17" s="78">
        <f t="shared" si="16"/>
        <v>1.102875E-2</v>
      </c>
      <c r="Q17" s="6"/>
      <c r="R17" s="45">
        <f t="shared" si="28"/>
        <v>0.64224137931034486</v>
      </c>
      <c r="S17" s="74">
        <f t="shared" si="29"/>
        <v>0.16522988505747127</v>
      </c>
      <c r="T17" s="4"/>
      <c r="V17" s="13">
        <f t="shared" si="3"/>
        <v>10226063376</v>
      </c>
      <c r="W17" s="6">
        <f t="shared" si="4"/>
        <v>7686942448.5441008</v>
      </c>
      <c r="X17" s="63">
        <f t="shared" si="5"/>
        <v>0.75170103742804151</v>
      </c>
      <c r="Y17" s="63">
        <f t="shared" si="6"/>
        <v>9.5097313674149548E-3</v>
      </c>
      <c r="Z17" s="22">
        <f t="shared" si="7"/>
        <v>318</v>
      </c>
      <c r="AA17" s="22">
        <v>1</v>
      </c>
      <c r="AB17" s="6">
        <f t="shared" si="17"/>
        <v>2.8030725251149411</v>
      </c>
      <c r="AC17" s="6">
        <f t="shared" si="8"/>
        <v>0.11640696250759024</v>
      </c>
      <c r="AD17" s="6">
        <f t="shared" si="31"/>
        <v>1.8002491648367511</v>
      </c>
      <c r="AE17" s="6">
        <f t="shared" si="9"/>
        <v>8.2198643473200161E-2</v>
      </c>
      <c r="AF17" s="6">
        <f t="shared" si="19"/>
        <v>2.8111273312215932</v>
      </c>
      <c r="AG17" s="6">
        <f t="shared" si="10"/>
        <v>0.11669230980471876</v>
      </c>
      <c r="AH17" s="6">
        <f t="shared" si="20"/>
        <v>0.4631513511324975</v>
      </c>
      <c r="AI17" s="14">
        <f t="shared" si="11"/>
        <v>4.782826625740598E-2</v>
      </c>
      <c r="AK17" s="74">
        <f t="shared" si="21"/>
        <v>0.64224137931034486</v>
      </c>
      <c r="AL17" s="74">
        <f t="shared" si="22"/>
        <v>0.16522988505747127</v>
      </c>
      <c r="AO17">
        <f t="shared" si="23"/>
        <v>19.05454740046444</v>
      </c>
      <c r="AP17">
        <f t="shared" si="24"/>
        <v>142.28068304522313</v>
      </c>
      <c r="AQ17">
        <f t="shared" si="25"/>
        <v>59.25977595951052</v>
      </c>
      <c r="AR17">
        <f t="shared" si="26"/>
        <v>143.19127709302762</v>
      </c>
      <c r="AS17">
        <f t="shared" si="27"/>
        <v>4.0029104374179214</v>
      </c>
      <c r="AY17" s="2"/>
      <c r="AZ17" s="2"/>
      <c r="BA17" s="2"/>
      <c r="BB17" s="2"/>
    </row>
    <row r="18" spans="1:54" x14ac:dyDescent="0.25">
      <c r="A18">
        <f t="shared" si="0"/>
        <v>2.7404430117319336E-10</v>
      </c>
      <c r="B18">
        <f t="shared" si="12"/>
        <v>2.1139256882190302E-26</v>
      </c>
      <c r="D18">
        <f t="shared" si="1"/>
        <v>1.7614581548681135E-10</v>
      </c>
      <c r="F18" s="13">
        <v>47</v>
      </c>
      <c r="G18" s="22">
        <f t="shared" si="2"/>
        <v>320</v>
      </c>
      <c r="H18" s="22">
        <v>1</v>
      </c>
      <c r="I18" s="38">
        <v>0.76700000000000002</v>
      </c>
      <c r="J18" s="38">
        <f t="shared" si="13"/>
        <v>1.119175E-2</v>
      </c>
      <c r="K18" s="38">
        <v>0.49299999999999999</v>
      </c>
      <c r="L18" s="38">
        <f t="shared" si="14"/>
        <v>1.1123250000000001E-2</v>
      </c>
      <c r="M18" s="38">
        <v>0.77</v>
      </c>
      <c r="N18" s="38">
        <f t="shared" si="15"/>
        <v>1.1192500000000001E-2</v>
      </c>
      <c r="O18" s="38">
        <v>0.128</v>
      </c>
      <c r="P18" s="78">
        <f t="shared" si="16"/>
        <v>1.1032E-2</v>
      </c>
      <c r="Q18" s="6"/>
      <c r="R18" s="45">
        <f t="shared" si="28"/>
        <v>0.64276401564537156</v>
      </c>
      <c r="S18" s="74">
        <f t="shared" si="29"/>
        <v>0.16688396349413298</v>
      </c>
      <c r="T18" s="4"/>
      <c r="V18" s="13">
        <f t="shared" si="3"/>
        <v>10485760000</v>
      </c>
      <c r="W18" s="6">
        <f t="shared" si="4"/>
        <v>7686942448.5441008</v>
      </c>
      <c r="X18" s="63">
        <f t="shared" si="5"/>
        <v>0.73308395848694807</v>
      </c>
      <c r="Y18" s="63">
        <f t="shared" si="6"/>
        <v>9.2169068383548113E-3</v>
      </c>
      <c r="Z18" s="22">
        <f t="shared" si="7"/>
        <v>320</v>
      </c>
      <c r="AA18" s="22">
        <v>1</v>
      </c>
      <c r="AB18" s="6">
        <f t="shared" si="17"/>
        <v>2.8735627714698238</v>
      </c>
      <c r="AC18" s="6">
        <f t="shared" si="8"/>
        <v>0.10772265860690614</v>
      </c>
      <c r="AD18" s="6">
        <f t="shared" si="31"/>
        <v>1.847022746198987</v>
      </c>
      <c r="AE18" s="6">
        <f t="shared" si="9"/>
        <v>7.6187352093197797E-2</v>
      </c>
      <c r="AF18" s="6">
        <f t="shared" si="19"/>
        <v>2.8848022607976067</v>
      </c>
      <c r="AG18" s="6">
        <f t="shared" si="10"/>
        <v>0.10808135859114409</v>
      </c>
      <c r="AH18" s="6">
        <f t="shared" si="20"/>
        <v>0.47955154465206967</v>
      </c>
      <c r="AI18" s="14">
        <f t="shared" si="11"/>
        <v>4.4525224968492448E-2</v>
      </c>
      <c r="AK18" s="74">
        <f t="shared" si="21"/>
        <v>0.64276401564537156</v>
      </c>
      <c r="AL18" s="74">
        <f t="shared" si="22"/>
        <v>0.16688396349413298</v>
      </c>
      <c r="AO18">
        <f t="shared" si="23"/>
        <v>16.219975353940111</v>
      </c>
      <c r="AP18">
        <f t="shared" si="24"/>
        <v>127.4438430752942</v>
      </c>
      <c r="AQ18">
        <f t="shared" si="25"/>
        <v>52.56727036479279</v>
      </c>
      <c r="AR18">
        <f t="shared" si="26"/>
        <v>128.1773313054392</v>
      </c>
      <c r="AS18">
        <f t="shared" si="27"/>
        <v>3.4793335163800667</v>
      </c>
      <c r="AY18" s="2"/>
      <c r="AZ18" s="2"/>
      <c r="BA18" s="2"/>
      <c r="BB18" s="2"/>
    </row>
    <row r="19" spans="1:54" x14ac:dyDescent="0.25">
      <c r="A19">
        <f t="shared" si="0"/>
        <v>2.7420249931517067E-10</v>
      </c>
      <c r="B19">
        <f t="shared" si="12"/>
        <v>9.2167858016983022E-26</v>
      </c>
      <c r="D19">
        <f t="shared" si="1"/>
        <v>1.7594660372723456E-10</v>
      </c>
      <c r="F19" s="13">
        <v>49</v>
      </c>
      <c r="G19" s="22">
        <f t="shared" si="2"/>
        <v>322</v>
      </c>
      <c r="H19" s="22">
        <v>1</v>
      </c>
      <c r="I19" s="38">
        <v>0.84</v>
      </c>
      <c r="J19" s="38">
        <f t="shared" si="13"/>
        <v>1.1210000000000001E-2</v>
      </c>
      <c r="K19" s="38">
        <v>0.53900000000000003</v>
      </c>
      <c r="L19" s="38">
        <f t="shared" si="14"/>
        <v>1.1134749999999999E-2</v>
      </c>
      <c r="M19" s="38">
        <v>0.84099999999999997</v>
      </c>
      <c r="N19" s="38">
        <f t="shared" si="15"/>
        <v>1.1210250000000001E-2</v>
      </c>
      <c r="O19" s="38">
        <v>0.13800000000000001</v>
      </c>
      <c r="P19" s="78">
        <f t="shared" si="16"/>
        <v>1.1034499999999999E-2</v>
      </c>
      <c r="Q19" s="6"/>
      <c r="R19" s="45">
        <f t="shared" si="28"/>
        <v>0.64166666666666672</v>
      </c>
      <c r="S19" s="74">
        <f t="shared" si="29"/>
        <v>0.16428571428571431</v>
      </c>
      <c r="T19" s="4"/>
      <c r="V19" s="13">
        <f t="shared" si="3"/>
        <v>10750371856</v>
      </c>
      <c r="W19" s="6">
        <f t="shared" si="4"/>
        <v>7686942448.5441008</v>
      </c>
      <c r="X19" s="63">
        <f t="shared" si="5"/>
        <v>0.71503967969757831</v>
      </c>
      <c r="Y19" s="63">
        <f t="shared" si="6"/>
        <v>8.9348478759371519E-3</v>
      </c>
      <c r="Z19" s="22">
        <f t="shared" si="7"/>
        <v>322</v>
      </c>
      <c r="AA19" s="22">
        <v>1</v>
      </c>
      <c r="AB19" s="6">
        <f t="shared" si="17"/>
        <v>2.9477788314826698</v>
      </c>
      <c r="AC19" s="6">
        <f t="shared" si="8"/>
        <v>0.1004502143473318</v>
      </c>
      <c r="AD19" s="6">
        <f t="shared" si="31"/>
        <v>1.8914914168680468</v>
      </c>
      <c r="AE19" s="6">
        <f t="shared" si="9"/>
        <v>7.1022353750099534E-2</v>
      </c>
      <c r="AF19" s="6">
        <f t="shared" si="19"/>
        <v>2.9512880919963398</v>
      </c>
      <c r="AG19" s="6">
        <f t="shared" si="10"/>
        <v>0.10055180985767216</v>
      </c>
      <c r="AH19" s="6">
        <f t="shared" si="20"/>
        <v>0.48427795088643871</v>
      </c>
      <c r="AI19" s="14">
        <f t="shared" si="11"/>
        <v>4.1593647729417045E-2</v>
      </c>
      <c r="AK19" s="74">
        <f t="shared" si="21"/>
        <v>0.64166666666666672</v>
      </c>
      <c r="AL19" s="74">
        <f t="shared" si="22"/>
        <v>0.16428571428571431</v>
      </c>
      <c r="AO19">
        <f t="shared" si="23"/>
        <v>14.036235594371702</v>
      </c>
      <c r="AP19">
        <f t="shared" si="24"/>
        <v>115.90229247838772</v>
      </c>
      <c r="AQ19">
        <f t="shared" si="25"/>
        <v>47.884519827125196</v>
      </c>
      <c r="AR19">
        <f t="shared" si="26"/>
        <v>116.81073283783323</v>
      </c>
      <c r="AS19">
        <f t="shared" si="27"/>
        <v>3.2279086638810255</v>
      </c>
      <c r="AY19" s="2"/>
      <c r="AZ19" s="2"/>
      <c r="BA19" s="2"/>
      <c r="BB19" s="2"/>
    </row>
    <row r="20" spans="1:54" x14ac:dyDescent="0.25">
      <c r="A20">
        <f t="shared" si="0"/>
        <v>2.7302581780273882E-10</v>
      </c>
      <c r="B20">
        <f t="shared" si="12"/>
        <v>7.6228599971566785E-25</v>
      </c>
      <c r="D20">
        <f t="shared" si="1"/>
        <v>1.7521656878769171E-10</v>
      </c>
      <c r="F20" s="13">
        <v>51</v>
      </c>
      <c r="G20" s="22">
        <f t="shared" si="2"/>
        <v>324</v>
      </c>
      <c r="H20" s="22">
        <v>1</v>
      </c>
      <c r="I20" s="38">
        <v>0.91</v>
      </c>
      <c r="J20" s="38">
        <f t="shared" si="13"/>
        <v>1.1227500000000001E-2</v>
      </c>
      <c r="K20" s="38">
        <v>0.58399999999999996</v>
      </c>
      <c r="L20" s="38">
        <f t="shared" si="14"/>
        <v>1.1146E-2</v>
      </c>
      <c r="M20" s="38">
        <v>0.91500000000000004</v>
      </c>
      <c r="N20" s="38">
        <f t="shared" si="15"/>
        <v>1.1228749999999999E-2</v>
      </c>
      <c r="O20" s="38">
        <v>0.152</v>
      </c>
      <c r="P20" s="78">
        <f t="shared" si="16"/>
        <v>1.1037999999999999E-2</v>
      </c>
      <c r="Q20" s="6"/>
      <c r="R20" s="45">
        <f t="shared" si="28"/>
        <v>0.6417582417582417</v>
      </c>
      <c r="S20" s="74">
        <f t="shared" si="29"/>
        <v>0.16703296703296702</v>
      </c>
      <c r="T20" s="4"/>
      <c r="V20" s="13">
        <f t="shared" si="3"/>
        <v>11019960576</v>
      </c>
      <c r="W20" s="6">
        <f t="shared" si="4"/>
        <v>7686942448.5441008</v>
      </c>
      <c r="X20" s="63">
        <f t="shared" si="5"/>
        <v>0.69754718227261481</v>
      </c>
      <c r="Y20" s="63">
        <f t="shared" si="6"/>
        <v>8.6630953216846034E-3</v>
      </c>
      <c r="Z20" s="22">
        <f t="shared" si="7"/>
        <v>324</v>
      </c>
      <c r="AA20" s="22">
        <v>1</v>
      </c>
      <c r="AB20" s="6">
        <f t="shared" si="17"/>
        <v>3.0087337484163412</v>
      </c>
      <c r="AC20" s="6">
        <f t="shared" si="8"/>
        <v>9.3833623054217677E-2</v>
      </c>
      <c r="AD20" s="6">
        <f t="shared" si="31"/>
        <v>1.9308796803023549</v>
      </c>
      <c r="AE20" s="6">
        <f t="shared" si="9"/>
        <v>6.6459035766672503E-2</v>
      </c>
      <c r="AF20" s="6">
        <f t="shared" si="19"/>
        <v>3.0252652525285186</v>
      </c>
      <c r="AG20" s="6">
        <f t="shared" si="10"/>
        <v>9.4270315832293727E-2</v>
      </c>
      <c r="AH20" s="6">
        <f t="shared" si="20"/>
        <v>0.50255772501020202</v>
      </c>
      <c r="AI20" s="14">
        <f t="shared" si="11"/>
        <v>3.9231205702260019E-2</v>
      </c>
      <c r="AK20" s="74">
        <f t="shared" si="21"/>
        <v>0.6417582417582417</v>
      </c>
      <c r="AL20" s="74">
        <f t="shared" si="22"/>
        <v>0.16703296703296702</v>
      </c>
      <c r="AO20">
        <f t="shared" si="23"/>
        <v>12.314909352802349</v>
      </c>
      <c r="AP20">
        <f t="shared" si="24"/>
        <v>107.00917381467644</v>
      </c>
      <c r="AQ20">
        <f t="shared" si="25"/>
        <v>44.059541079667817</v>
      </c>
      <c r="AR20">
        <f t="shared" si="26"/>
        <v>107.26410921884658</v>
      </c>
      <c r="AS20">
        <f t="shared" si="27"/>
        <v>2.8881557626512162</v>
      </c>
      <c r="AY20" s="2"/>
      <c r="AZ20" s="2"/>
      <c r="BA20" s="2"/>
      <c r="BB20" s="2"/>
    </row>
    <row r="21" spans="1:54" x14ac:dyDescent="0.25">
      <c r="A21">
        <f t="shared" si="0"/>
        <v>2.7358562191638186E-10</v>
      </c>
      <c r="B21">
        <f t="shared" si="12"/>
        <v>9.8147993346565407E-26</v>
      </c>
      <c r="D21">
        <f t="shared" si="1"/>
        <v>1.7546068761202605E-10</v>
      </c>
      <c r="F21" s="13">
        <v>53</v>
      </c>
      <c r="G21" s="22">
        <f t="shared" si="2"/>
        <v>326</v>
      </c>
      <c r="H21" s="22">
        <v>1</v>
      </c>
      <c r="I21" s="38">
        <v>0.98699999999999999</v>
      </c>
      <c r="J21" s="38">
        <f t="shared" si="13"/>
        <v>1.124675E-2</v>
      </c>
      <c r="K21" s="38">
        <v>0.63300000000000001</v>
      </c>
      <c r="L21" s="38">
        <f t="shared" si="14"/>
        <v>1.1158250000000002E-2</v>
      </c>
      <c r="M21" s="38">
        <v>0.99</v>
      </c>
      <c r="N21" s="38">
        <f t="shared" si="15"/>
        <v>1.1247500000000001E-2</v>
      </c>
      <c r="O21" s="38">
        <v>0.16500000000000001</v>
      </c>
      <c r="P21" s="78">
        <f t="shared" si="16"/>
        <v>1.1041249999999999E-2</v>
      </c>
      <c r="Q21" s="6"/>
      <c r="R21" s="45">
        <f t="shared" si="28"/>
        <v>0.64133738601823709</v>
      </c>
      <c r="S21" s="74">
        <f t="shared" si="29"/>
        <v>0.16717325227963528</v>
      </c>
      <c r="T21" s="4"/>
      <c r="V21" s="13">
        <f t="shared" si="3"/>
        <v>11294588176</v>
      </c>
      <c r="W21" s="6">
        <f t="shared" si="4"/>
        <v>7686942448.5441008</v>
      </c>
      <c r="X21" s="63">
        <f t="shared" si="5"/>
        <v>0.68058634177367994</v>
      </c>
      <c r="Y21" s="63">
        <f t="shared" si="6"/>
        <v>8.4012122676868223E-3</v>
      </c>
      <c r="Z21" s="22">
        <f t="shared" si="7"/>
        <v>326</v>
      </c>
      <c r="AA21" s="22">
        <v>1</v>
      </c>
      <c r="AB21" s="6">
        <f t="shared" si="17"/>
        <v>3.0900369304203723</v>
      </c>
      <c r="AC21" s="6">
        <f t="shared" si="8"/>
        <v>8.8573504581175702E-2</v>
      </c>
      <c r="AD21" s="6">
        <f t="shared" si="31"/>
        <v>1.9817562076556188</v>
      </c>
      <c r="AE21" s="6">
        <f t="shared" si="9"/>
        <v>6.2747714897231174E-2</v>
      </c>
      <c r="AF21" s="6">
        <f t="shared" si="19"/>
        <v>3.099429139935328</v>
      </c>
      <c r="AG21" s="6">
        <f t="shared" si="10"/>
        <v>8.8801165436046672E-2</v>
      </c>
      <c r="AH21" s="6">
        <f t="shared" si="20"/>
        <v>0.51657152332255474</v>
      </c>
      <c r="AI21" s="14">
        <f t="shared" si="11"/>
        <v>3.714158065058179E-2</v>
      </c>
      <c r="AK21" s="74">
        <f t="shared" si="21"/>
        <v>0.64133738601823709</v>
      </c>
      <c r="AL21" s="74">
        <f t="shared" si="22"/>
        <v>0.16717325227963528</v>
      </c>
      <c r="AO21">
        <f t="shared" si="23"/>
        <v>10.931625128437926</v>
      </c>
      <c r="AP21">
        <f t="shared" si="24"/>
        <v>98.958304384314758</v>
      </c>
      <c r="AQ21">
        <f t="shared" si="25"/>
        <v>40.756337954470283</v>
      </c>
      <c r="AR21">
        <f t="shared" si="26"/>
        <v>100.04874578934658</v>
      </c>
      <c r="AS21">
        <f t="shared" si="27"/>
        <v>2.7609378873266608</v>
      </c>
      <c r="AY21" s="2"/>
      <c r="AZ21" s="2"/>
      <c r="BA21" s="2"/>
      <c r="BB21" s="2"/>
    </row>
    <row r="22" spans="1:54" x14ac:dyDescent="0.25">
      <c r="A22">
        <f t="shared" si="0"/>
        <v>2.7396382071266124E-10</v>
      </c>
      <c r="B22">
        <f t="shared" si="12"/>
        <v>4.2136969067534316E-27</v>
      </c>
      <c r="D22">
        <f t="shared" si="1"/>
        <v>1.7492525641747388E-10</v>
      </c>
      <c r="F22" s="13">
        <v>55</v>
      </c>
      <c r="G22" s="22">
        <f t="shared" si="2"/>
        <v>328</v>
      </c>
      <c r="H22" s="22">
        <v>1</v>
      </c>
      <c r="I22" s="38">
        <v>1.0649999999999999</v>
      </c>
      <c r="J22" s="38">
        <f t="shared" si="13"/>
        <v>1.1266249999999998E-2</v>
      </c>
      <c r="K22" s="38">
        <v>0.68</v>
      </c>
      <c r="L22" s="38">
        <f t="shared" si="14"/>
        <v>1.1169999999999999E-2</v>
      </c>
      <c r="M22" s="38">
        <v>1.0669999999999999</v>
      </c>
      <c r="N22" s="38">
        <f t="shared" si="15"/>
        <v>1.1266749999999999E-2</v>
      </c>
      <c r="O22" s="38">
        <v>0.17799999999999999</v>
      </c>
      <c r="P22" s="78">
        <f t="shared" si="16"/>
        <v>1.1044499999999999E-2</v>
      </c>
      <c r="Q22" s="6"/>
      <c r="R22" s="45">
        <f t="shared" si="28"/>
        <v>0.63849765258215974</v>
      </c>
      <c r="S22" s="74">
        <f t="shared" si="29"/>
        <v>0.16713615023474179</v>
      </c>
      <c r="T22" s="4"/>
      <c r="V22" s="13">
        <f t="shared" si="3"/>
        <v>11574317056</v>
      </c>
      <c r="W22" s="6">
        <f t="shared" si="4"/>
        <v>7686942448.5441008</v>
      </c>
      <c r="X22" s="63">
        <f t="shared" si="5"/>
        <v>0.66413788488360737</v>
      </c>
      <c r="Y22" s="63">
        <f t="shared" si="6"/>
        <v>8.1487828507261599E-3</v>
      </c>
      <c r="Z22" s="22">
        <f t="shared" si="7"/>
        <v>328</v>
      </c>
      <c r="AA22" s="22">
        <v>1</v>
      </c>
      <c r="AB22" s="6">
        <f t="shared" si="17"/>
        <v>3.1709441228014819</v>
      </c>
      <c r="AC22" s="6">
        <f t="shared" si="8"/>
        <v>8.3929214732039611E-2</v>
      </c>
      <c r="AD22" s="6">
        <f t="shared" si="31"/>
        <v>2.0246403788779417</v>
      </c>
      <c r="AE22" s="6">
        <f t="shared" si="9"/>
        <v>5.9321876056894936E-2</v>
      </c>
      <c r="AF22" s="6">
        <f t="shared" si="19"/>
        <v>3.1768989474452405</v>
      </c>
      <c r="AG22" s="6">
        <f t="shared" si="10"/>
        <v>8.4062265184579987E-2</v>
      </c>
      <c r="AH22" s="6">
        <f t="shared" si="20"/>
        <v>0.52997939329451993</v>
      </c>
      <c r="AI22" s="14">
        <f t="shared" si="11"/>
        <v>3.5308650242355327E-2</v>
      </c>
      <c r="AK22" s="74">
        <f t="shared" si="21"/>
        <v>0.63849765258215974</v>
      </c>
      <c r="AL22" s="74">
        <f t="shared" si="22"/>
        <v>0.16713615023474176</v>
      </c>
      <c r="AO22">
        <f t="shared" si="23"/>
        <v>9.8015110636468172</v>
      </c>
      <c r="AP22">
        <f t="shared" si="24"/>
        <v>93.588044799023535</v>
      </c>
      <c r="AQ22">
        <f t="shared" si="25"/>
        <v>38.494039619897514</v>
      </c>
      <c r="AR22">
        <f t="shared" si="26"/>
        <v>94.157833710088241</v>
      </c>
      <c r="AS22">
        <f t="shared" si="27"/>
        <v>2.6154953808357853</v>
      </c>
      <c r="AY22" s="2"/>
      <c r="AZ22" s="2"/>
      <c r="BA22" s="2"/>
      <c r="BB22" s="2"/>
    </row>
    <row r="23" spans="1:54" x14ac:dyDescent="0.25">
      <c r="A23">
        <f t="shared" si="0"/>
        <v>2.7083593898614915E-10</v>
      </c>
      <c r="B23">
        <f t="shared" si="12"/>
        <v>9.3817774508396985E-24</v>
      </c>
      <c r="D23">
        <f t="shared" si="1"/>
        <v>1.7376642103093643E-10</v>
      </c>
      <c r="F23" s="13">
        <v>57</v>
      </c>
      <c r="G23" s="22">
        <f t="shared" si="2"/>
        <v>330</v>
      </c>
      <c r="H23" s="22">
        <v>1</v>
      </c>
      <c r="I23" s="38">
        <v>1.1299999999999999</v>
      </c>
      <c r="J23" s="38">
        <f t="shared" si="13"/>
        <v>1.1282500000000001E-2</v>
      </c>
      <c r="K23" s="38">
        <v>0.72499999999999998</v>
      </c>
      <c r="L23" s="38">
        <f t="shared" si="14"/>
        <v>1.118125E-2</v>
      </c>
      <c r="M23" s="38">
        <v>1.1379999999999999</v>
      </c>
      <c r="N23" s="38">
        <f t="shared" si="15"/>
        <v>1.1284499999999999E-2</v>
      </c>
      <c r="O23" s="38">
        <v>0.188</v>
      </c>
      <c r="P23" s="78">
        <f t="shared" si="16"/>
        <v>1.1047000000000001E-2</v>
      </c>
      <c r="Q23" s="6"/>
      <c r="R23" s="45">
        <f t="shared" si="28"/>
        <v>0.6415929203539823</v>
      </c>
      <c r="S23" s="74">
        <f t="shared" si="29"/>
        <v>0.16637168141592923</v>
      </c>
      <c r="T23" s="4"/>
      <c r="V23" s="13">
        <f t="shared" si="3"/>
        <v>11859210000</v>
      </c>
      <c r="W23" s="6">
        <f t="shared" si="4"/>
        <v>7686942448.5441008</v>
      </c>
      <c r="X23" s="63">
        <f t="shared" si="5"/>
        <v>0.64818334851512882</v>
      </c>
      <c r="Y23" s="63">
        <f t="shared" si="6"/>
        <v>7.9054111185876252E-3</v>
      </c>
      <c r="Z23" s="22">
        <f t="shared" si="7"/>
        <v>330</v>
      </c>
      <c r="AA23" s="22">
        <v>1</v>
      </c>
      <c r="AB23" s="6">
        <f t="shared" si="17"/>
        <v>3.2119002759839299</v>
      </c>
      <c r="AC23" s="6">
        <f t="shared" si="8"/>
        <v>7.8976377639234818E-2</v>
      </c>
      <c r="AD23" s="6">
        <f t="shared" si="31"/>
        <v>2.0607324779542915</v>
      </c>
      <c r="AE23" s="6">
        <f t="shared" si="9"/>
        <v>5.6162554583893465E-2</v>
      </c>
      <c r="AF23" s="6">
        <f t="shared" si="19"/>
        <v>3.2346393929820465</v>
      </c>
      <c r="AG23" s="6">
        <f t="shared" si="10"/>
        <v>7.9445876544543645E-2</v>
      </c>
      <c r="AH23" s="6">
        <f t="shared" si="20"/>
        <v>0.53436924945573361</v>
      </c>
      <c r="AI23" s="14">
        <f t="shared" si="11"/>
        <v>3.3617411703284639E-2</v>
      </c>
      <c r="AK23" s="74">
        <f t="shared" si="21"/>
        <v>0.64159292035398241</v>
      </c>
      <c r="AL23" s="74">
        <f t="shared" si="22"/>
        <v>0.16637168141592926</v>
      </c>
      <c r="AO23">
        <f t="shared" si="23"/>
        <v>8.8649841344788367</v>
      </c>
      <c r="AP23">
        <f t="shared" si="24"/>
        <v>89.136410448306265</v>
      </c>
      <c r="AQ23">
        <f t="shared" si="25"/>
        <v>36.339065168989251</v>
      </c>
      <c r="AR23">
        <f t="shared" si="26"/>
        <v>89.471509440262523</v>
      </c>
      <c r="AS23">
        <f t="shared" si="27"/>
        <v>2.489980408335327</v>
      </c>
      <c r="AY23" s="2"/>
      <c r="AZ23" s="2"/>
      <c r="BA23" s="2"/>
      <c r="BB23" s="2"/>
    </row>
    <row r="24" spans="1:54" x14ac:dyDescent="0.25">
      <c r="A24">
        <f t="shared" si="0"/>
        <v>2.7339623414918889E-10</v>
      </c>
      <c r="B24">
        <f t="shared" si="12"/>
        <v>2.5268071654229955E-25</v>
      </c>
      <c r="D24">
        <f t="shared" si="1"/>
        <v>1.7434612308858113E-10</v>
      </c>
      <c r="F24" s="13">
        <v>59</v>
      </c>
      <c r="G24" s="22">
        <f t="shared" si="2"/>
        <v>332</v>
      </c>
      <c r="H24" s="22">
        <v>1</v>
      </c>
      <c r="I24" s="38">
        <v>1.22</v>
      </c>
      <c r="J24" s="38">
        <f t="shared" si="13"/>
        <v>1.1304999999999999E-2</v>
      </c>
      <c r="K24" s="38">
        <v>0.77800000000000002</v>
      </c>
      <c r="L24" s="38">
        <f t="shared" si="14"/>
        <v>1.11945E-2</v>
      </c>
      <c r="M24" s="38">
        <v>1.222</v>
      </c>
      <c r="N24" s="38">
        <f t="shared" si="15"/>
        <v>1.13055E-2</v>
      </c>
      <c r="O24" s="38">
        <v>0.19500000000000001</v>
      </c>
      <c r="P24" s="78">
        <f t="shared" si="16"/>
        <v>1.104875E-2</v>
      </c>
      <c r="Q24" s="6"/>
      <c r="R24" s="45">
        <f t="shared" si="28"/>
        <v>0.63770491803278695</v>
      </c>
      <c r="S24" s="74">
        <f t="shared" si="29"/>
        <v>0.1598360655737705</v>
      </c>
      <c r="T24" s="4"/>
      <c r="V24" s="13">
        <f t="shared" si="3"/>
        <v>12149330176</v>
      </c>
      <c r="W24" s="6">
        <f t="shared" si="4"/>
        <v>7686942448.5441008</v>
      </c>
      <c r="X24" s="63">
        <f t="shared" si="5"/>
        <v>0.63270504111650716</v>
      </c>
      <c r="Y24" s="63">
        <f t="shared" si="6"/>
        <v>7.6707199638281834E-3</v>
      </c>
      <c r="Z24" s="22">
        <f t="shared" si="7"/>
        <v>332</v>
      </c>
      <c r="AA24" s="22">
        <v>1</v>
      </c>
      <c r="AB24" s="6">
        <f t="shared" si="17"/>
        <v>3.3215811175535026</v>
      </c>
      <c r="AC24" s="6">
        <f t="shared" si="8"/>
        <v>7.5890861350399838E-2</v>
      </c>
      <c r="AD24" s="6">
        <f t="shared" si="31"/>
        <v>2.1181886143087092</v>
      </c>
      <c r="AE24" s="6">
        <f t="shared" si="9"/>
        <v>5.3719975249243809E-2</v>
      </c>
      <c r="AF24" s="6">
        <f t="shared" si="19"/>
        <v>3.3270263325003118</v>
      </c>
      <c r="AG24" s="6">
        <f t="shared" si="10"/>
        <v>7.5995373889539211E-2</v>
      </c>
      <c r="AH24" s="6">
        <f t="shared" si="20"/>
        <v>0.53090845731387959</v>
      </c>
      <c r="AI24" s="14">
        <f t="shared" si="11"/>
        <v>3.2059755191789878E-2</v>
      </c>
      <c r="AK24" s="74">
        <f t="shared" si="21"/>
        <v>0.63770491803278695</v>
      </c>
      <c r="AL24" s="74">
        <f t="shared" si="22"/>
        <v>0.1598360655737705</v>
      </c>
      <c r="AO24">
        <f t="shared" si="23"/>
        <v>8.079178778969105</v>
      </c>
      <c r="AP24">
        <f t="shared" si="24"/>
        <v>83.347259368255308</v>
      </c>
      <c r="AQ24">
        <f t="shared" si="25"/>
        <v>34.309188820925051</v>
      </c>
      <c r="AR24">
        <f t="shared" si="26"/>
        <v>84.531575034304041</v>
      </c>
      <c r="AS24">
        <f t="shared" si="27"/>
        <v>2.3070134976204995</v>
      </c>
      <c r="AY24" s="2"/>
      <c r="AZ24" s="2"/>
      <c r="BA24" s="2"/>
      <c r="BB24" s="2"/>
    </row>
    <row r="25" spans="1:54" x14ac:dyDescent="0.25">
      <c r="A25">
        <f t="shared" si="0"/>
        <v>2.7071342959420635E-10</v>
      </c>
      <c r="B25">
        <f t="shared" si="12"/>
        <v>1.0147270875653351E-23</v>
      </c>
      <c r="D25">
        <f t="shared" si="1"/>
        <v>1.7318933694536182E-10</v>
      </c>
      <c r="F25" s="13">
        <v>61</v>
      </c>
      <c r="G25" s="22">
        <f t="shared" si="2"/>
        <v>334</v>
      </c>
      <c r="H25" s="22">
        <v>1</v>
      </c>
      <c r="I25" s="38">
        <v>1.288</v>
      </c>
      <c r="J25" s="38">
        <f t="shared" si="13"/>
        <v>1.1321999999999999E-2</v>
      </c>
      <c r="K25" s="38">
        <v>0.82399999999999995</v>
      </c>
      <c r="L25" s="38">
        <f t="shared" si="14"/>
        <v>1.1206000000000001E-2</v>
      </c>
      <c r="M25" s="38">
        <v>1.2949999999999999</v>
      </c>
      <c r="N25" s="38">
        <f t="shared" si="15"/>
        <v>1.132375E-2</v>
      </c>
      <c r="O25" s="38">
        <v>0.21199999999999999</v>
      </c>
      <c r="P25" s="78">
        <f t="shared" si="16"/>
        <v>1.1053E-2</v>
      </c>
      <c r="Q25" s="6"/>
      <c r="R25" s="45">
        <f t="shared" si="28"/>
        <v>0.63975155279503104</v>
      </c>
      <c r="S25" s="74">
        <f t="shared" si="29"/>
        <v>0.16459627329192544</v>
      </c>
      <c r="T25" s="4"/>
      <c r="V25" s="13">
        <f t="shared" si="3"/>
        <v>12444741136</v>
      </c>
      <c r="W25" s="6">
        <f t="shared" si="4"/>
        <v>7686942448.5441008</v>
      </c>
      <c r="X25" s="63">
        <f t="shared" si="5"/>
        <v>0.61768600604374202</v>
      </c>
      <c r="Y25" s="63">
        <f t="shared" si="6"/>
        <v>7.4443501206157585E-3</v>
      </c>
      <c r="Z25" s="22">
        <f t="shared" si="7"/>
        <v>334</v>
      </c>
      <c r="AA25" s="22">
        <v>1</v>
      </c>
      <c r="AB25" s="6">
        <f t="shared" si="17"/>
        <v>3.3689585533386599</v>
      </c>
      <c r="AC25" s="6">
        <f t="shared" si="8"/>
        <v>7.1974589493154426E-2</v>
      </c>
      <c r="AD25" s="6">
        <f t="shared" si="31"/>
        <v>2.1552964658005087</v>
      </c>
      <c r="AE25" s="6">
        <f t="shared" si="9"/>
        <v>5.1189931635618455E-2</v>
      </c>
      <c r="AF25" s="6">
        <f t="shared" si="19"/>
        <v>3.387268110693761</v>
      </c>
      <c r="AG25" s="6">
        <f t="shared" si="10"/>
        <v>7.230155659834421E-2</v>
      </c>
      <c r="AH25" s="6">
        <f t="shared" si="20"/>
        <v>0.55451802275449991</v>
      </c>
      <c r="AI25" s="14">
        <f t="shared" si="11"/>
        <v>3.0861291864503995E-2</v>
      </c>
      <c r="AK25" s="74">
        <f t="shared" si="21"/>
        <v>0.63975155279503093</v>
      </c>
      <c r="AL25" s="74">
        <f t="shared" si="22"/>
        <v>0.16459627329192547</v>
      </c>
      <c r="AO25">
        <f t="shared" si="23"/>
        <v>7.4125914542380906</v>
      </c>
      <c r="AP25">
        <f t="shared" si="24"/>
        <v>81.782388561183041</v>
      </c>
      <c r="AQ25">
        <f t="shared" si="25"/>
        <v>33.258244610230527</v>
      </c>
      <c r="AR25">
        <f t="shared" si="26"/>
        <v>82.05074732612043</v>
      </c>
      <c r="AS25">
        <f t="shared" si="27"/>
        <v>2.0893411213645425</v>
      </c>
      <c r="AY25" s="2"/>
      <c r="AZ25" s="2"/>
      <c r="BA25" s="2"/>
      <c r="BB25" s="2"/>
    </row>
    <row r="26" spans="1:54" x14ac:dyDescent="0.25">
      <c r="A26">
        <f t="shared" si="0"/>
        <v>2.7181625064336742E-10</v>
      </c>
      <c r="B26">
        <f t="shared" si="12"/>
        <v>4.3374604895269163E-24</v>
      </c>
      <c r="D26">
        <f t="shared" si="1"/>
        <v>1.7396240041175513E-10</v>
      </c>
      <c r="F26" s="13">
        <v>63</v>
      </c>
      <c r="G26" s="22">
        <f t="shared" si="2"/>
        <v>336</v>
      </c>
      <c r="H26" s="22">
        <v>1</v>
      </c>
      <c r="I26" s="38">
        <v>1.375</v>
      </c>
      <c r="J26" s="38">
        <f t="shared" si="13"/>
        <v>1.134375E-2</v>
      </c>
      <c r="K26" s="38">
        <v>0.88</v>
      </c>
      <c r="L26" s="38">
        <f t="shared" si="14"/>
        <v>1.1220000000000001E-2</v>
      </c>
      <c r="M26" s="38">
        <v>1.3779999999999999</v>
      </c>
      <c r="N26" s="38">
        <f t="shared" si="15"/>
        <v>1.13445E-2</v>
      </c>
      <c r="O26" s="38">
        <v>0.22500000000000001</v>
      </c>
      <c r="P26" s="78">
        <f t="shared" si="16"/>
        <v>1.105625E-2</v>
      </c>
      <c r="Q26" s="6"/>
      <c r="R26" s="45">
        <f t="shared" si="28"/>
        <v>0.64</v>
      </c>
      <c r="S26" s="74">
        <f t="shared" si="29"/>
        <v>0.16363636363636364</v>
      </c>
      <c r="T26" s="4"/>
      <c r="V26" s="13">
        <f t="shared" si="3"/>
        <v>12745506816</v>
      </c>
      <c r="W26" s="6">
        <f t="shared" si="4"/>
        <v>7686942448.5441008</v>
      </c>
      <c r="X26" s="63">
        <f t="shared" si="5"/>
        <v>0.60310998687744144</v>
      </c>
      <c r="Y26" s="63">
        <f t="shared" si="6"/>
        <v>7.2259592205581929E-3</v>
      </c>
      <c r="Z26" s="22">
        <f t="shared" si="7"/>
        <v>336</v>
      </c>
      <c r="AA26" s="22">
        <v>1</v>
      </c>
      <c r="AB26" s="6">
        <f t="shared" si="17"/>
        <v>3.4644358752746034</v>
      </c>
      <c r="AC26" s="6">
        <f t="shared" si="8"/>
        <v>6.9248641197626901E-2</v>
      </c>
      <c r="AD26" s="6">
        <f t="shared" si="31"/>
        <v>2.2172389601757461</v>
      </c>
      <c r="AE26" s="6">
        <f t="shared" si="9"/>
        <v>4.9282465033289612E-2</v>
      </c>
      <c r="AF26" s="6">
        <f t="shared" si="19"/>
        <v>3.4719946444570207</v>
      </c>
      <c r="AG26" s="6">
        <f t="shared" si="10"/>
        <v>6.9374792632646037E-2</v>
      </c>
      <c r="AH26" s="6">
        <f t="shared" si="20"/>
        <v>0.5669076886812987</v>
      </c>
      <c r="AI26" s="14">
        <f t="shared" si="11"/>
        <v>2.9707830801758695E-2</v>
      </c>
      <c r="AK26" s="74">
        <f t="shared" si="21"/>
        <v>0.64</v>
      </c>
      <c r="AL26" s="74">
        <f t="shared" si="22"/>
        <v>0.16363636363636364</v>
      </c>
      <c r="AO26">
        <f t="shared" si="23"/>
        <v>6.841630419178534</v>
      </c>
      <c r="AP26">
        <f t="shared" si="24"/>
        <v>77.651696126191212</v>
      </c>
      <c r="AQ26">
        <f t="shared" si="25"/>
        <v>31.781445322432099</v>
      </c>
      <c r="AR26">
        <f t="shared" si="26"/>
        <v>78.498029888908746</v>
      </c>
      <c r="AS26">
        <f t="shared" si="27"/>
        <v>2.10373456288792</v>
      </c>
      <c r="AY26" s="2"/>
      <c r="AZ26" s="2"/>
      <c r="BA26" s="2"/>
      <c r="BB26" s="2"/>
    </row>
    <row r="27" spans="1:54" x14ac:dyDescent="0.25">
      <c r="A27">
        <f t="shared" si="0"/>
        <v>2.7494296116269674E-10</v>
      </c>
      <c r="B27">
        <f t="shared" si="12"/>
        <v>1.0900475958795235E-24</v>
      </c>
      <c r="D27">
        <f t="shared" si="1"/>
        <v>1.7670910317439762E-10</v>
      </c>
      <c r="F27" s="13">
        <v>65</v>
      </c>
      <c r="G27" s="22">
        <f t="shared" si="2"/>
        <v>338</v>
      </c>
      <c r="H27" s="22">
        <v>1</v>
      </c>
      <c r="I27" s="38">
        <v>1.4750000000000001</v>
      </c>
      <c r="J27" s="38">
        <f t="shared" si="13"/>
        <v>1.136875E-2</v>
      </c>
      <c r="K27" s="38">
        <v>0.94799999999999995</v>
      </c>
      <c r="L27" s="38">
        <f t="shared" si="14"/>
        <v>1.1237E-2</v>
      </c>
      <c r="M27" s="38">
        <v>1.478</v>
      </c>
      <c r="N27" s="38">
        <f t="shared" si="15"/>
        <v>1.1369500000000001E-2</v>
      </c>
      <c r="O27" s="38">
        <v>0.24199999999999999</v>
      </c>
      <c r="P27" s="78">
        <f t="shared" si="16"/>
        <v>1.1060500000000001E-2</v>
      </c>
      <c r="Q27" s="6"/>
      <c r="R27" s="45">
        <f t="shared" si="28"/>
        <v>0.64271186440677963</v>
      </c>
      <c r="S27" s="74">
        <f t="shared" si="29"/>
        <v>0.16406779661016949</v>
      </c>
      <c r="T27" s="4"/>
      <c r="V27" s="13">
        <f t="shared" si="3"/>
        <v>13051691536</v>
      </c>
      <c r="W27" s="6">
        <f t="shared" si="4"/>
        <v>7686942448.5441008</v>
      </c>
      <c r="X27" s="63">
        <f t="shared" si="5"/>
        <v>0.58896139457031227</v>
      </c>
      <c r="Y27" s="63">
        <f t="shared" si="6"/>
        <v>7.0152209037285347E-3</v>
      </c>
      <c r="Z27" s="22">
        <f t="shared" si="7"/>
        <v>338</v>
      </c>
      <c r="AA27" s="22">
        <v>1</v>
      </c>
      <c r="AB27" s="6">
        <f t="shared" si="17"/>
        <v>3.5884707190899459</v>
      </c>
      <c r="AC27" s="6">
        <f t="shared" si="8"/>
        <v>6.7200481934859391E-2</v>
      </c>
      <c r="AD27" s="6">
        <f t="shared" si="31"/>
        <v>2.3063527062354363</v>
      </c>
      <c r="AE27" s="6">
        <f t="shared" si="9"/>
        <v>4.7924825996805913E-2</v>
      </c>
      <c r="AF27" s="6">
        <f t="shared" si="19"/>
        <v>3.5957693036033489</v>
      </c>
      <c r="AG27" s="6">
        <f t="shared" si="10"/>
        <v>6.7314776631595186E-2</v>
      </c>
      <c r="AH27" s="6">
        <f t="shared" si="20"/>
        <v>0.58875248408119785</v>
      </c>
      <c r="AI27" s="14">
        <f t="shared" si="11"/>
        <v>2.8723580113956922E-2</v>
      </c>
      <c r="AK27" s="74">
        <f t="shared" si="21"/>
        <v>0.64271186440677963</v>
      </c>
      <c r="AL27" s="74">
        <f t="shared" si="22"/>
        <v>0.16406779661016949</v>
      </c>
      <c r="AO27">
        <f t="shared" si="23"/>
        <v>6.3483323947846397</v>
      </c>
      <c r="AP27">
        <f t="shared" si="24"/>
        <v>76.194691055551871</v>
      </c>
      <c r="AQ27">
        <f t="shared" si="25"/>
        <v>31.209345456354043</v>
      </c>
      <c r="AR27">
        <f t="shared" si="26"/>
        <v>76.527539692075663</v>
      </c>
      <c r="AS27">
        <f t="shared" si="27"/>
        <v>2.0402545373552732</v>
      </c>
      <c r="AY27" s="2"/>
      <c r="AZ27" s="2"/>
      <c r="BA27" s="2"/>
      <c r="BB27" s="2"/>
    </row>
    <row r="28" spans="1:54" x14ac:dyDescent="0.25">
      <c r="A28">
        <f t="shared" si="0"/>
        <v>2.7623056017044346E-10</v>
      </c>
      <c r="B28">
        <f t="shared" si="12"/>
        <v>5.4366031600941879E-24</v>
      </c>
      <c r="D28">
        <f t="shared" si="1"/>
        <v>1.7704828633373445E-10</v>
      </c>
      <c r="F28" s="13">
        <v>67</v>
      </c>
      <c r="G28" s="22">
        <f t="shared" si="2"/>
        <v>340</v>
      </c>
      <c r="H28" s="22">
        <v>1</v>
      </c>
      <c r="I28" s="38">
        <v>1.5680000000000001</v>
      </c>
      <c r="J28" s="38">
        <f t="shared" si="13"/>
        <v>1.1391999999999999E-2</v>
      </c>
      <c r="K28" s="38">
        <v>1.0049999999999999</v>
      </c>
      <c r="L28" s="38">
        <f t="shared" si="14"/>
        <v>1.1251250000000001E-2</v>
      </c>
      <c r="M28" s="38">
        <v>1.5669999999999999</v>
      </c>
      <c r="N28" s="38">
        <f t="shared" si="15"/>
        <v>1.1391749999999999E-2</v>
      </c>
      <c r="O28" s="38">
        <v>0.26</v>
      </c>
      <c r="P28" s="78">
        <f t="shared" si="16"/>
        <v>1.1065000000000002E-2</v>
      </c>
      <c r="Q28" s="6"/>
      <c r="R28" s="45">
        <f t="shared" si="28"/>
        <v>0.64094387755102034</v>
      </c>
      <c r="S28" s="74">
        <f t="shared" si="29"/>
        <v>0.16581632653061223</v>
      </c>
      <c r="T28" s="4"/>
      <c r="V28" s="13">
        <f t="shared" si="3"/>
        <v>13363360000</v>
      </c>
      <c r="W28" s="6">
        <f t="shared" si="4"/>
        <v>7686942448.5441008</v>
      </c>
      <c r="X28" s="63">
        <f t="shared" si="5"/>
        <v>0.57522527631853826</v>
      </c>
      <c r="Y28" s="63">
        <f t="shared" si="6"/>
        <v>6.8118239813576764E-3</v>
      </c>
      <c r="Z28" s="22">
        <f t="shared" si="7"/>
        <v>340</v>
      </c>
      <c r="AA28" s="22">
        <v>1</v>
      </c>
      <c r="AB28" s="6">
        <f t="shared" si="17"/>
        <v>3.6913684185592976</v>
      </c>
      <c r="AC28" s="6">
        <f t="shared" si="8"/>
        <v>6.4987825408498859E-2</v>
      </c>
      <c r="AD28" s="6">
        <f t="shared" si="31"/>
        <v>2.3659599876607738</v>
      </c>
      <c r="AE28" s="6">
        <f t="shared" si="9"/>
        <v>4.6272380331066766E-2</v>
      </c>
      <c r="AF28" s="6">
        <f t="shared" si="19"/>
        <v>3.6890142295168489</v>
      </c>
      <c r="AG28" s="6">
        <f t="shared" si="10"/>
        <v>6.4953196326185333E-2</v>
      </c>
      <c r="AH28" s="6">
        <f t="shared" si="20"/>
        <v>0.61208915103661821</v>
      </c>
      <c r="AI28" s="14">
        <f t="shared" si="11"/>
        <v>2.7837076908520324E-2</v>
      </c>
      <c r="AK28" s="74">
        <f t="shared" si="21"/>
        <v>0.64094387755102022</v>
      </c>
      <c r="AL28" s="74">
        <f t="shared" si="22"/>
        <v>0.16581632653061223</v>
      </c>
      <c r="AO28">
        <f t="shared" si="23"/>
        <v>5.9188150999211322</v>
      </c>
      <c r="AP28">
        <f t="shared" si="24"/>
        <v>76.217304739460232</v>
      </c>
      <c r="AQ28">
        <f t="shared" si="25"/>
        <v>31.483733013994527</v>
      </c>
      <c r="AR28">
        <f t="shared" si="26"/>
        <v>76.527656524665318</v>
      </c>
      <c r="AS28">
        <f t="shared" si="27"/>
        <v>2.0516358447626528</v>
      </c>
      <c r="AY28" s="2"/>
      <c r="AZ28" s="2"/>
      <c r="BA28" s="2"/>
      <c r="BB28" s="2"/>
    </row>
    <row r="29" spans="1:54" x14ac:dyDescent="0.25">
      <c r="A29">
        <f t="shared" si="0"/>
        <v>2.7529204597780436E-10</v>
      </c>
      <c r="B29">
        <f t="shared" si="12"/>
        <v>1.9408342115930858E-24</v>
      </c>
      <c r="D29">
        <f t="shared" si="1"/>
        <v>1.768542840827107E-10</v>
      </c>
      <c r="F29" s="13">
        <v>69</v>
      </c>
      <c r="G29" s="22">
        <f t="shared" si="2"/>
        <v>342</v>
      </c>
      <c r="H29" s="22">
        <v>1</v>
      </c>
      <c r="I29" s="38">
        <v>1.65</v>
      </c>
      <c r="J29" s="38">
        <f t="shared" si="13"/>
        <v>1.1412499999999999E-2</v>
      </c>
      <c r="K29" s="38">
        <v>1.06</v>
      </c>
      <c r="L29" s="38">
        <f t="shared" si="14"/>
        <v>1.1265000000000001E-2</v>
      </c>
      <c r="M29" s="38">
        <v>1.653</v>
      </c>
      <c r="N29" s="38">
        <f t="shared" si="15"/>
        <v>1.141325E-2</v>
      </c>
      <c r="O29" s="38">
        <v>0.27500000000000002</v>
      </c>
      <c r="P29" s="78">
        <f t="shared" si="16"/>
        <v>1.1068749999999999E-2</v>
      </c>
      <c r="Q29" s="6"/>
      <c r="R29" s="45">
        <f t="shared" si="28"/>
        <v>0.64242424242424245</v>
      </c>
      <c r="S29" s="74">
        <f t="shared" si="29"/>
        <v>0.16666666666666669</v>
      </c>
      <c r="T29" s="4"/>
      <c r="V29" s="13">
        <f t="shared" si="3"/>
        <v>13680577296</v>
      </c>
      <c r="W29" s="6">
        <f t="shared" si="4"/>
        <v>7686942448.5441008</v>
      </c>
      <c r="X29" s="63">
        <f t="shared" si="5"/>
        <v>0.56188728605712057</v>
      </c>
      <c r="Y29" s="63">
        <f t="shared" si="6"/>
        <v>6.6154716469101187E-3</v>
      </c>
      <c r="Z29" s="22">
        <f t="shared" si="7"/>
        <v>342</v>
      </c>
      <c r="AA29" s="22">
        <v>1</v>
      </c>
      <c r="AB29" s="6">
        <f t="shared" si="17"/>
        <v>3.766154113973339</v>
      </c>
      <c r="AC29" s="6">
        <f t="shared" si="8"/>
        <v>6.2550841194625631E-2</v>
      </c>
      <c r="AD29" s="6">
        <f t="shared" si="31"/>
        <v>2.4194687035222664</v>
      </c>
      <c r="AE29" s="6">
        <f t="shared" si="9"/>
        <v>4.4674993825250864E-2</v>
      </c>
      <c r="AF29" s="6">
        <f t="shared" si="19"/>
        <v>3.7730016669078359</v>
      </c>
      <c r="AG29" s="6">
        <f t="shared" si="10"/>
        <v>6.2645572703172753E-2</v>
      </c>
      <c r="AH29" s="6">
        <f t="shared" si="20"/>
        <v>0.62769235232888987</v>
      </c>
      <c r="AI29" s="14">
        <f t="shared" si="11"/>
        <v>2.6983985446773377E-2</v>
      </c>
      <c r="AK29" s="74">
        <f t="shared" si="21"/>
        <v>0.64242424242424245</v>
      </c>
      <c r="AL29" s="74">
        <f t="shared" si="22"/>
        <v>0.16666666666666669</v>
      </c>
      <c r="AO29">
        <f t="shared" si="23"/>
        <v>5.5422060475847346</v>
      </c>
      <c r="AP29">
        <f t="shared" si="24"/>
        <v>75.519212487882172</v>
      </c>
      <c r="AQ29">
        <f t="shared" si="25"/>
        <v>31.023976253820486</v>
      </c>
      <c r="AR29">
        <f t="shared" si="26"/>
        <v>75.422917677797514</v>
      </c>
      <c r="AS29">
        <f t="shared" si="27"/>
        <v>2.0764048362746128</v>
      </c>
      <c r="AY29" s="2"/>
      <c r="AZ29" s="2"/>
      <c r="BA29" s="2"/>
      <c r="BB29" s="2"/>
    </row>
    <row r="30" spans="1:54" x14ac:dyDescent="0.25">
      <c r="A30">
        <f t="shared" si="0"/>
        <v>2.7483720754967574E-10</v>
      </c>
      <c r="B30">
        <f t="shared" si="12"/>
        <v>8.8040657456882965E-25</v>
      </c>
      <c r="D30">
        <f t="shared" si="1"/>
        <v>1.7668106199622013E-10</v>
      </c>
      <c r="F30" s="13">
        <v>71</v>
      </c>
      <c r="G30" s="22">
        <f t="shared" si="2"/>
        <v>344</v>
      </c>
      <c r="H30" s="22">
        <v>1</v>
      </c>
      <c r="I30" s="38">
        <v>1.736</v>
      </c>
      <c r="J30" s="38">
        <f t="shared" si="13"/>
        <v>1.1434E-2</v>
      </c>
      <c r="K30" s="38">
        <v>1.1160000000000001</v>
      </c>
      <c r="L30" s="38">
        <f t="shared" si="14"/>
        <v>1.1279000000000001E-2</v>
      </c>
      <c r="M30" s="38">
        <v>1.738</v>
      </c>
      <c r="N30" s="38">
        <f t="shared" si="15"/>
        <v>1.14345E-2</v>
      </c>
      <c r="O30" s="38">
        <v>0.28999999999999998</v>
      </c>
      <c r="P30" s="78">
        <f t="shared" si="16"/>
        <v>1.1072499999999999E-2</v>
      </c>
      <c r="Q30" s="6"/>
      <c r="R30" s="45">
        <f t="shared" si="28"/>
        <v>0.6428571428571429</v>
      </c>
      <c r="S30" s="74">
        <f t="shared" si="29"/>
        <v>0.16705069124423963</v>
      </c>
      <c r="T30" s="4"/>
      <c r="V30" s="13">
        <f t="shared" si="3"/>
        <v>14003408896</v>
      </c>
      <c r="W30" s="6">
        <f t="shared" si="4"/>
        <v>7686942448.5441008</v>
      </c>
      <c r="X30" s="63">
        <f t="shared" si="5"/>
        <v>0.54893365648558867</v>
      </c>
      <c r="Y30" s="63">
        <f t="shared" si="6"/>
        <v>6.4258807324849938E-3</v>
      </c>
      <c r="Z30" s="22">
        <f t="shared" si="7"/>
        <v>344</v>
      </c>
      <c r="AA30" s="22">
        <v>1</v>
      </c>
      <c r="AB30" s="6">
        <f t="shared" si="17"/>
        <v>3.8486577971529274</v>
      </c>
      <c r="AC30" s="6">
        <f t="shared" si="8"/>
        <v>6.040414122354601E-2</v>
      </c>
      <c r="AD30" s="6">
        <f t="shared" si="31"/>
        <v>2.4741371553125964</v>
      </c>
      <c r="AE30" s="6">
        <f t="shared" si="9"/>
        <v>4.3215453178897176E-2</v>
      </c>
      <c r="AF30" s="6">
        <f t="shared" si="19"/>
        <v>3.8530917347072511</v>
      </c>
      <c r="AG30" s="6">
        <f t="shared" si="10"/>
        <v>6.0461946360460504E-2</v>
      </c>
      <c r="AH30" s="6">
        <f t="shared" si="20"/>
        <v>0.64292094537692912</v>
      </c>
      <c r="AI30" s="14">
        <f t="shared" si="11"/>
        <v>2.6200422824171246E-2</v>
      </c>
      <c r="AK30" s="74">
        <f t="shared" si="21"/>
        <v>0.6428571428571429</v>
      </c>
      <c r="AL30" s="74">
        <f t="shared" si="22"/>
        <v>0.16705069124423963</v>
      </c>
      <c r="AO30">
        <f t="shared" si="23"/>
        <v>5.2098867989709108</v>
      </c>
      <c r="AP30">
        <f t="shared" si="24"/>
        <v>73.896600947153757</v>
      </c>
      <c r="AQ30">
        <f t="shared" si="25"/>
        <v>30.497785426711467</v>
      </c>
      <c r="AR30">
        <f t="shared" si="26"/>
        <v>74.165560145972989</v>
      </c>
      <c r="AS30">
        <f t="shared" si="27"/>
        <v>2.0526833596431602</v>
      </c>
      <c r="AY30" s="2"/>
      <c r="AZ30" s="2"/>
      <c r="BA30" s="2"/>
      <c r="BB30" s="2"/>
    </row>
    <row r="31" spans="1:54" x14ac:dyDescent="0.25">
      <c r="A31">
        <f t="shared" si="0"/>
        <v>2.7464348911668151E-10</v>
      </c>
      <c r="B31">
        <f t="shared" si="12"/>
        <v>5.544014596165332E-25</v>
      </c>
      <c r="D31">
        <f t="shared" si="1"/>
        <v>1.7667477053314194E-10</v>
      </c>
      <c r="F31" s="13">
        <v>73</v>
      </c>
      <c r="G31" s="22">
        <f t="shared" si="2"/>
        <v>346</v>
      </c>
      <c r="H31" s="22">
        <v>1</v>
      </c>
      <c r="I31" s="38">
        <v>1.825</v>
      </c>
      <c r="J31" s="38">
        <f t="shared" si="13"/>
        <v>1.1456250000000001E-2</v>
      </c>
      <c r="K31" s="38">
        <v>1.1739999999999999</v>
      </c>
      <c r="L31" s="38">
        <f t="shared" si="14"/>
        <v>1.1293500000000001E-2</v>
      </c>
      <c r="M31" s="38">
        <v>1.827</v>
      </c>
      <c r="N31" s="38">
        <f t="shared" si="15"/>
        <v>1.1456750000000002E-2</v>
      </c>
      <c r="O31" s="38">
        <v>0.30299999999999999</v>
      </c>
      <c r="P31" s="78">
        <f t="shared" si="16"/>
        <v>1.1075749999999999E-2</v>
      </c>
      <c r="Q31" s="6"/>
      <c r="R31" s="45">
        <f t="shared" si="28"/>
        <v>0.64328767123287667</v>
      </c>
      <c r="S31" s="74">
        <f t="shared" si="29"/>
        <v>0.16602739726027396</v>
      </c>
      <c r="T31" s="4"/>
      <c r="V31" s="13">
        <f t="shared" si="3"/>
        <v>14331920656</v>
      </c>
      <c r="W31" s="6">
        <f t="shared" si="4"/>
        <v>7686942448.5441008</v>
      </c>
      <c r="X31" s="63">
        <f t="shared" si="5"/>
        <v>0.53635117253638953</v>
      </c>
      <c r="Y31" s="63">
        <f t="shared" si="6"/>
        <v>6.242781007694171E-3</v>
      </c>
      <c r="Z31" s="22">
        <f t="shared" si="7"/>
        <v>346</v>
      </c>
      <c r="AA31" s="22">
        <v>1</v>
      </c>
      <c r="AB31" s="6">
        <f t="shared" si="17"/>
        <v>3.9361686947072787</v>
      </c>
      <c r="AC31" s="6">
        <f t="shared" si="8"/>
        <v>5.8475279465756987E-2</v>
      </c>
      <c r="AD31" s="6">
        <f t="shared" si="31"/>
        <v>2.5320887931979974</v>
      </c>
      <c r="AE31" s="6">
        <f t="shared" si="9"/>
        <v>4.1900511624424833E-2</v>
      </c>
      <c r="AF31" s="6">
        <f t="shared" si="19"/>
        <v>3.9404823042357253</v>
      </c>
      <c r="AG31" s="6">
        <f t="shared" si="10"/>
        <v>5.8528380402466315E-2</v>
      </c>
      <c r="AH31" s="6">
        <f t="shared" si="20"/>
        <v>0.65351184355961944</v>
      </c>
      <c r="AI31" s="14">
        <f t="shared" si="11"/>
        <v>2.5457281638650284E-2</v>
      </c>
      <c r="AK31" s="74">
        <f t="shared" si="21"/>
        <v>0.64328767123287667</v>
      </c>
      <c r="AL31" s="74">
        <f t="shared" si="22"/>
        <v>0.16602739726027399</v>
      </c>
      <c r="AO31">
        <f t="shared" si="23"/>
        <v>4.9149505589103963</v>
      </c>
      <c r="AP31">
        <f t="shared" si="24"/>
        <v>72.801067686897369</v>
      </c>
      <c r="AQ31">
        <f t="shared" si="25"/>
        <v>30.086155523666775</v>
      </c>
      <c r="AR31">
        <f t="shared" si="26"/>
        <v>72.968908709445287</v>
      </c>
      <c r="AS31">
        <f t="shared" si="27"/>
        <v>2.0315817496084767</v>
      </c>
      <c r="AY31" s="2"/>
      <c r="AZ31" s="2"/>
      <c r="BA31" s="2"/>
      <c r="BB31" s="2"/>
    </row>
    <row r="32" spans="1:54" ht="20.25" customHeight="1" x14ac:dyDescent="0.25">
      <c r="A32">
        <f t="shared" si="0"/>
        <v>2.7510173017680537E-10</v>
      </c>
      <c r="B32">
        <f t="shared" si="12"/>
        <v>1.4467818679784882E-24</v>
      </c>
      <c r="D32">
        <f t="shared" si="1"/>
        <v>1.7681017449905095E-10</v>
      </c>
      <c r="F32" s="13">
        <v>75</v>
      </c>
      <c r="G32" s="22">
        <f t="shared" si="2"/>
        <v>348</v>
      </c>
      <c r="H32" s="22">
        <v>1</v>
      </c>
      <c r="I32" s="38">
        <v>1.92</v>
      </c>
      <c r="J32" s="38">
        <f t="shared" si="13"/>
        <v>1.1480000000000001E-2</v>
      </c>
      <c r="K32" s="38">
        <v>1.234</v>
      </c>
      <c r="L32" s="38">
        <f t="shared" si="14"/>
        <v>1.1308499999999999E-2</v>
      </c>
      <c r="M32" s="38">
        <v>1.921</v>
      </c>
      <c r="N32" s="38">
        <f t="shared" si="15"/>
        <v>1.1480250000000001E-2</v>
      </c>
      <c r="O32" s="38">
        <v>0.32</v>
      </c>
      <c r="P32" s="78">
        <f t="shared" si="16"/>
        <v>1.108E-2</v>
      </c>
      <c r="Q32" s="6"/>
      <c r="R32" s="45">
        <f t="shared" si="28"/>
        <v>0.64270833333333333</v>
      </c>
      <c r="S32" s="74">
        <f t="shared" si="29"/>
        <v>0.16666666666666669</v>
      </c>
      <c r="T32" s="4"/>
      <c r="V32" s="13">
        <f t="shared" si="3"/>
        <v>14666178816</v>
      </c>
      <c r="W32" s="6">
        <f t="shared" si="4"/>
        <v>7686942448.5441008</v>
      </c>
      <c r="X32" s="63">
        <f t="shared" si="5"/>
        <v>0.52412714620375866</v>
      </c>
      <c r="Y32" s="63">
        <f t="shared" si="6"/>
        <v>6.0659145183633986E-3</v>
      </c>
      <c r="Z32" s="22">
        <f t="shared" si="7"/>
        <v>348</v>
      </c>
      <c r="AA32" s="22">
        <v>1</v>
      </c>
      <c r="AB32" s="6">
        <f t="shared" si="17"/>
        <v>4.0346911673640102</v>
      </c>
      <c r="AC32" s="6">
        <f t="shared" si="8"/>
        <v>5.6806742924217404E-2</v>
      </c>
      <c r="AD32" s="6">
        <f t="shared" si="31"/>
        <v>2.5931296356912443</v>
      </c>
      <c r="AE32" s="6">
        <f t="shared" si="9"/>
        <v>4.0710052297312706E-2</v>
      </c>
      <c r="AF32" s="6">
        <f t="shared" si="19"/>
        <v>4.036792569013679</v>
      </c>
      <c r="AG32" s="6">
        <f t="shared" si="10"/>
        <v>5.6831218099627982E-2</v>
      </c>
      <c r="AH32" s="6">
        <f t="shared" si="20"/>
        <v>0.67244852789400178</v>
      </c>
      <c r="AI32" s="14">
        <f t="shared" si="11"/>
        <v>2.4811206270807545E-2</v>
      </c>
      <c r="AK32" s="74">
        <f t="shared" si="21"/>
        <v>0.64270833333333344</v>
      </c>
      <c r="AL32" s="74">
        <f t="shared" si="22"/>
        <v>0.16666666666666669</v>
      </c>
      <c r="AO32">
        <f t="shared" si="23"/>
        <v>4.6518067909757495</v>
      </c>
      <c r="AP32">
        <f t="shared" si="24"/>
        <v>72.072414947004617</v>
      </c>
      <c r="AQ32">
        <f t="shared" si="25"/>
        <v>29.824936696114911</v>
      </c>
      <c r="AR32">
        <f t="shared" si="26"/>
        <v>72.230468441100427</v>
      </c>
      <c r="AS32">
        <f t="shared" si="27"/>
        <v>1.9866830831659366</v>
      </c>
      <c r="AY32" s="2"/>
      <c r="AZ32" s="2"/>
      <c r="BA32" s="2"/>
      <c r="BB32" s="2"/>
    </row>
    <row r="33" spans="1:54" x14ac:dyDescent="0.25">
      <c r="A33">
        <f t="shared" si="0"/>
        <v>2.7570914131058684E-10</v>
      </c>
      <c r="B33">
        <f t="shared" si="12"/>
        <v>3.2769456605905416E-24</v>
      </c>
      <c r="D33">
        <f t="shared" si="1"/>
        <v>1.769293052513429E-10</v>
      </c>
      <c r="F33" s="13">
        <v>77</v>
      </c>
      <c r="G33" s="22">
        <f t="shared" si="2"/>
        <v>350</v>
      </c>
      <c r="H33" s="22">
        <v>1</v>
      </c>
      <c r="I33" s="38">
        <v>2.0179999999999998</v>
      </c>
      <c r="J33" s="38">
        <f t="shared" si="13"/>
        <v>1.1504500000000001E-2</v>
      </c>
      <c r="K33" s="38">
        <v>1.2949999999999999</v>
      </c>
      <c r="L33" s="38">
        <f t="shared" si="14"/>
        <v>1.132375E-2</v>
      </c>
      <c r="M33" s="38">
        <v>2.0089999999999999</v>
      </c>
      <c r="N33" s="38">
        <f t="shared" si="15"/>
        <v>1.1502249999999999E-2</v>
      </c>
      <c r="O33" s="38">
        <v>0.33900000000000002</v>
      </c>
      <c r="P33" s="78">
        <f t="shared" si="16"/>
        <v>1.1084750000000001E-2</v>
      </c>
      <c r="Q33" s="6"/>
      <c r="R33" s="45">
        <f t="shared" si="28"/>
        <v>0.64172447968285429</v>
      </c>
      <c r="S33" s="74">
        <f t="shared" si="29"/>
        <v>0.16798810703667</v>
      </c>
      <c r="T33" s="4"/>
      <c r="V33" s="13">
        <f t="shared" si="3"/>
        <v>15006250000</v>
      </c>
      <c r="W33" s="6">
        <f t="shared" si="4"/>
        <v>7686942448.5441008</v>
      </c>
      <c r="X33" s="63">
        <f t="shared" si="5"/>
        <v>0.512249392656</v>
      </c>
      <c r="Y33" s="63">
        <f t="shared" si="6"/>
        <v>5.8950349625823207E-3</v>
      </c>
      <c r="Z33" s="22">
        <f t="shared" si="7"/>
        <v>350</v>
      </c>
      <c r="AA33" s="22">
        <v>1</v>
      </c>
      <c r="AB33" s="6">
        <f t="shared" si="17"/>
        <v>4.1373603017919933</v>
      </c>
      <c r="AC33" s="6">
        <f t="shared" si="8"/>
        <v>5.5288533614180152E-2</v>
      </c>
      <c r="AD33" s="6">
        <f t="shared" si="31"/>
        <v>2.6550453869279642</v>
      </c>
      <c r="AE33" s="6">
        <f t="shared" si="9"/>
        <v>3.9607066022559374E-2</v>
      </c>
      <c r="AF33" s="6">
        <f t="shared" si="19"/>
        <v>4.118908248909869</v>
      </c>
      <c r="AG33" s="6">
        <f t="shared" si="10"/>
        <v>5.5084938804713837E-2</v>
      </c>
      <c r="AH33" s="6">
        <f t="shared" si="20"/>
        <v>0.69502732522670263</v>
      </c>
      <c r="AI33" s="14">
        <f t="shared" si="11"/>
        <v>2.4229048443901641E-2</v>
      </c>
      <c r="AK33" s="74">
        <f t="shared" si="21"/>
        <v>0.6417244796828544</v>
      </c>
      <c r="AL33" s="74">
        <f t="shared" si="22"/>
        <v>0.16798810703667</v>
      </c>
      <c r="AO33">
        <f t="shared" si="23"/>
        <v>4.4158888932305667</v>
      </c>
      <c r="AP33">
        <f t="shared" si="24"/>
        <v>71.88507543806513</v>
      </c>
      <c r="AQ33">
        <f t="shared" si="25"/>
        <v>29.693855776303792</v>
      </c>
      <c r="AR33">
        <f t="shared" si="26"/>
        <v>71.959975225054507</v>
      </c>
      <c r="AS33">
        <f t="shared" si="27"/>
        <v>1.9968076510573647</v>
      </c>
      <c r="AY33" s="2"/>
      <c r="AZ33" s="2"/>
      <c r="BA33" s="2"/>
      <c r="BB33" s="2"/>
    </row>
    <row r="34" spans="1:54" x14ac:dyDescent="0.25">
      <c r="A34">
        <f t="shared" si="0"/>
        <v>2.7513748250145211E-10</v>
      </c>
      <c r="B34">
        <f t="shared" si="12"/>
        <v>1.5340674947923302E-24</v>
      </c>
      <c r="D34">
        <f t="shared" si="1"/>
        <v>1.7690205133806027E-10</v>
      </c>
      <c r="F34" s="13">
        <v>79</v>
      </c>
      <c r="G34" s="22">
        <f t="shared" si="2"/>
        <v>352</v>
      </c>
      <c r="H34" s="22">
        <v>1</v>
      </c>
      <c r="I34" s="38">
        <v>2.109</v>
      </c>
      <c r="J34" s="38">
        <f t="shared" si="13"/>
        <v>1.1527249999999999E-2</v>
      </c>
      <c r="K34" s="38">
        <v>1.3560000000000001</v>
      </c>
      <c r="L34" s="38">
        <f t="shared" si="14"/>
        <v>1.1339000000000002E-2</v>
      </c>
      <c r="M34" s="38">
        <v>2.1070000000000002</v>
      </c>
      <c r="N34" s="38">
        <f t="shared" si="15"/>
        <v>1.1526749999999999E-2</v>
      </c>
      <c r="O34" s="38">
        <v>0.35499999999999998</v>
      </c>
      <c r="P34" s="78">
        <f t="shared" si="16"/>
        <v>1.1088750000000001E-2</v>
      </c>
      <c r="Q34" s="6"/>
      <c r="R34" s="45">
        <f t="shared" si="28"/>
        <v>0.64295874822190613</v>
      </c>
      <c r="S34" s="74">
        <f t="shared" si="29"/>
        <v>0.16832622095779989</v>
      </c>
      <c r="T34" s="4"/>
      <c r="V34" s="13">
        <f t="shared" si="3"/>
        <v>15352201216</v>
      </c>
      <c r="W34" s="6">
        <f t="shared" si="4"/>
        <v>7686942448.5441008</v>
      </c>
      <c r="X34" s="63">
        <f t="shared" si="5"/>
        <v>0.50070620755887441</v>
      </c>
      <c r="Y34" s="63">
        <f t="shared" si="6"/>
        <v>5.7299071017959452E-3</v>
      </c>
      <c r="Z34" s="22">
        <f t="shared" si="7"/>
        <v>352</v>
      </c>
      <c r="AA34" s="22">
        <v>1</v>
      </c>
      <c r="AB34" s="6">
        <f t="shared" si="17"/>
        <v>4.2239659934259715</v>
      </c>
      <c r="AC34" s="6">
        <f t="shared" si="8"/>
        <v>5.3691483346631277E-2</v>
      </c>
      <c r="AD34" s="6">
        <f t="shared" si="31"/>
        <v>2.715835887665063</v>
      </c>
      <c r="AE34" s="6">
        <f t="shared" si="9"/>
        <v>3.85633136238007E-2</v>
      </c>
      <c r="AF34" s="6">
        <f t="shared" si="19"/>
        <v>4.219960335774549</v>
      </c>
      <c r="AG34" s="6">
        <f t="shared" si="10"/>
        <v>5.3649553806096387E-2</v>
      </c>
      <c r="AH34" s="6">
        <f t="shared" si="20"/>
        <v>0.71100423312765282</v>
      </c>
      <c r="AI34" s="14">
        <f t="shared" si="11"/>
        <v>2.3660331377164147E-2</v>
      </c>
      <c r="AK34" s="74">
        <f t="shared" si="21"/>
        <v>0.64295874822190613</v>
      </c>
      <c r="AL34" s="74">
        <f t="shared" si="22"/>
        <v>0.16832622095779989</v>
      </c>
      <c r="AO34">
        <f t="shared" si="23"/>
        <v>4.2034352538855781</v>
      </c>
      <c r="AP34">
        <f t="shared" si="24"/>
        <v>71.953354938862731</v>
      </c>
      <c r="AQ34">
        <f t="shared" si="25"/>
        <v>29.631133246359155</v>
      </c>
      <c r="AR34">
        <f t="shared" si="26"/>
        <v>71.312982158344994</v>
      </c>
      <c r="AS34">
        <f t="shared" si="27"/>
        <v>2.0305239717981789</v>
      </c>
      <c r="AY34" s="2"/>
      <c r="AZ34" s="2"/>
      <c r="BA34" s="2"/>
      <c r="BB34" s="2"/>
    </row>
    <row r="35" spans="1:54" ht="15.75" thickBot="1" x14ac:dyDescent="0.3">
      <c r="A35">
        <f t="shared" si="0"/>
        <v>2.7528460373592088E-10</v>
      </c>
      <c r="B35">
        <f t="shared" si="12"/>
        <v>1.9201534547406251E-24</v>
      </c>
      <c r="D35">
        <f t="shared" si="1"/>
        <v>1.7587280981769298E-10</v>
      </c>
      <c r="F35" s="13">
        <v>81</v>
      </c>
      <c r="G35" s="22">
        <f t="shared" si="2"/>
        <v>354</v>
      </c>
      <c r="H35" s="22">
        <v>1</v>
      </c>
      <c r="I35" s="38">
        <v>2.2069999999999999</v>
      </c>
      <c r="J35" s="38">
        <f t="shared" si="13"/>
        <v>1.155175E-2</v>
      </c>
      <c r="K35" s="38">
        <v>1.41</v>
      </c>
      <c r="L35" s="38">
        <f t="shared" si="14"/>
        <v>1.1352500000000001E-2</v>
      </c>
      <c r="M35" s="38">
        <v>2.1970000000000001</v>
      </c>
      <c r="N35" s="38">
        <f t="shared" si="15"/>
        <v>1.154925E-2</v>
      </c>
      <c r="O35" s="38">
        <v>0.36799999999999999</v>
      </c>
      <c r="P35" s="78">
        <f t="shared" si="16"/>
        <v>1.1092000000000001E-2</v>
      </c>
      <c r="Q35" s="6"/>
      <c r="R35" s="45">
        <f t="shared" si="28"/>
        <v>0.63887630267331219</v>
      </c>
      <c r="S35" s="74">
        <f t="shared" si="29"/>
        <v>0.16674218396012688</v>
      </c>
      <c r="T35" s="4"/>
      <c r="V35" s="13">
        <f t="shared" si="3"/>
        <v>15704099856</v>
      </c>
      <c r="W35" s="6">
        <f t="shared" si="4"/>
        <v>7686942448.5441008</v>
      </c>
      <c r="X35" s="63">
        <f t="shared" si="5"/>
        <v>0.48948634554225551</v>
      </c>
      <c r="Y35" s="63">
        <f t="shared" si="6"/>
        <v>5.5703062047848129E-3</v>
      </c>
      <c r="Z35" s="22">
        <f t="shared" si="7"/>
        <v>354</v>
      </c>
      <c r="AA35" s="22">
        <v>1</v>
      </c>
      <c r="AB35" s="6">
        <f t="shared" si="17"/>
        <v>4.3230969058882929</v>
      </c>
      <c r="AC35" s="6">
        <f t="shared" si="8"/>
        <v>5.2316631535582768E-2</v>
      </c>
      <c r="AD35" s="6">
        <f t="shared" si="31"/>
        <v>2.761924167332348</v>
      </c>
      <c r="AE35" s="6">
        <f t="shared" si="9"/>
        <v>3.7452260033196454E-2</v>
      </c>
      <c r="AF35" s="6">
        <f t="shared" si="19"/>
        <v>4.3035087912263617</v>
      </c>
      <c r="AG35" s="6">
        <f t="shared" si="10"/>
        <v>5.212188360051824E-2</v>
      </c>
      <c r="AH35" s="6">
        <f t="shared" si="20"/>
        <v>0.72084261955908102</v>
      </c>
      <c r="AI35" s="14">
        <f t="shared" si="11"/>
        <v>2.3106936738839977E-2</v>
      </c>
      <c r="AK35" s="74">
        <f t="shared" si="21"/>
        <v>0.63887630267331208</v>
      </c>
      <c r="AL35" s="74">
        <f t="shared" si="22"/>
        <v>0.16674218396012688</v>
      </c>
      <c r="AO35">
        <f t="shared" si="23"/>
        <v>4.0113233051017003</v>
      </c>
      <c r="AP35">
        <f t="shared" si="24"/>
        <v>71.569584003971116</v>
      </c>
      <c r="AQ35">
        <f t="shared" si="25"/>
        <v>29.586576307487967</v>
      </c>
      <c r="AR35">
        <f t="shared" si="26"/>
        <v>71.433907097974441</v>
      </c>
      <c r="AS35">
        <f t="shared" si="27"/>
        <v>2.0278323147810067</v>
      </c>
      <c r="AY35" s="3"/>
      <c r="AZ35" s="2"/>
      <c r="BA35" s="2"/>
      <c r="BB35" s="2"/>
    </row>
    <row r="36" spans="1:54" ht="15.75" thickBot="1" x14ac:dyDescent="0.3">
      <c r="A36">
        <f t="shared" si="0"/>
        <v>2.7378871561200701E-10</v>
      </c>
      <c r="B36">
        <f t="shared" si="12"/>
        <v>1.2142300170780301E-26</v>
      </c>
      <c r="D36">
        <f t="shared" si="1"/>
        <v>1.7707312047649647E-10</v>
      </c>
      <c r="F36" s="15">
        <v>83</v>
      </c>
      <c r="G36" s="24">
        <f t="shared" si="2"/>
        <v>356</v>
      </c>
      <c r="H36" s="24">
        <v>1</v>
      </c>
      <c r="I36" s="39">
        <v>2.2930000000000001</v>
      </c>
      <c r="J36" s="40">
        <f t="shared" si="13"/>
        <v>1.157325E-2</v>
      </c>
      <c r="K36" s="40">
        <v>1.4830000000000001</v>
      </c>
      <c r="L36" s="40">
        <f t="shared" si="14"/>
        <v>1.1370749999999999E-2</v>
      </c>
      <c r="M36" s="40">
        <v>2.3010000000000002</v>
      </c>
      <c r="N36" s="40">
        <f t="shared" si="15"/>
        <v>1.1575249999999999E-2</v>
      </c>
      <c r="O36" s="40">
        <v>0.38600000000000001</v>
      </c>
      <c r="P36" s="79">
        <f t="shared" si="16"/>
        <v>1.1096499999999999E-2</v>
      </c>
      <c r="Q36" s="6"/>
      <c r="R36" s="75">
        <f>SUM(R7:R35)/(COUNT(R7:R35))</f>
        <v>0.65060284351646136</v>
      </c>
      <c r="S36" s="76">
        <f>SUM(S7:S35)/(COUNT(S7:S35))</f>
        <v>0.16889440599242084</v>
      </c>
      <c r="T36" s="4"/>
      <c r="V36" s="15">
        <f t="shared" si="3"/>
        <v>16062013696</v>
      </c>
      <c r="W36" s="9">
        <f t="shared" si="4"/>
        <v>7686942448.5441008</v>
      </c>
      <c r="X36" s="69">
        <f t="shared" si="5"/>
        <v>0.47857899974636536</v>
      </c>
      <c r="Y36" s="69">
        <f t="shared" si="6"/>
        <v>5.4160175225245856E-3</v>
      </c>
      <c r="Z36" s="24">
        <f t="shared" si="7"/>
        <v>356</v>
      </c>
      <c r="AA36" s="24">
        <v>1</v>
      </c>
      <c r="AB36" s="6">
        <f t="shared" si="17"/>
        <v>4.3975980999703062</v>
      </c>
      <c r="AC36" s="6">
        <f t="shared" si="8"/>
        <v>5.0785078148090433E-2</v>
      </c>
      <c r="AD36" s="6">
        <f t="shared" si="31"/>
        <v>2.8441508862869447</v>
      </c>
      <c r="AE36" s="6">
        <f t="shared" si="9"/>
        <v>3.6719238075032655E-2</v>
      </c>
      <c r="AF36" s="6">
        <f t="shared" si="19"/>
        <v>4.4129407885005127</v>
      </c>
      <c r="AG36" s="6">
        <f t="shared" si="10"/>
        <v>5.0930136417649659E-2</v>
      </c>
      <c r="AH36" s="6">
        <f t="shared" si="20"/>
        <v>0.74028472158244141</v>
      </c>
      <c r="AI36" s="14">
        <f t="shared" si="11"/>
        <v>2.2627829273957827E-2</v>
      </c>
      <c r="AK36" s="74">
        <f t="shared" si="21"/>
        <v>0.64675098124727437</v>
      </c>
      <c r="AL36" s="74">
        <f t="shared" si="22"/>
        <v>0.16833842128216311</v>
      </c>
      <c r="AO36">
        <f t="shared" si="23"/>
        <v>3.8369423600897767</v>
      </c>
      <c r="AP36">
        <f t="shared" si="24"/>
        <v>71.709255991098644</v>
      </c>
      <c r="AQ36">
        <f t="shared" si="25"/>
        <v>29.269060041874258</v>
      </c>
      <c r="AR36">
        <f t="shared" si="26"/>
        <v>71.060893532346995</v>
      </c>
      <c r="AS36">
        <f t="shared" si="27"/>
        <v>1.9937292827879787</v>
      </c>
    </row>
    <row r="37" spans="1:54" ht="15.75" thickBot="1" x14ac:dyDescent="0.3">
      <c r="D37">
        <f>AVERAGE(D8:D36)</f>
        <v>1.7703529528815144E-10</v>
      </c>
      <c r="I37" s="3"/>
      <c r="K37" s="2"/>
      <c r="M37" s="2"/>
      <c r="O37" s="2"/>
      <c r="T37" s="4"/>
      <c r="AK37" s="75">
        <f>SUM(AK8:AK36)/(COUNT(AK8:AK36))</f>
        <v>0.64637940255151316</v>
      </c>
      <c r="AL37" s="76">
        <f>SUM(AL8:AL36)/(COUNT(AL8:AL36))</f>
        <v>0.16806787940533366</v>
      </c>
      <c r="AO37">
        <f t="shared" si="23"/>
        <v>3.6780951771080619</v>
      </c>
      <c r="AP37">
        <f t="shared" si="24"/>
        <v>71.130200979345361</v>
      </c>
      <c r="AQ37">
        <f t="shared" si="25"/>
        <v>29.752826408986536</v>
      </c>
      <c r="AR37">
        <f t="shared" si="26"/>
        <v>71.627396152959676</v>
      </c>
      <c r="AS37">
        <f t="shared" si="27"/>
        <v>2.0156751221114444</v>
      </c>
      <c r="AT37" s="6"/>
    </row>
    <row r="38" spans="1:54" x14ac:dyDescent="0.25">
      <c r="A38" s="42" t="s">
        <v>90</v>
      </c>
      <c r="B38" s="42" t="s">
        <v>89</v>
      </c>
      <c r="C38" s="42" t="s">
        <v>88</v>
      </c>
      <c r="D38" s="42" t="s">
        <v>86</v>
      </c>
      <c r="E38" s="42" t="s">
        <v>87</v>
      </c>
    </row>
    <row r="39" spans="1:54" x14ac:dyDescent="0.25">
      <c r="A39">
        <f>AVERAGE(A8:A36)</f>
        <v>2.7389890771776227E-10</v>
      </c>
      <c r="B39">
        <f>SQRT((1/(COUNT(B8:B36)-1))*SUM(B8:B36))</f>
        <v>1.4978200945553072E-12</v>
      </c>
      <c r="C39">
        <f>B39/SQRT(COUNT(B8:B36))</f>
        <v>2.781382089868316E-13</v>
      </c>
      <c r="D39">
        <f>A39+C39</f>
        <v>2.7417704592674912E-10</v>
      </c>
      <c r="E39">
        <f>A39-C39</f>
        <v>2.7362076950877543E-10</v>
      </c>
    </row>
    <row r="40" spans="1:54" x14ac:dyDescent="0.25">
      <c r="A40">
        <v>2.7389890771776227E-10</v>
      </c>
      <c r="D40" s="77">
        <v>2.7417704592674901E-10</v>
      </c>
      <c r="E40">
        <v>2.7362076950877543E-10</v>
      </c>
    </row>
    <row r="41" spans="1:54" x14ac:dyDescent="0.25">
      <c r="D41">
        <f>A39-D39</f>
        <v>-2.781382089868416E-13</v>
      </c>
      <c r="E41">
        <f>A39-E39</f>
        <v>2.781382089868416E-13</v>
      </c>
      <c r="F41">
        <f>E41+D41</f>
        <v>0</v>
      </c>
    </row>
    <row r="43" spans="1:54" ht="15.75" thickBot="1" x14ac:dyDescent="0.3">
      <c r="A43" s="42" t="s">
        <v>17</v>
      </c>
      <c r="C43" s="48" t="s">
        <v>70</v>
      </c>
      <c r="D43" s="2"/>
      <c r="E43" s="2"/>
      <c r="F43" s="2"/>
      <c r="G43" s="42" t="s">
        <v>69</v>
      </c>
      <c r="N43" s="42" t="s">
        <v>59</v>
      </c>
      <c r="AE43" s="6"/>
      <c r="AF43" s="6"/>
      <c r="AG43" s="6"/>
      <c r="AH43" s="6"/>
      <c r="AI43" s="6"/>
      <c r="AJ43" s="6"/>
    </row>
    <row r="44" spans="1:54" ht="15.75" thickBot="1" x14ac:dyDescent="0.3">
      <c r="C44" s="11" t="s">
        <v>13</v>
      </c>
      <c r="D44" s="5" t="s">
        <v>53</v>
      </c>
      <c r="E44" s="12" t="s">
        <v>54</v>
      </c>
      <c r="G44" s="44" t="s">
        <v>55</v>
      </c>
      <c r="H44" s="5" t="s">
        <v>56</v>
      </c>
      <c r="I44" s="5" t="s">
        <v>54</v>
      </c>
      <c r="J44" s="5" t="s">
        <v>54</v>
      </c>
      <c r="K44" s="5" t="s">
        <v>57</v>
      </c>
      <c r="L44" s="12" t="s">
        <v>58</v>
      </c>
      <c r="N44" s="11"/>
      <c r="O44" s="5" t="s">
        <v>64</v>
      </c>
      <c r="P44" s="5" t="s">
        <v>65</v>
      </c>
      <c r="Q44" s="5" t="s">
        <v>62</v>
      </c>
      <c r="R44" s="5"/>
      <c r="S44" s="5"/>
      <c r="T44" s="5"/>
      <c r="U44" s="5"/>
      <c r="V44" s="5"/>
      <c r="W44" s="5"/>
      <c r="X44" s="12" t="s">
        <v>63</v>
      </c>
      <c r="AA44" s="6"/>
      <c r="AB44" s="6"/>
      <c r="AC44" s="6"/>
      <c r="AE44" s="6"/>
      <c r="AF44" s="6"/>
      <c r="AG44" s="6"/>
      <c r="AH44" s="6"/>
      <c r="AI44" s="6"/>
      <c r="AJ44" s="6"/>
      <c r="AL44" s="6"/>
      <c r="AM44" s="6"/>
      <c r="AN44" s="6"/>
      <c r="AP44" s="6"/>
      <c r="AQ44" s="6"/>
      <c r="AR44" s="6"/>
      <c r="AS44" s="6"/>
      <c r="AT44" s="6"/>
      <c r="AU44" s="6"/>
    </row>
    <row r="45" spans="1:54" ht="15.75" thickBot="1" x14ac:dyDescent="0.3">
      <c r="A45" s="47" t="s">
        <v>51</v>
      </c>
      <c r="B45" s="2"/>
      <c r="C45" s="13" t="s">
        <v>9</v>
      </c>
      <c r="D45" s="6">
        <v>-7.0000000000000001E-3</v>
      </c>
      <c r="E45" s="14">
        <v>0.01</v>
      </c>
      <c r="G45" s="13" t="s">
        <v>50</v>
      </c>
      <c r="H45" s="6">
        <v>7.0000000000000001E-3</v>
      </c>
      <c r="I45" s="6">
        <v>0.01</v>
      </c>
      <c r="J45" s="6">
        <v>0.01</v>
      </c>
      <c r="K45" s="6"/>
      <c r="L45" s="14"/>
      <c r="N45" s="13" t="s">
        <v>60</v>
      </c>
      <c r="O45" s="6">
        <f>R4</f>
        <v>296.10000000000002</v>
      </c>
      <c r="P45" s="6">
        <v>1</v>
      </c>
      <c r="Q45" s="55">
        <f>2897.8/O45</f>
        <v>9.7865585950692324</v>
      </c>
      <c r="R45" s="59"/>
      <c r="S45" s="59"/>
      <c r="T45" s="59"/>
      <c r="U45" s="59"/>
      <c r="V45" s="59"/>
      <c r="W45" s="59"/>
      <c r="X45" s="56">
        <f>Q45*SQRT((P45/O45)^2)</f>
        <v>3.305153189824124E-2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54" ht="15.75" thickBot="1" x14ac:dyDescent="0.3">
      <c r="A46" s="47" t="s">
        <v>52</v>
      </c>
      <c r="C46" s="13" t="s">
        <v>44</v>
      </c>
      <c r="D46" s="7">
        <v>2.109</v>
      </c>
      <c r="E46" s="14">
        <v>0.01</v>
      </c>
      <c r="G46" s="13" t="s">
        <v>45</v>
      </c>
      <c r="H46" s="17">
        <f>D46+$H$45</f>
        <v>2.1160000000000001</v>
      </c>
      <c r="I46" s="6">
        <f>SQRT($E$45^2+E46^2)</f>
        <v>1.4142135623730951E-2</v>
      </c>
      <c r="J46" s="6">
        <v>0.01</v>
      </c>
      <c r="K46" s="45">
        <f>H46/$H$46*100</f>
        <v>100</v>
      </c>
      <c r="L46" s="18">
        <f>K46*SQRT(($I$46/$H$46)^2+(I46/H46)^2)</f>
        <v>0.94517958412098302</v>
      </c>
      <c r="N46" s="15" t="s">
        <v>61</v>
      </c>
      <c r="O46" s="9">
        <f>79+273</f>
        <v>352</v>
      </c>
      <c r="P46" s="9">
        <v>1</v>
      </c>
      <c r="Q46" s="57">
        <f>2897.8/O46</f>
        <v>8.2323863636363637</v>
      </c>
      <c r="R46" s="60"/>
      <c r="S46" s="60"/>
      <c r="T46" s="60"/>
      <c r="U46" s="60"/>
      <c r="V46" s="60"/>
      <c r="W46" s="60"/>
      <c r="X46" s="58">
        <f>Q46*SQRT((P46/O46)^2)</f>
        <v>2.3387461260330578E-2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54" x14ac:dyDescent="0.25">
      <c r="A47" s="47" t="s">
        <v>20</v>
      </c>
      <c r="C47" s="13" t="s">
        <v>5</v>
      </c>
      <c r="D47" s="6">
        <v>2.8000000000000001E-2</v>
      </c>
      <c r="E47" s="14">
        <v>0.01</v>
      </c>
      <c r="G47" s="46" t="s">
        <v>46</v>
      </c>
      <c r="H47" s="6">
        <f>D47+$H$45</f>
        <v>3.5000000000000003E-2</v>
      </c>
      <c r="I47" s="6">
        <f>SQRT($E$45^2+E47^2)</f>
        <v>1.4142135623730951E-2</v>
      </c>
      <c r="J47" s="6">
        <v>0.01</v>
      </c>
      <c r="K47" s="49">
        <f>H47/$H$46*100</f>
        <v>1.6540642722117205</v>
      </c>
      <c r="L47" s="50">
        <f>K47*SQRT(($I$46/$H$46)^2+(I47/H47)^2)</f>
        <v>0.66843431404082887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54" x14ac:dyDescent="0.25">
      <c r="A48" s="47" t="s">
        <v>19</v>
      </c>
      <c r="C48" s="13" t="s">
        <v>6</v>
      </c>
      <c r="D48" s="6">
        <v>4.5999999999999999E-2</v>
      </c>
      <c r="E48" s="14">
        <v>0.01</v>
      </c>
      <c r="G48" s="13" t="s">
        <v>47</v>
      </c>
      <c r="H48" s="6">
        <f>D48+$H$45</f>
        <v>5.2999999999999999E-2</v>
      </c>
      <c r="I48" s="6">
        <f>SQRT($E$45^2+E48^2)</f>
        <v>1.4142135623730951E-2</v>
      </c>
      <c r="J48" s="6">
        <v>0.01</v>
      </c>
      <c r="K48" s="51">
        <f>H48/$H$46*100</f>
        <v>2.5047258979206051</v>
      </c>
      <c r="L48" s="52">
        <f>K48*SQRT(($I$46/$H$46)^2+(I48/H48)^2)</f>
        <v>0.66855250803054111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54" x14ac:dyDescent="0.25">
      <c r="A49" s="47" t="s">
        <v>14</v>
      </c>
      <c r="C49" s="13" t="s">
        <v>4</v>
      </c>
      <c r="D49" s="6">
        <v>0.98199999999999998</v>
      </c>
      <c r="E49" s="14">
        <v>0.01</v>
      </c>
      <c r="G49" s="46" t="s">
        <v>48</v>
      </c>
      <c r="H49" s="6">
        <f>D49+$H$45</f>
        <v>0.98899999999999999</v>
      </c>
      <c r="I49" s="6">
        <f>SQRT($E$45^2+E49^2)</f>
        <v>1.4142135623730951E-2</v>
      </c>
      <c r="J49" s="6">
        <v>0.01</v>
      </c>
      <c r="K49" s="51">
        <f>H49/$H$46*100</f>
        <v>46.739130434782602</v>
      </c>
      <c r="L49" s="52">
        <f>K49*SQRT(($I$46/$H$46)^2+(I49/H49)^2)</f>
        <v>0.73774116295291658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54" ht="15.75" thickBot="1" x14ac:dyDescent="0.3">
      <c r="C50" s="15" t="s">
        <v>7</v>
      </c>
      <c r="D50" s="9">
        <v>1.169</v>
      </c>
      <c r="E50" s="16">
        <v>0.01</v>
      </c>
      <c r="G50" s="15" t="s">
        <v>49</v>
      </c>
      <c r="H50" s="9">
        <f>D50+$H$45</f>
        <v>1.1759999999999999</v>
      </c>
      <c r="I50" s="9">
        <f>SQRT($E$45^2+E50^2)</f>
        <v>1.4142135623730951E-2</v>
      </c>
      <c r="J50" s="9">
        <v>0.01</v>
      </c>
      <c r="K50" s="53">
        <f>H50/$H$46*100</f>
        <v>55.576559546313796</v>
      </c>
      <c r="L50" s="54">
        <f>K50*SQRT(($I$46/$H$46)^2+(I50/H50)^2)</f>
        <v>0.76462498792763955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54" ht="15.75" thickBot="1" x14ac:dyDescent="0.3">
      <c r="N51" s="26">
        <v>340</v>
      </c>
      <c r="O51" s="28">
        <v>3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54" ht="15.75" thickBot="1" x14ac:dyDescent="0.3">
      <c r="A52" s="42" t="s">
        <v>15</v>
      </c>
      <c r="G52" t="s">
        <v>8</v>
      </c>
      <c r="T52" t="s">
        <v>80</v>
      </c>
      <c r="AB52" s="6"/>
      <c r="AC52" s="6"/>
      <c r="AD52" s="6"/>
      <c r="AE52" s="6"/>
      <c r="AF52" s="6"/>
      <c r="AG52" s="6"/>
      <c r="AH52" s="6"/>
      <c r="AI52" s="6"/>
      <c r="AJ52" s="6"/>
    </row>
    <row r="53" spans="1:54" ht="15.75" thickBot="1" x14ac:dyDescent="0.3">
      <c r="B53" s="26" t="s">
        <v>16</v>
      </c>
      <c r="C53" s="27" t="s">
        <v>27</v>
      </c>
      <c r="D53" s="27" t="s">
        <v>12</v>
      </c>
      <c r="E53" s="27" t="s">
        <v>22</v>
      </c>
      <c r="F53" s="28" t="s">
        <v>12</v>
      </c>
      <c r="G53" t="s">
        <v>74</v>
      </c>
      <c r="H53" t="s">
        <v>30</v>
      </c>
      <c r="I53" s="62" t="s">
        <v>75</v>
      </c>
      <c r="J53" s="62" t="s">
        <v>76</v>
      </c>
      <c r="K53" t="s">
        <v>73</v>
      </c>
      <c r="L53" t="s">
        <v>76</v>
      </c>
      <c r="N53" s="22"/>
      <c r="O53" s="22"/>
      <c r="P53" s="31" t="s">
        <v>22</v>
      </c>
      <c r="Q53" s="29" t="s">
        <v>29</v>
      </c>
      <c r="R53" t="s">
        <v>73</v>
      </c>
      <c r="S53" s="22" t="s">
        <v>76</v>
      </c>
      <c r="W53" t="s">
        <v>81</v>
      </c>
      <c r="AD53" s="31" t="s">
        <v>22</v>
      </c>
      <c r="AE53" s="29" t="s">
        <v>29</v>
      </c>
      <c r="AF53" s="29" t="s">
        <v>34</v>
      </c>
      <c r="AG53" s="30" t="s">
        <v>35</v>
      </c>
      <c r="AH53" s="31"/>
      <c r="AI53" s="29"/>
      <c r="AJ53" s="26" t="s">
        <v>22</v>
      </c>
      <c r="AK53" s="27" t="s">
        <v>32</v>
      </c>
      <c r="AL53" s="29" t="s">
        <v>28</v>
      </c>
      <c r="AM53" s="29" t="s">
        <v>33</v>
      </c>
      <c r="AN53" s="29" t="s">
        <v>34</v>
      </c>
      <c r="AO53" s="30" t="s">
        <v>35</v>
      </c>
      <c r="AP53" s="6"/>
      <c r="AQ53" s="42" t="s">
        <v>67</v>
      </c>
    </row>
    <row r="54" spans="1:54" ht="15.75" thickBot="1" x14ac:dyDescent="0.3">
      <c r="B54" s="13">
        <v>30</v>
      </c>
      <c r="C54" s="6">
        <f t="shared" ref="C54:C85" si="33">B54+$Q$5</f>
        <v>303</v>
      </c>
      <c r="D54" s="7">
        <v>3.5999999999999997E-2</v>
      </c>
      <c r="E54" s="6">
        <f t="shared" ref="E54:E85" si="34">$Q$5+B54</f>
        <v>303</v>
      </c>
      <c r="F54" s="8">
        <v>-3.5999999999999997E-2</v>
      </c>
      <c r="G54">
        <f>C54^4</f>
        <v>8428892481</v>
      </c>
      <c r="H54">
        <f t="shared" ref="H54:H85" si="35">$N$51^4</f>
        <v>13363360000</v>
      </c>
      <c r="I54">
        <f>H54/G54</f>
        <v>1.5854229995367763</v>
      </c>
      <c r="J54">
        <f t="shared" ref="J54:J85" si="36">I54*SQRT((((D54/C54)^2)*16)+((($O$51/$N$51)^2)*16))</f>
        <v>5.5961178492337442E-2</v>
      </c>
      <c r="K54">
        <f t="shared" ref="K54:K85" si="37">AF54/(1-I54)</f>
        <v>6.1493996697235112E-2</v>
      </c>
      <c r="L54">
        <f t="shared" ref="L54:L85" si="38">SQRT((M54*AG54^2)+(N54*J54^2))</f>
        <v>1.8064811223184089E-2</v>
      </c>
      <c r="M54">
        <f>(1/(1-I54))^2</f>
        <v>2.9178330476848489</v>
      </c>
      <c r="N54" s="61">
        <f>(D54/(1-I54)^2)^2</f>
        <v>1.103381960363376E-2</v>
      </c>
      <c r="O54" s="61"/>
      <c r="P54" s="21">
        <v>303</v>
      </c>
      <c r="Q54" s="32">
        <v>1</v>
      </c>
      <c r="R54">
        <f>K54</f>
        <v>6.1493996697235112E-2</v>
      </c>
      <c r="S54">
        <f>L54</f>
        <v>1.8064811223184089E-2</v>
      </c>
      <c r="T54">
        <f>LN(P54)</f>
        <v>5.7137328055093688</v>
      </c>
      <c r="U54">
        <f>LN(R54)</f>
        <v>-2.7888157236133915</v>
      </c>
      <c r="W54">
        <f>G54-H54</f>
        <v>-4934467519</v>
      </c>
      <c r="AD54" s="21">
        <v>303</v>
      </c>
      <c r="AE54" s="32">
        <v>1</v>
      </c>
      <c r="AF54" s="22">
        <v>-3.5999999999999997E-2</v>
      </c>
      <c r="AG54" s="35">
        <v>0.01</v>
      </c>
      <c r="AH54" s="21"/>
      <c r="AI54" s="22"/>
      <c r="AJ54" s="13">
        <v>303</v>
      </c>
      <c r="AK54" s="6">
        <f t="shared" ref="AK54:AK85" si="39">AL54*(SQRT(16*(1/AJ54)^2))</f>
        <v>111268128.11881188</v>
      </c>
      <c r="AL54" s="22">
        <f t="shared" ref="AL54:AL85" si="40">AD54^4-24^4</f>
        <v>8428560705</v>
      </c>
      <c r="AM54" s="22">
        <f t="shared" ref="AM54:AM85" si="41">SQRT(AK54^2+$U$4^2)</f>
        <v>111751639.90749207</v>
      </c>
      <c r="AN54" s="22">
        <v>-3.5999999999999997E-2</v>
      </c>
      <c r="AO54" s="23">
        <v>0.01</v>
      </c>
      <c r="AP54" s="6"/>
      <c r="AQ54" s="26" t="s">
        <v>22</v>
      </c>
      <c r="AR54" s="27" t="s">
        <v>32</v>
      </c>
      <c r="AS54" s="29" t="s">
        <v>28</v>
      </c>
      <c r="AT54" s="29" t="s">
        <v>33</v>
      </c>
      <c r="AU54" s="29" t="s">
        <v>0</v>
      </c>
      <c r="AV54" s="29" t="s">
        <v>25</v>
      </c>
      <c r="AW54" s="29" t="s">
        <v>3</v>
      </c>
      <c r="AX54" s="29" t="s">
        <v>25</v>
      </c>
      <c r="AY54" s="29" t="s">
        <v>2</v>
      </c>
      <c r="AZ54" s="29" t="s">
        <v>25</v>
      </c>
      <c r="BA54" s="29" t="s">
        <v>1</v>
      </c>
      <c r="BB54" s="30" t="s">
        <v>25</v>
      </c>
    </row>
    <row r="55" spans="1:54" x14ac:dyDescent="0.25">
      <c r="B55" s="13">
        <v>35</v>
      </c>
      <c r="C55" s="6">
        <f t="shared" si="33"/>
        <v>308</v>
      </c>
      <c r="D55" s="7">
        <v>3.3000000000000002E-2</v>
      </c>
      <c r="E55" s="6">
        <f t="shared" si="34"/>
        <v>308</v>
      </c>
      <c r="F55" s="8">
        <v>-3.3000000000000002E-2</v>
      </c>
      <c r="G55">
        <f t="shared" ref="G55:G118" si="42">C55^4</f>
        <v>8999178496</v>
      </c>
      <c r="H55">
        <f t="shared" si="35"/>
        <v>13363360000</v>
      </c>
      <c r="I55">
        <f t="shared" ref="I55:I118" si="43">H55/G55</f>
        <v>1.4849533216770634</v>
      </c>
      <c r="J55">
        <f t="shared" si="36"/>
        <v>5.2413981002392536E-2</v>
      </c>
      <c r="K55">
        <f t="shared" si="37"/>
        <v>6.8047786302152857E-2</v>
      </c>
      <c r="L55">
        <f t="shared" si="38"/>
        <v>2.1892861874126091E-2</v>
      </c>
      <c r="M55">
        <f t="shared" ref="M55:M118" si="44">(1/(1-I55))^2</f>
        <v>4.2520672365688341</v>
      </c>
      <c r="N55" s="61">
        <f t="shared" ref="N55:N118" si="45">(D55/(1-I55)^2)^2</f>
        <v>1.968920252910502E-2</v>
      </c>
      <c r="O55" s="61"/>
      <c r="P55" s="21">
        <v>308</v>
      </c>
      <c r="Q55" s="33">
        <v>1</v>
      </c>
      <c r="R55">
        <f t="shared" ref="R55:R118" si="46">K55</f>
        <v>6.8047786302152857E-2</v>
      </c>
      <c r="S55">
        <f t="shared" ref="S55:S118" si="47">L55</f>
        <v>2.1892861874126091E-2</v>
      </c>
      <c r="T55">
        <f t="shared" ref="T55:T118" si="48">LN(P55)</f>
        <v>5.730099782973574</v>
      </c>
      <c r="U55">
        <f t="shared" ref="U55:U118" si="49">LN(R55)</f>
        <v>-2.6875450808744374</v>
      </c>
      <c r="W55">
        <f t="shared" ref="W55:W118" si="50">G55-H55</f>
        <v>-4364181504</v>
      </c>
      <c r="AD55" s="21">
        <v>308</v>
      </c>
      <c r="AE55" s="33">
        <v>1</v>
      </c>
      <c r="AF55" s="22">
        <v>-3.3000000000000002E-2</v>
      </c>
      <c r="AG55" s="36">
        <v>0.01</v>
      </c>
      <c r="AH55" s="21"/>
      <c r="AI55" s="22"/>
      <c r="AJ55" s="13">
        <v>308</v>
      </c>
      <c r="AK55" s="6">
        <f t="shared" si="39"/>
        <v>116868139.22077923</v>
      </c>
      <c r="AL55" s="22">
        <f t="shared" si="40"/>
        <v>8998846720</v>
      </c>
      <c r="AM55" s="22">
        <f t="shared" si="41"/>
        <v>117328575.59809068</v>
      </c>
      <c r="AN55" s="22">
        <v>-3.3000000000000002E-2</v>
      </c>
      <c r="AO55" s="23">
        <v>0.01</v>
      </c>
      <c r="AQ55" s="13">
        <v>292</v>
      </c>
      <c r="AR55" s="6">
        <f t="shared" ref="AR55:AR87" si="51">AS55*(SQRT(16*(1/AQ55)^2))</f>
        <v>-5712229.4869054891</v>
      </c>
      <c r="AS55" s="22">
        <f t="shared" ref="AS55:AS87" si="52">AQ55^4-$R$4^4</f>
        <v>-416992752.54410076</v>
      </c>
      <c r="AT55" s="22">
        <f t="shared" ref="AT55:AT87" si="53">SQRT(AR55^2+$U$4^2)</f>
        <v>11851677.208754694</v>
      </c>
      <c r="AU55" s="38">
        <v>-0.114</v>
      </c>
      <c r="AV55" s="22">
        <v>0.01</v>
      </c>
      <c r="AW55" s="38">
        <v>-6.4000000000000001E-2</v>
      </c>
      <c r="AX55" s="22">
        <v>0.01</v>
      </c>
      <c r="AY55" s="38">
        <v>-0.114</v>
      </c>
      <c r="AZ55" s="22">
        <v>0.01</v>
      </c>
      <c r="BA55" s="38">
        <v>-1.4999999999999999E-2</v>
      </c>
      <c r="BB55" s="23">
        <v>0.01</v>
      </c>
    </row>
    <row r="56" spans="1:54" x14ac:dyDescent="0.25">
      <c r="B56" s="13">
        <v>40</v>
      </c>
      <c r="C56" s="6">
        <f t="shared" si="33"/>
        <v>313</v>
      </c>
      <c r="D56" s="7">
        <v>2.9000000000000001E-2</v>
      </c>
      <c r="E56" s="6">
        <f t="shared" si="34"/>
        <v>313</v>
      </c>
      <c r="F56" s="8">
        <v>-2.9000000000000001E-2</v>
      </c>
      <c r="G56">
        <f t="shared" si="42"/>
        <v>9597924961</v>
      </c>
      <c r="H56">
        <f t="shared" si="35"/>
        <v>13363360000</v>
      </c>
      <c r="I56">
        <f t="shared" si="43"/>
        <v>1.3923176159743265</v>
      </c>
      <c r="J56">
        <f t="shared" si="36"/>
        <v>4.9143330817124187E-2</v>
      </c>
      <c r="K56">
        <f t="shared" si="37"/>
        <v>7.3919698782778542E-2</v>
      </c>
      <c r="L56">
        <f t="shared" si="38"/>
        <v>2.7119279886182898E-2</v>
      </c>
      <c r="M56">
        <f t="shared" si="44"/>
        <v>6.4971722569996571</v>
      </c>
      <c r="N56" s="61">
        <f t="shared" si="45"/>
        <v>3.5501341010522984E-2</v>
      </c>
      <c r="O56" s="61"/>
      <c r="P56" s="21">
        <v>313</v>
      </c>
      <c r="Q56" s="33">
        <v>1</v>
      </c>
      <c r="R56">
        <f t="shared" si="46"/>
        <v>7.3919698782778542E-2</v>
      </c>
      <c r="S56">
        <f t="shared" si="47"/>
        <v>2.7119279886182898E-2</v>
      </c>
      <c r="T56">
        <f t="shared" si="48"/>
        <v>5.7462031905401529</v>
      </c>
      <c r="U56">
        <f t="shared" si="49"/>
        <v>-2.6047759265653099</v>
      </c>
      <c r="W56">
        <f t="shared" si="50"/>
        <v>-3765435039</v>
      </c>
      <c r="AD56" s="21">
        <v>313</v>
      </c>
      <c r="AE56" s="33">
        <v>1</v>
      </c>
      <c r="AF56" s="22">
        <v>-2.9000000000000001E-2</v>
      </c>
      <c r="AG56" s="36">
        <v>0.01</v>
      </c>
      <c r="AH56" s="21"/>
      <c r="AI56" s="22"/>
      <c r="AJ56" s="13">
        <v>313</v>
      </c>
      <c r="AK56" s="6">
        <f t="shared" si="39"/>
        <v>122652948.05111821</v>
      </c>
      <c r="AL56" s="22">
        <f t="shared" si="40"/>
        <v>9597593185</v>
      </c>
      <c r="AM56" s="22">
        <f t="shared" si="41"/>
        <v>123091747.703003</v>
      </c>
      <c r="AN56" s="22">
        <v>-2.9000000000000001E-2</v>
      </c>
      <c r="AO56" s="23">
        <v>0.01</v>
      </c>
      <c r="AQ56" s="13">
        <v>294</v>
      </c>
      <c r="AR56" s="6">
        <f t="shared" si="51"/>
        <v>-2935515.0006000102</v>
      </c>
      <c r="AS56" s="22">
        <f t="shared" si="52"/>
        <v>-215760352.54410076</v>
      </c>
      <c r="AT56" s="22">
        <f t="shared" si="53"/>
        <v>10791197.119327892</v>
      </c>
      <c r="AU56" s="38">
        <v>-6.0999999999999999E-2</v>
      </c>
      <c r="AV56" s="22">
        <v>0.01</v>
      </c>
      <c r="AW56" s="38">
        <v>-3.5999999999999997E-2</v>
      </c>
      <c r="AX56" s="22">
        <v>0.01</v>
      </c>
      <c r="AY56" s="38">
        <v>-6.0999999999999999E-2</v>
      </c>
      <c r="AZ56" s="22">
        <v>0.01</v>
      </c>
      <c r="BA56" s="38">
        <v>-8.0000000000000002E-3</v>
      </c>
      <c r="BB56" s="23">
        <v>0.01</v>
      </c>
    </row>
    <row r="57" spans="1:54" x14ac:dyDescent="0.25">
      <c r="B57" s="13">
        <v>45</v>
      </c>
      <c r="C57" s="6">
        <f t="shared" si="33"/>
        <v>318</v>
      </c>
      <c r="D57" s="7">
        <v>2.1999999999999999E-2</v>
      </c>
      <c r="E57" s="6">
        <f t="shared" si="34"/>
        <v>318</v>
      </c>
      <c r="F57" s="8">
        <v>-2.1999999999999999E-2</v>
      </c>
      <c r="G57">
        <f t="shared" si="42"/>
        <v>10226063376</v>
      </c>
      <c r="H57">
        <f t="shared" si="35"/>
        <v>13363360000</v>
      </c>
      <c r="I57">
        <f t="shared" si="43"/>
        <v>1.3067941698232635</v>
      </c>
      <c r="J57">
        <f t="shared" si="36"/>
        <v>4.6123564853760894E-2</v>
      </c>
      <c r="K57">
        <f t="shared" si="37"/>
        <v>7.1709315769180534E-2</v>
      </c>
      <c r="L57">
        <f t="shared" si="38"/>
        <v>3.4331752352052179E-2</v>
      </c>
      <c r="M57">
        <f t="shared" si="44"/>
        <v>10.624433818355467</v>
      </c>
      <c r="N57" s="61">
        <f t="shared" si="45"/>
        <v>5.4633239476937802E-2</v>
      </c>
      <c r="O57" s="61"/>
      <c r="P57" s="21">
        <v>318</v>
      </c>
      <c r="Q57" s="33">
        <v>1</v>
      </c>
      <c r="R57">
        <f t="shared" si="46"/>
        <v>7.1709315769180534E-2</v>
      </c>
      <c r="S57">
        <f t="shared" si="47"/>
        <v>3.4331752352052179E-2</v>
      </c>
      <c r="T57">
        <f t="shared" si="48"/>
        <v>5.7620513827801769</v>
      </c>
      <c r="U57">
        <f t="shared" si="49"/>
        <v>-2.6351346127705964</v>
      </c>
      <c r="W57">
        <f t="shared" si="50"/>
        <v>-3137296624</v>
      </c>
      <c r="AD57" s="21">
        <v>318</v>
      </c>
      <c r="AE57" s="33">
        <v>1</v>
      </c>
      <c r="AF57" s="22">
        <v>-2.1999999999999999E-2</v>
      </c>
      <c r="AG57" s="36">
        <v>0.01</v>
      </c>
      <c r="AH57" s="21"/>
      <c r="AI57" s="22"/>
      <c r="AJ57" s="13">
        <v>318</v>
      </c>
      <c r="AK57" s="6">
        <f t="shared" si="39"/>
        <v>128625554.71698114</v>
      </c>
      <c r="AL57" s="22">
        <f t="shared" si="40"/>
        <v>10225731600</v>
      </c>
      <c r="AM57" s="22">
        <f t="shared" si="41"/>
        <v>129044046.79488532</v>
      </c>
      <c r="AN57" s="22">
        <v>-2.1999999999999999E-2</v>
      </c>
      <c r="AO57" s="23">
        <v>0.01</v>
      </c>
      <c r="AQ57" s="13">
        <v>296</v>
      </c>
      <c r="AR57" s="6">
        <f t="shared" si="51"/>
        <v>-140256.65600136164</v>
      </c>
      <c r="AS57" s="22">
        <f t="shared" si="52"/>
        <v>-10378992.544100761</v>
      </c>
      <c r="AT57" s="22">
        <f t="shared" si="53"/>
        <v>10385199.029339572</v>
      </c>
      <c r="AU57" s="38">
        <v>-5.0000000000000001E-3</v>
      </c>
      <c r="AV57" s="22">
        <v>0.01</v>
      </c>
      <c r="AW57" s="38">
        <v>3.0000000000000001E-3</v>
      </c>
      <c r="AX57" s="22">
        <v>0.01</v>
      </c>
      <c r="AY57" s="38">
        <v>-2E-3</v>
      </c>
      <c r="AZ57" s="22">
        <v>0.01</v>
      </c>
      <c r="BA57" s="38">
        <v>0</v>
      </c>
      <c r="BB57" s="23">
        <v>0.01</v>
      </c>
    </row>
    <row r="58" spans="1:54" x14ac:dyDescent="0.25">
      <c r="B58" s="13">
        <v>50</v>
      </c>
      <c r="C58" s="6">
        <f t="shared" si="33"/>
        <v>323</v>
      </c>
      <c r="D58" s="7">
        <v>0.02</v>
      </c>
      <c r="E58" s="6">
        <f t="shared" si="34"/>
        <v>323</v>
      </c>
      <c r="F58" s="8">
        <v>-0.02</v>
      </c>
      <c r="G58">
        <f t="shared" si="42"/>
        <v>10884540241</v>
      </c>
      <c r="H58">
        <f t="shared" si="35"/>
        <v>13363360000</v>
      </c>
      <c r="I58">
        <f t="shared" si="43"/>
        <v>1.2277376631548254</v>
      </c>
      <c r="J58">
        <f t="shared" si="36"/>
        <v>4.3332984470087314E-2</v>
      </c>
      <c r="K58">
        <f t="shared" si="37"/>
        <v>8.7820344351224794E-2</v>
      </c>
      <c r="L58">
        <f t="shared" si="38"/>
        <v>4.6982235380291379E-2</v>
      </c>
      <c r="M58">
        <f t="shared" si="44"/>
        <v>19.281032204919246</v>
      </c>
      <c r="N58" s="61">
        <f t="shared" si="45"/>
        <v>0.14870328115485329</v>
      </c>
      <c r="O58" s="61"/>
      <c r="P58" s="21">
        <v>323</v>
      </c>
      <c r="Q58" s="33">
        <v>1</v>
      </c>
      <c r="R58">
        <f t="shared" si="46"/>
        <v>8.7820344351224794E-2</v>
      </c>
      <c r="S58">
        <f t="shared" si="47"/>
        <v>4.6982235380291379E-2</v>
      </c>
      <c r="T58">
        <f t="shared" si="48"/>
        <v>5.7776523232226564</v>
      </c>
      <c r="U58">
        <f t="shared" si="49"/>
        <v>-2.4324620927537164</v>
      </c>
      <c r="W58">
        <f t="shared" si="50"/>
        <v>-2478819759</v>
      </c>
      <c r="AD58" s="21">
        <v>323</v>
      </c>
      <c r="AE58" s="33">
        <v>1</v>
      </c>
      <c r="AF58" s="22">
        <v>-0.02</v>
      </c>
      <c r="AG58" s="36">
        <v>0.01</v>
      </c>
      <c r="AH58" s="21"/>
      <c r="AI58" s="22"/>
      <c r="AJ58" s="13">
        <v>323</v>
      </c>
      <c r="AK58" s="6">
        <f t="shared" si="39"/>
        <v>134788959.31888545</v>
      </c>
      <c r="AL58" s="22">
        <f t="shared" si="40"/>
        <v>10884208465</v>
      </c>
      <c r="AM58" s="22">
        <f t="shared" si="41"/>
        <v>135188373.17320451</v>
      </c>
      <c r="AN58" s="22">
        <v>-0.02</v>
      </c>
      <c r="AO58" s="23">
        <v>0.01</v>
      </c>
      <c r="AQ58" s="13">
        <v>298</v>
      </c>
      <c r="AR58" s="6">
        <f t="shared" si="51"/>
        <v>2673932.4490724728</v>
      </c>
      <c r="AS58" s="22">
        <f t="shared" si="52"/>
        <v>199207967.45589924</v>
      </c>
      <c r="AT58" s="22">
        <f t="shared" si="53"/>
        <v>10722994.063769953</v>
      </c>
      <c r="AU58" s="38">
        <v>5.1999999999999998E-2</v>
      </c>
      <c r="AV58" s="22">
        <v>0.01</v>
      </c>
      <c r="AW58" s="38">
        <v>0.04</v>
      </c>
      <c r="AX58" s="22">
        <v>0.01</v>
      </c>
      <c r="AY58" s="38">
        <v>5.5E-2</v>
      </c>
      <c r="AZ58" s="22">
        <v>0.01</v>
      </c>
      <c r="BA58" s="38">
        <v>0.01</v>
      </c>
      <c r="BB58" s="23">
        <v>0.01</v>
      </c>
    </row>
    <row r="59" spans="1:54" x14ac:dyDescent="0.25">
      <c r="B59" s="13">
        <v>55</v>
      </c>
      <c r="C59" s="6">
        <f t="shared" si="33"/>
        <v>328</v>
      </c>
      <c r="D59" s="7">
        <v>1.4999999999999999E-2</v>
      </c>
      <c r="E59" s="6">
        <f t="shared" si="34"/>
        <v>328</v>
      </c>
      <c r="F59" s="8">
        <v>-1.4999999999999999E-2</v>
      </c>
      <c r="G59">
        <f t="shared" si="42"/>
        <v>11574317056</v>
      </c>
      <c r="H59">
        <f t="shared" si="35"/>
        <v>13363360000</v>
      </c>
      <c r="I59">
        <f t="shared" si="43"/>
        <v>1.15457006537354</v>
      </c>
      <c r="J59">
        <f t="shared" si="36"/>
        <v>4.0750079037235175E-2</v>
      </c>
      <c r="K59">
        <f t="shared" si="37"/>
        <v>9.7043369709072833E-2</v>
      </c>
      <c r="L59">
        <f t="shared" si="38"/>
        <v>6.9570543838411797E-2</v>
      </c>
      <c r="M59">
        <f t="shared" si="44"/>
        <v>41.855180464407972</v>
      </c>
      <c r="N59" s="61">
        <f t="shared" si="45"/>
        <v>0.39416762963433571</v>
      </c>
      <c r="O59" s="61"/>
      <c r="P59" s="21">
        <v>328</v>
      </c>
      <c r="Q59" s="33">
        <v>1</v>
      </c>
      <c r="R59">
        <f t="shared" si="46"/>
        <v>9.7043369709072833E-2</v>
      </c>
      <c r="S59">
        <f t="shared" si="47"/>
        <v>6.9570543838411797E-2</v>
      </c>
      <c r="T59">
        <f t="shared" si="48"/>
        <v>5.7930136083841441</v>
      </c>
      <c r="U59">
        <f t="shared" si="49"/>
        <v>-2.332597290000014</v>
      </c>
      <c r="W59">
        <f t="shared" si="50"/>
        <v>-1789042944</v>
      </c>
      <c r="AD59" s="21">
        <v>328</v>
      </c>
      <c r="AE59" s="33">
        <v>1</v>
      </c>
      <c r="AF59" s="22">
        <v>-1.4999999999999999E-2</v>
      </c>
      <c r="AG59" s="36">
        <v>0.01</v>
      </c>
      <c r="AH59" s="21"/>
      <c r="AI59" s="22"/>
      <c r="AJ59" s="13">
        <v>328</v>
      </c>
      <c r="AK59" s="6">
        <f t="shared" si="39"/>
        <v>141146161.95121953</v>
      </c>
      <c r="AL59" s="22">
        <f t="shared" si="40"/>
        <v>11573985280</v>
      </c>
      <c r="AM59" s="22">
        <f t="shared" si="41"/>
        <v>141527635.88963583</v>
      </c>
      <c r="AN59" s="22">
        <v>-1.4999999999999999E-2</v>
      </c>
      <c r="AO59" s="23">
        <v>0.01</v>
      </c>
      <c r="AQ59" s="13">
        <v>300</v>
      </c>
      <c r="AR59" s="6">
        <f t="shared" si="51"/>
        <v>5507434.0194119904</v>
      </c>
      <c r="AS59" s="22">
        <f t="shared" si="52"/>
        <v>413057551.45589924</v>
      </c>
      <c r="AT59" s="22">
        <f t="shared" si="53"/>
        <v>11754340.322945369</v>
      </c>
      <c r="AU59" s="38">
        <v>0.112</v>
      </c>
      <c r="AV59" s="22">
        <v>0.01</v>
      </c>
      <c r="AW59" s="38">
        <v>7.6999999999999999E-2</v>
      </c>
      <c r="AX59" s="22">
        <v>0.01</v>
      </c>
      <c r="AY59" s="38">
        <v>0.11600000000000001</v>
      </c>
      <c r="AZ59" s="22">
        <v>0.01</v>
      </c>
      <c r="BA59" s="38">
        <v>2.1999999999999999E-2</v>
      </c>
      <c r="BB59" s="23">
        <v>0.01</v>
      </c>
    </row>
    <row r="60" spans="1:54" x14ac:dyDescent="0.25">
      <c r="B60" s="13">
        <v>60</v>
      </c>
      <c r="C60" s="6">
        <f t="shared" si="33"/>
        <v>333</v>
      </c>
      <c r="D60" s="7">
        <v>0.01</v>
      </c>
      <c r="E60" s="6">
        <f t="shared" si="34"/>
        <v>333</v>
      </c>
      <c r="F60" s="8">
        <v>-0.01</v>
      </c>
      <c r="G60">
        <f t="shared" si="42"/>
        <v>12296370321</v>
      </c>
      <c r="H60">
        <f t="shared" si="35"/>
        <v>13363360000</v>
      </c>
      <c r="I60">
        <f t="shared" si="43"/>
        <v>1.086772734648189</v>
      </c>
      <c r="J60">
        <f t="shared" si="36"/>
        <v>3.8356906897352869E-2</v>
      </c>
      <c r="K60">
        <f t="shared" si="37"/>
        <v>0.11524357323235178</v>
      </c>
      <c r="L60">
        <f t="shared" si="38"/>
        <v>0.12600071706217483</v>
      </c>
      <c r="M60">
        <f t="shared" si="44"/>
        <v>132.81081171360427</v>
      </c>
      <c r="N60" s="61">
        <f t="shared" si="45"/>
        <v>1.7638711708026444</v>
      </c>
      <c r="O60" s="61"/>
      <c r="P60" s="21">
        <v>333</v>
      </c>
      <c r="Q60" s="33">
        <v>1</v>
      </c>
      <c r="R60">
        <f t="shared" si="46"/>
        <v>0.11524357323235178</v>
      </c>
      <c r="S60">
        <f t="shared" si="47"/>
        <v>0.12600071706217483</v>
      </c>
      <c r="T60">
        <f t="shared" si="48"/>
        <v>5.8081424899804439</v>
      </c>
      <c r="U60">
        <f t="shared" si="49"/>
        <v>-2.1607073623708462</v>
      </c>
      <c r="W60">
        <f t="shared" si="50"/>
        <v>-1066989679</v>
      </c>
      <c r="AD60" s="21">
        <v>333</v>
      </c>
      <c r="AE60" s="33">
        <v>1</v>
      </c>
      <c r="AF60" s="22">
        <v>-0.01</v>
      </c>
      <c r="AG60" s="36">
        <v>0.01</v>
      </c>
      <c r="AH60" s="21"/>
      <c r="AI60" s="22"/>
      <c r="AJ60" s="13">
        <v>333</v>
      </c>
      <c r="AK60" s="6">
        <f t="shared" si="39"/>
        <v>147700162.7027027</v>
      </c>
      <c r="AL60" s="22">
        <f t="shared" si="40"/>
        <v>12296038545</v>
      </c>
      <c r="AM60" s="22">
        <f t="shared" si="41"/>
        <v>148064751.88023075</v>
      </c>
      <c r="AN60" s="22">
        <v>-0.01</v>
      </c>
      <c r="AO60" s="23">
        <v>0.01</v>
      </c>
      <c r="AQ60" s="13">
        <v>302</v>
      </c>
      <c r="AR60" s="6">
        <f t="shared" si="51"/>
        <v>8360624.7345152218</v>
      </c>
      <c r="AS60" s="22">
        <f t="shared" si="52"/>
        <v>631227167.45589924</v>
      </c>
      <c r="AT60" s="22">
        <f t="shared" si="53"/>
        <v>13331644.043434052</v>
      </c>
      <c r="AU60" s="38">
        <v>0.17199999999999999</v>
      </c>
      <c r="AV60" s="22">
        <v>0.01</v>
      </c>
      <c r="AW60" s="38">
        <v>0.115</v>
      </c>
      <c r="AX60" s="22">
        <v>0.01</v>
      </c>
      <c r="AY60" s="38">
        <v>0.17599999999999999</v>
      </c>
      <c r="AZ60" s="22">
        <v>0.01</v>
      </c>
      <c r="BA60" s="38">
        <v>0.03</v>
      </c>
      <c r="BB60" s="23">
        <v>0.01</v>
      </c>
    </row>
    <row r="61" spans="1:54" x14ac:dyDescent="0.25">
      <c r="B61" s="13">
        <v>65</v>
      </c>
      <c r="C61" s="6">
        <f t="shared" si="33"/>
        <v>338</v>
      </c>
      <c r="D61" s="7">
        <v>3.0000000000000001E-3</v>
      </c>
      <c r="E61" s="6">
        <f t="shared" si="34"/>
        <v>338</v>
      </c>
      <c r="F61" s="8">
        <v>-3.0000000000000001E-3</v>
      </c>
      <c r="G61">
        <f t="shared" si="42"/>
        <v>13051691536</v>
      </c>
      <c r="H61">
        <f t="shared" si="35"/>
        <v>13363360000</v>
      </c>
      <c r="I61">
        <f t="shared" si="43"/>
        <v>1.0238795456619807</v>
      </c>
      <c r="J61">
        <f t="shared" si="36"/>
        <v>3.6136943423929611E-2</v>
      </c>
      <c r="K61">
        <f t="shared" si="37"/>
        <v>0.1256305309349493</v>
      </c>
      <c r="L61">
        <f t="shared" si="38"/>
        <v>0.45990369674110043</v>
      </c>
      <c r="M61">
        <f t="shared" si="44"/>
        <v>1753.6700336663612</v>
      </c>
      <c r="N61" s="61">
        <f t="shared" si="45"/>
        <v>27.678227282814397</v>
      </c>
      <c r="O61" s="61"/>
      <c r="P61" s="21">
        <v>338</v>
      </c>
      <c r="Q61" s="33">
        <v>1</v>
      </c>
      <c r="R61">
        <f t="shared" si="46"/>
        <v>0.1256305309349493</v>
      </c>
      <c r="S61">
        <f t="shared" si="47"/>
        <v>0.45990369674110043</v>
      </c>
      <c r="T61">
        <f t="shared" si="48"/>
        <v>5.8230458954830189</v>
      </c>
      <c r="U61">
        <f t="shared" si="49"/>
        <v>-2.0744099737950918</v>
      </c>
      <c r="W61">
        <f t="shared" si="50"/>
        <v>-311668464</v>
      </c>
      <c r="AD61" s="21">
        <v>338</v>
      </c>
      <c r="AE61" s="33">
        <v>1</v>
      </c>
      <c r="AF61" s="22">
        <v>-3.0000000000000001E-3</v>
      </c>
      <c r="AG61" s="36">
        <v>0.01</v>
      </c>
      <c r="AH61" s="21"/>
      <c r="AI61" s="22"/>
      <c r="AJ61" s="13">
        <v>338</v>
      </c>
      <c r="AK61" s="6">
        <f t="shared" si="39"/>
        <v>154453961.65680474</v>
      </c>
      <c r="AL61" s="22">
        <f t="shared" si="40"/>
        <v>13051359760</v>
      </c>
      <c r="AM61" s="22">
        <f t="shared" si="41"/>
        <v>154802645.19197065</v>
      </c>
      <c r="AN61" s="22">
        <v>-3.0000000000000001E-3</v>
      </c>
      <c r="AO61" s="23">
        <v>0.01</v>
      </c>
      <c r="AQ61" s="13">
        <v>304</v>
      </c>
      <c r="AR61" s="6">
        <f t="shared" si="51"/>
        <v>11233876.413893411</v>
      </c>
      <c r="AS61" s="22">
        <f t="shared" si="52"/>
        <v>853774607.45589924</v>
      </c>
      <c r="AT61" s="22">
        <f t="shared" si="53"/>
        <v>15298126.2327147</v>
      </c>
      <c r="AU61" s="38">
        <v>0.23200000000000001</v>
      </c>
      <c r="AV61" s="22">
        <v>0.01</v>
      </c>
      <c r="AW61" s="38">
        <v>0.155</v>
      </c>
      <c r="AX61" s="22">
        <v>0.01</v>
      </c>
      <c r="AY61" s="38">
        <v>0.23699999999999999</v>
      </c>
      <c r="AZ61" s="22">
        <v>0.01</v>
      </c>
      <c r="BA61" s="38">
        <v>3.7999999999999999E-2</v>
      </c>
      <c r="BB61" s="23">
        <v>0.01</v>
      </c>
    </row>
    <row r="62" spans="1:54" x14ac:dyDescent="0.25">
      <c r="B62" s="13">
        <v>70</v>
      </c>
      <c r="C62" s="6">
        <f t="shared" si="33"/>
        <v>343</v>
      </c>
      <c r="D62" s="7">
        <v>-2E-3</v>
      </c>
      <c r="E62" s="6">
        <f t="shared" si="34"/>
        <v>343</v>
      </c>
      <c r="F62" s="14">
        <f t="shared" ref="F62:F93" si="54">ABS(D62)</f>
        <v>2E-3</v>
      </c>
      <c r="G62">
        <f t="shared" si="42"/>
        <v>13841287201</v>
      </c>
      <c r="H62">
        <f t="shared" si="35"/>
        <v>13363360000</v>
      </c>
      <c r="I62">
        <f t="shared" si="43"/>
        <v>0.96547089919747708</v>
      </c>
      <c r="J62">
        <f t="shared" si="36"/>
        <v>3.4075450941526239E-2</v>
      </c>
      <c r="K62">
        <f t="shared" si="37"/>
        <v>5.7922157065088332E-2</v>
      </c>
      <c r="L62">
        <f t="shared" si="38"/>
        <v>0.29519790944134777</v>
      </c>
      <c r="M62">
        <f t="shared" si="44"/>
        <v>838.74406976819068</v>
      </c>
      <c r="N62" s="61">
        <f t="shared" si="45"/>
        <v>2.8139664582852304</v>
      </c>
      <c r="O62" s="61"/>
      <c r="P62" s="21">
        <v>343</v>
      </c>
      <c r="Q62" s="33">
        <v>1</v>
      </c>
      <c r="R62">
        <f t="shared" si="46"/>
        <v>5.7922157065088332E-2</v>
      </c>
      <c r="S62">
        <f t="shared" si="47"/>
        <v>0.29519790944134777</v>
      </c>
      <c r="T62">
        <f t="shared" si="48"/>
        <v>5.8377304471659395</v>
      </c>
      <c r="U62">
        <f t="shared" si="49"/>
        <v>-2.8486552894522856</v>
      </c>
      <c r="W62">
        <f t="shared" si="50"/>
        <v>477927201</v>
      </c>
      <c r="AD62" s="21">
        <v>343</v>
      </c>
      <c r="AE62" s="33">
        <v>1</v>
      </c>
      <c r="AF62" s="22">
        <v>2E-3</v>
      </c>
      <c r="AG62" s="36">
        <v>0.01</v>
      </c>
      <c r="AH62" s="21"/>
      <c r="AI62" s="22"/>
      <c r="AJ62" s="13">
        <v>343</v>
      </c>
      <c r="AK62" s="6">
        <f t="shared" si="39"/>
        <v>161410558.89212829</v>
      </c>
      <c r="AL62" s="22">
        <f t="shared" si="40"/>
        <v>13840955425</v>
      </c>
      <c r="AM62" s="22">
        <f t="shared" si="41"/>
        <v>161744246.29277748</v>
      </c>
      <c r="AN62" s="22">
        <v>2E-3</v>
      </c>
      <c r="AO62" s="23">
        <v>0.01</v>
      </c>
      <c r="AQ62" s="13">
        <v>306</v>
      </c>
      <c r="AR62" s="6">
        <f t="shared" si="51"/>
        <v>14127556.175894108</v>
      </c>
      <c r="AS62" s="22">
        <f t="shared" si="52"/>
        <v>1080758047.4558992</v>
      </c>
      <c r="AT62" s="22">
        <f t="shared" si="53"/>
        <v>17533411.831485812</v>
      </c>
      <c r="AU62" s="38">
        <v>0.29599999999999999</v>
      </c>
      <c r="AV62" s="22">
        <v>0.01</v>
      </c>
      <c r="AW62" s="38">
        <v>0.19500000000000001</v>
      </c>
      <c r="AX62" s="22">
        <v>0.01</v>
      </c>
      <c r="AY62" s="38">
        <v>0.30199999999999999</v>
      </c>
      <c r="AZ62" s="22">
        <v>0.01</v>
      </c>
      <c r="BA62" s="38">
        <v>0.05</v>
      </c>
      <c r="BB62" s="23">
        <v>0.01</v>
      </c>
    </row>
    <row r="63" spans="1:54" x14ac:dyDescent="0.25">
      <c r="B63" s="13">
        <v>75</v>
      </c>
      <c r="C63" s="6">
        <f t="shared" si="33"/>
        <v>348</v>
      </c>
      <c r="D63" s="7">
        <v>-8.9999999999999993E-3</v>
      </c>
      <c r="E63" s="6">
        <f t="shared" si="34"/>
        <v>348</v>
      </c>
      <c r="F63" s="14">
        <f t="shared" si="54"/>
        <v>8.9999999999999993E-3</v>
      </c>
      <c r="G63">
        <f t="shared" si="42"/>
        <v>14666178816</v>
      </c>
      <c r="H63">
        <f t="shared" si="35"/>
        <v>13363360000</v>
      </c>
      <c r="I63">
        <f t="shared" si="43"/>
        <v>0.91116848960148389</v>
      </c>
      <c r="J63">
        <f t="shared" si="36"/>
        <v>3.215902600590112E-2</v>
      </c>
      <c r="K63">
        <f t="shared" si="37"/>
        <v>0.10131539990285182</v>
      </c>
      <c r="L63">
        <f t="shared" si="38"/>
        <v>0.11839728032503621</v>
      </c>
      <c r="M63">
        <f t="shared" si="44"/>
        <v>126.72605256141712</v>
      </c>
      <c r="N63" s="61">
        <f t="shared" si="45"/>
        <v>1.3008188842217232</v>
      </c>
      <c r="O63" s="61"/>
      <c r="P63" s="21">
        <v>348</v>
      </c>
      <c r="Q63" s="33">
        <v>1</v>
      </c>
      <c r="R63">
        <f t="shared" si="46"/>
        <v>0.10131539990285182</v>
      </c>
      <c r="S63">
        <f t="shared" si="47"/>
        <v>0.11839728032503621</v>
      </c>
      <c r="T63">
        <f t="shared" si="48"/>
        <v>5.8522024797744745</v>
      </c>
      <c r="U63">
        <f t="shared" si="49"/>
        <v>-2.2895168565487949</v>
      </c>
      <c r="W63">
        <f t="shared" si="50"/>
        <v>1302818816</v>
      </c>
      <c r="AD63" s="21">
        <v>348</v>
      </c>
      <c r="AE63" s="33">
        <v>1</v>
      </c>
      <c r="AF63" s="22">
        <v>8.9999999999999993E-3</v>
      </c>
      <c r="AG63" s="36">
        <v>0.01</v>
      </c>
      <c r="AH63" s="21"/>
      <c r="AI63" s="22"/>
      <c r="AJ63" s="13">
        <v>348</v>
      </c>
      <c r="AK63" s="6">
        <f t="shared" si="39"/>
        <v>168572954.48275861</v>
      </c>
      <c r="AL63" s="22">
        <f t="shared" si="40"/>
        <v>14665847040</v>
      </c>
      <c r="AM63" s="22">
        <f t="shared" si="41"/>
        <v>168892491.45535052</v>
      </c>
      <c r="AN63" s="22">
        <v>8.9999999999999993E-3</v>
      </c>
      <c r="AO63" s="23">
        <v>0.01</v>
      </c>
      <c r="AQ63" s="13">
        <v>308</v>
      </c>
      <c r="AR63" s="6">
        <f t="shared" si="51"/>
        <v>17042026.590336356</v>
      </c>
      <c r="AS63" s="22">
        <f t="shared" si="52"/>
        <v>1312236047.4558992</v>
      </c>
      <c r="AT63" s="22">
        <f t="shared" si="53"/>
        <v>19956536.704928897</v>
      </c>
      <c r="AU63" s="38">
        <v>0.35899999999999999</v>
      </c>
      <c r="AV63" s="22">
        <v>0.01</v>
      </c>
      <c r="AW63" s="38">
        <v>0.23599999999999999</v>
      </c>
      <c r="AX63" s="22">
        <v>0.01</v>
      </c>
      <c r="AY63" s="38">
        <v>0.36499999999999999</v>
      </c>
      <c r="AZ63" s="22">
        <v>0.01</v>
      </c>
      <c r="BA63" s="38">
        <v>6.3E-2</v>
      </c>
      <c r="BB63" s="23">
        <v>0.01</v>
      </c>
    </row>
    <row r="64" spans="1:54" x14ac:dyDescent="0.25">
      <c r="B64" s="13">
        <v>80</v>
      </c>
      <c r="C64" s="6">
        <f t="shared" si="33"/>
        <v>353</v>
      </c>
      <c r="D64" s="7">
        <v>-1.6E-2</v>
      </c>
      <c r="E64" s="6">
        <f t="shared" si="34"/>
        <v>353</v>
      </c>
      <c r="F64" s="14">
        <f t="shared" si="54"/>
        <v>1.6E-2</v>
      </c>
      <c r="G64">
        <f t="shared" si="42"/>
        <v>15527402881</v>
      </c>
      <c r="H64">
        <f t="shared" si="35"/>
        <v>13363360000</v>
      </c>
      <c r="I64">
        <f t="shared" si="43"/>
        <v>0.86063072507457017</v>
      </c>
      <c r="J64">
        <f t="shared" si="36"/>
        <v>3.0375602828677375E-2</v>
      </c>
      <c r="K64">
        <f t="shared" si="37"/>
        <v>0.11480292201104493</v>
      </c>
      <c r="L64">
        <f t="shared" si="38"/>
        <v>7.5989425096238392E-2</v>
      </c>
      <c r="M64">
        <f t="shared" si="44"/>
        <v>51.483245712008063</v>
      </c>
      <c r="N64" s="61">
        <f t="shared" si="45"/>
        <v>0.67853429479500704</v>
      </c>
      <c r="O64" s="61"/>
      <c r="P64" s="21">
        <v>353</v>
      </c>
      <c r="Q64" s="33">
        <v>1</v>
      </c>
      <c r="R64">
        <f t="shared" si="46"/>
        <v>0.11480292201104493</v>
      </c>
      <c r="S64">
        <f t="shared" si="47"/>
        <v>7.5989425096238392E-2</v>
      </c>
      <c r="T64">
        <f t="shared" si="48"/>
        <v>5.8664680569332965</v>
      </c>
      <c r="U64">
        <f t="shared" si="49"/>
        <v>-2.1645383423627118</v>
      </c>
      <c r="W64">
        <f t="shared" si="50"/>
        <v>2164042881</v>
      </c>
      <c r="AD64" s="21">
        <v>353</v>
      </c>
      <c r="AE64" s="33">
        <v>1</v>
      </c>
      <c r="AF64" s="22">
        <v>1.6E-2</v>
      </c>
      <c r="AG64" s="36">
        <v>0.01</v>
      </c>
      <c r="AH64" s="21"/>
      <c r="AI64" s="22"/>
      <c r="AJ64" s="13">
        <v>353</v>
      </c>
      <c r="AK64" s="6">
        <f t="shared" si="39"/>
        <v>175944148.49858359</v>
      </c>
      <c r="AL64" s="22">
        <f t="shared" si="40"/>
        <v>15527071105</v>
      </c>
      <c r="AM64" s="22">
        <f t="shared" si="41"/>
        <v>176250322.20634684</v>
      </c>
      <c r="AN64" s="22">
        <v>1.6E-2</v>
      </c>
      <c r="AO64" s="23">
        <v>0.01</v>
      </c>
      <c r="AQ64" s="13">
        <v>310</v>
      </c>
      <c r="AR64" s="6">
        <f t="shared" si="51"/>
        <v>19977645.825237408</v>
      </c>
      <c r="AS64" s="22">
        <f t="shared" si="52"/>
        <v>1548267551.4558992</v>
      </c>
      <c r="AT64" s="22">
        <f t="shared" si="53"/>
        <v>22515306.341865938</v>
      </c>
      <c r="AU64" s="38">
        <v>0.42599999999999999</v>
      </c>
      <c r="AV64" s="22">
        <v>0.01</v>
      </c>
      <c r="AW64" s="38">
        <v>0.27500000000000002</v>
      </c>
      <c r="AX64" s="22">
        <v>0.01</v>
      </c>
      <c r="AY64" s="38">
        <v>0.42699999999999999</v>
      </c>
      <c r="AZ64" s="22">
        <v>0.01</v>
      </c>
      <c r="BA64" s="38">
        <v>7.1999999999999995E-2</v>
      </c>
      <c r="BB64" s="23">
        <v>0.01</v>
      </c>
    </row>
    <row r="65" spans="2:54" x14ac:dyDescent="0.25">
      <c r="B65" s="13">
        <v>85</v>
      </c>
      <c r="C65" s="6">
        <f t="shared" si="33"/>
        <v>358</v>
      </c>
      <c r="D65" s="7">
        <v>-2.3E-2</v>
      </c>
      <c r="E65" s="6">
        <f t="shared" si="34"/>
        <v>358</v>
      </c>
      <c r="F65" s="14">
        <f t="shared" si="54"/>
        <v>2.3E-2</v>
      </c>
      <c r="G65">
        <f t="shared" si="42"/>
        <v>16426010896</v>
      </c>
      <c r="H65">
        <f t="shared" si="35"/>
        <v>13363360000</v>
      </c>
      <c r="I65">
        <f t="shared" si="43"/>
        <v>0.8135487115288712</v>
      </c>
      <c r="J65">
        <f t="shared" si="36"/>
        <v>2.8714245059727507E-2</v>
      </c>
      <c r="K65">
        <f t="shared" si="37"/>
        <v>0.12335661602875678</v>
      </c>
      <c r="L65">
        <f t="shared" si="38"/>
        <v>5.6898451451484755E-2</v>
      </c>
      <c r="M65">
        <f t="shared" si="44"/>
        <v>28.765320828102336</v>
      </c>
      <c r="N65" s="61">
        <f t="shared" si="45"/>
        <v>0.43771770795979487</v>
      </c>
      <c r="O65" s="61"/>
      <c r="P65" s="21">
        <v>358</v>
      </c>
      <c r="Q65" s="33">
        <v>1</v>
      </c>
      <c r="R65">
        <f t="shared" si="46"/>
        <v>0.12335661602875678</v>
      </c>
      <c r="S65">
        <f t="shared" si="47"/>
        <v>5.6898451451484755E-2</v>
      </c>
      <c r="T65">
        <f t="shared" si="48"/>
        <v>5.8805329864007003</v>
      </c>
      <c r="U65">
        <f t="shared" si="49"/>
        <v>-2.0926758012168749</v>
      </c>
      <c r="W65">
        <f t="shared" si="50"/>
        <v>3062650896</v>
      </c>
      <c r="AD65" s="21">
        <v>358</v>
      </c>
      <c r="AE65" s="33">
        <v>1</v>
      </c>
      <c r="AF65" s="22">
        <v>2.3E-2</v>
      </c>
      <c r="AG65" s="36">
        <v>0.01</v>
      </c>
      <c r="AH65" s="21"/>
      <c r="AI65" s="22"/>
      <c r="AJ65" s="13">
        <v>358</v>
      </c>
      <c r="AK65" s="6">
        <f t="shared" si="39"/>
        <v>183527141.00558659</v>
      </c>
      <c r="AL65" s="22">
        <f t="shared" si="40"/>
        <v>16425679120</v>
      </c>
      <c r="AM65" s="22">
        <f t="shared" si="41"/>
        <v>183820684.83343735</v>
      </c>
      <c r="AN65" s="22">
        <v>2.3E-2</v>
      </c>
      <c r="AO65" s="23">
        <v>0.01</v>
      </c>
      <c r="AQ65" s="13">
        <v>312</v>
      </c>
      <c r="AR65" s="6">
        <f t="shared" si="51"/>
        <v>22934767.787896145</v>
      </c>
      <c r="AS65" s="22">
        <f t="shared" si="52"/>
        <v>1788911887.4558992</v>
      </c>
      <c r="AT65" s="22">
        <f t="shared" si="53"/>
        <v>25176104.949617632</v>
      </c>
      <c r="AU65" s="38">
        <v>0.49299999999999999</v>
      </c>
      <c r="AV65" s="22">
        <v>0.01</v>
      </c>
      <c r="AW65" s="38">
        <v>0.315</v>
      </c>
      <c r="AX65" s="22">
        <v>0.01</v>
      </c>
      <c r="AY65" s="38">
        <v>0.49399999999999999</v>
      </c>
      <c r="AZ65" s="22">
        <v>0.01</v>
      </c>
      <c r="BA65" s="38">
        <v>8.3000000000000004E-2</v>
      </c>
      <c r="BB65" s="23">
        <v>0.01</v>
      </c>
    </row>
    <row r="66" spans="2:54" x14ac:dyDescent="0.25">
      <c r="B66" s="13">
        <v>90</v>
      </c>
      <c r="C66" s="6">
        <f t="shared" si="33"/>
        <v>363</v>
      </c>
      <c r="D66" s="7">
        <v>-0.03</v>
      </c>
      <c r="E66" s="6">
        <f t="shared" si="34"/>
        <v>363</v>
      </c>
      <c r="F66" s="14">
        <f t="shared" si="54"/>
        <v>0.03</v>
      </c>
      <c r="G66">
        <f t="shared" si="42"/>
        <v>17363069361</v>
      </c>
      <c r="H66">
        <f t="shared" si="35"/>
        <v>13363360000</v>
      </c>
      <c r="I66">
        <f t="shared" si="43"/>
        <v>0.7696427239999436</v>
      </c>
      <c r="J66">
        <f t="shared" si="36"/>
        <v>2.7165052353953879E-2</v>
      </c>
      <c r="K66">
        <f t="shared" si="37"/>
        <v>0.130232482867147</v>
      </c>
      <c r="L66">
        <f t="shared" si="38"/>
        <v>4.6047375689696475E-2</v>
      </c>
      <c r="M66">
        <f t="shared" si="44"/>
        <v>18.844999548601933</v>
      </c>
      <c r="N66" s="61">
        <f t="shared" si="45"/>
        <v>0.31962060718812635</v>
      </c>
      <c r="O66" s="61"/>
      <c r="P66" s="21">
        <v>363</v>
      </c>
      <c r="Q66" s="33">
        <v>1</v>
      </c>
      <c r="R66">
        <f t="shared" si="46"/>
        <v>0.130232482867147</v>
      </c>
      <c r="S66">
        <f t="shared" si="47"/>
        <v>4.6047375689696475E-2</v>
      </c>
      <c r="T66">
        <f t="shared" si="48"/>
        <v>5.8944028342648505</v>
      </c>
      <c r="U66">
        <f t="shared" si="49"/>
        <v>-2.0384340959370331</v>
      </c>
      <c r="W66">
        <f t="shared" si="50"/>
        <v>3999709361</v>
      </c>
      <c r="AD66" s="21">
        <v>363</v>
      </c>
      <c r="AE66" s="33">
        <v>1</v>
      </c>
      <c r="AF66" s="22">
        <v>0.03</v>
      </c>
      <c r="AG66" s="36">
        <v>0.01</v>
      </c>
      <c r="AH66" s="21"/>
      <c r="AI66" s="22"/>
      <c r="AJ66" s="13">
        <v>363</v>
      </c>
      <c r="AK66" s="6">
        <f t="shared" si="39"/>
        <v>191324932.06611571</v>
      </c>
      <c r="AL66" s="22">
        <f t="shared" si="40"/>
        <v>17362737585</v>
      </c>
      <c r="AM66" s="22">
        <f t="shared" si="41"/>
        <v>191606529.94366667</v>
      </c>
      <c r="AN66" s="22">
        <v>0.03</v>
      </c>
      <c r="AO66" s="23">
        <v>0.01</v>
      </c>
      <c r="AQ66" s="13">
        <v>314</v>
      </c>
      <c r="AR66" s="6">
        <f t="shared" si="51"/>
        <v>25913742.260584705</v>
      </c>
      <c r="AS66" s="22">
        <f t="shared" si="52"/>
        <v>2034228767.4558992</v>
      </c>
      <c r="AT66" s="22">
        <f t="shared" si="53"/>
        <v>27916925.419849809</v>
      </c>
      <c r="AU66" s="38">
        <v>0.55900000000000005</v>
      </c>
      <c r="AV66" s="22">
        <v>0.01</v>
      </c>
      <c r="AW66" s="38">
        <v>0.35899999999999999</v>
      </c>
      <c r="AX66" s="22">
        <v>0.01</v>
      </c>
      <c r="AY66" s="38">
        <v>0.56000000000000005</v>
      </c>
      <c r="AZ66" s="22">
        <v>0.01</v>
      </c>
      <c r="BA66" s="38">
        <v>9.5000000000000001E-2</v>
      </c>
      <c r="BB66" s="23">
        <v>0.01</v>
      </c>
    </row>
    <row r="67" spans="2:54" x14ac:dyDescent="0.25">
      <c r="B67" s="13">
        <v>95</v>
      </c>
      <c r="C67" s="6">
        <f t="shared" si="33"/>
        <v>368</v>
      </c>
      <c r="D67" s="7">
        <v>-3.7999999999999999E-2</v>
      </c>
      <c r="E67" s="6">
        <f t="shared" si="34"/>
        <v>368</v>
      </c>
      <c r="F67" s="14">
        <f t="shared" si="54"/>
        <v>3.7999999999999999E-2</v>
      </c>
      <c r="G67">
        <f t="shared" si="42"/>
        <v>18339659776</v>
      </c>
      <c r="H67">
        <f t="shared" si="35"/>
        <v>13363360000</v>
      </c>
      <c r="I67">
        <f t="shared" si="43"/>
        <v>0.72865910072594797</v>
      </c>
      <c r="J67">
        <f t="shared" si="36"/>
        <v>2.5719141063665279E-2</v>
      </c>
      <c r="K67">
        <f t="shared" si="37"/>
        <v>0.1400452349854576</v>
      </c>
      <c r="L67">
        <f t="shared" si="38"/>
        <v>3.9171716046069706E-2</v>
      </c>
      <c r="M67">
        <f t="shared" si="44"/>
        <v>13.58217994607482</v>
      </c>
      <c r="N67" s="61">
        <f t="shared" si="45"/>
        <v>0.26638278385443226</v>
      </c>
      <c r="O67" s="61"/>
      <c r="P67" s="21">
        <v>368</v>
      </c>
      <c r="Q67" s="33">
        <v>1</v>
      </c>
      <c r="R67">
        <f t="shared" si="46"/>
        <v>0.1400452349854576</v>
      </c>
      <c r="S67">
        <f t="shared" si="47"/>
        <v>3.9171716046069706E-2</v>
      </c>
      <c r="T67">
        <f t="shared" si="48"/>
        <v>5.9080829381689313</v>
      </c>
      <c r="U67">
        <f t="shared" si="49"/>
        <v>-1.9657898015216881</v>
      </c>
      <c r="W67">
        <f t="shared" si="50"/>
        <v>4976299776</v>
      </c>
      <c r="AD67" s="21">
        <v>368</v>
      </c>
      <c r="AE67" s="33">
        <v>1</v>
      </c>
      <c r="AF67" s="22">
        <v>3.7999999999999999E-2</v>
      </c>
      <c r="AG67" s="36">
        <v>0.01</v>
      </c>
      <c r="AH67" s="21"/>
      <c r="AI67" s="22"/>
      <c r="AJ67" s="13">
        <v>368</v>
      </c>
      <c r="AK67" s="6">
        <f t="shared" si="39"/>
        <v>199340521.73913044</v>
      </c>
      <c r="AL67" s="22">
        <f t="shared" si="40"/>
        <v>18339328000</v>
      </c>
      <c r="AM67" s="22">
        <f t="shared" si="41"/>
        <v>199610812.0673281</v>
      </c>
      <c r="AN67" s="22">
        <v>3.7999999999999999E-2</v>
      </c>
      <c r="AO67" s="23">
        <v>0.01</v>
      </c>
      <c r="AQ67" s="13">
        <v>316</v>
      </c>
      <c r="AR67" s="6">
        <f t="shared" si="51"/>
        <v>28914915.031087331</v>
      </c>
      <c r="AS67" s="22">
        <f t="shared" si="52"/>
        <v>2284278287.4558992</v>
      </c>
      <c r="AT67" s="22">
        <f t="shared" si="53"/>
        <v>30723036.930037417</v>
      </c>
      <c r="AU67" s="38">
        <v>0.626</v>
      </c>
      <c r="AV67" s="22">
        <v>0.01</v>
      </c>
      <c r="AW67" s="38">
        <v>0.40400000000000003</v>
      </c>
      <c r="AX67" s="22">
        <v>0.01</v>
      </c>
      <c r="AY67" s="38">
        <v>0.628</v>
      </c>
      <c r="AZ67" s="22">
        <v>0.01</v>
      </c>
      <c r="BA67" s="38">
        <v>0.105</v>
      </c>
      <c r="BB67" s="23">
        <v>0.01</v>
      </c>
    </row>
    <row r="68" spans="2:54" x14ac:dyDescent="0.25">
      <c r="B68" s="13">
        <v>100</v>
      </c>
      <c r="C68" s="6">
        <f t="shared" si="33"/>
        <v>373</v>
      </c>
      <c r="D68" s="7">
        <v>-4.7E-2</v>
      </c>
      <c r="E68" s="6">
        <f t="shared" si="34"/>
        <v>373</v>
      </c>
      <c r="F68" s="14">
        <f t="shared" si="54"/>
        <v>4.7E-2</v>
      </c>
      <c r="G68">
        <f t="shared" si="42"/>
        <v>19356878641</v>
      </c>
      <c r="H68">
        <f t="shared" si="35"/>
        <v>13363360000</v>
      </c>
      <c r="I68">
        <f t="shared" si="43"/>
        <v>0.69036750438135885</v>
      </c>
      <c r="J68">
        <f t="shared" si="36"/>
        <v>2.4368396333015643E-2</v>
      </c>
      <c r="K68">
        <f t="shared" si="37"/>
        <v>0.15179285335053316</v>
      </c>
      <c r="L68">
        <f t="shared" si="38"/>
        <v>3.4434972346873365E-2</v>
      </c>
      <c r="M68">
        <f t="shared" si="44"/>
        <v>10.430543380849466</v>
      </c>
      <c r="N68" s="61">
        <f t="shared" si="45"/>
        <v>0.24033088360049976</v>
      </c>
      <c r="O68" s="61"/>
      <c r="P68" s="21">
        <v>373</v>
      </c>
      <c r="Q68" s="33">
        <v>1</v>
      </c>
      <c r="R68">
        <f t="shared" si="46"/>
        <v>0.15179285335053316</v>
      </c>
      <c r="S68">
        <f t="shared" si="47"/>
        <v>3.4434972346873365E-2</v>
      </c>
      <c r="T68">
        <f t="shared" si="48"/>
        <v>5.9215784196438159</v>
      </c>
      <c r="U68">
        <f t="shared" si="49"/>
        <v>-1.885238494506128</v>
      </c>
      <c r="W68">
        <f t="shared" si="50"/>
        <v>5993518641</v>
      </c>
      <c r="AD68" s="21">
        <v>373</v>
      </c>
      <c r="AE68" s="33">
        <v>1</v>
      </c>
      <c r="AF68" s="22">
        <v>4.7E-2</v>
      </c>
      <c r="AG68" s="36">
        <v>0.01</v>
      </c>
      <c r="AH68" s="21"/>
      <c r="AI68" s="22"/>
      <c r="AJ68" s="13">
        <v>373</v>
      </c>
      <c r="AK68" s="6">
        <f t="shared" si="39"/>
        <v>207576910.08042896</v>
      </c>
      <c r="AL68" s="22">
        <f t="shared" si="40"/>
        <v>19356546865</v>
      </c>
      <c r="AM68" s="22">
        <f t="shared" si="41"/>
        <v>207836489.30225879</v>
      </c>
      <c r="AN68" s="22">
        <v>4.7E-2</v>
      </c>
      <c r="AO68" s="23">
        <v>0.01</v>
      </c>
      <c r="AQ68" s="13">
        <v>318</v>
      </c>
      <c r="AR68" s="6">
        <f t="shared" si="51"/>
        <v>31938628.018313199</v>
      </c>
      <c r="AS68" s="22">
        <f t="shared" si="52"/>
        <v>2539120927.4558992</v>
      </c>
      <c r="AT68" s="22">
        <f t="shared" si="53"/>
        <v>33584351.216625042</v>
      </c>
      <c r="AU68" s="38">
        <v>0.69599999999999995</v>
      </c>
      <c r="AV68" s="22">
        <v>0.01</v>
      </c>
      <c r="AW68" s="38">
        <v>0.44700000000000001</v>
      </c>
      <c r="AX68" s="22">
        <v>0.01</v>
      </c>
      <c r="AY68" s="38">
        <v>0.69799999999999995</v>
      </c>
      <c r="AZ68" s="22">
        <v>0.01</v>
      </c>
      <c r="BA68" s="38">
        <v>0.115</v>
      </c>
      <c r="BB68" s="23">
        <v>0.01</v>
      </c>
    </row>
    <row r="69" spans="2:54" x14ac:dyDescent="0.25">
      <c r="B69" s="13">
        <v>105</v>
      </c>
      <c r="C69" s="6">
        <f t="shared" si="33"/>
        <v>378</v>
      </c>
      <c r="D69" s="7">
        <v>-5.5E-2</v>
      </c>
      <c r="E69" s="6">
        <f t="shared" si="34"/>
        <v>378</v>
      </c>
      <c r="F69" s="14">
        <f t="shared" si="54"/>
        <v>5.5E-2</v>
      </c>
      <c r="G69">
        <f t="shared" si="42"/>
        <v>20415837456</v>
      </c>
      <c r="H69">
        <f t="shared" si="35"/>
        <v>13363360000</v>
      </c>
      <c r="I69">
        <f t="shared" si="43"/>
        <v>0.65455850286820583</v>
      </c>
      <c r="J69">
        <f t="shared" si="36"/>
        <v>2.3105205665710296E-2</v>
      </c>
      <c r="K69">
        <f t="shared" si="37"/>
        <v>0.15921654015706221</v>
      </c>
      <c r="L69">
        <f t="shared" si="38"/>
        <v>3.0845134371619138E-2</v>
      </c>
      <c r="M69">
        <f t="shared" si="44"/>
        <v>8.3801344329207961</v>
      </c>
      <c r="N69" s="61">
        <f t="shared" si="45"/>
        <v>0.21243562566931987</v>
      </c>
      <c r="O69" s="61"/>
      <c r="P69" s="21">
        <v>378</v>
      </c>
      <c r="Q69" s="33">
        <v>1</v>
      </c>
      <c r="R69">
        <f t="shared" si="46"/>
        <v>0.15921654015706221</v>
      </c>
      <c r="S69">
        <f t="shared" si="47"/>
        <v>3.0845134371619138E-2</v>
      </c>
      <c r="T69">
        <f t="shared" si="48"/>
        <v>5.934894195619588</v>
      </c>
      <c r="U69">
        <f t="shared" si="49"/>
        <v>-1.8374901155096803</v>
      </c>
      <c r="W69">
        <f t="shared" si="50"/>
        <v>7052477456</v>
      </c>
      <c r="AD69" s="21">
        <v>378</v>
      </c>
      <c r="AE69" s="33">
        <v>1</v>
      </c>
      <c r="AF69" s="22">
        <v>5.5E-2</v>
      </c>
      <c r="AG69" s="36">
        <v>0.01</v>
      </c>
      <c r="AH69" s="21"/>
      <c r="AI69" s="22"/>
      <c r="AJ69" s="13">
        <v>378</v>
      </c>
      <c r="AK69" s="6">
        <f t="shared" si="39"/>
        <v>216037097.14285713</v>
      </c>
      <c r="AL69" s="22">
        <f t="shared" si="40"/>
        <v>20415505680</v>
      </c>
      <c r="AM69" s="22">
        <f t="shared" si="41"/>
        <v>216286522.99406388</v>
      </c>
      <c r="AN69" s="22">
        <v>5.5E-2</v>
      </c>
      <c r="AO69" s="23">
        <v>0.01</v>
      </c>
      <c r="AQ69" s="13">
        <v>320</v>
      </c>
      <c r="AR69" s="6">
        <f t="shared" si="51"/>
        <v>34985219.393198743</v>
      </c>
      <c r="AS69" s="22">
        <f t="shared" si="52"/>
        <v>2798817551.4558992</v>
      </c>
      <c r="AT69" s="22">
        <f t="shared" si="53"/>
        <v>36493811.296433434</v>
      </c>
      <c r="AU69" s="38">
        <v>0.76700000000000002</v>
      </c>
      <c r="AV69" s="22">
        <v>0.01</v>
      </c>
      <c r="AW69" s="38">
        <v>0.49299999999999999</v>
      </c>
      <c r="AX69" s="22">
        <v>0.01</v>
      </c>
      <c r="AY69" s="38">
        <v>0.77</v>
      </c>
      <c r="AZ69" s="22">
        <v>0.01</v>
      </c>
      <c r="BA69" s="38">
        <v>0.128</v>
      </c>
      <c r="BB69" s="23">
        <v>0.01</v>
      </c>
    </row>
    <row r="70" spans="2:54" x14ac:dyDescent="0.25">
      <c r="B70" s="13">
        <v>110</v>
      </c>
      <c r="C70" s="6">
        <f t="shared" si="33"/>
        <v>383</v>
      </c>
      <c r="D70" s="7">
        <v>-6.4000000000000001E-2</v>
      </c>
      <c r="E70" s="6">
        <f t="shared" si="34"/>
        <v>383</v>
      </c>
      <c r="F70" s="14">
        <f t="shared" si="54"/>
        <v>6.4000000000000001E-2</v>
      </c>
      <c r="G70">
        <f t="shared" si="42"/>
        <v>21517662721</v>
      </c>
      <c r="H70">
        <f t="shared" si="35"/>
        <v>13363360000</v>
      </c>
      <c r="I70">
        <f t="shared" si="43"/>
        <v>0.62104142876810364</v>
      </c>
      <c r="J70">
        <f t="shared" si="36"/>
        <v>2.1923039604880876E-2</v>
      </c>
      <c r="K70">
        <f t="shared" si="37"/>
        <v>0.16888389617881591</v>
      </c>
      <c r="L70">
        <f t="shared" si="38"/>
        <v>2.8138698906618676E-2</v>
      </c>
      <c r="M70">
        <f t="shared" si="44"/>
        <v>6.9633228487639336</v>
      </c>
      <c r="N70" s="61">
        <f t="shared" si="45"/>
        <v>0.19860629543369876</v>
      </c>
      <c r="O70" s="61"/>
      <c r="P70" s="21">
        <v>383</v>
      </c>
      <c r="Q70" s="33">
        <v>1</v>
      </c>
      <c r="R70">
        <f t="shared" si="46"/>
        <v>0.16888389617881591</v>
      </c>
      <c r="S70">
        <f t="shared" si="47"/>
        <v>2.8138698906618676E-2</v>
      </c>
      <c r="T70">
        <f t="shared" si="48"/>
        <v>5.9480349891806457</v>
      </c>
      <c r="U70">
        <f t="shared" si="49"/>
        <v>-1.7785438050141182</v>
      </c>
      <c r="W70">
        <f t="shared" si="50"/>
        <v>8154302721</v>
      </c>
      <c r="AD70" s="21">
        <v>383</v>
      </c>
      <c r="AE70" s="33">
        <v>1</v>
      </c>
      <c r="AF70" s="22">
        <v>6.4000000000000001E-2</v>
      </c>
      <c r="AG70" s="36">
        <v>0.01</v>
      </c>
      <c r="AH70" s="21"/>
      <c r="AI70" s="22"/>
      <c r="AJ70" s="13">
        <v>383</v>
      </c>
      <c r="AK70" s="6">
        <f t="shared" si="39"/>
        <v>224724082.97650132</v>
      </c>
      <c r="AL70" s="22">
        <f t="shared" si="40"/>
        <v>21517330945</v>
      </c>
      <c r="AM70" s="22">
        <f t="shared" si="41"/>
        <v>224963877.44831145</v>
      </c>
      <c r="AN70" s="22">
        <v>6.4000000000000001E-2</v>
      </c>
      <c r="AO70" s="23">
        <v>0.01</v>
      </c>
      <c r="AQ70" s="13">
        <v>322</v>
      </c>
      <c r="AR70" s="6">
        <f t="shared" si="51"/>
        <v>38055023.695104338</v>
      </c>
      <c r="AS70" s="22">
        <f t="shared" si="52"/>
        <v>3063429407.4558992</v>
      </c>
      <c r="AT70" s="22">
        <f t="shared" si="53"/>
        <v>39446387.862317577</v>
      </c>
      <c r="AU70" s="38">
        <v>0.84</v>
      </c>
      <c r="AV70" s="22">
        <v>0.01</v>
      </c>
      <c r="AW70" s="38">
        <v>0.53900000000000003</v>
      </c>
      <c r="AX70" s="22">
        <v>0.01</v>
      </c>
      <c r="AY70" s="38">
        <v>0.84099999999999997</v>
      </c>
      <c r="AZ70" s="22">
        <v>0.01</v>
      </c>
      <c r="BA70" s="38">
        <v>0.13800000000000001</v>
      </c>
      <c r="BB70" s="23">
        <v>0.01</v>
      </c>
    </row>
    <row r="71" spans="2:54" x14ac:dyDescent="0.25">
      <c r="B71" s="13">
        <v>115</v>
      </c>
      <c r="C71" s="6">
        <f t="shared" si="33"/>
        <v>388</v>
      </c>
      <c r="D71" s="7">
        <v>-7.1999999999999995E-2</v>
      </c>
      <c r="E71" s="6">
        <f t="shared" si="34"/>
        <v>388</v>
      </c>
      <c r="F71" s="14">
        <f t="shared" si="54"/>
        <v>7.1999999999999995E-2</v>
      </c>
      <c r="G71">
        <f t="shared" si="42"/>
        <v>22663495936</v>
      </c>
      <c r="H71">
        <f t="shared" si="35"/>
        <v>13363360000</v>
      </c>
      <c r="I71">
        <f t="shared" si="43"/>
        <v>0.58964248224268312</v>
      </c>
      <c r="J71">
        <f t="shared" si="36"/>
        <v>2.0815512961410796E-2</v>
      </c>
      <c r="K71">
        <f t="shared" si="37"/>
        <v>0.17545675876366029</v>
      </c>
      <c r="L71">
        <f t="shared" si="38"/>
        <v>2.5943392990450162E-2</v>
      </c>
      <c r="M71">
        <f t="shared" si="44"/>
        <v>5.9384788186437678</v>
      </c>
      <c r="N71" s="61">
        <f t="shared" si="45"/>
        <v>0.1828165110424278</v>
      </c>
      <c r="O71" s="61"/>
      <c r="P71" s="21">
        <v>388</v>
      </c>
      <c r="Q71" s="33">
        <v>1</v>
      </c>
      <c r="R71">
        <f t="shared" si="46"/>
        <v>0.17545675876366029</v>
      </c>
      <c r="S71">
        <f t="shared" si="47"/>
        <v>2.5943392990450162E-2</v>
      </c>
      <c r="T71">
        <f t="shared" si="48"/>
        <v>5.9610053396232736</v>
      </c>
      <c r="U71">
        <f t="shared" si="49"/>
        <v>-1.740362655245979</v>
      </c>
      <c r="W71">
        <f t="shared" si="50"/>
        <v>9300135936</v>
      </c>
      <c r="AD71" s="21">
        <v>388</v>
      </c>
      <c r="AE71" s="33">
        <v>1</v>
      </c>
      <c r="AF71" s="22">
        <v>7.1999999999999995E-2</v>
      </c>
      <c r="AG71" s="36">
        <v>0.01</v>
      </c>
      <c r="AH71" s="21"/>
      <c r="AI71" s="22"/>
      <c r="AJ71" s="13">
        <v>388</v>
      </c>
      <c r="AK71" s="6">
        <f t="shared" si="39"/>
        <v>233640867.62886599</v>
      </c>
      <c r="AL71" s="22">
        <f t="shared" si="40"/>
        <v>22663164160</v>
      </c>
      <c r="AM71" s="22">
        <f t="shared" si="41"/>
        <v>233871519.67120478</v>
      </c>
      <c r="AN71" s="22">
        <v>7.1999999999999995E-2</v>
      </c>
      <c r="AO71" s="23">
        <v>0.01</v>
      </c>
      <c r="AQ71" s="13">
        <v>324</v>
      </c>
      <c r="AR71" s="6">
        <f t="shared" si="51"/>
        <v>41148371.943899989</v>
      </c>
      <c r="AS71" s="22">
        <f t="shared" si="52"/>
        <v>3333018127.4558992</v>
      </c>
      <c r="AT71" s="22">
        <f t="shared" si="53"/>
        <v>42438440.129003078</v>
      </c>
      <c r="AU71" s="38">
        <v>0.91</v>
      </c>
      <c r="AV71" s="22">
        <v>0.01</v>
      </c>
      <c r="AW71" s="38">
        <v>0.58399999999999996</v>
      </c>
      <c r="AX71" s="22">
        <v>0.01</v>
      </c>
      <c r="AY71" s="38">
        <v>0.91500000000000004</v>
      </c>
      <c r="AZ71" s="22">
        <v>0.01</v>
      </c>
      <c r="BA71" s="38">
        <v>0.152</v>
      </c>
      <c r="BB71" s="23">
        <v>0.01</v>
      </c>
    </row>
    <row r="72" spans="2:54" x14ac:dyDescent="0.25">
      <c r="B72" s="13">
        <v>120</v>
      </c>
      <c r="C72" s="6">
        <f t="shared" si="33"/>
        <v>393</v>
      </c>
      <c r="D72" s="7">
        <v>-8.2000000000000003E-2</v>
      </c>
      <c r="E72" s="6">
        <f t="shared" si="34"/>
        <v>393</v>
      </c>
      <c r="F72" s="14">
        <f t="shared" si="54"/>
        <v>8.2000000000000003E-2</v>
      </c>
      <c r="G72">
        <f t="shared" si="42"/>
        <v>23854493601</v>
      </c>
      <c r="H72">
        <f t="shared" si="35"/>
        <v>13363360000</v>
      </c>
      <c r="I72">
        <f t="shared" si="43"/>
        <v>0.5602030470032614</v>
      </c>
      <c r="J72">
        <f t="shared" si="36"/>
        <v>1.9777399572517552E-2</v>
      </c>
      <c r="K72">
        <f t="shared" si="37"/>
        <v>0.18644967738238991</v>
      </c>
      <c r="L72">
        <f t="shared" si="38"/>
        <v>2.4234402975624486E-2</v>
      </c>
      <c r="M72">
        <f t="shared" si="44"/>
        <v>5.1700598149906707</v>
      </c>
      <c r="N72" s="61">
        <f t="shared" si="45"/>
        <v>0.17972928233066915</v>
      </c>
      <c r="O72" s="61"/>
      <c r="P72" s="21">
        <v>393</v>
      </c>
      <c r="Q72" s="33">
        <v>1</v>
      </c>
      <c r="R72">
        <f t="shared" si="46"/>
        <v>0.18644967738238991</v>
      </c>
      <c r="S72">
        <f t="shared" si="47"/>
        <v>2.4234402975624486E-2</v>
      </c>
      <c r="T72">
        <f t="shared" si="48"/>
        <v>5.9738096118692612</v>
      </c>
      <c r="U72">
        <f t="shared" si="49"/>
        <v>-1.6795939026758335</v>
      </c>
      <c r="W72">
        <f t="shared" si="50"/>
        <v>10491133601</v>
      </c>
      <c r="AD72" s="21">
        <v>393</v>
      </c>
      <c r="AE72" s="33">
        <v>1</v>
      </c>
      <c r="AF72" s="22">
        <v>8.2000000000000003E-2</v>
      </c>
      <c r="AG72" s="36">
        <v>0.01</v>
      </c>
      <c r="AH72" s="21"/>
      <c r="AI72" s="22"/>
      <c r="AJ72" s="13">
        <v>393</v>
      </c>
      <c r="AK72" s="6">
        <f t="shared" si="39"/>
        <v>242790451.14503819</v>
      </c>
      <c r="AL72" s="22">
        <f t="shared" si="40"/>
        <v>23854161825</v>
      </c>
      <c r="AM72" s="22">
        <f t="shared" si="41"/>
        <v>243012419.13564956</v>
      </c>
      <c r="AN72" s="22">
        <v>8.2000000000000003E-2</v>
      </c>
      <c r="AO72" s="23">
        <v>0.01</v>
      </c>
      <c r="AQ72" s="13">
        <v>326</v>
      </c>
      <c r="AR72" s="6">
        <f t="shared" si="51"/>
        <v>44265591.747925147</v>
      </c>
      <c r="AS72" s="22">
        <f t="shared" si="52"/>
        <v>3607645727.4558992</v>
      </c>
      <c r="AT72" s="22">
        <f t="shared" si="53"/>
        <v>45467299.235202238</v>
      </c>
      <c r="AU72" s="38">
        <v>0.98699999999999999</v>
      </c>
      <c r="AV72" s="22">
        <v>0.01</v>
      </c>
      <c r="AW72" s="38">
        <v>0.63300000000000001</v>
      </c>
      <c r="AX72" s="22">
        <v>0.01</v>
      </c>
      <c r="AY72" s="38">
        <v>0.99</v>
      </c>
      <c r="AZ72" s="22">
        <v>0.01</v>
      </c>
      <c r="BA72" s="38">
        <v>0.16500000000000001</v>
      </c>
      <c r="BB72" s="23">
        <v>0.01</v>
      </c>
    </row>
    <row r="73" spans="2:54" x14ac:dyDescent="0.25">
      <c r="B73" s="13">
        <v>125</v>
      </c>
      <c r="C73" s="6">
        <f t="shared" si="33"/>
        <v>398</v>
      </c>
      <c r="D73" s="7">
        <v>-9.1999999999999998E-2</v>
      </c>
      <c r="E73" s="6">
        <f t="shared" si="34"/>
        <v>398</v>
      </c>
      <c r="F73" s="14">
        <f t="shared" si="54"/>
        <v>9.1999999999999998E-2</v>
      </c>
      <c r="G73">
        <f t="shared" si="42"/>
        <v>25091827216</v>
      </c>
      <c r="H73">
        <f t="shared" si="35"/>
        <v>13363360000</v>
      </c>
      <c r="I73">
        <f t="shared" si="43"/>
        <v>0.53257819308905285</v>
      </c>
      <c r="J73">
        <f t="shared" si="36"/>
        <v>1.8803326606206979E-2</v>
      </c>
      <c r="K73">
        <f t="shared" si="37"/>
        <v>0.19682436428886546</v>
      </c>
      <c r="L73">
        <f t="shared" si="38"/>
        <v>2.2812119163681893E-2</v>
      </c>
      <c r="M73">
        <f t="shared" si="44"/>
        <v>4.5770120956658813</v>
      </c>
      <c r="N73" s="61">
        <f t="shared" si="45"/>
        <v>0.17731267222285077</v>
      </c>
      <c r="O73" s="61"/>
      <c r="P73" s="21">
        <v>398</v>
      </c>
      <c r="Q73" s="33">
        <v>1</v>
      </c>
      <c r="R73">
        <f t="shared" si="46"/>
        <v>0.19682436428886546</v>
      </c>
      <c r="S73">
        <f t="shared" si="47"/>
        <v>2.2812119163681893E-2</v>
      </c>
      <c r="T73">
        <f t="shared" si="48"/>
        <v>5.9864520052844377</v>
      </c>
      <c r="U73">
        <f t="shared" si="49"/>
        <v>-1.6254434997460334</v>
      </c>
      <c r="W73">
        <f t="shared" si="50"/>
        <v>11728467216</v>
      </c>
      <c r="AD73" s="21">
        <v>398</v>
      </c>
      <c r="AE73" s="33">
        <v>1</v>
      </c>
      <c r="AF73" s="22">
        <v>9.1999999999999998E-2</v>
      </c>
      <c r="AG73" s="36">
        <v>0.01</v>
      </c>
      <c r="AH73" s="21"/>
      <c r="AI73" s="22"/>
      <c r="AJ73" s="13">
        <v>398</v>
      </c>
      <c r="AK73" s="6">
        <f t="shared" si="39"/>
        <v>252175833.56783921</v>
      </c>
      <c r="AL73" s="22">
        <f t="shared" si="40"/>
        <v>25091495440</v>
      </c>
      <c r="AM73" s="22">
        <f t="shared" si="41"/>
        <v>252389547.56998947</v>
      </c>
      <c r="AN73" s="22">
        <v>9.1999999999999998E-2</v>
      </c>
      <c r="AO73" s="23">
        <v>0.01</v>
      </c>
      <c r="AQ73" s="13">
        <v>328</v>
      </c>
      <c r="AR73" s="6">
        <f t="shared" si="51"/>
        <v>47407007.40799877</v>
      </c>
      <c r="AS73" s="22">
        <f t="shared" si="52"/>
        <v>3887374607.4558992</v>
      </c>
      <c r="AT73" s="22">
        <f t="shared" si="53"/>
        <v>48530990.494028583</v>
      </c>
      <c r="AU73" s="38">
        <v>1.0649999999999999</v>
      </c>
      <c r="AV73" s="22">
        <v>0.01</v>
      </c>
      <c r="AW73" s="38">
        <v>0.68</v>
      </c>
      <c r="AX73" s="22">
        <v>0.01</v>
      </c>
      <c r="AY73" s="38">
        <v>1.0669999999999999</v>
      </c>
      <c r="AZ73" s="22">
        <v>0.01</v>
      </c>
      <c r="BA73" s="38">
        <v>0.17799999999999999</v>
      </c>
      <c r="BB73" s="23">
        <v>0.01</v>
      </c>
    </row>
    <row r="74" spans="2:54" x14ac:dyDescent="0.25">
      <c r="B74" s="13">
        <v>130</v>
      </c>
      <c r="C74" s="6">
        <f t="shared" si="33"/>
        <v>403</v>
      </c>
      <c r="D74" s="7">
        <v>-0.10199999999999999</v>
      </c>
      <c r="E74" s="6">
        <f t="shared" si="34"/>
        <v>403</v>
      </c>
      <c r="F74" s="14">
        <f t="shared" si="54"/>
        <v>0.10199999999999999</v>
      </c>
      <c r="G74">
        <f t="shared" si="42"/>
        <v>26376683281</v>
      </c>
      <c r="H74">
        <f t="shared" si="35"/>
        <v>13363360000</v>
      </c>
      <c r="I74">
        <f t="shared" si="43"/>
        <v>0.50663534371002861</v>
      </c>
      <c r="J74">
        <f t="shared" si="36"/>
        <v>1.7888602448881775E-2</v>
      </c>
      <c r="K74">
        <f t="shared" si="37"/>
        <v>0.20674363009102592</v>
      </c>
      <c r="L74">
        <f t="shared" si="38"/>
        <v>2.161075038389226E-2</v>
      </c>
      <c r="M74">
        <f t="shared" si="44"/>
        <v>4.1083168572870976</v>
      </c>
      <c r="N74" s="61">
        <f t="shared" si="45"/>
        <v>0.17560149402824057</v>
      </c>
      <c r="O74" s="61"/>
      <c r="P74" s="21">
        <v>403</v>
      </c>
      <c r="Q74" s="33">
        <v>1</v>
      </c>
      <c r="R74">
        <f t="shared" si="46"/>
        <v>0.20674363009102592</v>
      </c>
      <c r="S74">
        <f t="shared" si="47"/>
        <v>2.161075038389226E-2</v>
      </c>
      <c r="T74">
        <f t="shared" si="48"/>
        <v>5.9989365619466826</v>
      </c>
      <c r="U74">
        <f t="shared" si="49"/>
        <v>-1.5762757552698896</v>
      </c>
      <c r="W74">
        <f t="shared" si="50"/>
        <v>13013323281</v>
      </c>
      <c r="AD74" s="21">
        <v>403</v>
      </c>
      <c r="AE74" s="33">
        <v>1</v>
      </c>
      <c r="AF74" s="22">
        <v>0.10199999999999999</v>
      </c>
      <c r="AG74" s="36">
        <v>0.01</v>
      </c>
      <c r="AH74" s="21"/>
      <c r="AI74" s="22"/>
      <c r="AJ74" s="13">
        <v>403</v>
      </c>
      <c r="AK74" s="6">
        <f t="shared" si="39"/>
        <v>261800014.93796527</v>
      </c>
      <c r="AL74" s="22">
        <f t="shared" si="40"/>
        <v>26376351505</v>
      </c>
      <c r="AM74" s="22">
        <f t="shared" si="41"/>
        <v>262005878.76700073</v>
      </c>
      <c r="AN74" s="22">
        <v>0.10199999999999999</v>
      </c>
      <c r="AO74" s="23">
        <v>0.01</v>
      </c>
      <c r="AQ74" s="13">
        <v>330</v>
      </c>
      <c r="AR74" s="6">
        <f t="shared" si="51"/>
        <v>50572940.017647266</v>
      </c>
      <c r="AS74" s="22">
        <f t="shared" si="52"/>
        <v>4172267551.4558992</v>
      </c>
      <c r="AT74" s="22">
        <f t="shared" si="53"/>
        <v>51628044.210273854</v>
      </c>
      <c r="AU74" s="38">
        <v>1.1299999999999999</v>
      </c>
      <c r="AV74" s="22">
        <v>0.01</v>
      </c>
      <c r="AW74" s="38">
        <v>0.72499999999999998</v>
      </c>
      <c r="AX74" s="22">
        <v>0.01</v>
      </c>
      <c r="AY74" s="38">
        <v>1.1379999999999999</v>
      </c>
      <c r="AZ74" s="22">
        <v>0.01</v>
      </c>
      <c r="BA74" s="38">
        <v>0.188</v>
      </c>
      <c r="BB74" s="23">
        <v>0.01</v>
      </c>
    </row>
    <row r="75" spans="2:54" x14ac:dyDescent="0.25">
      <c r="B75" s="13">
        <v>135</v>
      </c>
      <c r="C75" s="6">
        <f t="shared" si="33"/>
        <v>408</v>
      </c>
      <c r="D75" s="7">
        <v>-0.113</v>
      </c>
      <c r="E75" s="6">
        <f t="shared" si="34"/>
        <v>408</v>
      </c>
      <c r="F75" s="14">
        <f t="shared" si="54"/>
        <v>0.113</v>
      </c>
      <c r="G75">
        <f t="shared" si="42"/>
        <v>27710263296</v>
      </c>
      <c r="H75">
        <f t="shared" si="35"/>
        <v>13363360000</v>
      </c>
      <c r="I75">
        <f t="shared" si="43"/>
        <v>0.48225308641975306</v>
      </c>
      <c r="J75">
        <f t="shared" si="36"/>
        <v>1.7029080029443144E-2</v>
      </c>
      <c r="K75">
        <f t="shared" si="37"/>
        <v>0.21825335320417288</v>
      </c>
      <c r="L75">
        <f t="shared" si="38"/>
        <v>2.0605321762443923E-2</v>
      </c>
      <c r="M75">
        <f t="shared" si="44"/>
        <v>3.7304821195759605</v>
      </c>
      <c r="N75" s="61">
        <f t="shared" si="45"/>
        <v>0.1776997482071134</v>
      </c>
      <c r="O75" s="61"/>
      <c r="P75" s="21">
        <v>408</v>
      </c>
      <c r="Q75" s="33">
        <v>1</v>
      </c>
      <c r="R75">
        <f t="shared" si="46"/>
        <v>0.21825335320417288</v>
      </c>
      <c r="S75">
        <f t="shared" si="47"/>
        <v>2.0605321762443923E-2</v>
      </c>
      <c r="T75">
        <f t="shared" si="48"/>
        <v>6.0112671744041615</v>
      </c>
      <c r="U75">
        <f t="shared" si="49"/>
        <v>-1.5220987203292582</v>
      </c>
      <c r="W75">
        <f t="shared" si="50"/>
        <v>14346903296</v>
      </c>
      <c r="AD75" s="21">
        <v>408</v>
      </c>
      <c r="AE75" s="33">
        <v>1</v>
      </c>
      <c r="AF75" s="22">
        <v>0.113</v>
      </c>
      <c r="AG75" s="36">
        <v>0.01</v>
      </c>
      <c r="AH75" s="21"/>
      <c r="AI75" s="22"/>
      <c r="AJ75" s="13">
        <v>408</v>
      </c>
      <c r="AK75" s="6">
        <f t="shared" si="39"/>
        <v>271665995.29411763</v>
      </c>
      <c r="AL75" s="22">
        <f t="shared" si="40"/>
        <v>27709931520</v>
      </c>
      <c r="AM75" s="22">
        <f t="shared" si="41"/>
        <v>271864388.41101086</v>
      </c>
      <c r="AN75" s="22">
        <v>0.113</v>
      </c>
      <c r="AO75" s="23">
        <v>0.01</v>
      </c>
      <c r="AQ75" s="13">
        <v>332</v>
      </c>
      <c r="AR75" s="6">
        <f t="shared" si="51"/>
        <v>53763707.559709631</v>
      </c>
      <c r="AS75" s="22">
        <f t="shared" si="52"/>
        <v>4462387727.4558992</v>
      </c>
      <c r="AT75" s="22">
        <f t="shared" si="53"/>
        <v>54757364.230899766</v>
      </c>
      <c r="AU75" s="38">
        <v>1.22</v>
      </c>
      <c r="AV75" s="22">
        <v>0.01</v>
      </c>
      <c r="AW75" s="38">
        <v>0.77800000000000002</v>
      </c>
      <c r="AX75" s="22">
        <v>0.01</v>
      </c>
      <c r="AY75" s="38">
        <v>1.222</v>
      </c>
      <c r="AZ75" s="22">
        <v>0.01</v>
      </c>
      <c r="BA75" s="38">
        <v>0.19500000000000001</v>
      </c>
      <c r="BB75" s="23">
        <v>0.01</v>
      </c>
    </row>
    <row r="76" spans="2:54" x14ac:dyDescent="0.25">
      <c r="B76" s="13">
        <v>140</v>
      </c>
      <c r="C76" s="6">
        <f t="shared" si="33"/>
        <v>413</v>
      </c>
      <c r="D76" s="7">
        <v>-0.123</v>
      </c>
      <c r="E76" s="6">
        <f t="shared" si="34"/>
        <v>413</v>
      </c>
      <c r="F76" s="14">
        <f t="shared" si="54"/>
        <v>0.123</v>
      </c>
      <c r="G76">
        <f t="shared" si="42"/>
        <v>29093783761</v>
      </c>
      <c r="H76">
        <f t="shared" si="35"/>
        <v>13363360000</v>
      </c>
      <c r="I76">
        <f t="shared" si="43"/>
        <v>0.45932011146358642</v>
      </c>
      <c r="J76">
        <f t="shared" si="36"/>
        <v>1.622052991989836E-2</v>
      </c>
      <c r="K76">
        <f t="shared" si="37"/>
        <v>0.22749135414108568</v>
      </c>
      <c r="L76">
        <f t="shared" si="38"/>
        <v>1.9714245060104E-2</v>
      </c>
      <c r="M76">
        <f t="shared" si="44"/>
        <v>3.4207360836106062</v>
      </c>
      <c r="N76" s="61">
        <f t="shared" si="45"/>
        <v>0.17703101546636379</v>
      </c>
      <c r="O76" s="61"/>
      <c r="P76" s="21">
        <v>413</v>
      </c>
      <c r="Q76" s="33">
        <v>1</v>
      </c>
      <c r="R76">
        <f t="shared" si="46"/>
        <v>0.22749135414108568</v>
      </c>
      <c r="S76">
        <f t="shared" si="47"/>
        <v>1.9714245060104E-2</v>
      </c>
      <c r="T76">
        <f t="shared" si="48"/>
        <v>6.0234475929610332</v>
      </c>
      <c r="U76">
        <f t="shared" si="49"/>
        <v>-1.4806430450887413</v>
      </c>
      <c r="W76">
        <f t="shared" si="50"/>
        <v>15730423761</v>
      </c>
      <c r="AD76" s="21">
        <v>413</v>
      </c>
      <c r="AE76" s="33">
        <v>1</v>
      </c>
      <c r="AF76" s="22">
        <v>0.123</v>
      </c>
      <c r="AG76" s="36">
        <v>0.01</v>
      </c>
      <c r="AH76" s="21"/>
      <c r="AI76" s="22"/>
      <c r="AJ76" s="13">
        <v>413</v>
      </c>
      <c r="AK76" s="6">
        <f t="shared" si="39"/>
        <v>281776774.67312348</v>
      </c>
      <c r="AL76" s="22">
        <f t="shared" si="40"/>
        <v>29093451985</v>
      </c>
      <c r="AM76" s="22">
        <f t="shared" si="41"/>
        <v>281968053.92125124</v>
      </c>
      <c r="AN76" s="22">
        <v>0.123</v>
      </c>
      <c r="AO76" s="23">
        <v>0.01</v>
      </c>
      <c r="AQ76" s="13">
        <v>334</v>
      </c>
      <c r="AR76" s="6">
        <f t="shared" si="51"/>
        <v>56979624.999471851</v>
      </c>
      <c r="AS76" s="22">
        <f t="shared" si="52"/>
        <v>4757798687.4558992</v>
      </c>
      <c r="AT76" s="22">
        <f t="shared" si="53"/>
        <v>57918134.914980479</v>
      </c>
      <c r="AU76" s="38">
        <v>1.288</v>
      </c>
      <c r="AV76" s="22">
        <v>0.01</v>
      </c>
      <c r="AW76" s="38">
        <v>0.82399999999999995</v>
      </c>
      <c r="AX76" s="22">
        <v>0.01</v>
      </c>
      <c r="AY76" s="38">
        <v>1.2949999999999999</v>
      </c>
      <c r="AZ76" s="22">
        <v>0.01</v>
      </c>
      <c r="BA76" s="38">
        <v>0.21199999999999999</v>
      </c>
      <c r="BB76" s="23">
        <v>0.01</v>
      </c>
    </row>
    <row r="77" spans="2:54" x14ac:dyDescent="0.25">
      <c r="B77" s="13">
        <v>145</v>
      </c>
      <c r="C77" s="6">
        <f t="shared" si="33"/>
        <v>418</v>
      </c>
      <c r="D77" s="7">
        <v>-0.13500000000000001</v>
      </c>
      <c r="E77" s="6">
        <f t="shared" si="34"/>
        <v>418</v>
      </c>
      <c r="F77" s="14">
        <f t="shared" si="54"/>
        <v>0.13500000000000001</v>
      </c>
      <c r="G77">
        <f t="shared" si="42"/>
        <v>30528476176</v>
      </c>
      <c r="H77">
        <f t="shared" si="35"/>
        <v>13363360000</v>
      </c>
      <c r="I77">
        <f t="shared" si="43"/>
        <v>0.43773426236405544</v>
      </c>
      <c r="J77">
        <f t="shared" si="36"/>
        <v>1.5459790442244868E-2</v>
      </c>
      <c r="K77">
        <f t="shared" si="37"/>
        <v>0.24009999358596829</v>
      </c>
      <c r="L77">
        <f t="shared" si="38"/>
        <v>1.8970896292939743E-2</v>
      </c>
      <c r="M77">
        <f t="shared" si="44"/>
        <v>3.1631279517136894</v>
      </c>
      <c r="N77" s="61">
        <f t="shared" si="45"/>
        <v>0.18234802204917933</v>
      </c>
      <c r="O77" s="61"/>
      <c r="P77" s="21">
        <v>418</v>
      </c>
      <c r="Q77" s="33">
        <v>1</v>
      </c>
      <c r="R77">
        <f t="shared" si="46"/>
        <v>0.24009999358596829</v>
      </c>
      <c r="S77">
        <f t="shared" si="47"/>
        <v>1.8970896292939743E-2</v>
      </c>
      <c r="T77">
        <f t="shared" si="48"/>
        <v>6.0354814325247563</v>
      </c>
      <c r="U77">
        <f t="shared" si="49"/>
        <v>-1.4266998024689312</v>
      </c>
      <c r="W77">
        <f t="shared" si="50"/>
        <v>17165116176</v>
      </c>
      <c r="AD77" s="21">
        <v>418</v>
      </c>
      <c r="AE77" s="33">
        <v>1</v>
      </c>
      <c r="AF77" s="22">
        <v>0.13500000000000001</v>
      </c>
      <c r="AG77" s="36">
        <v>0.01</v>
      </c>
      <c r="AH77" s="21"/>
      <c r="AI77" s="22"/>
      <c r="AJ77" s="13">
        <v>418</v>
      </c>
      <c r="AK77" s="6">
        <f t="shared" si="39"/>
        <v>292135353.11004782</v>
      </c>
      <c r="AL77" s="22">
        <f t="shared" si="40"/>
        <v>30528144400</v>
      </c>
      <c r="AM77" s="22">
        <f t="shared" si="41"/>
        <v>292319854.30976421</v>
      </c>
      <c r="AN77" s="22">
        <v>0.13500000000000001</v>
      </c>
      <c r="AO77" s="23">
        <v>0.01</v>
      </c>
      <c r="AQ77" s="13">
        <v>336</v>
      </c>
      <c r="AR77" s="6">
        <f t="shared" si="51"/>
        <v>60221004.374474987</v>
      </c>
      <c r="AS77" s="22">
        <f t="shared" si="52"/>
        <v>5058564367.4558992</v>
      </c>
      <c r="AT77" s="22">
        <f t="shared" si="53"/>
        <v>61109754.170835756</v>
      </c>
      <c r="AU77" s="38">
        <v>1.375</v>
      </c>
      <c r="AV77" s="22">
        <v>0.01</v>
      </c>
      <c r="AW77" s="38">
        <v>0.88</v>
      </c>
      <c r="AX77" s="22">
        <v>0.01</v>
      </c>
      <c r="AY77" s="38">
        <v>1.3779999999999999</v>
      </c>
      <c r="AZ77" s="22">
        <v>0.01</v>
      </c>
      <c r="BA77" s="38">
        <v>0.22500000000000001</v>
      </c>
      <c r="BB77" s="23">
        <v>0.01</v>
      </c>
    </row>
    <row r="78" spans="2:54" x14ac:dyDescent="0.25">
      <c r="B78" s="13">
        <v>150</v>
      </c>
      <c r="C78" s="6">
        <f t="shared" si="33"/>
        <v>423</v>
      </c>
      <c r="D78" s="7">
        <v>-0.14799999999999999</v>
      </c>
      <c r="E78" s="6">
        <f t="shared" si="34"/>
        <v>423</v>
      </c>
      <c r="F78" s="14">
        <f t="shared" si="54"/>
        <v>0.14799999999999999</v>
      </c>
      <c r="G78">
        <f t="shared" si="42"/>
        <v>32015587041</v>
      </c>
      <c r="H78">
        <f t="shared" si="35"/>
        <v>13363360000</v>
      </c>
      <c r="I78">
        <f t="shared" si="43"/>
        <v>0.41740168571285391</v>
      </c>
      <c r="J78">
        <f t="shared" si="36"/>
        <v>1.4743401678821827E-2</v>
      </c>
      <c r="K78">
        <f t="shared" si="37"/>
        <v>0.25403437732409062</v>
      </c>
      <c r="L78">
        <f t="shared" si="38"/>
        <v>1.8328865484182603E-2</v>
      </c>
      <c r="M78">
        <f t="shared" si="44"/>
        <v>2.9461954374743633</v>
      </c>
      <c r="N78" s="61">
        <f t="shared" si="45"/>
        <v>0.1901281997421283</v>
      </c>
      <c r="O78" s="61"/>
      <c r="P78" s="21">
        <v>423</v>
      </c>
      <c r="Q78" s="33">
        <v>1</v>
      </c>
      <c r="R78">
        <f t="shared" si="46"/>
        <v>0.25403437732409062</v>
      </c>
      <c r="S78">
        <f t="shared" si="47"/>
        <v>1.8328865484182603E-2</v>
      </c>
      <c r="T78">
        <f t="shared" si="48"/>
        <v>6.0473721790462776</v>
      </c>
      <c r="U78">
        <f t="shared" si="49"/>
        <v>-1.3702856773261134</v>
      </c>
      <c r="W78">
        <f t="shared" si="50"/>
        <v>18652227041</v>
      </c>
      <c r="AD78" s="21">
        <v>423</v>
      </c>
      <c r="AE78" s="33">
        <v>1</v>
      </c>
      <c r="AF78" s="22">
        <v>0.14799999999999999</v>
      </c>
      <c r="AG78" s="36">
        <v>0.01</v>
      </c>
      <c r="AH78" s="21"/>
      <c r="AI78" s="22"/>
      <c r="AJ78" s="13">
        <v>423</v>
      </c>
      <c r="AK78" s="6">
        <f t="shared" si="39"/>
        <v>302744730.63829786</v>
      </c>
      <c r="AL78" s="22">
        <f t="shared" si="40"/>
        <v>32015255265</v>
      </c>
      <c r="AM78" s="22">
        <f t="shared" si="41"/>
        <v>302922770.05237651</v>
      </c>
      <c r="AN78" s="22">
        <v>0.14799999999999999</v>
      </c>
      <c r="AO78" s="23">
        <v>0.01</v>
      </c>
      <c r="AQ78" s="13">
        <v>338</v>
      </c>
      <c r="AR78" s="6">
        <f t="shared" si="51"/>
        <v>63488154.881134897</v>
      </c>
      <c r="AS78" s="22">
        <f t="shared" si="52"/>
        <v>5364749087.4558992</v>
      </c>
      <c r="AT78" s="22">
        <f t="shared" si="53"/>
        <v>64331784.501600884</v>
      </c>
      <c r="AU78" s="38">
        <v>1.4750000000000001</v>
      </c>
      <c r="AV78" s="22">
        <v>0.01</v>
      </c>
      <c r="AW78" s="38">
        <v>0.94799999999999995</v>
      </c>
      <c r="AX78" s="22">
        <v>0.01</v>
      </c>
      <c r="AY78" s="38">
        <v>1.478</v>
      </c>
      <c r="AZ78" s="22">
        <v>0.01</v>
      </c>
      <c r="BA78" s="38">
        <v>0.24199999999999999</v>
      </c>
      <c r="BB78" s="23">
        <v>0.01</v>
      </c>
    </row>
    <row r="79" spans="2:54" x14ac:dyDescent="0.25">
      <c r="B79" s="13">
        <v>155</v>
      </c>
      <c r="C79" s="6">
        <f t="shared" si="33"/>
        <v>428</v>
      </c>
      <c r="D79" s="7">
        <v>-0.159</v>
      </c>
      <c r="E79" s="6">
        <f t="shared" si="34"/>
        <v>428</v>
      </c>
      <c r="F79" s="14">
        <f t="shared" si="54"/>
        <v>0.159</v>
      </c>
      <c r="G79">
        <f t="shared" si="42"/>
        <v>33556377856</v>
      </c>
      <c r="H79">
        <f t="shared" si="35"/>
        <v>13363360000</v>
      </c>
      <c r="I79">
        <f t="shared" si="43"/>
        <v>0.39823606878388346</v>
      </c>
      <c r="J79">
        <f t="shared" si="36"/>
        <v>1.4067842763711263E-2</v>
      </c>
      <c r="K79">
        <f t="shared" si="37"/>
        <v>0.26422321404121679</v>
      </c>
      <c r="L79">
        <f t="shared" si="38"/>
        <v>1.7728679704162999E-2</v>
      </c>
      <c r="M79">
        <f t="shared" si="44"/>
        <v>2.7615168244242976</v>
      </c>
      <c r="N79" s="61">
        <f t="shared" si="45"/>
        <v>0.19279227831267493</v>
      </c>
      <c r="O79" s="61"/>
      <c r="P79" s="21">
        <v>428</v>
      </c>
      <c r="Q79" s="33">
        <v>1</v>
      </c>
      <c r="R79">
        <f t="shared" si="46"/>
        <v>0.26422321404121679</v>
      </c>
      <c r="S79">
        <f t="shared" si="47"/>
        <v>1.7728679704162999E-2</v>
      </c>
      <c r="T79">
        <f t="shared" si="48"/>
        <v>6.0591231955817966</v>
      </c>
      <c r="U79">
        <f t="shared" si="49"/>
        <v>-1.3309610253442494</v>
      </c>
      <c r="W79">
        <f t="shared" si="50"/>
        <v>20193017856</v>
      </c>
      <c r="AD79" s="21">
        <v>428</v>
      </c>
      <c r="AE79" s="33">
        <v>1</v>
      </c>
      <c r="AF79" s="22">
        <v>0.159</v>
      </c>
      <c r="AG79" s="36">
        <v>0.01</v>
      </c>
      <c r="AH79" s="21"/>
      <c r="AI79" s="22"/>
      <c r="AJ79" s="13">
        <v>428</v>
      </c>
      <c r="AK79" s="6">
        <f t="shared" si="39"/>
        <v>313607907.28971958</v>
      </c>
      <c r="AL79" s="22">
        <f t="shared" si="40"/>
        <v>33556046080</v>
      </c>
      <c r="AM79" s="22">
        <f t="shared" si="41"/>
        <v>313779782.9714126</v>
      </c>
      <c r="AN79" s="22">
        <v>0.159</v>
      </c>
      <c r="AO79" s="23">
        <v>0.01</v>
      </c>
      <c r="AQ79" s="13">
        <v>340</v>
      </c>
      <c r="AR79" s="6">
        <f t="shared" si="51"/>
        <v>66781382.958304696</v>
      </c>
      <c r="AS79" s="22">
        <f t="shared" si="52"/>
        <v>5676417551.4558992</v>
      </c>
      <c r="AT79" s="22">
        <f t="shared" si="53"/>
        <v>67583916.701928362</v>
      </c>
      <c r="AU79" s="38">
        <v>1.5680000000000001</v>
      </c>
      <c r="AV79" s="22">
        <v>0.01</v>
      </c>
      <c r="AW79" s="38">
        <v>1.0049999999999999</v>
      </c>
      <c r="AX79" s="22">
        <v>0.01</v>
      </c>
      <c r="AY79" s="38">
        <v>1.5669999999999999</v>
      </c>
      <c r="AZ79" s="22">
        <v>0.01</v>
      </c>
      <c r="BA79" s="38">
        <v>0.26</v>
      </c>
      <c r="BB79" s="23">
        <v>0.01</v>
      </c>
    </row>
    <row r="80" spans="2:54" x14ac:dyDescent="0.25">
      <c r="B80" s="13">
        <v>160</v>
      </c>
      <c r="C80" s="6">
        <f t="shared" si="33"/>
        <v>433</v>
      </c>
      <c r="D80" s="7">
        <v>-0.17199999999999999</v>
      </c>
      <c r="E80" s="6">
        <f t="shared" si="34"/>
        <v>433</v>
      </c>
      <c r="F80" s="14">
        <f t="shared" si="54"/>
        <v>0.17199999999999999</v>
      </c>
      <c r="G80">
        <f t="shared" si="42"/>
        <v>35152125121</v>
      </c>
      <c r="H80">
        <f t="shared" si="35"/>
        <v>13363360000</v>
      </c>
      <c r="I80">
        <f t="shared" si="43"/>
        <v>0.38015795500274557</v>
      </c>
      <c r="J80">
        <f t="shared" si="36"/>
        <v>1.3430929385012809E-2</v>
      </c>
      <c r="K80">
        <f t="shared" si="37"/>
        <v>0.27749004990579795</v>
      </c>
      <c r="L80">
        <f t="shared" si="38"/>
        <v>1.7217181279455773E-2</v>
      </c>
      <c r="M80">
        <f t="shared" si="44"/>
        <v>2.6027828487264153</v>
      </c>
      <c r="N80" s="61">
        <f t="shared" si="45"/>
        <v>0.20041617364875999</v>
      </c>
      <c r="O80" s="61"/>
      <c r="P80" s="21">
        <v>433</v>
      </c>
      <c r="Q80" s="33">
        <v>1</v>
      </c>
      <c r="R80">
        <f t="shared" si="46"/>
        <v>0.27749004990579795</v>
      </c>
      <c r="S80">
        <f t="shared" si="47"/>
        <v>1.7217181279455773E-2</v>
      </c>
      <c r="T80">
        <f t="shared" si="48"/>
        <v>6.0707377280024897</v>
      </c>
      <c r="U80">
        <f t="shared" si="49"/>
        <v>-1.2819702026338193</v>
      </c>
      <c r="W80">
        <f t="shared" si="50"/>
        <v>21788765121</v>
      </c>
      <c r="AD80" s="21">
        <v>433</v>
      </c>
      <c r="AE80" s="33">
        <v>1</v>
      </c>
      <c r="AF80" s="22">
        <v>0.17199999999999999</v>
      </c>
      <c r="AG80" s="36">
        <v>0.01</v>
      </c>
      <c r="AH80" s="21"/>
      <c r="AI80" s="22"/>
      <c r="AJ80" s="13">
        <v>433</v>
      </c>
      <c r="AK80" s="6">
        <f t="shared" si="39"/>
        <v>324727883.09468824</v>
      </c>
      <c r="AL80" s="22">
        <f t="shared" si="40"/>
        <v>35151793345</v>
      </c>
      <c r="AM80" s="22">
        <f t="shared" si="41"/>
        <v>324893876.12897068</v>
      </c>
      <c r="AN80" s="22">
        <v>0.17199999999999999</v>
      </c>
      <c r="AO80" s="23">
        <v>0.01</v>
      </c>
      <c r="AQ80" s="13">
        <v>342</v>
      </c>
      <c r="AR80" s="6">
        <f t="shared" si="51"/>
        <v>70100992.367905244</v>
      </c>
      <c r="AS80" s="22">
        <f t="shared" si="52"/>
        <v>5993634847.4558992</v>
      </c>
      <c r="AT80" s="22">
        <f t="shared" si="53"/>
        <v>70865942.581147909</v>
      </c>
      <c r="AU80" s="38">
        <v>1.65</v>
      </c>
      <c r="AV80" s="22">
        <v>0.01</v>
      </c>
      <c r="AW80" s="38">
        <v>1.06</v>
      </c>
      <c r="AX80" s="22">
        <v>0.01</v>
      </c>
      <c r="AY80" s="38">
        <v>1.653</v>
      </c>
      <c r="AZ80" s="22">
        <v>0.01</v>
      </c>
      <c r="BA80" s="38">
        <v>0.27500000000000002</v>
      </c>
      <c r="BB80" s="23">
        <v>0.01</v>
      </c>
    </row>
    <row r="81" spans="2:54" x14ac:dyDescent="0.25">
      <c r="B81" s="13">
        <v>165</v>
      </c>
      <c r="C81" s="6">
        <f t="shared" si="33"/>
        <v>438</v>
      </c>
      <c r="D81" s="7">
        <v>-0.184</v>
      </c>
      <c r="E81" s="6">
        <f t="shared" si="34"/>
        <v>438</v>
      </c>
      <c r="F81" s="14">
        <f t="shared" si="54"/>
        <v>0.184</v>
      </c>
      <c r="G81">
        <f t="shared" si="42"/>
        <v>36804120336</v>
      </c>
      <c r="H81">
        <f t="shared" si="35"/>
        <v>13363360000</v>
      </c>
      <c r="I81">
        <f t="shared" si="43"/>
        <v>0.36309412853779338</v>
      </c>
      <c r="J81">
        <f t="shared" si="36"/>
        <v>1.2829602938027833E-2</v>
      </c>
      <c r="K81">
        <f t="shared" si="37"/>
        <v>0.28889669297218651</v>
      </c>
      <c r="L81">
        <f t="shared" si="38"/>
        <v>1.6744678752472847E-2</v>
      </c>
      <c r="M81">
        <f t="shared" si="44"/>
        <v>2.465184877429873</v>
      </c>
      <c r="N81" s="61">
        <f t="shared" si="45"/>
        <v>0.20574753266379708</v>
      </c>
      <c r="O81" s="61"/>
      <c r="P81" s="21">
        <v>438</v>
      </c>
      <c r="Q81" s="33">
        <v>1</v>
      </c>
      <c r="R81">
        <f t="shared" si="46"/>
        <v>0.28889669297218651</v>
      </c>
      <c r="S81">
        <f t="shared" si="47"/>
        <v>1.6744678752472847E-2</v>
      </c>
      <c r="T81">
        <f t="shared" si="48"/>
        <v>6.0822189103764464</v>
      </c>
      <c r="U81">
        <f t="shared" si="49"/>
        <v>-1.2416861185391663</v>
      </c>
      <c r="W81">
        <f t="shared" si="50"/>
        <v>23440760336</v>
      </c>
      <c r="AD81" s="21">
        <v>438</v>
      </c>
      <c r="AE81" s="33">
        <v>1</v>
      </c>
      <c r="AF81" s="22">
        <v>0.184</v>
      </c>
      <c r="AG81" s="36">
        <v>0.01</v>
      </c>
      <c r="AH81" s="21"/>
      <c r="AI81" s="22"/>
      <c r="AJ81" s="13">
        <v>438</v>
      </c>
      <c r="AK81" s="6">
        <f t="shared" si="39"/>
        <v>336107658.08219177</v>
      </c>
      <c r="AL81" s="22">
        <f t="shared" si="40"/>
        <v>36803788560</v>
      </c>
      <c r="AM81" s="22">
        <f t="shared" si="41"/>
        <v>336268033.72970939</v>
      </c>
      <c r="AN81" s="22">
        <v>0.184</v>
      </c>
      <c r="AO81" s="23">
        <v>0.01</v>
      </c>
      <c r="AQ81" s="13">
        <v>344</v>
      </c>
      <c r="AR81" s="6">
        <f t="shared" si="51"/>
        <v>73447284.272743016</v>
      </c>
      <c r="AS81" s="22">
        <f t="shared" si="52"/>
        <v>6316466447.4558992</v>
      </c>
      <c r="AT81" s="22">
        <f t="shared" si="53"/>
        <v>74177734.219849065</v>
      </c>
      <c r="AU81" s="38">
        <v>1.736</v>
      </c>
      <c r="AV81" s="22">
        <v>0.01</v>
      </c>
      <c r="AW81" s="38">
        <v>1.1160000000000001</v>
      </c>
      <c r="AX81" s="22">
        <v>0.01</v>
      </c>
      <c r="AY81" s="38">
        <v>1.738</v>
      </c>
      <c r="AZ81" s="22">
        <v>0.01</v>
      </c>
      <c r="BA81" s="38">
        <v>0.28999999999999998</v>
      </c>
      <c r="BB81" s="23">
        <v>0.01</v>
      </c>
    </row>
    <row r="82" spans="2:54" x14ac:dyDescent="0.25">
      <c r="B82" s="13">
        <v>170</v>
      </c>
      <c r="C82" s="6">
        <f t="shared" si="33"/>
        <v>443</v>
      </c>
      <c r="D82" s="7">
        <v>-0.19900000000000001</v>
      </c>
      <c r="E82" s="6">
        <f t="shared" si="34"/>
        <v>443</v>
      </c>
      <c r="F82" s="14">
        <f t="shared" si="54"/>
        <v>0.19900000000000001</v>
      </c>
      <c r="G82">
        <f t="shared" si="42"/>
        <v>38513670001</v>
      </c>
      <c r="H82">
        <f t="shared" si="35"/>
        <v>13363360000</v>
      </c>
      <c r="I82">
        <f t="shared" si="43"/>
        <v>0.34697706034384734</v>
      </c>
      <c r="J82">
        <f t="shared" si="36"/>
        <v>1.22621092909528E-2</v>
      </c>
      <c r="K82">
        <f t="shared" si="37"/>
        <v>0.3047366147731087</v>
      </c>
      <c r="L82">
        <f t="shared" si="38"/>
        <v>1.6347583127521756E-2</v>
      </c>
      <c r="M82">
        <f t="shared" si="44"/>
        <v>2.3450014995422857</v>
      </c>
      <c r="N82" s="61">
        <f t="shared" si="45"/>
        <v>0.2177671675331134</v>
      </c>
      <c r="O82" s="61"/>
      <c r="P82" s="21">
        <v>443</v>
      </c>
      <c r="Q82" s="33">
        <v>1</v>
      </c>
      <c r="R82">
        <f t="shared" si="46"/>
        <v>0.3047366147731087</v>
      </c>
      <c r="S82">
        <f t="shared" si="47"/>
        <v>1.6347583127521756E-2</v>
      </c>
      <c r="T82">
        <f t="shared" si="48"/>
        <v>6.0935697700451357</v>
      </c>
      <c r="U82">
        <f t="shared" si="49"/>
        <v>-1.1883074335767949</v>
      </c>
      <c r="W82">
        <f t="shared" si="50"/>
        <v>25150310001</v>
      </c>
      <c r="AD82" s="21">
        <v>443</v>
      </c>
      <c r="AE82" s="33">
        <v>1</v>
      </c>
      <c r="AF82" s="22">
        <v>0.19900000000000001</v>
      </c>
      <c r="AG82" s="36">
        <v>0.01</v>
      </c>
      <c r="AH82" s="21"/>
      <c r="AI82" s="22"/>
      <c r="AJ82" s="13">
        <v>443</v>
      </c>
      <c r="AK82" s="6">
        <f t="shared" si="39"/>
        <v>347750232.27990967</v>
      </c>
      <c r="AL82" s="22">
        <f t="shared" si="40"/>
        <v>38513338225</v>
      </c>
      <c r="AM82" s="22">
        <f t="shared" si="41"/>
        <v>347905241.03221065</v>
      </c>
      <c r="AN82" s="22">
        <v>0.19900000000000001</v>
      </c>
      <c r="AO82" s="23">
        <v>0.01</v>
      </c>
      <c r="AQ82" s="13">
        <v>346</v>
      </c>
      <c r="AR82" s="6">
        <f t="shared" si="51"/>
        <v>76820557.311628893</v>
      </c>
      <c r="AS82" s="22">
        <f t="shared" si="52"/>
        <v>6644978207.4558992</v>
      </c>
      <c r="AT82" s="22">
        <f t="shared" si="53"/>
        <v>77519228.018722564</v>
      </c>
      <c r="AU82" s="38">
        <v>1.825</v>
      </c>
      <c r="AV82" s="22">
        <v>0.01</v>
      </c>
      <c r="AW82" s="38">
        <v>1.1739999999999999</v>
      </c>
      <c r="AX82" s="22">
        <v>0.01</v>
      </c>
      <c r="AY82" s="38">
        <v>1.827</v>
      </c>
      <c r="AZ82" s="22">
        <v>0.01</v>
      </c>
      <c r="BA82" s="38">
        <v>0.30299999999999999</v>
      </c>
      <c r="BB82" s="23">
        <v>0.01</v>
      </c>
    </row>
    <row r="83" spans="2:54" x14ac:dyDescent="0.25">
      <c r="B83" s="13">
        <v>175</v>
      </c>
      <c r="C83" s="6">
        <f t="shared" si="33"/>
        <v>448</v>
      </c>
      <c r="D83" s="7">
        <v>-0.214</v>
      </c>
      <c r="E83" s="6">
        <f t="shared" si="34"/>
        <v>448</v>
      </c>
      <c r="F83" s="14">
        <f t="shared" si="54"/>
        <v>0.214</v>
      </c>
      <c r="G83">
        <f t="shared" si="42"/>
        <v>40282095616</v>
      </c>
      <c r="H83">
        <f t="shared" si="35"/>
        <v>13363360000</v>
      </c>
      <c r="I83">
        <f t="shared" si="43"/>
        <v>0.33174440891531198</v>
      </c>
      <c r="J83">
        <f t="shared" si="36"/>
        <v>1.1725771490749127E-2</v>
      </c>
      <c r="K83">
        <f t="shared" si="37"/>
        <v>0.32023675200778046</v>
      </c>
      <c r="L83">
        <f t="shared" si="38"/>
        <v>1.5984556724276004E-2</v>
      </c>
      <c r="M83">
        <f t="shared" si="44"/>
        <v>2.2393129822799525</v>
      </c>
      <c r="N83" s="61">
        <f t="shared" si="45"/>
        <v>0.22964507848289464</v>
      </c>
      <c r="O83" s="61"/>
      <c r="P83" s="21">
        <v>448</v>
      </c>
      <c r="Q83" s="33">
        <v>1</v>
      </c>
      <c r="R83">
        <f t="shared" si="46"/>
        <v>0.32023675200778046</v>
      </c>
      <c r="S83">
        <f t="shared" si="47"/>
        <v>1.5984556724276004E-2</v>
      </c>
      <c r="T83">
        <f t="shared" si="48"/>
        <v>6.1047932324149849</v>
      </c>
      <c r="U83">
        <f t="shared" si="49"/>
        <v>-1.1386947067181625</v>
      </c>
      <c r="W83">
        <f t="shared" si="50"/>
        <v>26918735616</v>
      </c>
      <c r="AD83" s="21">
        <v>448</v>
      </c>
      <c r="AE83" s="33">
        <v>1</v>
      </c>
      <c r="AF83" s="22">
        <v>0.214</v>
      </c>
      <c r="AG83" s="36">
        <v>0.01</v>
      </c>
      <c r="AH83" s="21"/>
      <c r="AI83" s="22"/>
      <c r="AJ83" s="13">
        <v>448</v>
      </c>
      <c r="AK83" s="6">
        <f t="shared" si="39"/>
        <v>359658605.71428567</v>
      </c>
      <c r="AL83" s="22">
        <f t="shared" si="40"/>
        <v>40281763840</v>
      </c>
      <c r="AM83" s="22">
        <f t="shared" si="41"/>
        <v>359808484.26808035</v>
      </c>
      <c r="AN83" s="22">
        <v>0.214</v>
      </c>
      <c r="AO83" s="23">
        <v>0.01</v>
      </c>
      <c r="AQ83" s="13">
        <v>348</v>
      </c>
      <c r="AR83" s="6">
        <f t="shared" si="51"/>
        <v>80221107.671906888</v>
      </c>
      <c r="AS83" s="22">
        <f t="shared" si="52"/>
        <v>6979236367.4558992</v>
      </c>
      <c r="AT83" s="22">
        <f t="shared" si="53"/>
        <v>80890412.306138739</v>
      </c>
      <c r="AU83" s="38">
        <v>1.92</v>
      </c>
      <c r="AV83" s="22">
        <v>0.01</v>
      </c>
      <c r="AW83" s="38">
        <v>1.234</v>
      </c>
      <c r="AX83" s="22">
        <v>0.01</v>
      </c>
      <c r="AY83" s="38">
        <v>1.921</v>
      </c>
      <c r="AZ83" s="22">
        <v>0.01</v>
      </c>
      <c r="BA83" s="38">
        <v>0.32</v>
      </c>
      <c r="BB83" s="23">
        <v>0.01</v>
      </c>
    </row>
    <row r="84" spans="2:54" x14ac:dyDescent="0.25">
      <c r="B84" s="13">
        <v>180</v>
      </c>
      <c r="C84" s="6">
        <f t="shared" si="33"/>
        <v>453</v>
      </c>
      <c r="D84" s="7">
        <v>-0.22800000000000001</v>
      </c>
      <c r="E84" s="6">
        <f t="shared" si="34"/>
        <v>453</v>
      </c>
      <c r="F84" s="14">
        <f t="shared" si="54"/>
        <v>0.22800000000000001</v>
      </c>
      <c r="G84">
        <f t="shared" si="42"/>
        <v>42110733681</v>
      </c>
      <c r="H84">
        <f t="shared" si="35"/>
        <v>13363360000</v>
      </c>
      <c r="I84">
        <f t="shared" si="43"/>
        <v>0.31733856981051445</v>
      </c>
      <c r="J84">
        <f t="shared" si="36"/>
        <v>1.1218391505402299E-2</v>
      </c>
      <c r="K84">
        <f t="shared" si="37"/>
        <v>0.33398693688716868</v>
      </c>
      <c r="L84">
        <f t="shared" si="38"/>
        <v>1.5643010879119509E-2</v>
      </c>
      <c r="M84">
        <f t="shared" si="44"/>
        <v>2.1458001310263461</v>
      </c>
      <c r="N84" s="61">
        <f t="shared" si="45"/>
        <v>0.23935815518902262</v>
      </c>
      <c r="O84" s="61"/>
      <c r="P84" s="21">
        <v>453</v>
      </c>
      <c r="Q84" s="33">
        <v>1</v>
      </c>
      <c r="R84">
        <f t="shared" si="46"/>
        <v>0.33398693688716868</v>
      </c>
      <c r="S84">
        <f t="shared" si="47"/>
        <v>1.5643010879119509E-2</v>
      </c>
      <c r="T84">
        <f t="shared" si="48"/>
        <v>6.1158921254830343</v>
      </c>
      <c r="U84">
        <f t="shared" si="49"/>
        <v>-1.0966533978865578</v>
      </c>
      <c r="W84">
        <f t="shared" si="50"/>
        <v>28747373681</v>
      </c>
      <c r="AD84" s="21">
        <v>453</v>
      </c>
      <c r="AE84" s="33">
        <v>1</v>
      </c>
      <c r="AF84" s="22">
        <v>0.22800000000000001</v>
      </c>
      <c r="AG84" s="36">
        <v>0.01</v>
      </c>
      <c r="AH84" s="21"/>
      <c r="AI84" s="22"/>
      <c r="AJ84" s="13">
        <v>453</v>
      </c>
      <c r="AK84" s="6">
        <f t="shared" si="39"/>
        <v>371835778.41059601</v>
      </c>
      <c r="AL84" s="22">
        <f t="shared" si="40"/>
        <v>42110401905</v>
      </c>
      <c r="AM84" s="22">
        <f t="shared" si="41"/>
        <v>371980750.56804121</v>
      </c>
      <c r="AN84" s="22">
        <v>0.22800000000000001</v>
      </c>
      <c r="AO84" s="23">
        <v>0.01</v>
      </c>
      <c r="AQ84" s="13">
        <v>350</v>
      </c>
      <c r="AR84" s="6">
        <f t="shared" si="51"/>
        <v>83649229.159495994</v>
      </c>
      <c r="AS84" s="22">
        <f t="shared" si="52"/>
        <v>7319307551.4558992</v>
      </c>
      <c r="AT84" s="22">
        <f t="shared" si="53"/>
        <v>84291317.618882418</v>
      </c>
      <c r="AU84" s="38">
        <v>2.0179999999999998</v>
      </c>
      <c r="AV84" s="22">
        <v>0.01</v>
      </c>
      <c r="AW84" s="38">
        <v>1.2949999999999999</v>
      </c>
      <c r="AX84" s="22">
        <v>0.01</v>
      </c>
      <c r="AY84" s="38">
        <v>2.0089999999999999</v>
      </c>
      <c r="AZ84" s="22">
        <v>0.01</v>
      </c>
      <c r="BA84" s="38">
        <v>0.33900000000000002</v>
      </c>
      <c r="BB84" s="23">
        <v>0.01</v>
      </c>
    </row>
    <row r="85" spans="2:54" x14ac:dyDescent="0.25">
      <c r="B85" s="13">
        <v>185</v>
      </c>
      <c r="C85" s="6">
        <f t="shared" si="33"/>
        <v>458</v>
      </c>
      <c r="D85" s="7">
        <v>-0.24399999999999999</v>
      </c>
      <c r="E85" s="6">
        <f t="shared" si="34"/>
        <v>458</v>
      </c>
      <c r="F85" s="14">
        <f t="shared" si="54"/>
        <v>0.24399999999999999</v>
      </c>
      <c r="G85">
        <f t="shared" si="42"/>
        <v>44000935696</v>
      </c>
      <c r="H85">
        <f t="shared" si="35"/>
        <v>13363360000</v>
      </c>
      <c r="I85">
        <f t="shared" si="43"/>
        <v>0.30370626871043621</v>
      </c>
      <c r="J85">
        <f t="shared" si="36"/>
        <v>1.0738565453395047E-2</v>
      </c>
      <c r="K85">
        <f t="shared" si="37"/>
        <v>0.35042682281241028</v>
      </c>
      <c r="L85">
        <f t="shared" si="38"/>
        <v>1.5344967790139977E-2</v>
      </c>
      <c r="M85">
        <f t="shared" si="44"/>
        <v>2.062600076363887</v>
      </c>
      <c r="N85" s="61">
        <f t="shared" si="45"/>
        <v>0.2532851404501712</v>
      </c>
      <c r="O85" s="61"/>
      <c r="P85" s="21">
        <v>458</v>
      </c>
      <c r="Q85" s="33">
        <v>1</v>
      </c>
      <c r="R85">
        <f t="shared" si="46"/>
        <v>0.35042682281241028</v>
      </c>
      <c r="S85">
        <f t="shared" si="47"/>
        <v>1.5344967790139977E-2</v>
      </c>
      <c r="T85">
        <f t="shared" si="48"/>
        <v>6.1268691841141854</v>
      </c>
      <c r="U85">
        <f t="shared" si="49"/>
        <v>-1.0486033737274598</v>
      </c>
      <c r="W85">
        <f t="shared" si="50"/>
        <v>30637575696</v>
      </c>
      <c r="AD85" s="21">
        <v>458</v>
      </c>
      <c r="AE85" s="33">
        <v>1</v>
      </c>
      <c r="AF85" s="22">
        <v>0.24399999999999999</v>
      </c>
      <c r="AG85" s="36">
        <v>0.01</v>
      </c>
      <c r="AH85" s="21"/>
      <c r="AI85" s="22"/>
      <c r="AJ85" s="13">
        <v>458</v>
      </c>
      <c r="AK85" s="6">
        <f t="shared" si="39"/>
        <v>384284750.39301306</v>
      </c>
      <c r="AL85" s="22">
        <f t="shared" si="40"/>
        <v>44000603920</v>
      </c>
      <c r="AM85" s="22">
        <f t="shared" si="41"/>
        <v>384425027.89434743</v>
      </c>
      <c r="AN85" s="22">
        <v>0.24399999999999999</v>
      </c>
      <c r="AO85" s="23">
        <v>0.01</v>
      </c>
      <c r="AQ85" s="13">
        <v>352</v>
      </c>
      <c r="AR85" s="6">
        <f t="shared" si="51"/>
        <v>87105213.266544312</v>
      </c>
      <c r="AS85" s="22">
        <f t="shared" si="52"/>
        <v>7665258767.4558992</v>
      </c>
      <c r="AT85" s="22">
        <f t="shared" si="53"/>
        <v>87722009.012331739</v>
      </c>
      <c r="AU85" s="38">
        <v>2.109</v>
      </c>
      <c r="AV85" s="22">
        <v>0.01</v>
      </c>
      <c r="AW85" s="38">
        <v>1.3560000000000001</v>
      </c>
      <c r="AX85" s="22">
        <v>0.01</v>
      </c>
      <c r="AY85" s="38">
        <v>2.1070000000000002</v>
      </c>
      <c r="AZ85" s="22">
        <v>0.01</v>
      </c>
      <c r="BA85" s="38">
        <v>0.35499999999999998</v>
      </c>
      <c r="BB85" s="23">
        <v>0.01</v>
      </c>
    </row>
    <row r="86" spans="2:54" x14ac:dyDescent="0.25">
      <c r="B86" s="13">
        <v>190</v>
      </c>
      <c r="C86" s="6">
        <f t="shared" ref="C86:C117" si="55">B86+$Q$5</f>
        <v>463</v>
      </c>
      <c r="D86" s="7">
        <v>-0.26</v>
      </c>
      <c r="E86" s="6">
        <f t="shared" ref="E86:E117" si="56">$Q$5+B86</f>
        <v>463</v>
      </c>
      <c r="F86" s="14">
        <f t="shared" si="54"/>
        <v>0.26</v>
      </c>
      <c r="G86">
        <f t="shared" si="42"/>
        <v>45954068161</v>
      </c>
      <c r="H86">
        <f t="shared" ref="H86:H117" si="57">$N$51^4</f>
        <v>13363360000</v>
      </c>
      <c r="I86">
        <f t="shared" si="43"/>
        <v>0.29079819338695956</v>
      </c>
      <c r="J86">
        <f t="shared" ref="J86:J117" si="58">I86*SQRT((((D86/C86)^2)*16)+((($O$51/$N$51)^2)*16))</f>
        <v>1.0284230316091698E-2</v>
      </c>
      <c r="K86">
        <f t="shared" ref="K86:K117" si="59">AF86/(1-I86)</f>
        <v>0.36660933118838346</v>
      </c>
      <c r="L86">
        <f t="shared" ref="L86:L117" si="60">SQRT((M86*AG86^2)+(N86*J86^2))</f>
        <v>1.5069261605660146E-2</v>
      </c>
      <c r="M86">
        <f t="shared" si="44"/>
        <v>1.9882012087928076</v>
      </c>
      <c r="N86" s="61">
        <f t="shared" si="45"/>
        <v>0.26721901755321437</v>
      </c>
      <c r="O86" s="61"/>
      <c r="P86" s="21">
        <v>463</v>
      </c>
      <c r="Q86" s="33">
        <v>1</v>
      </c>
      <c r="R86">
        <f t="shared" si="46"/>
        <v>0.36660933118838346</v>
      </c>
      <c r="S86">
        <f t="shared" si="47"/>
        <v>1.5069261605660146E-2</v>
      </c>
      <c r="T86">
        <f t="shared" si="48"/>
        <v>6.1377270540862341</v>
      </c>
      <c r="U86">
        <f t="shared" si="49"/>
        <v>-1.0034584905769945</v>
      </c>
      <c r="W86">
        <f t="shared" si="50"/>
        <v>32590708161</v>
      </c>
      <c r="AD86" s="21">
        <v>463</v>
      </c>
      <c r="AE86" s="33">
        <v>1</v>
      </c>
      <c r="AF86" s="22">
        <v>0.26</v>
      </c>
      <c r="AG86" s="36">
        <v>0.01</v>
      </c>
      <c r="AH86" s="21"/>
      <c r="AI86" s="22"/>
      <c r="AJ86" s="13">
        <v>463</v>
      </c>
      <c r="AK86" s="6">
        <f t="shared" ref="AK86:AK117" si="61">AL86*(SQRT(16*(1/AJ86)^2))</f>
        <v>397008521.68466526</v>
      </c>
      <c r="AL86" s="22">
        <f t="shared" ref="AL86:AL117" si="62">AD86^4-24^4</f>
        <v>45953736385</v>
      </c>
      <c r="AM86" s="22">
        <f t="shared" ref="AM86:AM117" si="63">SQRT(AK86^2+$U$4^2)</f>
        <v>397144304.97892421</v>
      </c>
      <c r="AN86" s="22">
        <v>0.26</v>
      </c>
      <c r="AO86" s="23">
        <v>0.01</v>
      </c>
      <c r="AQ86" s="13">
        <v>354</v>
      </c>
      <c r="AR86" s="6">
        <f t="shared" si="51"/>
        <v>90589349.236789823</v>
      </c>
      <c r="AS86" s="22">
        <f t="shared" si="52"/>
        <v>8017157407.4558992</v>
      </c>
      <c r="AT86" s="22">
        <f t="shared" si="53"/>
        <v>91182579.926730067</v>
      </c>
      <c r="AU86" s="38">
        <v>2.2069999999999999</v>
      </c>
      <c r="AV86" s="22">
        <v>0.01</v>
      </c>
      <c r="AW86" s="38">
        <v>1.41</v>
      </c>
      <c r="AX86" s="22">
        <v>0.01</v>
      </c>
      <c r="AY86" s="38">
        <v>2.1970000000000001</v>
      </c>
      <c r="AZ86" s="22">
        <v>0.01</v>
      </c>
      <c r="BA86" s="38">
        <v>0.36799999999999999</v>
      </c>
      <c r="BB86" s="23">
        <v>0.01</v>
      </c>
    </row>
    <row r="87" spans="2:54" ht="15.75" thickBot="1" x14ac:dyDescent="0.3">
      <c r="B87" s="13">
        <v>195</v>
      </c>
      <c r="C87" s="6">
        <f t="shared" si="55"/>
        <v>468</v>
      </c>
      <c r="D87" s="7">
        <v>-0.27600000000000002</v>
      </c>
      <c r="E87" s="6">
        <f t="shared" si="56"/>
        <v>468</v>
      </c>
      <c r="F87" s="14">
        <f t="shared" si="54"/>
        <v>0.27600000000000002</v>
      </c>
      <c r="G87">
        <f t="shared" si="42"/>
        <v>47971512576</v>
      </c>
      <c r="H87">
        <f t="shared" si="57"/>
        <v>13363360000</v>
      </c>
      <c r="I87">
        <f t="shared" si="43"/>
        <v>0.27856866049051054</v>
      </c>
      <c r="J87">
        <f t="shared" si="58"/>
        <v>9.8537713144259305E-3</v>
      </c>
      <c r="K87">
        <f t="shared" si="59"/>
        <v>0.38257278951543194</v>
      </c>
      <c r="L87">
        <f t="shared" si="60"/>
        <v>1.4813561668301152E-2</v>
      </c>
      <c r="M87">
        <f t="shared" si="44"/>
        <v>1.9213655124661173</v>
      </c>
      <c r="N87" s="61">
        <f t="shared" si="45"/>
        <v>0.28121478246567716</v>
      </c>
      <c r="O87" s="61"/>
      <c r="P87" s="21">
        <v>468</v>
      </c>
      <c r="Q87" s="33">
        <v>1</v>
      </c>
      <c r="R87">
        <f t="shared" si="46"/>
        <v>0.38257278951543194</v>
      </c>
      <c r="S87">
        <f t="shared" si="47"/>
        <v>1.4813561668301152E-2</v>
      </c>
      <c r="T87">
        <f t="shared" si="48"/>
        <v>6.1484682959176471</v>
      </c>
      <c r="U87">
        <f t="shared" si="49"/>
        <v>-0.9608363444334278</v>
      </c>
      <c r="W87">
        <f t="shared" si="50"/>
        <v>34608152576</v>
      </c>
      <c r="AD87" s="21">
        <v>468</v>
      </c>
      <c r="AE87" s="33">
        <v>1</v>
      </c>
      <c r="AF87" s="22">
        <v>0.27600000000000002</v>
      </c>
      <c r="AG87" s="36">
        <v>0.01</v>
      </c>
      <c r="AH87" s="21"/>
      <c r="AI87" s="22"/>
      <c r="AJ87" s="13">
        <v>468</v>
      </c>
      <c r="AK87" s="6">
        <f t="shared" si="61"/>
        <v>410010092.30769235</v>
      </c>
      <c r="AL87" s="22">
        <f t="shared" si="62"/>
        <v>47971180800</v>
      </c>
      <c r="AM87" s="22">
        <f t="shared" si="63"/>
        <v>410141571.26669306</v>
      </c>
      <c r="AN87" s="22">
        <v>0.27600000000000002</v>
      </c>
      <c r="AO87" s="23">
        <v>0.01</v>
      </c>
      <c r="AQ87" s="15">
        <v>356</v>
      </c>
      <c r="AR87" s="9">
        <f t="shared" si="51"/>
        <v>94101924.128717959</v>
      </c>
      <c r="AS87" s="24">
        <f t="shared" si="52"/>
        <v>8375071247.4558992</v>
      </c>
      <c r="AT87" s="24">
        <f t="shared" si="53"/>
        <v>94673147.257690936</v>
      </c>
      <c r="AU87" s="39">
        <v>2.2930000000000001</v>
      </c>
      <c r="AV87" s="24">
        <v>0.01</v>
      </c>
      <c r="AW87" s="40">
        <v>1.4830000000000001</v>
      </c>
      <c r="AX87" s="24">
        <v>0.01</v>
      </c>
      <c r="AY87" s="40">
        <v>2.3010000000000002</v>
      </c>
      <c r="AZ87" s="24">
        <v>0.01</v>
      </c>
      <c r="BA87" s="40">
        <v>0.38600000000000001</v>
      </c>
      <c r="BB87" s="20">
        <v>0.01</v>
      </c>
    </row>
    <row r="88" spans="2:54" x14ac:dyDescent="0.25">
      <c r="B88" s="13">
        <v>200</v>
      </c>
      <c r="C88" s="6">
        <f t="shared" si="55"/>
        <v>473</v>
      </c>
      <c r="D88" s="7">
        <v>-0.29299999999999998</v>
      </c>
      <c r="E88" s="6">
        <f t="shared" si="56"/>
        <v>473</v>
      </c>
      <c r="F88" s="14">
        <f t="shared" si="54"/>
        <v>0.29299999999999998</v>
      </c>
      <c r="G88">
        <f t="shared" si="42"/>
        <v>50054665441</v>
      </c>
      <c r="H88">
        <f t="shared" si="57"/>
        <v>13363360000</v>
      </c>
      <c r="I88">
        <f t="shared" si="43"/>
        <v>0.26697531353498993</v>
      </c>
      <c r="J88">
        <f t="shared" si="58"/>
        <v>9.4458500919051142E-3</v>
      </c>
      <c r="K88">
        <f t="shared" si="59"/>
        <v>0.39971368687865594</v>
      </c>
      <c r="L88">
        <f t="shared" si="60"/>
        <v>1.458209126945709E-2</v>
      </c>
      <c r="M88">
        <f t="shared" si="44"/>
        <v>1.8610703849564725</v>
      </c>
      <c r="N88" s="61">
        <f t="shared" si="45"/>
        <v>0.29734513505789278</v>
      </c>
      <c r="O88" s="61"/>
      <c r="P88" s="21">
        <v>473</v>
      </c>
      <c r="Q88" s="33">
        <v>1</v>
      </c>
      <c r="R88">
        <f t="shared" si="46"/>
        <v>0.39971368687865594</v>
      </c>
      <c r="S88">
        <f t="shared" si="47"/>
        <v>1.458209126945709E-2</v>
      </c>
      <c r="T88">
        <f t="shared" si="48"/>
        <v>6.1590953884919326</v>
      </c>
      <c r="U88">
        <f t="shared" si="49"/>
        <v>-0.9170067709723343</v>
      </c>
      <c r="W88">
        <f t="shared" si="50"/>
        <v>36691305441</v>
      </c>
      <c r="AD88" s="21">
        <v>473</v>
      </c>
      <c r="AE88" s="33">
        <v>1</v>
      </c>
      <c r="AF88" s="22">
        <v>0.29299999999999998</v>
      </c>
      <c r="AG88" s="36">
        <v>0.01</v>
      </c>
      <c r="AH88" s="21"/>
      <c r="AI88" s="22"/>
      <c r="AJ88" s="13">
        <v>473</v>
      </c>
      <c r="AK88" s="6">
        <f t="shared" si="61"/>
        <v>423292462.28329813</v>
      </c>
      <c r="AL88" s="22">
        <f t="shared" si="62"/>
        <v>50054333665</v>
      </c>
      <c r="AM88" s="22">
        <f t="shared" si="63"/>
        <v>423419816.86360264</v>
      </c>
      <c r="AN88" s="22">
        <v>0.29299999999999998</v>
      </c>
      <c r="AO88" s="23">
        <v>0.01</v>
      </c>
    </row>
    <row r="89" spans="2:54" x14ac:dyDescent="0.25">
      <c r="B89" s="13">
        <v>205</v>
      </c>
      <c r="C89" s="6">
        <f t="shared" si="55"/>
        <v>478</v>
      </c>
      <c r="D89" s="7">
        <v>-0.31</v>
      </c>
      <c r="E89" s="6">
        <f t="shared" si="56"/>
        <v>478</v>
      </c>
      <c r="F89" s="14">
        <f t="shared" si="54"/>
        <v>0.31</v>
      </c>
      <c r="G89">
        <f t="shared" si="42"/>
        <v>52204938256</v>
      </c>
      <c r="H89">
        <f t="shared" si="57"/>
        <v>13363360000</v>
      </c>
      <c r="I89">
        <f t="shared" si="43"/>
        <v>0.25597884886807865</v>
      </c>
      <c r="J89">
        <f t="shared" si="58"/>
        <v>9.0589186416891992E-3</v>
      </c>
      <c r="K89">
        <f t="shared" si="59"/>
        <v>0.41665482161142797</v>
      </c>
      <c r="L89">
        <f t="shared" si="60"/>
        <v>1.4366004745233172E-2</v>
      </c>
      <c r="M89">
        <f t="shared" si="44"/>
        <v>1.8064645200005298</v>
      </c>
      <c r="N89" s="61">
        <f t="shared" si="45"/>
        <v>0.31360448136019342</v>
      </c>
      <c r="O89" s="61"/>
      <c r="P89" s="21">
        <v>478</v>
      </c>
      <c r="Q89" s="33">
        <v>1</v>
      </c>
      <c r="R89">
        <f t="shared" si="46"/>
        <v>0.41665482161142797</v>
      </c>
      <c r="S89">
        <f t="shared" si="47"/>
        <v>1.4366004745233172E-2</v>
      </c>
      <c r="T89">
        <f t="shared" si="48"/>
        <v>6.1696107324914564</v>
      </c>
      <c r="U89">
        <f t="shared" si="49"/>
        <v>-0.87549716589055981</v>
      </c>
      <c r="W89">
        <f t="shared" si="50"/>
        <v>38841578256</v>
      </c>
      <c r="AD89" s="21">
        <v>478</v>
      </c>
      <c r="AE89" s="33">
        <v>1</v>
      </c>
      <c r="AF89" s="22">
        <v>0.31</v>
      </c>
      <c r="AG89" s="36">
        <v>0.01</v>
      </c>
      <c r="AH89" s="21"/>
      <c r="AI89" s="22"/>
      <c r="AJ89" s="13">
        <v>478</v>
      </c>
      <c r="AK89" s="6">
        <f t="shared" si="61"/>
        <v>436858631.6317991</v>
      </c>
      <c r="AL89" s="22">
        <f t="shared" si="62"/>
        <v>52204606480</v>
      </c>
      <c r="AM89" s="22">
        <f t="shared" si="63"/>
        <v>436982032.48893124</v>
      </c>
      <c r="AN89" s="22">
        <v>0.31</v>
      </c>
      <c r="AO89" s="23">
        <v>0.01</v>
      </c>
    </row>
    <row r="90" spans="2:54" x14ac:dyDescent="0.25">
      <c r="B90" s="13">
        <v>210</v>
      </c>
      <c r="C90" s="6">
        <f t="shared" si="55"/>
        <v>483</v>
      </c>
      <c r="D90" s="7">
        <v>-0.32900000000000001</v>
      </c>
      <c r="E90" s="6">
        <f t="shared" si="56"/>
        <v>483</v>
      </c>
      <c r="F90" s="14">
        <f t="shared" si="54"/>
        <v>0.32900000000000001</v>
      </c>
      <c r="G90">
        <f t="shared" si="42"/>
        <v>54423757521</v>
      </c>
      <c r="H90">
        <f t="shared" si="57"/>
        <v>13363360000</v>
      </c>
      <c r="I90">
        <f t="shared" si="43"/>
        <v>0.24554276677503573</v>
      </c>
      <c r="J90">
        <f t="shared" si="58"/>
        <v>8.6920002738412206E-3</v>
      </c>
      <c r="K90">
        <f t="shared" si="59"/>
        <v>0.43607508220667918</v>
      </c>
      <c r="L90">
        <f t="shared" si="60"/>
        <v>1.4174752392255062E-2</v>
      </c>
      <c r="M90">
        <f t="shared" si="44"/>
        <v>1.7568340769353756</v>
      </c>
      <c r="N90" s="61">
        <f t="shared" si="45"/>
        <v>0.33408216347889369</v>
      </c>
      <c r="O90" s="61"/>
      <c r="P90" s="21">
        <v>483</v>
      </c>
      <c r="Q90" s="33">
        <v>1</v>
      </c>
      <c r="R90">
        <f t="shared" si="46"/>
        <v>0.43607508220667918</v>
      </c>
      <c r="S90">
        <f t="shared" si="47"/>
        <v>1.4174752392255062E-2</v>
      </c>
      <c r="T90">
        <f t="shared" si="48"/>
        <v>6.1800166536525722</v>
      </c>
      <c r="U90">
        <f t="shared" si="49"/>
        <v>-0.82994084356295506</v>
      </c>
      <c r="W90">
        <f t="shared" si="50"/>
        <v>41060397521</v>
      </c>
      <c r="AD90" s="21">
        <v>483</v>
      </c>
      <c r="AE90" s="33">
        <v>1</v>
      </c>
      <c r="AF90" s="22">
        <v>0.32900000000000001</v>
      </c>
      <c r="AG90" s="36">
        <v>0.01</v>
      </c>
      <c r="AH90" s="21"/>
      <c r="AI90" s="22"/>
      <c r="AJ90" s="13">
        <v>483</v>
      </c>
      <c r="AK90" s="6">
        <f t="shared" si="61"/>
        <v>450711600.37267083</v>
      </c>
      <c r="AL90" s="22">
        <f t="shared" si="62"/>
        <v>54423425745</v>
      </c>
      <c r="AM90" s="22">
        <f t="shared" si="63"/>
        <v>450831209.43147182</v>
      </c>
      <c r="AN90" s="22">
        <v>0.32900000000000001</v>
      </c>
      <c r="AO90" s="23">
        <v>0.01</v>
      </c>
    </row>
    <row r="91" spans="2:54" x14ac:dyDescent="0.25">
      <c r="B91" s="13">
        <v>215</v>
      </c>
      <c r="C91" s="6">
        <f t="shared" si="55"/>
        <v>488</v>
      </c>
      <c r="D91" s="7">
        <v>-0.34599999999999997</v>
      </c>
      <c r="E91" s="6">
        <f t="shared" si="56"/>
        <v>488</v>
      </c>
      <c r="F91" s="14">
        <f t="shared" si="54"/>
        <v>0.34599999999999997</v>
      </c>
      <c r="G91">
        <f t="shared" si="42"/>
        <v>56712564736</v>
      </c>
      <c r="H91">
        <f t="shared" si="57"/>
        <v>13363360000</v>
      </c>
      <c r="I91">
        <f t="shared" si="43"/>
        <v>0.23563314518056361</v>
      </c>
      <c r="J91">
        <f t="shared" si="58"/>
        <v>8.3432702694211432E-3</v>
      </c>
      <c r="K91">
        <f t="shared" si="59"/>
        <v>0.45266222340545403</v>
      </c>
      <c r="L91">
        <f t="shared" si="60"/>
        <v>1.3984650085251968E-2</v>
      </c>
      <c r="M91">
        <f t="shared" si="44"/>
        <v>1.7115764684617694</v>
      </c>
      <c r="N91" s="61">
        <f t="shared" si="45"/>
        <v>0.35070730458894805</v>
      </c>
      <c r="O91" s="61"/>
      <c r="P91" s="21">
        <v>488</v>
      </c>
      <c r="Q91" s="33">
        <v>1</v>
      </c>
      <c r="R91">
        <f t="shared" si="46"/>
        <v>0.45266222340545403</v>
      </c>
      <c r="S91">
        <f t="shared" si="47"/>
        <v>1.3984650085251968E-2</v>
      </c>
      <c r="T91">
        <f t="shared" si="48"/>
        <v>6.1903154058531475</v>
      </c>
      <c r="U91">
        <f t="shared" si="49"/>
        <v>-0.79260907532619973</v>
      </c>
      <c r="W91">
        <f t="shared" si="50"/>
        <v>43349204736</v>
      </c>
      <c r="AD91" s="21">
        <v>488</v>
      </c>
      <c r="AE91" s="33">
        <v>1</v>
      </c>
      <c r="AF91" s="22">
        <v>0.34599999999999997</v>
      </c>
      <c r="AG91" s="36">
        <v>0.01</v>
      </c>
      <c r="AH91" s="21"/>
      <c r="AI91" s="22"/>
      <c r="AJ91" s="13">
        <v>488</v>
      </c>
      <c r="AK91" s="6">
        <f t="shared" si="61"/>
        <v>464854368.52459019</v>
      </c>
      <c r="AL91" s="22">
        <f t="shared" si="62"/>
        <v>56712232960</v>
      </c>
      <c r="AM91" s="22">
        <f t="shared" si="63"/>
        <v>464970339.5092476</v>
      </c>
      <c r="AN91" s="22">
        <v>0.34599999999999997</v>
      </c>
      <c r="AO91" s="23">
        <v>0.01</v>
      </c>
    </row>
    <row r="92" spans="2:54" x14ac:dyDescent="0.25">
      <c r="B92" s="13">
        <v>220</v>
      </c>
      <c r="C92" s="6">
        <f t="shared" si="55"/>
        <v>493</v>
      </c>
      <c r="D92" s="7">
        <v>-0.36499999999999999</v>
      </c>
      <c r="E92" s="6">
        <f t="shared" si="56"/>
        <v>493</v>
      </c>
      <c r="F92" s="14">
        <f t="shared" si="54"/>
        <v>0.36499999999999999</v>
      </c>
      <c r="G92">
        <f t="shared" si="42"/>
        <v>59072816401</v>
      </c>
      <c r="H92">
        <f t="shared" si="57"/>
        <v>13363360000</v>
      </c>
      <c r="I92">
        <f t="shared" si="43"/>
        <v>0.22621843369184241</v>
      </c>
      <c r="J92">
        <f t="shared" si="58"/>
        <v>8.0122372645122751E-3</v>
      </c>
      <c r="K92">
        <f t="shared" si="59"/>
        <v>0.47170935040682943</v>
      </c>
      <c r="L92">
        <f t="shared" si="60"/>
        <v>1.3815759277081931E-2</v>
      </c>
      <c r="M92">
        <f t="shared" si="44"/>
        <v>1.6701798555919161</v>
      </c>
      <c r="N92" s="61">
        <f t="shared" si="45"/>
        <v>0.37163123742208509</v>
      </c>
      <c r="O92" s="61"/>
      <c r="P92" s="21">
        <v>493</v>
      </c>
      <c r="Q92" s="33">
        <v>1</v>
      </c>
      <c r="R92">
        <f t="shared" si="46"/>
        <v>0.47170935040682943</v>
      </c>
      <c r="S92">
        <f t="shared" si="47"/>
        <v>1.3815759277081931E-2</v>
      </c>
      <c r="T92">
        <f t="shared" si="48"/>
        <v>6.2005091740426899</v>
      </c>
      <c r="U92">
        <f t="shared" si="49"/>
        <v>-0.7513922661052026</v>
      </c>
      <c r="W92">
        <f t="shared" si="50"/>
        <v>45709456401</v>
      </c>
      <c r="AD92" s="21">
        <v>493</v>
      </c>
      <c r="AE92" s="33">
        <v>1</v>
      </c>
      <c r="AF92" s="22">
        <v>0.36499999999999999</v>
      </c>
      <c r="AG92" s="36">
        <v>0.01</v>
      </c>
      <c r="AH92" s="21"/>
      <c r="AI92" s="22"/>
      <c r="AJ92" s="13">
        <v>493</v>
      </c>
      <c r="AK92" s="6">
        <f t="shared" si="61"/>
        <v>479289936.10547668</v>
      </c>
      <c r="AL92" s="22">
        <f t="shared" si="62"/>
        <v>59072484625</v>
      </c>
      <c r="AM92" s="22">
        <f t="shared" si="63"/>
        <v>479402415.03244573</v>
      </c>
      <c r="AN92" s="22">
        <v>0.36499999999999999</v>
      </c>
      <c r="AO92" s="23">
        <v>0.01</v>
      </c>
    </row>
    <row r="93" spans="2:54" x14ac:dyDescent="0.25">
      <c r="B93" s="13">
        <v>225</v>
      </c>
      <c r="C93" s="6">
        <f t="shared" si="55"/>
        <v>498</v>
      </c>
      <c r="D93" s="7">
        <v>-0.39</v>
      </c>
      <c r="E93" s="6">
        <f t="shared" si="56"/>
        <v>498</v>
      </c>
      <c r="F93" s="14">
        <f t="shared" si="54"/>
        <v>0.39</v>
      </c>
      <c r="G93">
        <f t="shared" si="42"/>
        <v>61505984016</v>
      </c>
      <c r="H93">
        <f t="shared" si="57"/>
        <v>13363360000</v>
      </c>
      <c r="I93">
        <f t="shared" si="43"/>
        <v>0.21726926597131901</v>
      </c>
      <c r="J93">
        <f t="shared" si="58"/>
        <v>7.6984712310176158E-3</v>
      </c>
      <c r="K93">
        <f t="shared" si="59"/>
        <v>0.49825563638300874</v>
      </c>
      <c r="L93">
        <f t="shared" si="60"/>
        <v>1.3683421771592472E-2</v>
      </c>
      <c r="M93">
        <f t="shared" si="44"/>
        <v>1.6322069637569823</v>
      </c>
      <c r="N93" s="61">
        <f t="shared" si="45"/>
        <v>0.40520954498284534</v>
      </c>
      <c r="O93" s="61"/>
      <c r="P93" s="21">
        <v>498</v>
      </c>
      <c r="Q93" s="33">
        <v>1</v>
      </c>
      <c r="R93">
        <f t="shared" si="46"/>
        <v>0.49825563638300874</v>
      </c>
      <c r="S93">
        <f t="shared" si="47"/>
        <v>1.3683421771592472E-2</v>
      </c>
      <c r="T93">
        <f t="shared" si="48"/>
        <v>6.2106000770246528</v>
      </c>
      <c r="U93">
        <f t="shared" si="49"/>
        <v>-0.69664200759394224</v>
      </c>
      <c r="W93">
        <f t="shared" si="50"/>
        <v>48142624016</v>
      </c>
      <c r="AD93" s="21">
        <v>498</v>
      </c>
      <c r="AE93" s="33">
        <v>1</v>
      </c>
      <c r="AF93" s="22">
        <v>0.39</v>
      </c>
      <c r="AG93" s="36">
        <v>0.01</v>
      </c>
      <c r="AH93" s="21"/>
      <c r="AI93" s="22"/>
      <c r="AJ93" s="13">
        <v>498</v>
      </c>
      <c r="AK93" s="6">
        <f t="shared" si="61"/>
        <v>494021303.13253009</v>
      </c>
      <c r="AL93" s="22">
        <f t="shared" si="62"/>
        <v>61505652240</v>
      </c>
      <c r="AM93" s="22">
        <f t="shared" si="63"/>
        <v>494130428.76928014</v>
      </c>
      <c r="AN93" s="22">
        <v>0.39</v>
      </c>
      <c r="AO93" s="23">
        <v>0.01</v>
      </c>
    </row>
    <row r="94" spans="2:54" x14ac:dyDescent="0.25">
      <c r="B94" s="13">
        <v>230</v>
      </c>
      <c r="C94" s="6">
        <f t="shared" si="55"/>
        <v>503</v>
      </c>
      <c r="D94" s="7">
        <v>-0.40400000000000003</v>
      </c>
      <c r="E94" s="6">
        <f t="shared" si="56"/>
        <v>503</v>
      </c>
      <c r="F94" s="14">
        <f t="shared" ref="F94:F128" si="64">ABS(D94)</f>
        <v>0.40400000000000003</v>
      </c>
      <c r="G94">
        <f t="shared" si="42"/>
        <v>64013554081</v>
      </c>
      <c r="H94">
        <f t="shared" si="57"/>
        <v>13363360000</v>
      </c>
      <c r="I94">
        <f t="shared" si="43"/>
        <v>0.20875828864447329</v>
      </c>
      <c r="J94">
        <f t="shared" si="58"/>
        <v>7.3984018012034141E-3</v>
      </c>
      <c r="K94">
        <f t="shared" si="59"/>
        <v>0.51058986679036655</v>
      </c>
      <c r="L94">
        <f t="shared" si="60"/>
        <v>1.3510042186697435E-2</v>
      </c>
      <c r="M94">
        <f t="shared" si="44"/>
        <v>1.5972822031480016</v>
      </c>
      <c r="N94" s="61">
        <f t="shared" si="45"/>
        <v>0.41641468420269601</v>
      </c>
      <c r="O94" s="61"/>
      <c r="P94" s="21">
        <v>503</v>
      </c>
      <c r="Q94" s="33">
        <v>1</v>
      </c>
      <c r="R94">
        <f t="shared" si="46"/>
        <v>0.51058986679036655</v>
      </c>
      <c r="S94">
        <f t="shared" si="47"/>
        <v>1.3510042186697435E-2</v>
      </c>
      <c r="T94">
        <f t="shared" si="48"/>
        <v>6.2205901700997392</v>
      </c>
      <c r="U94">
        <f t="shared" si="49"/>
        <v>-0.67218862006230751</v>
      </c>
      <c r="W94">
        <f t="shared" si="50"/>
        <v>50650194081</v>
      </c>
      <c r="AD94" s="21">
        <v>503</v>
      </c>
      <c r="AE94" s="33">
        <v>1</v>
      </c>
      <c r="AF94" s="22">
        <v>0.40400000000000003</v>
      </c>
      <c r="AG94" s="36">
        <v>0.01</v>
      </c>
      <c r="AH94" s="21"/>
      <c r="AI94" s="22"/>
      <c r="AJ94" s="13">
        <v>503</v>
      </c>
      <c r="AK94" s="6">
        <f t="shared" si="61"/>
        <v>509051469.62226635</v>
      </c>
      <c r="AL94" s="22">
        <f t="shared" si="62"/>
        <v>64013222305</v>
      </c>
      <c r="AM94" s="22">
        <f t="shared" si="63"/>
        <v>509157373.91452813</v>
      </c>
      <c r="AN94" s="22">
        <v>0.40400000000000003</v>
      </c>
      <c r="AO94" s="23">
        <v>0.01</v>
      </c>
    </row>
    <row r="95" spans="2:54" x14ac:dyDescent="0.25">
      <c r="B95" s="13">
        <v>235</v>
      </c>
      <c r="C95" s="6">
        <f t="shared" si="55"/>
        <v>508</v>
      </c>
      <c r="D95" s="7">
        <v>-0.42499999999999999</v>
      </c>
      <c r="E95" s="6">
        <f t="shared" si="56"/>
        <v>508</v>
      </c>
      <c r="F95" s="14">
        <f t="shared" si="64"/>
        <v>0.42499999999999999</v>
      </c>
      <c r="G95">
        <f t="shared" si="42"/>
        <v>66597028096</v>
      </c>
      <c r="H95">
        <f t="shared" si="57"/>
        <v>13363360000</v>
      </c>
      <c r="I95">
        <f t="shared" si="43"/>
        <v>0.20066000513921792</v>
      </c>
      <c r="J95">
        <f t="shared" si="58"/>
        <v>7.1138811635454756E-3</v>
      </c>
      <c r="K95">
        <f t="shared" si="59"/>
        <v>0.53168864654898262</v>
      </c>
      <c r="L95">
        <f t="shared" si="60"/>
        <v>1.3375301528313918E-2</v>
      </c>
      <c r="M95">
        <f t="shared" si="44"/>
        <v>1.5650813390676208</v>
      </c>
      <c r="N95" s="61">
        <f t="shared" si="45"/>
        <v>0.44243725237027154</v>
      </c>
      <c r="O95" s="61"/>
      <c r="P95" s="21">
        <v>508</v>
      </c>
      <c r="Q95" s="33">
        <v>1</v>
      </c>
      <c r="R95">
        <f t="shared" si="46"/>
        <v>0.53168864654898262</v>
      </c>
      <c r="S95">
        <f t="shared" si="47"/>
        <v>1.3375301528313918E-2</v>
      </c>
      <c r="T95">
        <f t="shared" si="48"/>
        <v>6.230481447578482</v>
      </c>
      <c r="U95">
        <f t="shared" si="49"/>
        <v>-0.6316972118143962</v>
      </c>
      <c r="W95">
        <f t="shared" si="50"/>
        <v>53233668096</v>
      </c>
      <c r="AD95" s="21">
        <v>508</v>
      </c>
      <c r="AE95" s="33">
        <v>1</v>
      </c>
      <c r="AF95" s="22">
        <v>0.42499999999999999</v>
      </c>
      <c r="AG95" s="36">
        <v>0.01</v>
      </c>
      <c r="AH95" s="21"/>
      <c r="AI95" s="22"/>
      <c r="AJ95" s="13">
        <v>508</v>
      </c>
      <c r="AK95" s="6">
        <f t="shared" si="61"/>
        <v>524383435.5905512</v>
      </c>
      <c r="AL95" s="22">
        <f t="shared" si="62"/>
        <v>66596696320</v>
      </c>
      <c r="AM95" s="22">
        <f t="shared" si="63"/>
        <v>524486244.06050843</v>
      </c>
      <c r="AN95" s="22">
        <v>0.42499999999999999</v>
      </c>
      <c r="AO95" s="23">
        <v>0.01</v>
      </c>
    </row>
    <row r="96" spans="2:54" x14ac:dyDescent="0.25">
      <c r="B96" s="13">
        <v>240</v>
      </c>
      <c r="C96" s="6">
        <f t="shared" si="55"/>
        <v>513</v>
      </c>
      <c r="D96" s="7">
        <v>-0.44500000000000001</v>
      </c>
      <c r="E96" s="6">
        <f t="shared" si="56"/>
        <v>513</v>
      </c>
      <c r="F96" s="14">
        <f t="shared" si="64"/>
        <v>0.44500000000000001</v>
      </c>
      <c r="G96">
        <f t="shared" si="42"/>
        <v>69257922561</v>
      </c>
      <c r="H96">
        <f t="shared" si="57"/>
        <v>13363360000</v>
      </c>
      <c r="I96">
        <f t="shared" si="43"/>
        <v>0.19295063302295865</v>
      </c>
      <c r="J96">
        <f t="shared" si="58"/>
        <v>6.8428525458376563E-3</v>
      </c>
      <c r="K96">
        <f t="shared" si="59"/>
        <v>0.55139130046880913</v>
      </c>
      <c r="L96">
        <f t="shared" si="60"/>
        <v>1.3243469607935817E-2</v>
      </c>
      <c r="M96">
        <f t="shared" si="44"/>
        <v>1.5353231472424416</v>
      </c>
      <c r="N96" s="61">
        <f t="shared" si="45"/>
        <v>0.46678792938793195</v>
      </c>
      <c r="O96" s="61"/>
      <c r="P96" s="21">
        <v>513</v>
      </c>
      <c r="Q96" s="33">
        <v>1</v>
      </c>
      <c r="R96">
        <f t="shared" si="46"/>
        <v>0.55139130046880913</v>
      </c>
      <c r="S96">
        <f t="shared" si="47"/>
        <v>1.3243469607935817E-2</v>
      </c>
      <c r="T96">
        <f t="shared" si="48"/>
        <v>6.2402758451707694</v>
      </c>
      <c r="U96">
        <f t="shared" si="49"/>
        <v>-0.59531055768627195</v>
      </c>
      <c r="W96">
        <f t="shared" si="50"/>
        <v>55894562561</v>
      </c>
      <c r="AD96" s="21">
        <v>513</v>
      </c>
      <c r="AE96" s="33">
        <v>1</v>
      </c>
      <c r="AF96" s="22">
        <v>0.44500000000000001</v>
      </c>
      <c r="AG96" s="36">
        <v>0.01</v>
      </c>
      <c r="AH96" s="21"/>
      <c r="AI96" s="22"/>
      <c r="AJ96" s="13">
        <v>513</v>
      </c>
      <c r="AK96" s="6">
        <f t="shared" si="61"/>
        <v>540020201.0526315</v>
      </c>
      <c r="AL96" s="22">
        <f t="shared" si="62"/>
        <v>69257590785</v>
      </c>
      <c r="AM96" s="22">
        <f t="shared" si="63"/>
        <v>540120033.17028892</v>
      </c>
      <c r="AN96" s="22">
        <v>0.44500000000000001</v>
      </c>
      <c r="AO96" s="23">
        <v>0.01</v>
      </c>
    </row>
    <row r="97" spans="2:41" x14ac:dyDescent="0.25">
      <c r="B97" s="13">
        <v>245</v>
      </c>
      <c r="C97" s="6">
        <f t="shared" si="55"/>
        <v>518</v>
      </c>
      <c r="D97" s="7">
        <v>-0.46800000000000003</v>
      </c>
      <c r="E97" s="6">
        <f t="shared" si="56"/>
        <v>518</v>
      </c>
      <c r="F97" s="14">
        <f t="shared" si="64"/>
        <v>0.46800000000000003</v>
      </c>
      <c r="G97">
        <f t="shared" si="42"/>
        <v>71997768976</v>
      </c>
      <c r="H97">
        <f t="shared" si="57"/>
        <v>13363360000</v>
      </c>
      <c r="I97">
        <f t="shared" si="43"/>
        <v>0.18560797355338318</v>
      </c>
      <c r="J97">
        <f t="shared" si="58"/>
        <v>6.5851213905090767E-3</v>
      </c>
      <c r="K97">
        <f t="shared" si="59"/>
        <v>0.57466181495169311</v>
      </c>
      <c r="L97">
        <f t="shared" si="60"/>
        <v>1.3128894946039202E-2</v>
      </c>
      <c r="M97">
        <f t="shared" si="44"/>
        <v>1.5077626267604185</v>
      </c>
      <c r="N97" s="61">
        <f t="shared" si="45"/>
        <v>0.49791780272087727</v>
      </c>
      <c r="O97" s="61"/>
      <c r="P97" s="21">
        <v>518</v>
      </c>
      <c r="Q97" s="33">
        <v>1</v>
      </c>
      <c r="R97">
        <f t="shared" si="46"/>
        <v>0.57466181495169311</v>
      </c>
      <c r="S97">
        <f t="shared" si="47"/>
        <v>1.3128894946039202E-2</v>
      </c>
      <c r="T97">
        <f t="shared" si="48"/>
        <v>6.2499752422594828</v>
      </c>
      <c r="U97">
        <f t="shared" si="49"/>
        <v>-0.55397355912171453</v>
      </c>
      <c r="W97">
        <f t="shared" si="50"/>
        <v>58634408976</v>
      </c>
      <c r="AD97" s="21">
        <v>518</v>
      </c>
      <c r="AE97" s="33">
        <v>1</v>
      </c>
      <c r="AF97" s="22">
        <v>0.46800000000000003</v>
      </c>
      <c r="AG97" s="36">
        <v>0.01</v>
      </c>
      <c r="AH97" s="21"/>
      <c r="AI97" s="22"/>
      <c r="AJ97" s="13">
        <v>518</v>
      </c>
      <c r="AK97" s="6">
        <f t="shared" si="61"/>
        <v>555964766.02316606</v>
      </c>
      <c r="AL97" s="22">
        <f t="shared" si="62"/>
        <v>71997437200</v>
      </c>
      <c r="AM97" s="22">
        <f t="shared" si="63"/>
        <v>556061735.55293596</v>
      </c>
      <c r="AN97" s="22">
        <v>0.46800000000000003</v>
      </c>
      <c r="AO97" s="23">
        <v>0.01</v>
      </c>
    </row>
    <row r="98" spans="2:41" x14ac:dyDescent="0.25">
      <c r="B98" s="13">
        <v>250</v>
      </c>
      <c r="C98" s="6">
        <f t="shared" si="55"/>
        <v>523</v>
      </c>
      <c r="D98" s="7">
        <v>-0.48899999999999999</v>
      </c>
      <c r="E98" s="6">
        <f t="shared" si="56"/>
        <v>523</v>
      </c>
      <c r="F98" s="14">
        <f t="shared" si="64"/>
        <v>0.48899999999999999</v>
      </c>
      <c r="G98">
        <f t="shared" si="42"/>
        <v>74818113841</v>
      </c>
      <c r="H98">
        <f t="shared" si="57"/>
        <v>13363360000</v>
      </c>
      <c r="I98">
        <f t="shared" si="43"/>
        <v>0.17861129229212053</v>
      </c>
      <c r="J98">
        <f t="shared" si="58"/>
        <v>6.3392216374057852E-3</v>
      </c>
      <c r="K98">
        <f t="shared" si="59"/>
        <v>0.5953332391975239</v>
      </c>
      <c r="L98">
        <f t="shared" si="60"/>
        <v>1.3012642228305945E-2</v>
      </c>
      <c r="M98">
        <f t="shared" si="44"/>
        <v>1.482185444580008</v>
      </c>
      <c r="N98" s="61">
        <f t="shared" si="45"/>
        <v>0.52531863413458324</v>
      </c>
      <c r="O98" s="61"/>
      <c r="P98" s="21">
        <v>523</v>
      </c>
      <c r="Q98" s="33">
        <v>1</v>
      </c>
      <c r="R98">
        <f t="shared" si="46"/>
        <v>0.5953332391975239</v>
      </c>
      <c r="S98">
        <f t="shared" si="47"/>
        <v>1.3012642228305945E-2</v>
      </c>
      <c r="T98">
        <f t="shared" si="48"/>
        <v>6.2595814640649232</v>
      </c>
      <c r="U98">
        <f t="shared" si="49"/>
        <v>-0.51863396433667508</v>
      </c>
      <c r="W98">
        <f t="shared" si="50"/>
        <v>61454753841</v>
      </c>
      <c r="AD98" s="21">
        <v>523</v>
      </c>
      <c r="AE98" s="33">
        <v>1</v>
      </c>
      <c r="AF98" s="22">
        <v>0.48899999999999999</v>
      </c>
      <c r="AG98" s="36">
        <v>0.01</v>
      </c>
      <c r="AH98" s="21"/>
      <c r="AI98" s="22"/>
      <c r="AJ98" s="13">
        <v>523</v>
      </c>
      <c r="AK98" s="6">
        <f t="shared" si="61"/>
        <v>572220130.5162524</v>
      </c>
      <c r="AL98" s="22">
        <f t="shared" si="62"/>
        <v>74817782065</v>
      </c>
      <c r="AM98" s="22">
        <f t="shared" si="63"/>
        <v>572314345.84062839</v>
      </c>
      <c r="AN98" s="22">
        <v>0.48899999999999999</v>
      </c>
      <c r="AO98" s="23">
        <v>0.01</v>
      </c>
    </row>
    <row r="99" spans="2:41" x14ac:dyDescent="0.25">
      <c r="B99" s="13">
        <v>255</v>
      </c>
      <c r="C99" s="6">
        <f t="shared" si="55"/>
        <v>528</v>
      </c>
      <c r="D99" s="7">
        <v>-0.51300000000000001</v>
      </c>
      <c r="E99" s="6">
        <f t="shared" si="56"/>
        <v>528</v>
      </c>
      <c r="F99" s="14">
        <f t="shared" si="64"/>
        <v>0.51300000000000001</v>
      </c>
      <c r="G99">
        <f t="shared" si="42"/>
        <v>77720518656</v>
      </c>
      <c r="H99">
        <f t="shared" si="57"/>
        <v>13363360000</v>
      </c>
      <c r="I99">
        <f t="shared" si="43"/>
        <v>0.1719412097485836</v>
      </c>
      <c r="J99">
        <f t="shared" si="58"/>
        <v>6.1051928362126865E-3</v>
      </c>
      <c r="K99">
        <f t="shared" si="59"/>
        <v>0.61952122969945433</v>
      </c>
      <c r="L99">
        <f t="shared" si="60"/>
        <v>1.2911387039590386E-2</v>
      </c>
      <c r="M99">
        <f t="shared" si="44"/>
        <v>1.4584033607618074</v>
      </c>
      <c r="N99" s="61">
        <f t="shared" si="45"/>
        <v>0.55974476830648401</v>
      </c>
      <c r="O99" s="61"/>
      <c r="P99" s="21">
        <v>528</v>
      </c>
      <c r="Q99" s="33">
        <v>1</v>
      </c>
      <c r="R99">
        <f t="shared" si="46"/>
        <v>0.61952122969945433</v>
      </c>
      <c r="S99">
        <f t="shared" si="47"/>
        <v>1.2911387039590386E-2</v>
      </c>
      <c r="T99">
        <f t="shared" si="48"/>
        <v>6.2690962837062614</v>
      </c>
      <c r="U99">
        <f t="shared" si="49"/>
        <v>-0.47880830941301833</v>
      </c>
      <c r="W99">
        <f t="shared" si="50"/>
        <v>64357158656</v>
      </c>
      <c r="AD99" s="21">
        <v>528</v>
      </c>
      <c r="AE99" s="33">
        <v>1</v>
      </c>
      <c r="AF99" s="22">
        <v>0.51300000000000001</v>
      </c>
      <c r="AG99" s="36">
        <v>0.01</v>
      </c>
      <c r="AH99" s="21"/>
      <c r="AI99" s="22"/>
      <c r="AJ99" s="13">
        <v>528</v>
      </c>
      <c r="AK99" s="6">
        <f t="shared" si="61"/>
        <v>588789294.54545462</v>
      </c>
      <c r="AL99" s="22">
        <f t="shared" si="62"/>
        <v>77720186880</v>
      </c>
      <c r="AM99" s="22">
        <f t="shared" si="63"/>
        <v>588880858.96748555</v>
      </c>
      <c r="AN99" s="22">
        <v>0.51300000000000001</v>
      </c>
      <c r="AO99" s="23">
        <v>0.01</v>
      </c>
    </row>
    <row r="100" spans="2:41" x14ac:dyDescent="0.25">
      <c r="B100" s="13">
        <v>260</v>
      </c>
      <c r="C100" s="6">
        <f t="shared" si="55"/>
        <v>533</v>
      </c>
      <c r="D100" s="7">
        <v>-0.53700000000000003</v>
      </c>
      <c r="E100" s="6">
        <f t="shared" si="56"/>
        <v>533</v>
      </c>
      <c r="F100" s="14">
        <f t="shared" si="64"/>
        <v>0.53700000000000003</v>
      </c>
      <c r="G100">
        <f t="shared" si="42"/>
        <v>80706559921</v>
      </c>
      <c r="H100">
        <f t="shared" si="57"/>
        <v>13363360000</v>
      </c>
      <c r="I100">
        <f t="shared" si="43"/>
        <v>0.16557960112636183</v>
      </c>
      <c r="J100">
        <f t="shared" si="58"/>
        <v>5.8819593616960151E-3</v>
      </c>
      <c r="K100">
        <f t="shared" si="59"/>
        <v>0.6435604890830593</v>
      </c>
      <c r="L100">
        <f t="shared" si="60"/>
        <v>1.2814265630552314E-2</v>
      </c>
      <c r="M100">
        <f t="shared" si="44"/>
        <v>1.4362504399183909</v>
      </c>
      <c r="N100" s="61">
        <f t="shared" si="45"/>
        <v>0.59485199279109746</v>
      </c>
      <c r="O100" s="61"/>
      <c r="P100" s="21">
        <v>533</v>
      </c>
      <c r="Q100" s="33">
        <v>1</v>
      </c>
      <c r="R100">
        <f t="shared" si="46"/>
        <v>0.6435604890830593</v>
      </c>
      <c r="S100">
        <f t="shared" si="47"/>
        <v>1.2814265630552314E-2</v>
      </c>
      <c r="T100">
        <f t="shared" si="48"/>
        <v>6.2785214241658442</v>
      </c>
      <c r="U100">
        <f t="shared" si="49"/>
        <v>-0.44073925623461674</v>
      </c>
      <c r="W100">
        <f t="shared" si="50"/>
        <v>67343199921</v>
      </c>
      <c r="AD100" s="21">
        <v>533</v>
      </c>
      <c r="AE100" s="33">
        <v>1</v>
      </c>
      <c r="AF100" s="22">
        <v>0.53700000000000003</v>
      </c>
      <c r="AG100" s="36">
        <v>0.01</v>
      </c>
      <c r="AH100" s="21"/>
      <c r="AI100" s="22"/>
      <c r="AJ100" s="13">
        <v>533</v>
      </c>
      <c r="AK100" s="6">
        <f t="shared" si="61"/>
        <v>605675258.12382734</v>
      </c>
      <c r="AL100" s="22">
        <f t="shared" si="62"/>
        <v>80706228145</v>
      </c>
      <c r="AM100" s="22">
        <f t="shared" si="63"/>
        <v>605764270.14996052</v>
      </c>
      <c r="AN100" s="22">
        <v>0.53700000000000003</v>
      </c>
      <c r="AO100" s="23">
        <v>0.01</v>
      </c>
    </row>
    <row r="101" spans="2:41" x14ac:dyDescent="0.25">
      <c r="B101" s="13">
        <v>265</v>
      </c>
      <c r="C101" s="6">
        <f t="shared" si="55"/>
        <v>538</v>
      </c>
      <c r="D101" s="7">
        <v>-0.56000000000000005</v>
      </c>
      <c r="E101" s="6">
        <f t="shared" si="56"/>
        <v>538</v>
      </c>
      <c r="F101" s="14">
        <f t="shared" si="64"/>
        <v>0.56000000000000005</v>
      </c>
      <c r="G101">
        <f t="shared" si="42"/>
        <v>83777829136</v>
      </c>
      <c r="H101">
        <f t="shared" si="57"/>
        <v>13363360000</v>
      </c>
      <c r="I101">
        <f t="shared" si="43"/>
        <v>0.15950950433803562</v>
      </c>
      <c r="J101">
        <f t="shared" si="58"/>
        <v>5.6687847658620184E-3</v>
      </c>
      <c r="K101">
        <f t="shared" si="59"/>
        <v>0.66627761157364196</v>
      </c>
      <c r="L101">
        <f t="shared" si="60"/>
        <v>1.2718179971735747E-2</v>
      </c>
      <c r="M101">
        <f t="shared" si="44"/>
        <v>1.4155798969524134</v>
      </c>
      <c r="N101" s="61">
        <f t="shared" si="45"/>
        <v>0.62841251704406065</v>
      </c>
      <c r="O101" s="61"/>
      <c r="P101" s="21">
        <v>538</v>
      </c>
      <c r="Q101" s="33">
        <v>1</v>
      </c>
      <c r="R101">
        <f t="shared" si="46"/>
        <v>0.66627761157364196</v>
      </c>
      <c r="S101">
        <f t="shared" si="47"/>
        <v>1.2718179971735747E-2</v>
      </c>
      <c r="T101">
        <f t="shared" si="48"/>
        <v>6.2878585601617845</v>
      </c>
      <c r="U101">
        <f t="shared" si="49"/>
        <v>-0.40604886109832905</v>
      </c>
      <c r="W101">
        <f t="shared" si="50"/>
        <v>70414469136</v>
      </c>
      <c r="AD101" s="21">
        <v>538</v>
      </c>
      <c r="AE101" s="33">
        <v>1</v>
      </c>
      <c r="AF101" s="22">
        <v>0.56000000000000005</v>
      </c>
      <c r="AG101" s="36">
        <v>0.01</v>
      </c>
      <c r="AH101" s="21"/>
      <c r="AI101" s="22"/>
      <c r="AJ101" s="13">
        <v>538</v>
      </c>
      <c r="AK101" s="6">
        <f t="shared" si="61"/>
        <v>622881021.26394045</v>
      </c>
      <c r="AL101" s="22">
        <f t="shared" si="62"/>
        <v>83777497360</v>
      </c>
      <c r="AM101" s="22">
        <f t="shared" si="63"/>
        <v>622967574.86867547</v>
      </c>
      <c r="AN101" s="22">
        <v>0.56000000000000005</v>
      </c>
      <c r="AO101" s="23">
        <v>0.01</v>
      </c>
    </row>
    <row r="102" spans="2:41" x14ac:dyDescent="0.25">
      <c r="B102" s="13">
        <v>270</v>
      </c>
      <c r="C102" s="6">
        <f t="shared" si="55"/>
        <v>543</v>
      </c>
      <c r="D102" s="7">
        <v>-0.58499999999999996</v>
      </c>
      <c r="E102" s="6">
        <f t="shared" si="56"/>
        <v>543</v>
      </c>
      <c r="F102" s="14">
        <f t="shared" si="64"/>
        <v>0.58499999999999996</v>
      </c>
      <c r="G102">
        <f t="shared" si="42"/>
        <v>86935932801</v>
      </c>
      <c r="H102">
        <f t="shared" si="57"/>
        <v>13363360000</v>
      </c>
      <c r="I102">
        <f t="shared" si="43"/>
        <v>0.1537150355375986</v>
      </c>
      <c r="J102">
        <f t="shared" si="58"/>
        <v>5.4655273965994074E-3</v>
      </c>
      <c r="K102">
        <f t="shared" si="59"/>
        <v>0.69125652063500675</v>
      </c>
      <c r="L102">
        <f t="shared" si="60"/>
        <v>1.2631557363065206E-2</v>
      </c>
      <c r="M102">
        <f t="shared" si="44"/>
        <v>1.3962614575802927</v>
      </c>
      <c r="N102" s="61">
        <f t="shared" si="45"/>
        <v>0.66718339967312401</v>
      </c>
      <c r="O102" s="61"/>
      <c r="P102" s="21">
        <v>543</v>
      </c>
      <c r="Q102" s="33">
        <v>1</v>
      </c>
      <c r="R102">
        <f t="shared" si="46"/>
        <v>0.69125652063500675</v>
      </c>
      <c r="S102">
        <f t="shared" si="47"/>
        <v>1.2631557363065206E-2</v>
      </c>
      <c r="T102">
        <f t="shared" si="48"/>
        <v>6.2971093199339352</v>
      </c>
      <c r="U102">
        <f t="shared" si="49"/>
        <v>-0.36924429308338341</v>
      </c>
      <c r="W102">
        <f t="shared" si="50"/>
        <v>73572572801</v>
      </c>
      <c r="AD102" s="21">
        <v>543</v>
      </c>
      <c r="AE102" s="33">
        <v>1</v>
      </c>
      <c r="AF102" s="22">
        <v>0.58499999999999996</v>
      </c>
      <c r="AG102" s="36">
        <v>0.01</v>
      </c>
      <c r="AH102" s="21"/>
      <c r="AI102" s="22"/>
      <c r="AJ102" s="13">
        <v>543</v>
      </c>
      <c r="AK102" s="6">
        <f t="shared" si="61"/>
        <v>640409583.97790062</v>
      </c>
      <c r="AL102" s="22">
        <f t="shared" si="62"/>
        <v>86935601025</v>
      </c>
      <c r="AM102" s="22">
        <f t="shared" si="63"/>
        <v>640493768.85157692</v>
      </c>
      <c r="AN102" s="22">
        <v>0.58499999999999996</v>
      </c>
      <c r="AO102" s="23">
        <v>0.01</v>
      </c>
    </row>
    <row r="103" spans="2:41" x14ac:dyDescent="0.25">
      <c r="B103" s="13">
        <v>275</v>
      </c>
      <c r="C103" s="6">
        <f t="shared" si="55"/>
        <v>548</v>
      </c>
      <c r="D103" s="7">
        <v>-0.61199999999999999</v>
      </c>
      <c r="E103" s="6">
        <f t="shared" si="56"/>
        <v>548</v>
      </c>
      <c r="F103" s="14">
        <f t="shared" si="64"/>
        <v>0.61199999999999999</v>
      </c>
      <c r="G103">
        <f t="shared" si="42"/>
        <v>90182492416</v>
      </c>
      <c r="H103">
        <f t="shared" si="57"/>
        <v>13363360000</v>
      </c>
      <c r="I103">
        <f t="shared" si="43"/>
        <v>0.14818131149399347</v>
      </c>
      <c r="J103">
        <f t="shared" si="58"/>
        <v>5.2716534011136868E-3</v>
      </c>
      <c r="K103">
        <f t="shared" si="59"/>
        <v>0.71846275299897289</v>
      </c>
      <c r="L103">
        <f t="shared" si="60"/>
        <v>1.2553404688028975E-2</v>
      </c>
      <c r="M103">
        <f t="shared" si="44"/>
        <v>1.3781791390246889</v>
      </c>
      <c r="N103" s="61">
        <f t="shared" si="45"/>
        <v>0.71140053596696773</v>
      </c>
      <c r="O103" s="61"/>
      <c r="P103" s="21">
        <v>548</v>
      </c>
      <c r="Q103" s="33">
        <v>1</v>
      </c>
      <c r="R103">
        <f t="shared" si="46"/>
        <v>0.71846275299897289</v>
      </c>
      <c r="S103">
        <f t="shared" si="47"/>
        <v>1.2553404688028975E-2</v>
      </c>
      <c r="T103">
        <f t="shared" si="48"/>
        <v>6.3062752869480159</v>
      </c>
      <c r="U103">
        <f t="shared" si="49"/>
        <v>-0.33064141475255188</v>
      </c>
      <c r="W103">
        <f t="shared" si="50"/>
        <v>76819132416</v>
      </c>
      <c r="AD103" s="21">
        <v>548</v>
      </c>
      <c r="AE103" s="33">
        <v>1</v>
      </c>
      <c r="AF103" s="22">
        <v>0.61199999999999999</v>
      </c>
      <c r="AG103" s="36">
        <v>0.01</v>
      </c>
      <c r="AH103" s="21"/>
      <c r="AI103" s="22"/>
      <c r="AJ103" s="13">
        <v>548</v>
      </c>
      <c r="AK103" s="6">
        <f t="shared" si="61"/>
        <v>658263946.27737224</v>
      </c>
      <c r="AL103" s="22">
        <f t="shared" si="62"/>
        <v>90182160640</v>
      </c>
      <c r="AM103" s="22">
        <f t="shared" si="63"/>
        <v>658345848.05830491</v>
      </c>
      <c r="AN103" s="22">
        <v>0.61199999999999999</v>
      </c>
      <c r="AO103" s="23">
        <v>0.01</v>
      </c>
    </row>
    <row r="104" spans="2:41" x14ac:dyDescent="0.25">
      <c r="B104" s="13">
        <v>280</v>
      </c>
      <c r="C104" s="6">
        <f t="shared" si="55"/>
        <v>553</v>
      </c>
      <c r="D104" s="7">
        <v>-0.63900000000000001</v>
      </c>
      <c r="E104" s="6">
        <f t="shared" si="56"/>
        <v>553</v>
      </c>
      <c r="F104" s="14">
        <f t="shared" si="64"/>
        <v>0.63900000000000001</v>
      </c>
      <c r="G104">
        <f t="shared" si="42"/>
        <v>93519144481</v>
      </c>
      <c r="H104">
        <f t="shared" si="57"/>
        <v>13363360000</v>
      </c>
      <c r="I104">
        <f t="shared" si="43"/>
        <v>0.14289437819563236</v>
      </c>
      <c r="J104">
        <f t="shared" si="58"/>
        <v>5.0863939739592022E-3</v>
      </c>
      <c r="K104">
        <f t="shared" si="59"/>
        <v>0.7455323868425755</v>
      </c>
      <c r="L104">
        <f t="shared" si="60"/>
        <v>1.2477866469263113E-2</v>
      </c>
      <c r="M104">
        <f t="shared" si="44"/>
        <v>1.3612293754942495</v>
      </c>
      <c r="N104" s="61">
        <f t="shared" si="45"/>
        <v>0.75659652386253318</v>
      </c>
      <c r="O104" s="61"/>
      <c r="P104" s="21">
        <v>553</v>
      </c>
      <c r="Q104" s="33">
        <v>1</v>
      </c>
      <c r="R104">
        <f t="shared" si="46"/>
        <v>0.7455323868425755</v>
      </c>
      <c r="S104">
        <f t="shared" si="47"/>
        <v>1.2477866469263113E-2</v>
      </c>
      <c r="T104">
        <f t="shared" si="48"/>
        <v>6.315358001522335</v>
      </c>
      <c r="U104">
        <f t="shared" si="49"/>
        <v>-0.29365670260550863</v>
      </c>
      <c r="W104">
        <f t="shared" si="50"/>
        <v>80155784481</v>
      </c>
      <c r="AD104" s="21">
        <v>553</v>
      </c>
      <c r="AE104" s="33">
        <v>1</v>
      </c>
      <c r="AF104" s="22">
        <v>0.63900000000000001</v>
      </c>
      <c r="AG104" s="36">
        <v>0.01</v>
      </c>
      <c r="AH104" s="21"/>
      <c r="AI104" s="22"/>
      <c r="AJ104" s="13">
        <v>553</v>
      </c>
      <c r="AK104" s="6">
        <f t="shared" si="61"/>
        <v>676447108.17359853</v>
      </c>
      <c r="AL104" s="22">
        <f t="shared" si="62"/>
        <v>93518812705</v>
      </c>
      <c r="AM104" s="22">
        <f t="shared" si="63"/>
        <v>676526808.66568291</v>
      </c>
      <c r="AN104" s="22">
        <v>0.63900000000000001</v>
      </c>
      <c r="AO104" s="23">
        <v>0.01</v>
      </c>
    </row>
    <row r="105" spans="2:41" x14ac:dyDescent="0.25">
      <c r="B105" s="13">
        <v>285</v>
      </c>
      <c r="C105" s="6">
        <f t="shared" si="55"/>
        <v>558</v>
      </c>
      <c r="D105" s="7">
        <v>-0.66400000000000003</v>
      </c>
      <c r="E105" s="6">
        <f t="shared" si="56"/>
        <v>558</v>
      </c>
      <c r="F105" s="14">
        <f t="shared" si="64"/>
        <v>0.66400000000000003</v>
      </c>
      <c r="G105">
        <f t="shared" si="42"/>
        <v>96947540496</v>
      </c>
      <c r="H105">
        <f t="shared" si="57"/>
        <v>13363360000</v>
      </c>
      <c r="I105">
        <f t="shared" si="43"/>
        <v>0.13784114513509876</v>
      </c>
      <c r="J105">
        <f t="shared" si="58"/>
        <v>4.9090241877011043E-3</v>
      </c>
      <c r="K105">
        <f t="shared" si="59"/>
        <v>0.77015969418309527</v>
      </c>
      <c r="L105">
        <f t="shared" si="60"/>
        <v>1.2400074850562923E-2</v>
      </c>
      <c r="M105">
        <f t="shared" si="44"/>
        <v>1.3453194280379019</v>
      </c>
      <c r="N105" s="61">
        <f t="shared" si="45"/>
        <v>0.79797077631039715</v>
      </c>
      <c r="O105" s="61"/>
      <c r="P105" s="21">
        <v>558</v>
      </c>
      <c r="Q105" s="33">
        <v>1</v>
      </c>
      <c r="R105">
        <f t="shared" si="46"/>
        <v>0.77015969418309527</v>
      </c>
      <c r="S105">
        <f t="shared" si="47"/>
        <v>1.2400074850562923E-2</v>
      </c>
      <c r="T105">
        <f t="shared" si="48"/>
        <v>6.3243589623813108</v>
      </c>
      <c r="U105">
        <f t="shared" si="49"/>
        <v>-0.26115739059480553</v>
      </c>
      <c r="W105">
        <f t="shared" si="50"/>
        <v>83584180496</v>
      </c>
      <c r="AD105" s="21">
        <v>558</v>
      </c>
      <c r="AE105" s="33">
        <v>1</v>
      </c>
      <c r="AF105" s="22">
        <v>0.66400000000000003</v>
      </c>
      <c r="AG105" s="36">
        <v>0.01</v>
      </c>
      <c r="AH105" s="21"/>
      <c r="AI105" s="22"/>
      <c r="AJ105" s="13">
        <v>558</v>
      </c>
      <c r="AK105" s="6">
        <f t="shared" si="61"/>
        <v>694962069.6774193</v>
      </c>
      <c r="AL105" s="22">
        <f t="shared" si="62"/>
        <v>96947208720</v>
      </c>
      <c r="AM105" s="22">
        <f t="shared" si="63"/>
        <v>695039647.05423212</v>
      </c>
      <c r="AN105" s="22">
        <v>0.66400000000000003</v>
      </c>
      <c r="AO105" s="23">
        <v>0.01</v>
      </c>
    </row>
    <row r="106" spans="2:41" x14ac:dyDescent="0.25">
      <c r="B106" s="13">
        <v>290</v>
      </c>
      <c r="C106" s="6">
        <f t="shared" si="55"/>
        <v>563</v>
      </c>
      <c r="D106" s="7">
        <v>-0.69299999999999995</v>
      </c>
      <c r="E106" s="6">
        <f t="shared" si="56"/>
        <v>563</v>
      </c>
      <c r="F106" s="14">
        <f t="shared" si="64"/>
        <v>0.69299999999999995</v>
      </c>
      <c r="G106">
        <f t="shared" si="42"/>
        <v>100469346961</v>
      </c>
      <c r="H106">
        <f t="shared" si="57"/>
        <v>13363360000</v>
      </c>
      <c r="I106">
        <f t="shared" si="43"/>
        <v>0.13300932477631575</v>
      </c>
      <c r="J106">
        <f t="shared" si="58"/>
        <v>4.7399059507962169E-3</v>
      </c>
      <c r="K106">
        <f t="shared" si="59"/>
        <v>0.79931655530344137</v>
      </c>
      <c r="L106">
        <f t="shared" si="60"/>
        <v>1.2334214944889234E-2</v>
      </c>
      <c r="M106">
        <f t="shared" si="44"/>
        <v>1.3303660300847258</v>
      </c>
      <c r="N106" s="61">
        <f t="shared" si="45"/>
        <v>0.84998011009135555</v>
      </c>
      <c r="O106" s="61"/>
      <c r="P106" s="21">
        <v>563</v>
      </c>
      <c r="Q106" s="33">
        <v>1</v>
      </c>
      <c r="R106">
        <f t="shared" si="46"/>
        <v>0.79931655530344137</v>
      </c>
      <c r="S106">
        <f t="shared" si="47"/>
        <v>1.2334214944889234E-2</v>
      </c>
      <c r="T106">
        <f t="shared" si="48"/>
        <v>6.3332796281396906</v>
      </c>
      <c r="U106">
        <f t="shared" si="49"/>
        <v>-0.22399822231213676</v>
      </c>
      <c r="W106">
        <f t="shared" si="50"/>
        <v>87105986961</v>
      </c>
      <c r="AD106" s="21">
        <v>563</v>
      </c>
      <c r="AE106" s="33">
        <v>1</v>
      </c>
      <c r="AF106" s="22">
        <v>0.69299999999999995</v>
      </c>
      <c r="AG106" s="36">
        <v>0.01</v>
      </c>
      <c r="AH106" s="21"/>
      <c r="AI106" s="22"/>
      <c r="AJ106" s="13">
        <v>563</v>
      </c>
      <c r="AK106" s="6">
        <f t="shared" si="61"/>
        <v>713811830.79928958</v>
      </c>
      <c r="AL106" s="22">
        <f t="shared" si="62"/>
        <v>100469015185</v>
      </c>
      <c r="AM106" s="22">
        <f t="shared" si="63"/>
        <v>713887359.79563546</v>
      </c>
      <c r="AN106" s="22">
        <v>0.69299999999999995</v>
      </c>
      <c r="AO106" s="23">
        <v>0.01</v>
      </c>
    </row>
    <row r="107" spans="2:41" x14ac:dyDescent="0.25">
      <c r="B107" s="13">
        <v>295</v>
      </c>
      <c r="C107" s="6">
        <f t="shared" si="55"/>
        <v>568</v>
      </c>
      <c r="D107" s="7">
        <v>-0.72</v>
      </c>
      <c r="E107" s="6">
        <f t="shared" si="56"/>
        <v>568</v>
      </c>
      <c r="F107" s="14">
        <f t="shared" si="64"/>
        <v>0.72</v>
      </c>
      <c r="G107">
        <f t="shared" si="42"/>
        <v>104086245376</v>
      </c>
      <c r="H107">
        <f t="shared" si="57"/>
        <v>13363360000</v>
      </c>
      <c r="I107">
        <f t="shared" si="43"/>
        <v>0.12838737675402112</v>
      </c>
      <c r="J107">
        <f t="shared" si="58"/>
        <v>4.5778407777892641E-3</v>
      </c>
      <c r="K107">
        <f t="shared" si="59"/>
        <v>0.82605503958701598</v>
      </c>
      <c r="L107">
        <f t="shared" si="60"/>
        <v>1.2265911030315284E-2</v>
      </c>
      <c r="M107">
        <f t="shared" si="44"/>
        <v>1.3162942292189559</v>
      </c>
      <c r="N107" s="61">
        <f t="shared" si="45"/>
        <v>0.8981956500984648</v>
      </c>
      <c r="O107" s="61"/>
      <c r="P107" s="21">
        <v>568</v>
      </c>
      <c r="Q107" s="33">
        <v>1</v>
      </c>
      <c r="R107">
        <f t="shared" si="46"/>
        <v>0.82605503958701598</v>
      </c>
      <c r="S107">
        <f t="shared" si="47"/>
        <v>1.2265911030315284E-2</v>
      </c>
      <c r="T107">
        <f t="shared" si="48"/>
        <v>6.3421214187211516</v>
      </c>
      <c r="U107">
        <f t="shared" si="49"/>
        <v>-0.19109387379851159</v>
      </c>
      <c r="W107">
        <f t="shared" si="50"/>
        <v>90722885376</v>
      </c>
      <c r="AD107" s="21">
        <v>568</v>
      </c>
      <c r="AE107" s="33">
        <v>1</v>
      </c>
      <c r="AF107" s="22">
        <v>0.72</v>
      </c>
      <c r="AG107" s="36">
        <v>0.01</v>
      </c>
      <c r="AH107" s="21"/>
      <c r="AI107" s="22"/>
      <c r="AJ107" s="13">
        <v>568</v>
      </c>
      <c r="AK107" s="6">
        <f t="shared" si="61"/>
        <v>732999391.54929578</v>
      </c>
      <c r="AL107" s="22">
        <f t="shared" si="62"/>
        <v>104085913600</v>
      </c>
      <c r="AM107" s="22">
        <f t="shared" si="63"/>
        <v>733072943.64107263</v>
      </c>
      <c r="AN107" s="22">
        <v>0.72</v>
      </c>
      <c r="AO107" s="23">
        <v>0.01</v>
      </c>
    </row>
    <row r="108" spans="2:41" x14ac:dyDescent="0.25">
      <c r="B108" s="13">
        <v>300</v>
      </c>
      <c r="C108" s="6">
        <f t="shared" si="55"/>
        <v>573</v>
      </c>
      <c r="D108" s="7">
        <v>-0.75</v>
      </c>
      <c r="E108" s="6">
        <f t="shared" si="56"/>
        <v>573</v>
      </c>
      <c r="F108" s="14">
        <f t="shared" si="64"/>
        <v>0.75</v>
      </c>
      <c r="G108">
        <f t="shared" si="42"/>
        <v>107799932241</v>
      </c>
      <c r="H108">
        <f t="shared" si="57"/>
        <v>13363360000</v>
      </c>
      <c r="I108">
        <f t="shared" si="43"/>
        <v>0.12396445639802969</v>
      </c>
      <c r="J108">
        <f t="shared" si="58"/>
        <v>4.4230932699437578E-3</v>
      </c>
      <c r="K108">
        <f t="shared" si="59"/>
        <v>0.85612964619705545</v>
      </c>
      <c r="L108">
        <f t="shared" si="60"/>
        <v>1.2206080932526403E-2</v>
      </c>
      <c r="M108">
        <f t="shared" si="44"/>
        <v>1.3030363930622137</v>
      </c>
      <c r="N108" s="61">
        <f t="shared" si="45"/>
        <v>0.95507091092507879</v>
      </c>
      <c r="O108" s="61"/>
      <c r="P108" s="21">
        <v>573</v>
      </c>
      <c r="Q108" s="33">
        <v>1</v>
      </c>
      <c r="R108">
        <f t="shared" si="46"/>
        <v>0.85612964619705545</v>
      </c>
      <c r="S108">
        <f t="shared" si="47"/>
        <v>1.2206080932526403E-2</v>
      </c>
      <c r="T108">
        <f t="shared" si="48"/>
        <v>6.3508857167147399</v>
      </c>
      <c r="U108">
        <f t="shared" si="49"/>
        <v>-0.15533345847099078</v>
      </c>
      <c r="W108">
        <f t="shared" si="50"/>
        <v>94436572241</v>
      </c>
      <c r="AD108" s="21">
        <v>573</v>
      </c>
      <c r="AE108" s="33">
        <v>1</v>
      </c>
      <c r="AF108" s="22">
        <v>0.75</v>
      </c>
      <c r="AG108" s="36">
        <v>0.01</v>
      </c>
      <c r="AH108" s="21"/>
      <c r="AI108" s="22"/>
      <c r="AJ108" s="13">
        <v>573</v>
      </c>
      <c r="AK108" s="6">
        <f t="shared" si="61"/>
        <v>752527751.93717277</v>
      </c>
      <c r="AL108" s="22">
        <f t="shared" si="62"/>
        <v>107799600465</v>
      </c>
      <c r="AM108" s="22">
        <f t="shared" si="63"/>
        <v>752599395.51036346</v>
      </c>
      <c r="AN108" s="22">
        <v>0.75</v>
      </c>
      <c r="AO108" s="23">
        <v>0.01</v>
      </c>
    </row>
    <row r="109" spans="2:41" x14ac:dyDescent="0.25">
      <c r="B109" s="13">
        <v>305</v>
      </c>
      <c r="C109" s="6">
        <f t="shared" si="55"/>
        <v>578</v>
      </c>
      <c r="D109" s="7">
        <v>-0.78</v>
      </c>
      <c r="E109" s="6">
        <f t="shared" si="56"/>
        <v>578</v>
      </c>
      <c r="F109" s="14">
        <f t="shared" si="64"/>
        <v>0.78</v>
      </c>
      <c r="G109">
        <f t="shared" si="42"/>
        <v>111612119056</v>
      </c>
      <c r="H109">
        <f t="shared" si="57"/>
        <v>13363360000</v>
      </c>
      <c r="I109">
        <f t="shared" si="43"/>
        <v>0.11973036721303625</v>
      </c>
      <c r="J109">
        <f t="shared" si="58"/>
        <v>4.2749145768651003E-3</v>
      </c>
      <c r="K109">
        <f t="shared" si="59"/>
        <v>0.88609213694046596</v>
      </c>
      <c r="L109">
        <f t="shared" si="60"/>
        <v>1.2147863451238633E-2</v>
      </c>
      <c r="M109">
        <f t="shared" si="44"/>
        <v>1.2905313529712712</v>
      </c>
      <c r="N109" s="61">
        <f t="shared" si="45"/>
        <v>1.0132726616543319</v>
      </c>
      <c r="O109" s="61"/>
      <c r="P109" s="21">
        <v>578</v>
      </c>
      <c r="Q109" s="33">
        <v>1</v>
      </c>
      <c r="R109">
        <f t="shared" si="46"/>
        <v>0.88609213694046596</v>
      </c>
      <c r="S109">
        <f t="shared" si="47"/>
        <v>1.2147863451238633E-2</v>
      </c>
      <c r="T109">
        <f t="shared" si="48"/>
        <v>6.3595738686723777</v>
      </c>
      <c r="U109">
        <f t="shared" si="49"/>
        <v>-0.12093434175172402</v>
      </c>
      <c r="W109">
        <f t="shared" si="50"/>
        <v>98248759056</v>
      </c>
      <c r="AD109" s="21">
        <v>578</v>
      </c>
      <c r="AE109" s="33">
        <v>1</v>
      </c>
      <c r="AF109" s="22">
        <v>0.78</v>
      </c>
      <c r="AG109" s="36">
        <v>0.01</v>
      </c>
      <c r="AH109" s="21"/>
      <c r="AI109" s="22"/>
      <c r="AJ109" s="13">
        <v>578</v>
      </c>
      <c r="AK109" s="6">
        <f t="shared" si="61"/>
        <v>772399911.97231841</v>
      </c>
      <c r="AL109" s="22">
        <f t="shared" si="62"/>
        <v>111611787280</v>
      </c>
      <c r="AM109" s="22">
        <f t="shared" si="63"/>
        <v>772469712.4818517</v>
      </c>
      <c r="AN109" s="22">
        <v>0.78</v>
      </c>
      <c r="AO109" s="23">
        <v>0.01</v>
      </c>
    </row>
    <row r="110" spans="2:41" x14ac:dyDescent="0.25">
      <c r="B110" s="13">
        <v>310</v>
      </c>
      <c r="C110" s="6">
        <f t="shared" si="55"/>
        <v>583</v>
      </c>
      <c r="D110" s="7">
        <v>-0.81</v>
      </c>
      <c r="E110" s="6">
        <f t="shared" si="56"/>
        <v>583</v>
      </c>
      <c r="F110" s="14">
        <f t="shared" si="64"/>
        <v>0.81</v>
      </c>
      <c r="G110">
        <f t="shared" si="42"/>
        <v>115524532321</v>
      </c>
      <c r="H110">
        <f t="shared" si="57"/>
        <v>13363360000</v>
      </c>
      <c r="I110">
        <f t="shared" si="43"/>
        <v>0.11567551697909635</v>
      </c>
      <c r="J110">
        <f t="shared" si="58"/>
        <v>4.1329684041126686E-3</v>
      </c>
      <c r="K110">
        <f t="shared" si="59"/>
        <v>0.91595338085969669</v>
      </c>
      <c r="L110">
        <f t="shared" si="60"/>
        <v>1.2091216627514608E-2</v>
      </c>
      <c r="M110">
        <f t="shared" si="44"/>
        <v>1.2787236639358455</v>
      </c>
      <c r="N110" s="61">
        <f t="shared" si="45"/>
        <v>1.0728115543343117</v>
      </c>
      <c r="O110" s="61"/>
      <c r="P110" s="21">
        <v>583</v>
      </c>
      <c r="Q110" s="33">
        <v>1</v>
      </c>
      <c r="R110">
        <f t="shared" si="46"/>
        <v>0.91595338085969669</v>
      </c>
      <c r="S110">
        <f t="shared" si="47"/>
        <v>1.2091216627514608E-2</v>
      </c>
      <c r="T110">
        <f t="shared" si="48"/>
        <v>6.3681871863504922</v>
      </c>
      <c r="U110">
        <f t="shared" si="49"/>
        <v>-8.778980986113652E-2</v>
      </c>
      <c r="W110">
        <f t="shared" si="50"/>
        <v>102161172321</v>
      </c>
      <c r="AD110" s="21">
        <v>583</v>
      </c>
      <c r="AE110" s="33">
        <v>1</v>
      </c>
      <c r="AF110" s="22">
        <v>0.81</v>
      </c>
      <c r="AG110" s="36">
        <v>0.01</v>
      </c>
      <c r="AH110" s="21"/>
      <c r="AI110" s="22"/>
      <c r="AJ110" s="13">
        <v>583</v>
      </c>
      <c r="AK110" s="6">
        <f t="shared" si="61"/>
        <v>792618871.66380787</v>
      </c>
      <c r="AL110" s="22">
        <f t="shared" si="62"/>
        <v>115524200545</v>
      </c>
      <c r="AM110" s="22">
        <f t="shared" si="63"/>
        <v>792686891.78297722</v>
      </c>
      <c r="AN110" s="22">
        <v>0.81</v>
      </c>
      <c r="AO110" s="23">
        <v>0.01</v>
      </c>
    </row>
    <row r="111" spans="2:41" x14ac:dyDescent="0.25">
      <c r="B111" s="13">
        <v>315</v>
      </c>
      <c r="C111" s="6">
        <f t="shared" si="55"/>
        <v>588</v>
      </c>
      <c r="D111" s="7">
        <v>-0.84199999999999997</v>
      </c>
      <c r="E111" s="6">
        <f t="shared" si="56"/>
        <v>588</v>
      </c>
      <c r="F111" s="14">
        <f t="shared" si="64"/>
        <v>0.84199999999999997</v>
      </c>
      <c r="G111">
        <f t="shared" si="42"/>
        <v>119538913536</v>
      </c>
      <c r="H111">
        <f t="shared" si="57"/>
        <v>13363360000</v>
      </c>
      <c r="I111">
        <f t="shared" si="43"/>
        <v>0.11179087716884367</v>
      </c>
      <c r="J111">
        <f t="shared" si="58"/>
        <v>3.9971820067405649E-3</v>
      </c>
      <c r="K111">
        <f t="shared" si="59"/>
        <v>0.94797495134494303</v>
      </c>
      <c r="L111">
        <f t="shared" si="60"/>
        <v>1.2039779264463946E-2</v>
      </c>
      <c r="M111">
        <f t="shared" si="44"/>
        <v>1.2675629628266698</v>
      </c>
      <c r="N111" s="61">
        <f t="shared" si="45"/>
        <v>1.1391037063223866</v>
      </c>
      <c r="O111" s="61"/>
      <c r="P111" s="21">
        <v>588</v>
      </c>
      <c r="Q111" s="33">
        <v>1</v>
      </c>
      <c r="R111">
        <f t="shared" si="46"/>
        <v>0.94797495134494303</v>
      </c>
      <c r="S111">
        <f t="shared" si="47"/>
        <v>1.2039779264463946E-2</v>
      </c>
      <c r="T111">
        <f t="shared" si="48"/>
        <v>6.3767269478986268</v>
      </c>
      <c r="U111">
        <f t="shared" si="49"/>
        <v>-5.3427199708115769E-2</v>
      </c>
      <c r="W111">
        <f t="shared" si="50"/>
        <v>106175553536</v>
      </c>
      <c r="AD111" s="21">
        <v>588</v>
      </c>
      <c r="AE111" s="33">
        <v>1</v>
      </c>
      <c r="AF111" s="22">
        <v>0.84199999999999997</v>
      </c>
      <c r="AG111" s="36">
        <v>0.01</v>
      </c>
      <c r="AH111" s="21"/>
      <c r="AI111" s="22"/>
      <c r="AJ111" s="13">
        <v>588</v>
      </c>
      <c r="AK111" s="6">
        <f t="shared" si="61"/>
        <v>813187631.02040815</v>
      </c>
      <c r="AL111" s="22">
        <f t="shared" si="62"/>
        <v>119538581760</v>
      </c>
      <c r="AM111" s="22">
        <f t="shared" si="63"/>
        <v>813253930.78148282</v>
      </c>
      <c r="AN111" s="22">
        <v>0.84199999999999997</v>
      </c>
      <c r="AO111" s="23">
        <v>0.01</v>
      </c>
    </row>
    <row r="112" spans="2:41" x14ac:dyDescent="0.25">
      <c r="B112" s="13">
        <v>320</v>
      </c>
      <c r="C112" s="6">
        <f t="shared" si="55"/>
        <v>593</v>
      </c>
      <c r="D112" s="7">
        <v>-0.874</v>
      </c>
      <c r="E112" s="6">
        <f t="shared" si="56"/>
        <v>593</v>
      </c>
      <c r="F112" s="14">
        <f t="shared" si="64"/>
        <v>0.874</v>
      </c>
      <c r="G112">
        <f t="shared" si="42"/>
        <v>123657019201</v>
      </c>
      <c r="H112">
        <f t="shared" si="57"/>
        <v>13363360000</v>
      </c>
      <c r="I112">
        <f t="shared" si="43"/>
        <v>0.10806794540533395</v>
      </c>
      <c r="J112">
        <f t="shared" si="58"/>
        <v>3.8670072883429979E-3</v>
      </c>
      <c r="K112">
        <f t="shared" si="59"/>
        <v>0.97989526836456708</v>
      </c>
      <c r="L112">
        <f t="shared" si="60"/>
        <v>1.1989538524814339E-2</v>
      </c>
      <c r="M112">
        <f t="shared" si="44"/>
        <v>1.2570034101912706</v>
      </c>
      <c r="N112" s="61">
        <f t="shared" si="45"/>
        <v>1.2069680588105363</v>
      </c>
      <c r="O112" s="61"/>
      <c r="P112" s="21">
        <v>593</v>
      </c>
      <c r="Q112" s="33">
        <v>1</v>
      </c>
      <c r="R112">
        <f t="shared" si="46"/>
        <v>0.97989526836456708</v>
      </c>
      <c r="S112">
        <f t="shared" si="47"/>
        <v>1.1989538524814339E-2</v>
      </c>
      <c r="T112">
        <f t="shared" si="48"/>
        <v>6.3851943989977258</v>
      </c>
      <c r="U112">
        <f t="shared" si="49"/>
        <v>-2.0309582044167468E-2</v>
      </c>
      <c r="W112">
        <f t="shared" si="50"/>
        <v>110293659201</v>
      </c>
      <c r="AD112" s="21">
        <v>593</v>
      </c>
      <c r="AE112" s="33">
        <v>1</v>
      </c>
      <c r="AF112" s="22">
        <v>0.874</v>
      </c>
      <c r="AG112" s="36">
        <v>0.01</v>
      </c>
      <c r="AH112" s="21"/>
      <c r="AI112" s="22"/>
      <c r="AJ112" s="13">
        <v>593</v>
      </c>
      <c r="AK112" s="6">
        <f t="shared" si="61"/>
        <v>834109190.05059016</v>
      </c>
      <c r="AL112" s="22">
        <f t="shared" si="62"/>
        <v>123656687425</v>
      </c>
      <c r="AM112" s="22">
        <f t="shared" si="63"/>
        <v>834173826.97720814</v>
      </c>
      <c r="AN112" s="22">
        <v>0.874</v>
      </c>
      <c r="AO112" s="23">
        <v>0.01</v>
      </c>
    </row>
    <row r="113" spans="2:41" x14ac:dyDescent="0.25">
      <c r="B113" s="13">
        <v>325</v>
      </c>
      <c r="C113" s="6">
        <f t="shared" si="55"/>
        <v>598</v>
      </c>
      <c r="D113" s="7">
        <v>-0.90700000000000003</v>
      </c>
      <c r="E113" s="6">
        <f t="shared" si="56"/>
        <v>598</v>
      </c>
      <c r="F113" s="14">
        <f t="shared" si="64"/>
        <v>0.90700000000000003</v>
      </c>
      <c r="G113">
        <f t="shared" si="42"/>
        <v>127880620816</v>
      </c>
      <c r="H113">
        <f t="shared" si="57"/>
        <v>13363360000</v>
      </c>
      <c r="I113">
        <f t="shared" si="43"/>
        <v>0.10449871070948086</v>
      </c>
      <c r="J113">
        <f t="shared" si="58"/>
        <v>3.7422823630540569E-3</v>
      </c>
      <c r="K113">
        <f t="shared" si="59"/>
        <v>1.0128405294855476</v>
      </c>
      <c r="L113">
        <f t="shared" si="60"/>
        <v>1.1942176018571466E-2</v>
      </c>
      <c r="M113">
        <f t="shared" si="44"/>
        <v>1.247003203272069</v>
      </c>
      <c r="N113" s="61">
        <f t="shared" si="45"/>
        <v>1.2792331709598406</v>
      </c>
      <c r="O113" s="61"/>
      <c r="P113" s="21">
        <v>598</v>
      </c>
      <c r="Q113" s="33">
        <v>1</v>
      </c>
      <c r="R113">
        <f t="shared" si="46"/>
        <v>1.0128405294855476</v>
      </c>
      <c r="S113">
        <f t="shared" si="47"/>
        <v>1.1942176018571466E-2</v>
      </c>
      <c r="T113">
        <f t="shared" si="48"/>
        <v>6.3935907539506314</v>
      </c>
      <c r="U113">
        <f t="shared" si="49"/>
        <v>1.2758788871666525E-2</v>
      </c>
      <c r="W113">
        <f t="shared" si="50"/>
        <v>114517260816</v>
      </c>
      <c r="AD113" s="21">
        <v>598</v>
      </c>
      <c r="AE113" s="33">
        <v>1</v>
      </c>
      <c r="AF113" s="22">
        <v>0.90700000000000003</v>
      </c>
      <c r="AG113" s="36">
        <v>0.01</v>
      </c>
      <c r="AH113" s="21"/>
      <c r="AI113" s="22"/>
      <c r="AJ113" s="13">
        <v>598</v>
      </c>
      <c r="AK113" s="6">
        <f t="shared" si="61"/>
        <v>855386548.76254177</v>
      </c>
      <c r="AL113" s="22">
        <f t="shared" si="62"/>
        <v>127880289040</v>
      </c>
      <c r="AM113" s="22">
        <f t="shared" si="63"/>
        <v>855449577.99442613</v>
      </c>
      <c r="AN113" s="22">
        <v>0.90700000000000003</v>
      </c>
      <c r="AO113" s="23">
        <v>0.01</v>
      </c>
    </row>
    <row r="114" spans="2:41" x14ac:dyDescent="0.25">
      <c r="B114" s="13">
        <v>330</v>
      </c>
      <c r="C114" s="6">
        <f t="shared" si="55"/>
        <v>603</v>
      </c>
      <c r="D114" s="7">
        <v>-0.94099999999999995</v>
      </c>
      <c r="E114" s="6">
        <f t="shared" si="56"/>
        <v>603</v>
      </c>
      <c r="F114" s="14">
        <f t="shared" si="64"/>
        <v>0.94099999999999995</v>
      </c>
      <c r="G114">
        <f t="shared" si="42"/>
        <v>132211504881</v>
      </c>
      <c r="H114">
        <f t="shared" si="57"/>
        <v>13363360000</v>
      </c>
      <c r="I114">
        <f t="shared" si="43"/>
        <v>0.10107562130865994</v>
      </c>
      <c r="J114">
        <f t="shared" si="58"/>
        <v>3.6227381390209969E-3</v>
      </c>
      <c r="K114">
        <f t="shared" si="59"/>
        <v>1.0468066305754371</v>
      </c>
      <c r="L114">
        <f t="shared" si="60"/>
        <v>1.1897477730869408E-2</v>
      </c>
      <c r="M114">
        <f t="shared" si="44"/>
        <v>1.2375241499441543</v>
      </c>
      <c r="N114" s="61">
        <f t="shared" si="45"/>
        <v>1.3560840643565115</v>
      </c>
      <c r="O114" s="61"/>
      <c r="P114" s="21">
        <v>603</v>
      </c>
      <c r="Q114" s="33">
        <v>1</v>
      </c>
      <c r="R114">
        <f t="shared" si="46"/>
        <v>1.0468066305754371</v>
      </c>
      <c r="S114">
        <f t="shared" si="47"/>
        <v>1.1897477730869408E-2</v>
      </c>
      <c r="T114">
        <f t="shared" si="48"/>
        <v>6.4019171967271857</v>
      </c>
      <c r="U114">
        <f t="shared" si="49"/>
        <v>4.5744225791581772E-2</v>
      </c>
      <c r="W114">
        <f t="shared" si="50"/>
        <v>118848144881</v>
      </c>
      <c r="AD114" s="21">
        <v>603</v>
      </c>
      <c r="AE114" s="33">
        <v>1</v>
      </c>
      <c r="AF114" s="22">
        <v>0.94099999999999995</v>
      </c>
      <c r="AG114" s="36">
        <v>0.01</v>
      </c>
      <c r="AH114" s="21"/>
      <c r="AI114" s="22"/>
      <c r="AJ114" s="13">
        <v>603</v>
      </c>
      <c r="AK114" s="6">
        <f t="shared" si="61"/>
        <v>877022707.16417909</v>
      </c>
      <c r="AL114" s="22">
        <f t="shared" si="62"/>
        <v>132211173105</v>
      </c>
      <c r="AM114" s="22">
        <f t="shared" si="63"/>
        <v>877084181.57468498</v>
      </c>
      <c r="AN114" s="22">
        <v>0.94099999999999995</v>
      </c>
      <c r="AO114" s="23">
        <v>0.01</v>
      </c>
    </row>
    <row r="115" spans="2:41" x14ac:dyDescent="0.25">
      <c r="B115" s="13">
        <v>335</v>
      </c>
      <c r="C115" s="6">
        <f t="shared" si="55"/>
        <v>608</v>
      </c>
      <c r="D115" s="7">
        <v>-0.97599999999999998</v>
      </c>
      <c r="E115" s="6">
        <f t="shared" si="56"/>
        <v>608</v>
      </c>
      <c r="F115" s="14">
        <f t="shared" si="64"/>
        <v>0.97599999999999998</v>
      </c>
      <c r="G115">
        <f t="shared" si="42"/>
        <v>136651472896</v>
      </c>
      <c r="H115">
        <f t="shared" si="57"/>
        <v>13363360000</v>
      </c>
      <c r="I115">
        <f t="shared" si="43"/>
        <v>9.7791554798463978E-2</v>
      </c>
      <c r="J115">
        <f t="shared" si="58"/>
        <v>3.5081207819862045E-3</v>
      </c>
      <c r="K115">
        <f t="shared" si="59"/>
        <v>1.0817899180515655</v>
      </c>
      <c r="L115">
        <f t="shared" si="60"/>
        <v>1.1855249102661761E-2</v>
      </c>
      <c r="M115">
        <f t="shared" si="44"/>
        <v>1.2285312949287124</v>
      </c>
      <c r="N115" s="61">
        <f t="shared" si="45"/>
        <v>1.4377126143196448</v>
      </c>
      <c r="O115" s="61"/>
      <c r="P115" s="21">
        <v>608</v>
      </c>
      <c r="Q115" s="33">
        <v>1</v>
      </c>
      <c r="R115">
        <f t="shared" si="46"/>
        <v>1.0817899180515655</v>
      </c>
      <c r="S115">
        <f t="shared" si="47"/>
        <v>1.1855249102661761E-2</v>
      </c>
      <c r="T115">
        <f t="shared" si="48"/>
        <v>6.4101748819661672</v>
      </c>
      <c r="U115">
        <f t="shared" si="49"/>
        <v>7.8617000806997045E-2</v>
      </c>
      <c r="W115">
        <f t="shared" si="50"/>
        <v>123288112896</v>
      </c>
      <c r="AD115" s="21">
        <v>608</v>
      </c>
      <c r="AE115" s="33">
        <v>1</v>
      </c>
      <c r="AF115" s="22">
        <v>0.97599999999999998</v>
      </c>
      <c r="AG115" s="36">
        <v>0.01</v>
      </c>
      <c r="AH115" s="21"/>
      <c r="AI115" s="22"/>
      <c r="AJ115" s="13">
        <v>608</v>
      </c>
      <c r="AK115" s="6">
        <f t="shared" si="61"/>
        <v>899020665.26315784</v>
      </c>
      <c r="AL115" s="22">
        <f t="shared" si="62"/>
        <v>136651141120</v>
      </c>
      <c r="AM115" s="22">
        <f t="shared" si="63"/>
        <v>899080635.57011414</v>
      </c>
      <c r="AN115" s="22">
        <v>0.97599999999999998</v>
      </c>
      <c r="AO115" s="23">
        <v>0.01</v>
      </c>
    </row>
    <row r="116" spans="2:41" x14ac:dyDescent="0.25">
      <c r="B116" s="13">
        <v>340</v>
      </c>
      <c r="C116" s="6">
        <f t="shared" si="55"/>
        <v>613</v>
      </c>
      <c r="D116" s="7">
        <v>-1.0109999999999999</v>
      </c>
      <c r="E116" s="6">
        <f t="shared" si="56"/>
        <v>613</v>
      </c>
      <c r="F116" s="14">
        <f t="shared" si="64"/>
        <v>1.0109999999999999</v>
      </c>
      <c r="G116">
        <f t="shared" si="42"/>
        <v>141202341361</v>
      </c>
      <c r="H116">
        <f t="shared" si="57"/>
        <v>13363360000</v>
      </c>
      <c r="I116">
        <f t="shared" si="43"/>
        <v>9.4639790468027979E-2</v>
      </c>
      <c r="J116">
        <f t="shared" si="58"/>
        <v>3.3980772128295034E-3</v>
      </c>
      <c r="K116">
        <f t="shared" si="59"/>
        <v>1.1166826080446353</v>
      </c>
      <c r="L116">
        <f t="shared" si="60"/>
        <v>1.181379176701155E-2</v>
      </c>
      <c r="M116">
        <f t="shared" si="44"/>
        <v>1.2199925910037743</v>
      </c>
      <c r="N116" s="61">
        <f t="shared" si="45"/>
        <v>1.5213064186029663</v>
      </c>
      <c r="O116" s="61"/>
      <c r="P116" s="21">
        <v>613</v>
      </c>
      <c r="Q116" s="33">
        <v>1</v>
      </c>
      <c r="R116">
        <f t="shared" si="46"/>
        <v>1.1166826080446353</v>
      </c>
      <c r="S116">
        <f t="shared" si="47"/>
        <v>1.181379176701155E-2</v>
      </c>
      <c r="T116">
        <f t="shared" si="48"/>
        <v>6.4183649359362116</v>
      </c>
      <c r="U116">
        <f t="shared" si="49"/>
        <v>0.11036233292783364</v>
      </c>
      <c r="W116">
        <f t="shared" si="50"/>
        <v>127838981361</v>
      </c>
      <c r="AD116" s="21">
        <v>613</v>
      </c>
      <c r="AE116" s="33">
        <v>1</v>
      </c>
      <c r="AF116" s="22">
        <v>1.0109999999999999</v>
      </c>
      <c r="AG116" s="36">
        <v>0.01</v>
      </c>
      <c r="AH116" s="21"/>
      <c r="AI116" s="22"/>
      <c r="AJ116" s="13">
        <v>613</v>
      </c>
      <c r="AK116" s="6">
        <f t="shared" si="61"/>
        <v>921383423.06688416</v>
      </c>
      <c r="AL116" s="22">
        <f t="shared" si="62"/>
        <v>141202009585</v>
      </c>
      <c r="AM116" s="22">
        <f t="shared" si="63"/>
        <v>921441937.93716514</v>
      </c>
      <c r="AN116" s="22">
        <v>1.0109999999999999</v>
      </c>
      <c r="AO116" s="23">
        <v>0.01</v>
      </c>
    </row>
    <row r="117" spans="2:41" x14ac:dyDescent="0.25">
      <c r="B117" s="13">
        <v>345</v>
      </c>
      <c r="C117" s="6">
        <f t="shared" si="55"/>
        <v>618</v>
      </c>
      <c r="D117" s="7">
        <v>-1.048</v>
      </c>
      <c r="E117" s="6">
        <f t="shared" si="56"/>
        <v>618</v>
      </c>
      <c r="F117" s="14">
        <f t="shared" si="64"/>
        <v>1.048</v>
      </c>
      <c r="G117">
        <f t="shared" si="42"/>
        <v>145865941776</v>
      </c>
      <c r="H117">
        <f t="shared" si="57"/>
        <v>13363360000</v>
      </c>
      <c r="I117">
        <f t="shared" si="43"/>
        <v>9.1613983616007713E-2</v>
      </c>
      <c r="J117">
        <f t="shared" si="58"/>
        <v>3.2926098293529753E-3</v>
      </c>
      <c r="K117">
        <f t="shared" si="59"/>
        <v>1.1536945539648094</v>
      </c>
      <c r="L117">
        <f t="shared" si="60"/>
        <v>1.1776039399120943E-2</v>
      </c>
      <c r="M117">
        <f t="shared" si="44"/>
        <v>1.2118786090627554</v>
      </c>
      <c r="N117" s="61">
        <f t="shared" si="45"/>
        <v>1.6130239094160426</v>
      </c>
      <c r="O117" s="61"/>
      <c r="P117" s="21">
        <v>618</v>
      </c>
      <c r="Q117" s="33">
        <v>1</v>
      </c>
      <c r="R117">
        <f t="shared" si="46"/>
        <v>1.1536945539648094</v>
      </c>
      <c r="S117">
        <f t="shared" si="47"/>
        <v>1.1776039399120943E-2</v>
      </c>
      <c r="T117">
        <f t="shared" si="48"/>
        <v>6.4264884574576904</v>
      </c>
      <c r="U117">
        <f t="shared" si="49"/>
        <v>0.14296944844487078</v>
      </c>
      <c r="W117">
        <f t="shared" si="50"/>
        <v>132502581776</v>
      </c>
      <c r="AD117" s="21">
        <v>618</v>
      </c>
      <c r="AE117" s="33">
        <v>1</v>
      </c>
      <c r="AF117" s="22">
        <v>1.048</v>
      </c>
      <c r="AG117" s="36">
        <v>0.01</v>
      </c>
      <c r="AH117" s="21"/>
      <c r="AI117" s="22"/>
      <c r="AJ117" s="13">
        <v>618</v>
      </c>
      <c r="AK117" s="6">
        <f t="shared" si="61"/>
        <v>944113980.5825243</v>
      </c>
      <c r="AL117" s="22">
        <f t="shared" si="62"/>
        <v>145865610000</v>
      </c>
      <c r="AM117" s="22">
        <f t="shared" si="63"/>
        <v>944171086.73075163</v>
      </c>
      <c r="AN117" s="22">
        <v>1.048</v>
      </c>
      <c r="AO117" s="23">
        <v>0.01</v>
      </c>
    </row>
    <row r="118" spans="2:41" x14ac:dyDescent="0.25">
      <c r="B118" s="13">
        <v>350</v>
      </c>
      <c r="C118" s="6">
        <f t="shared" ref="C118:C149" si="65">B118+$Q$5</f>
        <v>623</v>
      </c>
      <c r="D118" s="7">
        <v>-1.0840000000000001</v>
      </c>
      <c r="E118" s="6">
        <f t="shared" ref="E118:E128" si="66">$Q$5+B118</f>
        <v>623</v>
      </c>
      <c r="F118" s="14">
        <f t="shared" si="64"/>
        <v>1.0840000000000001</v>
      </c>
      <c r="G118">
        <f t="shared" si="42"/>
        <v>150644120641</v>
      </c>
      <c r="H118">
        <f t="shared" ref="H118:H128" si="67">$N$51^4</f>
        <v>13363360000</v>
      </c>
      <c r="I118">
        <f t="shared" si="43"/>
        <v>8.8708141699377852E-2</v>
      </c>
      <c r="J118">
        <f t="shared" ref="J118:J149" si="68">I118*SQRT((((D118/C118)^2)*16)+((($O$51/$N$51)^2)*16))</f>
        <v>3.1911692765473751E-3</v>
      </c>
      <c r="K118">
        <f t="shared" ref="K118:K128" si="69">AF118/(1-I118)</f>
        <v>1.1895201192968454</v>
      </c>
      <c r="L118">
        <f t="shared" ref="L118:L128" si="70">SQRT((M118*AG118^2)+(N118*J118^2))</f>
        <v>1.1737434946374119E-2</v>
      </c>
      <c r="M118">
        <f t="shared" si="44"/>
        <v>1.2041622818078299</v>
      </c>
      <c r="N118" s="61">
        <f t="shared" si="45"/>
        <v>1.7038391914720032</v>
      </c>
      <c r="O118" s="61"/>
      <c r="P118" s="21">
        <v>623</v>
      </c>
      <c r="Q118" s="33">
        <v>1</v>
      </c>
      <c r="R118">
        <f t="shared" si="46"/>
        <v>1.1895201192968454</v>
      </c>
      <c r="S118">
        <f t="shared" si="47"/>
        <v>1.1737434946374119E-2</v>
      </c>
      <c r="T118">
        <f t="shared" si="48"/>
        <v>6.4345465187874531</v>
      </c>
      <c r="U118">
        <f t="shared" si="49"/>
        <v>0.17354996469672876</v>
      </c>
      <c r="W118">
        <f t="shared" si="50"/>
        <v>137280760641</v>
      </c>
      <c r="AD118" s="21">
        <v>623</v>
      </c>
      <c r="AE118" s="33">
        <v>1</v>
      </c>
      <c r="AF118" s="22">
        <v>1.0840000000000001</v>
      </c>
      <c r="AG118" s="36">
        <v>0.01</v>
      </c>
      <c r="AH118" s="21"/>
      <c r="AI118" s="22"/>
      <c r="AJ118" s="13">
        <v>623</v>
      </c>
      <c r="AK118" s="6">
        <f t="shared" ref="AK118:AK128" si="71">AL118*(SQRT(16*(1/AJ118)^2))</f>
        <v>967215337.81701446</v>
      </c>
      <c r="AL118" s="22">
        <f t="shared" ref="AL118:AL128" si="72">AD118^4-24^4</f>
        <v>150643788865</v>
      </c>
      <c r="AM118" s="22">
        <f t="shared" ref="AM118:AM128" si="73">SQRT(AK118^2+$U$4^2)</f>
        <v>967271080.09876478</v>
      </c>
      <c r="AN118" s="22">
        <v>1.0840000000000001</v>
      </c>
      <c r="AO118" s="23">
        <v>0.01</v>
      </c>
    </row>
    <row r="119" spans="2:41" x14ac:dyDescent="0.25">
      <c r="B119" s="13">
        <v>355</v>
      </c>
      <c r="C119" s="6">
        <f t="shared" si="65"/>
        <v>628</v>
      </c>
      <c r="D119" s="7">
        <v>-1.1220000000000001</v>
      </c>
      <c r="E119" s="6">
        <f t="shared" si="66"/>
        <v>628</v>
      </c>
      <c r="F119" s="14">
        <f t="shared" si="64"/>
        <v>1.1220000000000001</v>
      </c>
      <c r="G119">
        <f t="shared" ref="G119:G128" si="74">C119^4</f>
        <v>155538739456</v>
      </c>
      <c r="H119">
        <f t="shared" si="67"/>
        <v>13363360000</v>
      </c>
      <c r="I119">
        <f t="shared" ref="I119:I128" si="75">H119/G119</f>
        <v>8.5916602170871589E-2</v>
      </c>
      <c r="J119">
        <f t="shared" si="68"/>
        <v>3.0938891220386646E-3</v>
      </c>
      <c r="K119">
        <f t="shared" si="69"/>
        <v>1.2274591166021134</v>
      </c>
      <c r="L119">
        <f t="shared" si="70"/>
        <v>1.1702235255403214E-2</v>
      </c>
      <c r="M119">
        <f t="shared" ref="M119:M128" si="76">(1/(1-I119))^2</f>
        <v>1.1968186766450604</v>
      </c>
      <c r="N119" s="61">
        <f t="shared" ref="N119:N128" si="77">(D119/(1-I119)^2)^2</f>
        <v>1.8031938999673476</v>
      </c>
      <c r="O119" s="61"/>
      <c r="P119" s="21">
        <v>628</v>
      </c>
      <c r="Q119" s="33">
        <v>1</v>
      </c>
      <c r="R119">
        <f t="shared" ref="R119:R128" si="78">K119</f>
        <v>1.2274591166021134</v>
      </c>
      <c r="S119">
        <f t="shared" ref="S119:S128" si="79">L119</f>
        <v>1.1702235255403214E-2</v>
      </c>
      <c r="T119">
        <f t="shared" ref="T119:T128" si="80">LN(P119)</f>
        <v>6.4425401664681985</v>
      </c>
      <c r="U119">
        <f t="shared" ref="U119:U128" si="81">LN(R119)</f>
        <v>0.20494627390141626</v>
      </c>
      <c r="W119">
        <f t="shared" ref="W119:W128" si="82">G119-H119</f>
        <v>142175379456</v>
      </c>
      <c r="AD119" s="21">
        <v>628</v>
      </c>
      <c r="AE119" s="33">
        <v>1</v>
      </c>
      <c r="AF119" s="22">
        <v>1.1220000000000001</v>
      </c>
      <c r="AG119" s="36">
        <v>0.01</v>
      </c>
      <c r="AH119" s="21"/>
      <c r="AI119" s="22"/>
      <c r="AJ119" s="13">
        <v>628</v>
      </c>
      <c r="AK119" s="6">
        <f t="shared" si="71"/>
        <v>990690494.77707016</v>
      </c>
      <c r="AL119" s="22">
        <f t="shared" si="72"/>
        <v>155538407680</v>
      </c>
      <c r="AM119" s="22">
        <f t="shared" si="73"/>
        <v>990744916.27693236</v>
      </c>
      <c r="AN119" s="22">
        <v>1.1220000000000001</v>
      </c>
      <c r="AO119" s="23">
        <v>0.01</v>
      </c>
    </row>
    <row r="120" spans="2:41" x14ac:dyDescent="0.25">
      <c r="B120" s="13">
        <v>360</v>
      </c>
      <c r="C120" s="6">
        <f t="shared" si="65"/>
        <v>633</v>
      </c>
      <c r="D120" s="7">
        <v>-1.1599999999999999</v>
      </c>
      <c r="E120" s="6">
        <f t="shared" si="66"/>
        <v>633</v>
      </c>
      <c r="F120" s="14">
        <f t="shared" si="64"/>
        <v>1.1599999999999999</v>
      </c>
      <c r="G120">
        <f t="shared" si="74"/>
        <v>160551674721</v>
      </c>
      <c r="H120">
        <f t="shared" si="67"/>
        <v>13363360000</v>
      </c>
      <c r="I120">
        <f t="shared" si="75"/>
        <v>8.3234011873263167E-2</v>
      </c>
      <c r="J120">
        <f t="shared" si="68"/>
        <v>3.0003594921511191E-3</v>
      </c>
      <c r="K120">
        <f t="shared" si="69"/>
        <v>1.265317447444001</v>
      </c>
      <c r="L120">
        <f t="shared" si="70"/>
        <v>1.1667522291017418E-2</v>
      </c>
      <c r="M120">
        <f t="shared" si="76"/>
        <v>1.1898247939998532</v>
      </c>
      <c r="N120" s="61">
        <f t="shared" si="77"/>
        <v>1.9049430991848364</v>
      </c>
      <c r="O120" s="61"/>
      <c r="P120" s="21">
        <v>633</v>
      </c>
      <c r="Q120" s="33">
        <v>1</v>
      </c>
      <c r="R120">
        <f t="shared" si="78"/>
        <v>1.265317447444001</v>
      </c>
      <c r="S120">
        <f t="shared" si="79"/>
        <v>1.1667522291017418E-2</v>
      </c>
      <c r="T120">
        <f t="shared" si="80"/>
        <v>6.4504704221441758</v>
      </c>
      <c r="U120">
        <f t="shared" si="81"/>
        <v>0.23532303729370146</v>
      </c>
      <c r="W120">
        <f t="shared" si="82"/>
        <v>147188314721</v>
      </c>
      <c r="AD120" s="21">
        <v>633</v>
      </c>
      <c r="AE120" s="33">
        <v>1</v>
      </c>
      <c r="AF120" s="22">
        <v>1.1599999999999999</v>
      </c>
      <c r="AG120" s="36">
        <v>0.01</v>
      </c>
      <c r="AH120" s="21"/>
      <c r="AI120" s="22"/>
      <c r="AJ120" s="13">
        <v>633</v>
      </c>
      <c r="AK120" s="6">
        <f t="shared" si="71"/>
        <v>1014542451.4691943</v>
      </c>
      <c r="AL120" s="22">
        <f t="shared" si="72"/>
        <v>160551342945</v>
      </c>
      <c r="AM120" s="22">
        <f t="shared" si="73"/>
        <v>1014595593.5840013</v>
      </c>
      <c r="AN120" s="22">
        <v>1.1599999999999999</v>
      </c>
      <c r="AO120" s="23">
        <v>0.01</v>
      </c>
    </row>
    <row r="121" spans="2:41" x14ac:dyDescent="0.25">
      <c r="B121" s="13">
        <v>365</v>
      </c>
      <c r="C121" s="6">
        <f t="shared" si="65"/>
        <v>638</v>
      </c>
      <c r="D121" s="7">
        <v>-1.202</v>
      </c>
      <c r="E121" s="6">
        <f t="shared" si="66"/>
        <v>638</v>
      </c>
      <c r="F121" s="14">
        <f t="shared" si="64"/>
        <v>1.202</v>
      </c>
      <c r="G121">
        <f t="shared" si="74"/>
        <v>165684817936</v>
      </c>
      <c r="H121">
        <f t="shared" si="67"/>
        <v>13363360000</v>
      </c>
      <c r="I121">
        <f t="shared" si="75"/>
        <v>8.0655307869921672E-2</v>
      </c>
      <c r="J121">
        <f t="shared" si="68"/>
        <v>2.9108262514648178E-3</v>
      </c>
      <c r="K121">
        <f t="shared" si="69"/>
        <v>1.3074530263670991</v>
      </c>
      <c r="L121">
        <f t="shared" si="70"/>
        <v>1.1638413592733153E-2</v>
      </c>
      <c r="M121">
        <f t="shared" si="76"/>
        <v>1.1831593878176461</v>
      </c>
      <c r="N121" s="61">
        <f t="shared" si="77"/>
        <v>2.0225321941747363</v>
      </c>
      <c r="O121" s="61"/>
      <c r="P121" s="21">
        <v>638</v>
      </c>
      <c r="Q121" s="33">
        <v>1</v>
      </c>
      <c r="R121">
        <f t="shared" si="78"/>
        <v>1.3074530263670991</v>
      </c>
      <c r="S121">
        <f t="shared" si="79"/>
        <v>1.1638413592733153E-2</v>
      </c>
      <c r="T121">
        <f t="shared" si="80"/>
        <v>6.4583382833447898</v>
      </c>
      <c r="U121">
        <f t="shared" si="81"/>
        <v>0.26808099001490238</v>
      </c>
      <c r="W121">
        <f t="shared" si="82"/>
        <v>152321457936</v>
      </c>
      <c r="AD121" s="21">
        <v>638</v>
      </c>
      <c r="AE121" s="33">
        <v>1</v>
      </c>
      <c r="AF121" s="22">
        <v>1.202</v>
      </c>
      <c r="AG121" s="36">
        <v>0.01</v>
      </c>
      <c r="AH121" s="21"/>
      <c r="AI121" s="22"/>
      <c r="AJ121" s="13">
        <v>638</v>
      </c>
      <c r="AK121" s="6">
        <f t="shared" si="71"/>
        <v>1038774207.8996865</v>
      </c>
      <c r="AL121" s="22">
        <f t="shared" si="72"/>
        <v>165684486160</v>
      </c>
      <c r="AM121" s="22">
        <f t="shared" si="73"/>
        <v>1038826110.4172201</v>
      </c>
      <c r="AN121" s="22">
        <v>1.202</v>
      </c>
      <c r="AO121" s="23">
        <v>0.01</v>
      </c>
    </row>
    <row r="122" spans="2:41" x14ac:dyDescent="0.25">
      <c r="B122" s="13">
        <v>370</v>
      </c>
      <c r="C122" s="6">
        <f t="shared" si="65"/>
        <v>643</v>
      </c>
      <c r="D122" s="7">
        <v>-1.242</v>
      </c>
      <c r="E122" s="6">
        <f t="shared" si="66"/>
        <v>643</v>
      </c>
      <c r="F122" s="14">
        <f t="shared" si="64"/>
        <v>1.242</v>
      </c>
      <c r="G122">
        <f t="shared" si="74"/>
        <v>170940075601</v>
      </c>
      <c r="H122">
        <f t="shared" si="67"/>
        <v>13363360000</v>
      </c>
      <c r="I122">
        <f t="shared" si="75"/>
        <v>7.8175699601257365E-2</v>
      </c>
      <c r="J122">
        <f t="shared" si="68"/>
        <v>2.8244807675014134E-3</v>
      </c>
      <c r="K122">
        <f t="shared" si="69"/>
        <v>1.3473283351965908</v>
      </c>
      <c r="L122">
        <f t="shared" si="70"/>
        <v>1.160700502359327E-2</v>
      </c>
      <c r="M122">
        <f t="shared" si="76"/>
        <v>1.1768028054742734</v>
      </c>
      <c r="N122" s="61">
        <f t="shared" si="77"/>
        <v>2.1362426516344462</v>
      </c>
      <c r="O122" s="61"/>
      <c r="P122" s="21">
        <v>643</v>
      </c>
      <c r="Q122" s="33">
        <v>1</v>
      </c>
      <c r="R122">
        <f t="shared" si="78"/>
        <v>1.3473283351965908</v>
      </c>
      <c r="S122">
        <f t="shared" si="79"/>
        <v>1.160700502359327E-2</v>
      </c>
      <c r="T122">
        <f t="shared" si="80"/>
        <v>6.4661447242376191</v>
      </c>
      <c r="U122">
        <f t="shared" si="81"/>
        <v>0.29812362065521969</v>
      </c>
      <c r="W122">
        <f t="shared" si="82"/>
        <v>157576715601</v>
      </c>
      <c r="AD122" s="21">
        <v>643</v>
      </c>
      <c r="AE122" s="33">
        <v>1</v>
      </c>
      <c r="AF122" s="22">
        <v>1.242</v>
      </c>
      <c r="AG122" s="36">
        <v>0.01</v>
      </c>
      <c r="AH122" s="21"/>
      <c r="AI122" s="22"/>
      <c r="AJ122" s="13">
        <v>643</v>
      </c>
      <c r="AK122" s="6">
        <f t="shared" si="71"/>
        <v>1063388764.07465</v>
      </c>
      <c r="AL122" s="22">
        <f t="shared" si="72"/>
        <v>170939743825</v>
      </c>
      <c r="AM122" s="22">
        <f t="shared" si="73"/>
        <v>1063439465.2480983</v>
      </c>
      <c r="AN122" s="22">
        <v>1.242</v>
      </c>
      <c r="AO122" s="23">
        <v>0.01</v>
      </c>
    </row>
    <row r="123" spans="2:41" x14ac:dyDescent="0.25">
      <c r="B123" s="13">
        <v>375</v>
      </c>
      <c r="C123" s="6">
        <f t="shared" si="65"/>
        <v>648</v>
      </c>
      <c r="D123" s="7">
        <v>-1.2829999999999999</v>
      </c>
      <c r="E123" s="6">
        <f t="shared" si="66"/>
        <v>648</v>
      </c>
      <c r="F123" s="14">
        <f t="shared" si="64"/>
        <v>1.2829999999999999</v>
      </c>
      <c r="G123">
        <f t="shared" si="74"/>
        <v>176319369216</v>
      </c>
      <c r="H123">
        <f t="shared" si="67"/>
        <v>13363360000</v>
      </c>
      <c r="I123">
        <f t="shared" si="75"/>
        <v>7.5790652265941463E-2</v>
      </c>
      <c r="J123">
        <f t="shared" si="68"/>
        <v>2.7414823399712468E-3</v>
      </c>
      <c r="K123">
        <f t="shared" si="69"/>
        <v>1.3882136153952682</v>
      </c>
      <c r="L123">
        <f t="shared" si="70"/>
        <v>1.1577151689712196E-2</v>
      </c>
      <c r="M123">
        <f t="shared" si="76"/>
        <v>1.170736844708155</v>
      </c>
      <c r="N123" s="61">
        <f t="shared" si="77"/>
        <v>2.2561703398347617</v>
      </c>
      <c r="O123" s="61"/>
      <c r="P123" s="21">
        <v>648</v>
      </c>
      <c r="Q123" s="33">
        <v>1</v>
      </c>
      <c r="R123">
        <f t="shared" si="78"/>
        <v>1.3882136153952682</v>
      </c>
      <c r="S123">
        <f t="shared" si="79"/>
        <v>1.1577151689712196E-2</v>
      </c>
      <c r="T123">
        <f t="shared" si="80"/>
        <v>6.4738906963522744</v>
      </c>
      <c r="U123">
        <f t="shared" si="81"/>
        <v>0.32801775182458465</v>
      </c>
      <c r="W123">
        <f t="shared" si="82"/>
        <v>162956009216</v>
      </c>
      <c r="AD123" s="21">
        <v>648</v>
      </c>
      <c r="AE123" s="33">
        <v>1</v>
      </c>
      <c r="AF123" s="22">
        <v>1.2829999999999999</v>
      </c>
      <c r="AG123" s="36">
        <v>0.01</v>
      </c>
      <c r="AH123" s="21"/>
      <c r="AI123" s="22"/>
      <c r="AJ123" s="13">
        <v>648</v>
      </c>
      <c r="AK123" s="6">
        <f t="shared" si="71"/>
        <v>1088389120</v>
      </c>
      <c r="AL123" s="22">
        <f t="shared" si="72"/>
        <v>176319037440</v>
      </c>
      <c r="AM123" s="22">
        <f t="shared" si="73"/>
        <v>1088438656.6184258</v>
      </c>
      <c r="AN123" s="22">
        <v>1.2829999999999999</v>
      </c>
      <c r="AO123" s="23">
        <v>0.01</v>
      </c>
    </row>
    <row r="124" spans="2:41" x14ac:dyDescent="0.25">
      <c r="B124" s="13">
        <v>380</v>
      </c>
      <c r="C124" s="6">
        <f t="shared" si="65"/>
        <v>653</v>
      </c>
      <c r="D124" s="7">
        <v>-1.3260000000000001</v>
      </c>
      <c r="E124" s="6">
        <f t="shared" si="66"/>
        <v>653</v>
      </c>
      <c r="F124" s="14">
        <f t="shared" si="64"/>
        <v>1.3260000000000001</v>
      </c>
      <c r="G124">
        <f t="shared" si="74"/>
        <v>181824635281</v>
      </c>
      <c r="H124">
        <f t="shared" si="67"/>
        <v>13363360000</v>
      </c>
      <c r="I124">
        <f t="shared" si="75"/>
        <v>7.3495871334198798E-2</v>
      </c>
      <c r="J124">
        <f t="shared" si="68"/>
        <v>2.6617785062007598E-3</v>
      </c>
      <c r="K124">
        <f t="shared" si="69"/>
        <v>1.4311862829035495</v>
      </c>
      <c r="L124">
        <f t="shared" si="70"/>
        <v>1.1549912767972724E-2</v>
      </c>
      <c r="M124">
        <f t="shared" si="76"/>
        <v>1.1649446255145828</v>
      </c>
      <c r="N124" s="61">
        <f t="shared" si="77"/>
        <v>2.3861492922365404</v>
      </c>
      <c r="O124" s="61"/>
      <c r="P124" s="21">
        <v>653</v>
      </c>
      <c r="Q124" s="33">
        <v>1</v>
      </c>
      <c r="R124">
        <f t="shared" si="78"/>
        <v>1.4311862829035495</v>
      </c>
      <c r="S124">
        <f t="shared" si="79"/>
        <v>1.1549912767972724E-2</v>
      </c>
      <c r="T124">
        <f t="shared" si="80"/>
        <v>6.481577129276431</v>
      </c>
      <c r="U124">
        <f t="shared" si="81"/>
        <v>0.35850366883409857</v>
      </c>
      <c r="W124">
        <f t="shared" si="82"/>
        <v>168461275281</v>
      </c>
      <c r="AD124" s="21">
        <v>653</v>
      </c>
      <c r="AE124" s="33">
        <v>1</v>
      </c>
      <c r="AF124" s="22">
        <v>1.3260000000000001</v>
      </c>
      <c r="AG124" s="36">
        <v>0.01</v>
      </c>
      <c r="AH124" s="21"/>
      <c r="AI124" s="22"/>
      <c r="AJ124" s="13">
        <v>653</v>
      </c>
      <c r="AK124" s="6">
        <f t="shared" si="71"/>
        <v>1113778275.6814702</v>
      </c>
      <c r="AL124" s="22">
        <f t="shared" si="72"/>
        <v>181824303505</v>
      </c>
      <c r="AM124" s="22">
        <f t="shared" si="73"/>
        <v>1113826683.1365364</v>
      </c>
      <c r="AN124" s="22">
        <v>1.3260000000000001</v>
      </c>
      <c r="AO124" s="23">
        <v>0.01</v>
      </c>
    </row>
    <row r="125" spans="2:41" x14ac:dyDescent="0.25">
      <c r="B125" s="13">
        <v>385</v>
      </c>
      <c r="C125" s="6">
        <f t="shared" si="65"/>
        <v>658</v>
      </c>
      <c r="D125" s="7">
        <v>-1.37</v>
      </c>
      <c r="E125" s="6">
        <f t="shared" si="66"/>
        <v>658</v>
      </c>
      <c r="F125" s="14">
        <f t="shared" si="64"/>
        <v>1.37</v>
      </c>
      <c r="G125">
        <f t="shared" si="74"/>
        <v>187457825296</v>
      </c>
      <c r="H125">
        <f t="shared" si="67"/>
        <v>13363360000</v>
      </c>
      <c r="I125">
        <f t="shared" si="75"/>
        <v>7.1287288108132923E-2</v>
      </c>
      <c r="J125">
        <f t="shared" si="68"/>
        <v>2.5851200334207928E-3</v>
      </c>
      <c r="K125">
        <f t="shared" si="69"/>
        <v>1.4751601678943245</v>
      </c>
      <c r="L125">
        <f t="shared" si="70"/>
        <v>1.1523966411507557E-2</v>
      </c>
      <c r="M125">
        <f t="shared" si="76"/>
        <v>1.1594104752208489</v>
      </c>
      <c r="N125" s="61">
        <f t="shared" si="77"/>
        <v>2.5229902608822892</v>
      </c>
      <c r="O125" s="61"/>
      <c r="P125" s="21">
        <v>658</v>
      </c>
      <c r="Q125" s="33">
        <v>1</v>
      </c>
      <c r="R125">
        <f t="shared" si="78"/>
        <v>1.4751601678943245</v>
      </c>
      <c r="S125">
        <f t="shared" si="79"/>
        <v>1.1523966411507557E-2</v>
      </c>
      <c r="T125">
        <f t="shared" si="80"/>
        <v>6.4892049313253173</v>
      </c>
      <c r="U125">
        <f t="shared" si="81"/>
        <v>0.38876657229942113</v>
      </c>
      <c r="W125">
        <f t="shared" si="82"/>
        <v>174094465296</v>
      </c>
      <c r="AD125" s="21">
        <v>658</v>
      </c>
      <c r="AE125" s="33">
        <v>1</v>
      </c>
      <c r="AF125" s="22">
        <v>1.37</v>
      </c>
      <c r="AG125" s="36">
        <v>0.01</v>
      </c>
      <c r="AH125" s="21"/>
      <c r="AI125" s="22"/>
      <c r="AJ125" s="13">
        <v>658</v>
      </c>
      <c r="AK125" s="6">
        <f t="shared" si="71"/>
        <v>1139559231.12462</v>
      </c>
      <c r="AL125" s="22">
        <f t="shared" si="72"/>
        <v>187457493520</v>
      </c>
      <c r="AM125" s="22">
        <f t="shared" si="73"/>
        <v>1139606543.4737923</v>
      </c>
      <c r="AN125" s="22">
        <v>1.37</v>
      </c>
      <c r="AO125" s="23">
        <v>0.01</v>
      </c>
    </row>
    <row r="126" spans="2:41" x14ac:dyDescent="0.25">
      <c r="B126" s="13">
        <v>390</v>
      </c>
      <c r="C126" s="6">
        <f t="shared" si="65"/>
        <v>663</v>
      </c>
      <c r="D126" s="7">
        <v>-1.415</v>
      </c>
      <c r="E126" s="6">
        <f t="shared" si="66"/>
        <v>663</v>
      </c>
      <c r="F126" s="14">
        <f t="shared" si="64"/>
        <v>1.415</v>
      </c>
      <c r="G126">
        <f t="shared" si="74"/>
        <v>193220905761</v>
      </c>
      <c r="H126">
        <f t="shared" si="67"/>
        <v>13363360000</v>
      </c>
      <c r="I126">
        <f t="shared" si="75"/>
        <v>6.9161046251017419E-2</v>
      </c>
      <c r="J126">
        <f t="shared" si="68"/>
        <v>2.5113692139622432E-3</v>
      </c>
      <c r="K126">
        <f t="shared" si="69"/>
        <v>1.5201340621823398</v>
      </c>
      <c r="L126">
        <f t="shared" si="70"/>
        <v>1.1499233146790093E-2</v>
      </c>
      <c r="M126">
        <f t="shared" si="76"/>
        <v>1.1541198251979583</v>
      </c>
      <c r="N126" s="61">
        <f t="shared" si="77"/>
        <v>2.6669488253002167</v>
      </c>
      <c r="O126" s="61"/>
      <c r="P126" s="21">
        <v>663</v>
      </c>
      <c r="Q126" s="33">
        <v>1</v>
      </c>
      <c r="R126">
        <f t="shared" si="78"/>
        <v>1.5201340621823398</v>
      </c>
      <c r="S126">
        <f t="shared" si="79"/>
        <v>1.1499233146790093E-2</v>
      </c>
      <c r="T126">
        <f t="shared" si="80"/>
        <v>6.4967749901858625</v>
      </c>
      <c r="U126">
        <f t="shared" si="81"/>
        <v>0.41879852977307008</v>
      </c>
      <c r="W126">
        <f t="shared" si="82"/>
        <v>179857545761</v>
      </c>
      <c r="AD126" s="21">
        <v>663</v>
      </c>
      <c r="AE126" s="33">
        <v>1</v>
      </c>
      <c r="AF126" s="22">
        <v>1.415</v>
      </c>
      <c r="AG126" s="36">
        <v>0.01</v>
      </c>
      <c r="AH126" s="21"/>
      <c r="AI126" s="22"/>
      <c r="AJ126" s="13">
        <v>663</v>
      </c>
      <c r="AK126" s="6">
        <f t="shared" si="71"/>
        <v>1165734986.3348417</v>
      </c>
      <c r="AL126" s="22">
        <f t="shared" si="72"/>
        <v>193220573985</v>
      </c>
      <c r="AM126" s="22">
        <f t="shared" si="73"/>
        <v>1165781236.3612835</v>
      </c>
      <c r="AN126" s="22">
        <v>1.415</v>
      </c>
      <c r="AO126" s="23">
        <v>0.01</v>
      </c>
    </row>
    <row r="127" spans="2:41" x14ac:dyDescent="0.25">
      <c r="B127" s="13">
        <v>395</v>
      </c>
      <c r="C127" s="6">
        <f t="shared" si="65"/>
        <v>668</v>
      </c>
      <c r="D127" s="7">
        <v>-1.46</v>
      </c>
      <c r="E127" s="6">
        <f t="shared" si="66"/>
        <v>668</v>
      </c>
      <c r="F127" s="14">
        <f t="shared" si="64"/>
        <v>1.46</v>
      </c>
      <c r="G127">
        <f t="shared" si="74"/>
        <v>199115858176</v>
      </c>
      <c r="H127">
        <f t="shared" si="67"/>
        <v>13363360000</v>
      </c>
      <c r="I127">
        <f t="shared" si="75"/>
        <v>6.711348921384265E-2</v>
      </c>
      <c r="J127">
        <f t="shared" si="68"/>
        <v>2.4402988036728748E-3</v>
      </c>
      <c r="K127">
        <f t="shared" si="69"/>
        <v>1.5650349566847486</v>
      </c>
      <c r="L127">
        <f t="shared" si="70"/>
        <v>1.1474580891550014E-2</v>
      </c>
      <c r="M127">
        <f t="shared" si="76"/>
        <v>1.1490591178669696</v>
      </c>
      <c r="N127" s="61">
        <f t="shared" si="77"/>
        <v>2.8144300430025213</v>
      </c>
      <c r="O127" s="61"/>
      <c r="P127" s="21">
        <v>668</v>
      </c>
      <c r="Q127" s="33">
        <v>1</v>
      </c>
      <c r="R127">
        <f t="shared" si="78"/>
        <v>1.5650349566847486</v>
      </c>
      <c r="S127">
        <f t="shared" si="79"/>
        <v>1.1474580891550014E-2</v>
      </c>
      <c r="T127">
        <f t="shared" si="80"/>
        <v>6.5042881735366453</v>
      </c>
      <c r="U127">
        <f t="shared" si="81"/>
        <v>0.44790816028243519</v>
      </c>
      <c r="W127">
        <f t="shared" si="82"/>
        <v>185752498176</v>
      </c>
      <c r="AD127" s="21">
        <v>668</v>
      </c>
      <c r="AE127" s="33">
        <v>1</v>
      </c>
      <c r="AF127" s="22">
        <v>1.46</v>
      </c>
      <c r="AG127" s="36">
        <v>0.01</v>
      </c>
      <c r="AH127" s="21"/>
      <c r="AI127" s="22"/>
      <c r="AJ127" s="13">
        <v>668</v>
      </c>
      <c r="AK127" s="6">
        <f t="shared" si="71"/>
        <v>1192308541.3173654</v>
      </c>
      <c r="AL127" s="22">
        <f t="shared" si="72"/>
        <v>199115526400</v>
      </c>
      <c r="AM127" s="22">
        <f t="shared" si="73"/>
        <v>1192353760.58672</v>
      </c>
      <c r="AN127" s="22">
        <v>1.46</v>
      </c>
      <c r="AO127" s="23">
        <v>0.01</v>
      </c>
    </row>
    <row r="128" spans="2:41" ht="15.75" thickBot="1" x14ac:dyDescent="0.3">
      <c r="B128" s="15">
        <v>400</v>
      </c>
      <c r="C128" s="9">
        <f t="shared" si="65"/>
        <v>673</v>
      </c>
      <c r="D128" s="10">
        <v>-1.5069999999999999</v>
      </c>
      <c r="E128" s="9">
        <f t="shared" si="66"/>
        <v>673</v>
      </c>
      <c r="F128" s="16">
        <f t="shared" si="64"/>
        <v>1.5069999999999999</v>
      </c>
      <c r="G128">
        <f t="shared" si="74"/>
        <v>205144679041</v>
      </c>
      <c r="H128">
        <f t="shared" si="67"/>
        <v>13363360000</v>
      </c>
      <c r="I128">
        <f t="shared" si="75"/>
        <v>6.5141148493201781E-2</v>
      </c>
      <c r="J128">
        <f t="shared" si="68"/>
        <v>2.3719796281349505E-3</v>
      </c>
      <c r="K128">
        <f t="shared" si="69"/>
        <v>1.6120080561584553</v>
      </c>
      <c r="L128">
        <f t="shared" si="70"/>
        <v>1.1452089372661513E-2</v>
      </c>
      <c r="M128">
        <f t="shared" si="76"/>
        <v>1.1442157228310628</v>
      </c>
      <c r="N128" s="61">
        <f t="shared" si="77"/>
        <v>2.9733246201203229</v>
      </c>
      <c r="O128" s="61"/>
      <c r="P128" s="19">
        <v>673</v>
      </c>
      <c r="Q128" s="34">
        <v>1</v>
      </c>
      <c r="R128">
        <f t="shared" si="78"/>
        <v>1.6120080561584553</v>
      </c>
      <c r="S128">
        <f t="shared" si="79"/>
        <v>1.1452089372661513E-2</v>
      </c>
      <c r="T128">
        <f t="shared" si="80"/>
        <v>6.5117453296447279</v>
      </c>
      <c r="U128">
        <f t="shared" si="81"/>
        <v>0.47748064168885629</v>
      </c>
      <c r="W128">
        <f t="shared" si="82"/>
        <v>191781319041</v>
      </c>
      <c r="AD128" s="19">
        <v>673</v>
      </c>
      <c r="AE128" s="34">
        <v>1</v>
      </c>
      <c r="AF128" s="24">
        <v>1.5069999999999999</v>
      </c>
      <c r="AG128" s="37">
        <v>0.01</v>
      </c>
      <c r="AH128" s="19"/>
      <c r="AI128" s="24"/>
      <c r="AJ128" s="15">
        <v>673</v>
      </c>
      <c r="AK128" s="9">
        <f t="shared" si="71"/>
        <v>1219282896.077266</v>
      </c>
      <c r="AL128" s="24">
        <f t="shared" si="72"/>
        <v>205144347265</v>
      </c>
      <c r="AM128" s="24">
        <f t="shared" si="73"/>
        <v>1219327114.991508</v>
      </c>
      <c r="AN128" s="24">
        <v>1.5069999999999999</v>
      </c>
      <c r="AO128" s="20">
        <v>0.01</v>
      </c>
    </row>
    <row r="143" spans="1:3" ht="15.75" thickBot="1" x14ac:dyDescent="0.3"/>
    <row r="144" spans="1:3" ht="15.75" thickBot="1" x14ac:dyDescent="0.3">
      <c r="A144" s="42" t="s">
        <v>10</v>
      </c>
      <c r="C144" s="25">
        <v>0.5</v>
      </c>
    </row>
    <row r="145" spans="1:10" ht="15.75" thickBot="1" x14ac:dyDescent="0.3">
      <c r="B145" s="26" t="s">
        <v>11</v>
      </c>
      <c r="C145" s="27" t="s">
        <v>40</v>
      </c>
      <c r="D145" s="27" t="s">
        <v>39</v>
      </c>
      <c r="E145" s="27" t="s">
        <v>41</v>
      </c>
      <c r="F145" s="27" t="s">
        <v>12</v>
      </c>
      <c r="G145" s="31" t="s">
        <v>38</v>
      </c>
      <c r="H145" s="29" t="s">
        <v>42</v>
      </c>
      <c r="I145" s="29" t="s">
        <v>43</v>
      </c>
      <c r="J145" s="30" t="s">
        <v>25</v>
      </c>
    </row>
    <row r="146" spans="1:10" x14ac:dyDescent="0.25">
      <c r="B146" s="13">
        <v>0</v>
      </c>
      <c r="C146" s="6">
        <f t="shared" ref="C146:C165" si="83">$C$144</f>
        <v>0.5</v>
      </c>
      <c r="D146" s="6">
        <f>RADIANS(B146)</f>
        <v>0</v>
      </c>
      <c r="E146" s="6">
        <f>RADIANS(C146)</f>
        <v>8.7266462599716477E-3</v>
      </c>
      <c r="F146" s="6">
        <v>0.996</v>
      </c>
      <c r="G146" s="21">
        <f t="shared" ref="G146:G165" si="84">COS(D146)</f>
        <v>1</v>
      </c>
      <c r="H146" s="22">
        <f t="shared" ref="H146:H165" si="85">SIN(D146)*E146</f>
        <v>0</v>
      </c>
      <c r="I146" s="22">
        <f t="shared" ref="I146:I165" si="86">F146/$F$146</f>
        <v>1</v>
      </c>
      <c r="J146" s="23">
        <v>0.01</v>
      </c>
    </row>
    <row r="147" spans="1:10" x14ac:dyDescent="0.25">
      <c r="A147" t="s">
        <v>71</v>
      </c>
      <c r="B147" s="13">
        <v>4</v>
      </c>
      <c r="C147" s="6">
        <f t="shared" si="83"/>
        <v>0.5</v>
      </c>
      <c r="D147" s="6">
        <f t="shared" ref="D147:D165" si="87">RADIANS(B147)</f>
        <v>6.9813170079773182E-2</v>
      </c>
      <c r="E147" s="6">
        <f t="shared" ref="E147:E165" si="88">RADIANS(C147)</f>
        <v>8.7266462599716477E-3</v>
      </c>
      <c r="F147" s="6">
        <v>0.98399999999999999</v>
      </c>
      <c r="G147" s="21">
        <f t="shared" si="84"/>
        <v>0.9975640502598242</v>
      </c>
      <c r="H147" s="22">
        <f t="shared" si="85"/>
        <v>6.0874007070798155E-4</v>
      </c>
      <c r="I147" s="22">
        <f t="shared" si="86"/>
        <v>0.98795180722891562</v>
      </c>
      <c r="J147" s="23">
        <v>0.01</v>
      </c>
    </row>
    <row r="148" spans="1:10" x14ac:dyDescent="0.25">
      <c r="A148" t="s">
        <v>72</v>
      </c>
      <c r="B148" s="13">
        <v>8</v>
      </c>
      <c r="C148" s="6">
        <f t="shared" si="83"/>
        <v>0.5</v>
      </c>
      <c r="D148" s="6">
        <f t="shared" si="87"/>
        <v>0.13962634015954636</v>
      </c>
      <c r="E148" s="6">
        <f t="shared" si="88"/>
        <v>8.7266462599716477E-3</v>
      </c>
      <c r="F148" s="6">
        <v>0.97299999999999998</v>
      </c>
      <c r="G148" s="21">
        <f t="shared" si="84"/>
        <v>0.99026806874157036</v>
      </c>
      <c r="H148" s="22">
        <f t="shared" si="85"/>
        <v>1.2145144209818116E-3</v>
      </c>
      <c r="I148" s="22">
        <f t="shared" si="86"/>
        <v>0.97690763052208829</v>
      </c>
      <c r="J148" s="23">
        <v>0.01</v>
      </c>
    </row>
    <row r="149" spans="1:10" x14ac:dyDescent="0.25">
      <c r="B149" s="13">
        <v>10</v>
      </c>
      <c r="C149" s="6">
        <f t="shared" si="83"/>
        <v>0.5</v>
      </c>
      <c r="D149" s="6">
        <f t="shared" si="87"/>
        <v>0.17453292519943295</v>
      </c>
      <c r="E149" s="6">
        <f t="shared" si="88"/>
        <v>8.7266462599716477E-3</v>
      </c>
      <c r="F149" s="6">
        <v>0.97299999999999998</v>
      </c>
      <c r="G149" s="21">
        <f t="shared" si="84"/>
        <v>0.98480775301220802</v>
      </c>
      <c r="H149" s="22">
        <f t="shared" si="85"/>
        <v>1.5153662201880097E-3</v>
      </c>
      <c r="I149" s="22">
        <f t="shared" si="86"/>
        <v>0.97690763052208829</v>
      </c>
      <c r="J149" s="23">
        <v>0.01</v>
      </c>
    </row>
    <row r="150" spans="1:10" x14ac:dyDescent="0.25">
      <c r="B150" s="13">
        <v>12</v>
      </c>
      <c r="C150" s="6">
        <f t="shared" si="83"/>
        <v>0.5</v>
      </c>
      <c r="D150" s="6">
        <f t="shared" si="87"/>
        <v>0.20943951023931956</v>
      </c>
      <c r="E150" s="6">
        <f t="shared" si="88"/>
        <v>8.7266462599716477E-3</v>
      </c>
      <c r="F150" s="6">
        <v>0.96199999999999997</v>
      </c>
      <c r="G150" s="21">
        <f t="shared" si="84"/>
        <v>0.97814760073380569</v>
      </c>
      <c r="H150" s="22">
        <f t="shared" si="85"/>
        <v>1.8143717790791811E-3</v>
      </c>
      <c r="I150" s="22">
        <f t="shared" si="86"/>
        <v>0.96586345381526106</v>
      </c>
      <c r="J150" s="23">
        <v>0.01</v>
      </c>
    </row>
    <row r="151" spans="1:10" x14ac:dyDescent="0.25">
      <c r="B151" s="13">
        <v>15</v>
      </c>
      <c r="C151" s="6">
        <f t="shared" si="83"/>
        <v>0.5</v>
      </c>
      <c r="D151" s="6">
        <f t="shared" si="87"/>
        <v>0.26179938779914941</v>
      </c>
      <c r="E151" s="6">
        <f t="shared" si="88"/>
        <v>8.7266462599716477E-3</v>
      </c>
      <c r="F151" s="6">
        <v>0.93799999999999994</v>
      </c>
      <c r="G151" s="21">
        <f t="shared" si="84"/>
        <v>0.96592582628906831</v>
      </c>
      <c r="H151" s="22">
        <f t="shared" si="85"/>
        <v>2.2586222519533458E-3</v>
      </c>
      <c r="I151" s="22">
        <f t="shared" si="86"/>
        <v>0.94176706827309231</v>
      </c>
      <c r="J151" s="23">
        <v>0.01</v>
      </c>
    </row>
    <row r="152" spans="1:10" x14ac:dyDescent="0.25">
      <c r="B152" s="13">
        <v>16</v>
      </c>
      <c r="C152" s="6">
        <f t="shared" si="83"/>
        <v>0.5</v>
      </c>
      <c r="D152" s="6">
        <f t="shared" si="87"/>
        <v>0.27925268031909273</v>
      </c>
      <c r="E152" s="6">
        <f t="shared" si="88"/>
        <v>8.7266462599716477E-3</v>
      </c>
      <c r="F152" s="6">
        <v>0.93300000000000005</v>
      </c>
      <c r="G152" s="21">
        <f t="shared" si="84"/>
        <v>0.96126169593831889</v>
      </c>
      <c r="H152" s="22">
        <f t="shared" si="85"/>
        <v>2.4053897002488901E-3</v>
      </c>
      <c r="I152" s="22">
        <f t="shared" si="86"/>
        <v>0.93674698795180733</v>
      </c>
      <c r="J152" s="23">
        <v>0.01</v>
      </c>
    </row>
    <row r="153" spans="1:10" x14ac:dyDescent="0.25">
      <c r="B153" s="13">
        <v>20</v>
      </c>
      <c r="C153" s="6">
        <f t="shared" si="83"/>
        <v>0.5</v>
      </c>
      <c r="D153" s="6">
        <f t="shared" si="87"/>
        <v>0.3490658503988659</v>
      </c>
      <c r="E153" s="6">
        <f t="shared" si="88"/>
        <v>8.7266462599716477E-3</v>
      </c>
      <c r="F153" s="6">
        <v>0.91300000000000003</v>
      </c>
      <c r="G153" s="21">
        <f t="shared" si="84"/>
        <v>0.93969262078590843</v>
      </c>
      <c r="H153" s="22">
        <f t="shared" si="85"/>
        <v>2.9846888045879138E-3</v>
      </c>
      <c r="I153" s="22">
        <f t="shared" si="86"/>
        <v>0.91666666666666674</v>
      </c>
      <c r="J153" s="23">
        <v>0.01</v>
      </c>
    </row>
    <row r="154" spans="1:10" x14ac:dyDescent="0.25">
      <c r="B154" s="13">
        <v>24</v>
      </c>
      <c r="C154" s="6">
        <f t="shared" si="83"/>
        <v>0.5</v>
      </c>
      <c r="D154" s="6">
        <f t="shared" si="87"/>
        <v>0.41887902047863912</v>
      </c>
      <c r="E154" s="6">
        <f t="shared" si="88"/>
        <v>8.7266462599716477E-3</v>
      </c>
      <c r="F154" s="6">
        <v>0.88</v>
      </c>
      <c r="G154" s="21">
        <f t="shared" si="84"/>
        <v>0.91354545764260087</v>
      </c>
      <c r="H154" s="22">
        <f t="shared" si="85"/>
        <v>3.549446805090855E-3</v>
      </c>
      <c r="I154" s="22">
        <f t="shared" si="86"/>
        <v>0.88353413654618473</v>
      </c>
      <c r="J154" s="23">
        <v>0.01</v>
      </c>
    </row>
    <row r="155" spans="1:10" x14ac:dyDescent="0.25">
      <c r="B155" s="13">
        <v>28</v>
      </c>
      <c r="C155" s="6">
        <f t="shared" si="83"/>
        <v>0.5</v>
      </c>
      <c r="D155" s="6">
        <f t="shared" si="87"/>
        <v>0.48869219055841229</v>
      </c>
      <c r="E155" s="6">
        <f t="shared" si="88"/>
        <v>8.7266462599716477E-3</v>
      </c>
      <c r="F155" s="6">
        <v>0.84699999999999998</v>
      </c>
      <c r="G155" s="21">
        <f t="shared" si="84"/>
        <v>0.88294759285892699</v>
      </c>
      <c r="H155" s="22">
        <f t="shared" si="85"/>
        <v>4.0969122575485383E-3</v>
      </c>
      <c r="I155" s="22">
        <f t="shared" si="86"/>
        <v>0.85040160642570284</v>
      </c>
      <c r="J155" s="23">
        <v>0.01</v>
      </c>
    </row>
    <row r="156" spans="1:10" x14ac:dyDescent="0.25">
      <c r="B156" s="13">
        <v>30</v>
      </c>
      <c r="C156" s="6">
        <f t="shared" si="83"/>
        <v>0.5</v>
      </c>
      <c r="D156" s="6">
        <f t="shared" si="87"/>
        <v>0.52359877559829882</v>
      </c>
      <c r="E156" s="6">
        <f t="shared" si="88"/>
        <v>8.7266462599716477E-3</v>
      </c>
      <c r="F156" s="6">
        <v>0.82299999999999995</v>
      </c>
      <c r="G156" s="21">
        <f t="shared" si="84"/>
        <v>0.86602540378443871</v>
      </c>
      <c r="H156" s="22">
        <f t="shared" si="85"/>
        <v>4.363323129985823E-3</v>
      </c>
      <c r="I156" s="22">
        <f t="shared" si="86"/>
        <v>0.82630522088353409</v>
      </c>
      <c r="J156" s="23">
        <v>0.01</v>
      </c>
    </row>
    <row r="157" spans="1:10" x14ac:dyDescent="0.25">
      <c r="B157" s="13">
        <v>32</v>
      </c>
      <c r="C157" s="6">
        <f t="shared" si="83"/>
        <v>0.5</v>
      </c>
      <c r="D157" s="6">
        <f t="shared" si="87"/>
        <v>0.55850536063818546</v>
      </c>
      <c r="E157" s="6">
        <f t="shared" si="88"/>
        <v>8.7266462599716477E-3</v>
      </c>
      <c r="F157" s="6">
        <v>0.80100000000000005</v>
      </c>
      <c r="G157" s="21">
        <f t="shared" si="84"/>
        <v>0.84804809615642596</v>
      </c>
      <c r="H157" s="22">
        <f t="shared" si="85"/>
        <v>4.6244179653076251E-3</v>
      </c>
      <c r="I157" s="22">
        <f t="shared" si="86"/>
        <v>0.80421686746987953</v>
      </c>
      <c r="J157" s="23">
        <v>0.01</v>
      </c>
    </row>
    <row r="158" spans="1:10" x14ac:dyDescent="0.25">
      <c r="B158" s="13">
        <v>35</v>
      </c>
      <c r="C158" s="6">
        <f t="shared" si="83"/>
        <v>0.5</v>
      </c>
      <c r="D158" s="6">
        <f t="shared" si="87"/>
        <v>0.6108652381980153</v>
      </c>
      <c r="E158" s="6">
        <f t="shared" si="88"/>
        <v>8.7266462599716477E-3</v>
      </c>
      <c r="F158" s="6">
        <v>0.76600000000000001</v>
      </c>
      <c r="G158" s="21">
        <f t="shared" si="84"/>
        <v>0.8191520442889918</v>
      </c>
      <c r="H158" s="22">
        <f t="shared" si="85"/>
        <v>5.0053986630907215E-3</v>
      </c>
      <c r="I158" s="22">
        <f t="shared" si="86"/>
        <v>0.76907630522088355</v>
      </c>
      <c r="J158" s="23">
        <v>0.01</v>
      </c>
    </row>
    <row r="159" spans="1:10" x14ac:dyDescent="0.25">
      <c r="B159" s="13">
        <v>36</v>
      </c>
      <c r="C159" s="6">
        <f t="shared" si="83"/>
        <v>0.5</v>
      </c>
      <c r="D159" s="6">
        <f t="shared" si="87"/>
        <v>0.62831853071795862</v>
      </c>
      <c r="E159" s="6">
        <f t="shared" si="88"/>
        <v>8.7266462599716477E-3</v>
      </c>
      <c r="F159" s="6">
        <v>0.76300000000000001</v>
      </c>
      <c r="G159" s="21">
        <f t="shared" si="84"/>
        <v>0.80901699437494745</v>
      </c>
      <c r="H159" s="22">
        <f t="shared" si="85"/>
        <v>5.1293939735846021E-3</v>
      </c>
      <c r="I159" s="22">
        <f t="shared" si="86"/>
        <v>0.76606425702811243</v>
      </c>
      <c r="J159" s="23">
        <v>0.01</v>
      </c>
    </row>
    <row r="160" spans="1:10" x14ac:dyDescent="0.25">
      <c r="B160" s="13">
        <v>40</v>
      </c>
      <c r="C160" s="6">
        <f t="shared" si="83"/>
        <v>0.5</v>
      </c>
      <c r="D160" s="6">
        <f t="shared" si="87"/>
        <v>0.69813170079773179</v>
      </c>
      <c r="E160" s="6">
        <f t="shared" si="88"/>
        <v>8.7266462599716477E-3</v>
      </c>
      <c r="F160" s="6">
        <v>0.71499999999999997</v>
      </c>
      <c r="G160" s="21">
        <f t="shared" si="84"/>
        <v>0.76604444311897801</v>
      </c>
      <c r="H160" s="22">
        <f t="shared" si="85"/>
        <v>5.609380090027153E-3</v>
      </c>
      <c r="I160" s="22">
        <f t="shared" si="86"/>
        <v>0.71787148594377503</v>
      </c>
      <c r="J160" s="23">
        <v>0.01</v>
      </c>
    </row>
    <row r="161" spans="2:10" x14ac:dyDescent="0.25">
      <c r="B161" s="13">
        <v>44</v>
      </c>
      <c r="C161" s="6">
        <f t="shared" si="83"/>
        <v>0.5</v>
      </c>
      <c r="D161" s="6">
        <f t="shared" si="87"/>
        <v>0.76794487087750496</v>
      </c>
      <c r="E161" s="6">
        <f t="shared" si="88"/>
        <v>8.7266462599716477E-3</v>
      </c>
      <c r="F161" s="6">
        <v>0.66600000000000004</v>
      </c>
      <c r="G161" s="21">
        <f t="shared" si="84"/>
        <v>0.71933980033865119</v>
      </c>
      <c r="H161" s="22">
        <f t="shared" si="85"/>
        <v>6.0620378705240081E-3</v>
      </c>
      <c r="I161" s="22">
        <f t="shared" si="86"/>
        <v>0.66867469879518071</v>
      </c>
      <c r="J161" s="23">
        <v>0.01</v>
      </c>
    </row>
    <row r="162" spans="2:10" x14ac:dyDescent="0.25">
      <c r="B162" s="13">
        <v>45</v>
      </c>
      <c r="C162" s="6">
        <f t="shared" si="83"/>
        <v>0.5</v>
      </c>
      <c r="D162" s="6">
        <f t="shared" si="87"/>
        <v>0.78539816339744828</v>
      </c>
      <c r="E162" s="6">
        <f t="shared" si="88"/>
        <v>8.7266462599716477E-3</v>
      </c>
      <c r="F162" s="6">
        <v>0.63900000000000001</v>
      </c>
      <c r="G162" s="21">
        <f t="shared" si="84"/>
        <v>0.70710678118654757</v>
      </c>
      <c r="H162" s="22">
        <f t="shared" si="85"/>
        <v>6.1706707474421746E-3</v>
      </c>
      <c r="I162" s="22">
        <f t="shared" si="86"/>
        <v>0.64156626506024095</v>
      </c>
      <c r="J162" s="23">
        <v>0.01</v>
      </c>
    </row>
    <row r="163" spans="2:10" x14ac:dyDescent="0.25">
      <c r="B163" s="13">
        <v>48</v>
      </c>
      <c r="C163" s="6">
        <f t="shared" si="83"/>
        <v>0.5</v>
      </c>
      <c r="D163" s="6">
        <f t="shared" si="87"/>
        <v>0.83775804095727824</v>
      </c>
      <c r="E163" s="6">
        <f t="shared" si="88"/>
        <v>8.7266462599716477E-3</v>
      </c>
      <c r="F163" s="6">
        <v>0.61199999999999999</v>
      </c>
      <c r="G163" s="21">
        <f t="shared" si="84"/>
        <v>0.66913060635885824</v>
      </c>
      <c r="H163" s="22">
        <f t="shared" si="85"/>
        <v>6.4851620118695852E-3</v>
      </c>
      <c r="I163" s="22">
        <f t="shared" si="86"/>
        <v>0.61445783132530118</v>
      </c>
      <c r="J163" s="23">
        <v>0.01</v>
      </c>
    </row>
    <row r="164" spans="2:10" x14ac:dyDescent="0.25">
      <c r="B164" s="13">
        <v>50</v>
      </c>
      <c r="C164" s="6">
        <f t="shared" si="83"/>
        <v>0.5</v>
      </c>
      <c r="D164" s="6">
        <f t="shared" si="87"/>
        <v>0.87266462599716477</v>
      </c>
      <c r="E164" s="6">
        <f t="shared" si="88"/>
        <v>8.7266462599716477E-3</v>
      </c>
      <c r="F164" s="6">
        <v>0.61399999999999999</v>
      </c>
      <c r="G164" s="21">
        <f t="shared" si="84"/>
        <v>0.64278760968653936</v>
      </c>
      <c r="H164" s="22">
        <f t="shared" si="85"/>
        <v>6.6849988745162929E-3</v>
      </c>
      <c r="I164" s="22">
        <f t="shared" si="86"/>
        <v>0.61646586345381527</v>
      </c>
      <c r="J164" s="23">
        <v>0.01</v>
      </c>
    </row>
    <row r="165" spans="2:10" ht="15.75" thickBot="1" x14ac:dyDescent="0.3">
      <c r="B165" s="15">
        <v>52</v>
      </c>
      <c r="C165" s="9">
        <f t="shared" si="83"/>
        <v>0.5</v>
      </c>
      <c r="D165" s="9">
        <f t="shared" si="87"/>
        <v>0.90757121103705141</v>
      </c>
      <c r="E165" s="9">
        <f t="shared" si="88"/>
        <v>8.7266462599716477E-3</v>
      </c>
      <c r="F165" s="9">
        <v>0.57399999999999995</v>
      </c>
      <c r="G165" s="19">
        <f t="shared" si="84"/>
        <v>0.61566147532565829</v>
      </c>
      <c r="H165" s="24">
        <f t="shared" si="85"/>
        <v>6.8766910957795404E-3</v>
      </c>
      <c r="I165" s="24">
        <f t="shared" si="86"/>
        <v>0.57630522088353409</v>
      </c>
      <c r="J165" s="20">
        <v>0.01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2021-09-10T12:39:15Z</dcterms:created>
  <dcterms:modified xsi:type="dcterms:W3CDTF">2021-10-06T09:17:48Z</dcterms:modified>
</cp:coreProperties>
</file>