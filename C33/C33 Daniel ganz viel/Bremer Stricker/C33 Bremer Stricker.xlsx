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5. Semester\C2 Praktikum\C33\"/>
    </mc:Choice>
  </mc:AlternateContent>
  <xr:revisionPtr revIDLastSave="0" documentId="13_ncr:1_{2D8A2119-1124-4AA5-941C-B371191C1C71}" xr6:coauthVersionLast="47" xr6:coauthVersionMax="47" xr10:uidLastSave="{00000000-0000-0000-0000-000000000000}"/>
  <bookViews>
    <workbookView xWindow="-120" yWindow="-120" windowWidth="29040" windowHeight="16440" xr2:uid="{2B215F3C-9235-434A-88CC-438FF4FE072B}"/>
  </bookViews>
  <sheets>
    <sheet name="Leslie Würfel" sheetId="1" r:id="rId1"/>
    <sheet name="Black Body" sheetId="2" r:id="rId2"/>
    <sheet name="Chi-Quadrat Versu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N33" i="1"/>
  <c r="N43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4" i="1"/>
  <c r="N35" i="1"/>
  <c r="N36" i="1"/>
  <c r="N37" i="1"/>
  <c r="N38" i="1"/>
  <c r="N39" i="1"/>
  <c r="N40" i="1"/>
  <c r="N41" i="1"/>
  <c r="N42" i="1"/>
  <c r="N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C56" i="1"/>
  <c r="X39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6" i="3"/>
  <c r="V6" i="3"/>
  <c r="W6" i="3"/>
  <c r="O7" i="3"/>
  <c r="P7" i="3"/>
  <c r="O8" i="3"/>
  <c r="P8" i="3"/>
  <c r="O9" i="3"/>
  <c r="P9" i="3"/>
  <c r="O10" i="3"/>
  <c r="P10" i="3"/>
  <c r="O11" i="3"/>
  <c r="P11" i="3"/>
  <c r="O12" i="3"/>
  <c r="P12" i="3"/>
  <c r="O13" i="3"/>
  <c r="P13" i="3"/>
  <c r="O14" i="3"/>
  <c r="P14" i="3"/>
  <c r="Q14" i="3" s="1"/>
  <c r="O15" i="3"/>
  <c r="P15" i="3"/>
  <c r="O16" i="3"/>
  <c r="P16" i="3"/>
  <c r="O17" i="3"/>
  <c r="P17" i="3"/>
  <c r="O18" i="3"/>
  <c r="P18" i="3"/>
  <c r="Q18" i="3" s="1"/>
  <c r="O19" i="3"/>
  <c r="P19" i="3"/>
  <c r="O20" i="3"/>
  <c r="P20" i="3"/>
  <c r="O21" i="3"/>
  <c r="P21" i="3"/>
  <c r="O22" i="3"/>
  <c r="P22" i="3"/>
  <c r="Q22" i="3" s="1"/>
  <c r="O23" i="3"/>
  <c r="P23" i="3"/>
  <c r="O24" i="3"/>
  <c r="P24" i="3"/>
  <c r="O25" i="3"/>
  <c r="P25" i="3"/>
  <c r="O26" i="3"/>
  <c r="P26" i="3"/>
  <c r="Q26" i="3" s="1"/>
  <c r="O27" i="3"/>
  <c r="P27" i="3"/>
  <c r="O28" i="3"/>
  <c r="P28" i="3"/>
  <c r="O29" i="3"/>
  <c r="P29" i="3"/>
  <c r="Q29" i="3" s="1"/>
  <c r="O30" i="3"/>
  <c r="P30" i="3"/>
  <c r="Q30" i="3" s="1"/>
  <c r="O31" i="3"/>
  <c r="P31" i="3"/>
  <c r="O32" i="3"/>
  <c r="P32" i="3"/>
  <c r="O33" i="3"/>
  <c r="P33" i="3"/>
  <c r="Q33" i="3" s="1"/>
  <c r="O34" i="3"/>
  <c r="P34" i="3"/>
  <c r="Q34" i="3" s="1"/>
  <c r="O35" i="3"/>
  <c r="P35" i="3"/>
  <c r="Q35" i="3" s="1"/>
  <c r="O36" i="3"/>
  <c r="P36" i="3"/>
  <c r="O37" i="3"/>
  <c r="P37" i="3"/>
  <c r="Q37" i="3" s="1"/>
  <c r="O38" i="3"/>
  <c r="P38" i="3"/>
  <c r="Q38" i="3" s="1"/>
  <c r="O39" i="3"/>
  <c r="P39" i="3"/>
  <c r="Q39" i="3" s="1"/>
  <c r="O40" i="3"/>
  <c r="P40" i="3"/>
  <c r="O41" i="3"/>
  <c r="P41" i="3"/>
  <c r="Q41" i="3" s="1"/>
  <c r="P6" i="3"/>
  <c r="Q6" i="3" s="1"/>
  <c r="O6" i="3"/>
  <c r="Q40" i="3"/>
  <c r="Q36" i="3"/>
  <c r="Q32" i="3"/>
  <c r="Q31" i="3"/>
  <c r="Q28" i="3"/>
  <c r="Q27" i="3"/>
  <c r="Q25" i="3"/>
  <c r="Q24" i="3"/>
  <c r="Q23" i="3"/>
  <c r="Q21" i="3"/>
  <c r="Q20" i="3"/>
  <c r="Q19" i="3"/>
  <c r="Q17" i="3"/>
  <c r="Q16" i="3"/>
  <c r="Q15" i="3"/>
  <c r="Q13" i="3"/>
  <c r="Q12" i="3"/>
  <c r="Q11" i="3"/>
  <c r="Q10" i="3"/>
  <c r="Q9" i="3"/>
  <c r="Q8" i="3"/>
  <c r="Q7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6" i="3"/>
  <c r="E8" i="3"/>
  <c r="E6" i="3"/>
  <c r="E7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I2" i="3"/>
  <c r="K5" i="3"/>
  <c r="K4" i="3"/>
  <c r="K3" i="3"/>
  <c r="K2" i="3"/>
  <c r="R8" i="2" l="1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7" i="2"/>
  <c r="N9" i="2"/>
  <c r="N8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7" i="2"/>
  <c r="N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7" i="2"/>
  <c r="D59" i="1"/>
  <c r="C59" i="1"/>
  <c r="D56" i="1"/>
  <c r="J54" i="1"/>
  <c r="H54" i="1"/>
  <c r="F54" i="1"/>
  <c r="D54" i="1"/>
  <c r="G54" i="1"/>
  <c r="E54" i="1"/>
  <c r="I54" i="1"/>
  <c r="C54" i="1"/>
  <c r="J52" i="1"/>
  <c r="H52" i="1"/>
  <c r="F52" i="1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7" i="2"/>
  <c r="V9" i="1"/>
  <c r="V12" i="1"/>
  <c r="V11" i="1"/>
  <c r="V10" i="1"/>
  <c r="V8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8" i="1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7" i="2"/>
</calcChain>
</file>

<file path=xl/sharedStrings.xml><?xml version="1.0" encoding="utf-8"?>
<sst xmlns="http://schemas.openxmlformats.org/spreadsheetml/2006/main" count="97" uniqueCount="59">
  <si>
    <t>T/°C</t>
  </si>
  <si>
    <t>schwarz</t>
  </si>
  <si>
    <t>matt</t>
  </si>
  <si>
    <t>weiß</t>
  </si>
  <si>
    <t>poliert</t>
  </si>
  <si>
    <t>U/mV</t>
  </si>
  <si>
    <t>Range/mV</t>
  </si>
  <si>
    <t>Raumtemp./°C</t>
  </si>
  <si>
    <t>Stefan-Boltzmann-Gesetz</t>
  </si>
  <si>
    <t>Infrarotdurchlässigkeit</t>
  </si>
  <si>
    <t>schwarze Seite</t>
  </si>
  <si>
    <t>Ohne Filter</t>
  </si>
  <si>
    <t>Filter</t>
  </si>
  <si>
    <t>vernickelte Platte</t>
  </si>
  <si>
    <t>Fensterglas</t>
  </si>
  <si>
    <t>Silizium</t>
  </si>
  <si>
    <t>NaCl</t>
  </si>
  <si>
    <t>glänzende Seite</t>
  </si>
  <si>
    <t>negativ</t>
  </si>
  <si>
    <t>ab hier positiv</t>
  </si>
  <si>
    <t>Winkelabhängigkeit</t>
  </si>
  <si>
    <t>Winkel/°</t>
  </si>
  <si>
    <t>Fehler/mV</t>
  </si>
  <si>
    <t>Abstand Würfel Thermosäule/cm</t>
  </si>
  <si>
    <t>Fehler/°C</t>
  </si>
  <si>
    <t>Fehler/°</t>
  </si>
  <si>
    <t>T/K</t>
  </si>
  <si>
    <t>Nullpunktsbestimmung</t>
  </si>
  <si>
    <t>Bestwert</t>
  </si>
  <si>
    <t>Fehler</t>
  </si>
  <si>
    <t>a/mV</t>
  </si>
  <si>
    <t>b/(mV/K)</t>
  </si>
  <si>
    <t>T0/K</t>
  </si>
  <si>
    <t>T0mitte/K</t>
  </si>
  <si>
    <t>T0\schwarz/K</t>
  </si>
  <si>
    <t>Fehler*10^(-10)/K^4</t>
  </si>
  <si>
    <t>Fehler/K</t>
  </si>
  <si>
    <t>Cos(Winkel)</t>
  </si>
  <si>
    <t>U/U0</t>
  </si>
  <si>
    <t>Leslie Würfel</t>
  </si>
  <si>
    <t>Klasse</t>
  </si>
  <si>
    <t>H_ex</t>
  </si>
  <si>
    <t>H_theo</t>
  </si>
  <si>
    <t>Hypothese:</t>
  </si>
  <si>
    <t>Messung folgt Stefan-Boltzmann-Gesetz</t>
  </si>
  <si>
    <t>Proportionalitätsfaktoren</t>
  </si>
  <si>
    <t>T_0/K</t>
  </si>
  <si>
    <t>Q</t>
  </si>
  <si>
    <t>H_ex*10</t>
  </si>
  <si>
    <t>H_theo*10</t>
  </si>
  <si>
    <t>H_th&lt;0</t>
  </si>
  <si>
    <t>H_th&lt;5</t>
  </si>
  <si>
    <t>Chi^2</t>
  </si>
  <si>
    <t>Freiheitsgrade</t>
  </si>
  <si>
    <t>31-3=</t>
  </si>
  <si>
    <t>Chi^2_tab</t>
  </si>
  <si>
    <t>Chi^2 &gt; tab-&gt;</t>
  </si>
  <si>
    <t>Hypothese, dass Daten T^4 gesetz folgen, wird nicht angenommen</t>
  </si>
  <si>
    <t>(T^4-T0^4)*10^(-10)/K^4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</si>
</sst>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1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D37F-D97F-4CBA-A0FB-D9312CED2100}">
  <dimension ref="B1:W59"/>
  <sheetViews>
    <sheetView tabSelected="1" topLeftCell="A6" workbookViewId="0">
      <selection activeCell="M8" sqref="M8:N43"/>
    </sheetView>
  </sheetViews>
  <sheetFormatPr baseColWidth="10" defaultRowHeight="15" x14ac:dyDescent="0.25"/>
  <cols>
    <col min="13" max="13" width="22.5703125" bestFit="1" customWidth="1"/>
    <col min="14" max="14" width="14" bestFit="1" customWidth="1"/>
    <col min="17" max="17" width="16.5703125" customWidth="1"/>
  </cols>
  <sheetData>
    <row r="1" spans="2:23" x14ac:dyDescent="0.25">
      <c r="B1" t="s">
        <v>8</v>
      </c>
      <c r="T1" t="s">
        <v>9</v>
      </c>
    </row>
    <row r="3" spans="2:23" x14ac:dyDescent="0.25">
      <c r="B3" t="s">
        <v>23</v>
      </c>
      <c r="G3">
        <v>12.5</v>
      </c>
      <c r="Q3" t="s">
        <v>6</v>
      </c>
      <c r="R3">
        <v>100</v>
      </c>
      <c r="T3" t="s">
        <v>0</v>
      </c>
      <c r="U3">
        <v>75</v>
      </c>
    </row>
    <row r="4" spans="2:23" x14ac:dyDescent="0.25">
      <c r="T4" t="s">
        <v>24</v>
      </c>
      <c r="U4">
        <v>0.4</v>
      </c>
    </row>
    <row r="5" spans="2:23" x14ac:dyDescent="0.25">
      <c r="E5" t="s">
        <v>1</v>
      </c>
      <c r="G5" t="s">
        <v>2</v>
      </c>
      <c r="I5" t="s">
        <v>3</v>
      </c>
      <c r="K5" t="s">
        <v>4</v>
      </c>
      <c r="Q5" t="s">
        <v>7</v>
      </c>
      <c r="R5">
        <v>20</v>
      </c>
      <c r="T5" t="s">
        <v>10</v>
      </c>
    </row>
    <row r="7" spans="2:23" x14ac:dyDescent="0.25">
      <c r="B7" t="s">
        <v>0</v>
      </c>
      <c r="C7" t="s">
        <v>26</v>
      </c>
      <c r="D7" t="s">
        <v>24</v>
      </c>
      <c r="E7" t="s">
        <v>5</v>
      </c>
      <c r="F7" t="s">
        <v>22</v>
      </c>
      <c r="G7" t="s">
        <v>5</v>
      </c>
      <c r="H7" t="s">
        <v>22</v>
      </c>
      <c r="I7" t="s">
        <v>5</v>
      </c>
      <c r="J7" t="s">
        <v>22</v>
      </c>
      <c r="K7" t="s">
        <v>5</v>
      </c>
      <c r="L7" t="s">
        <v>22</v>
      </c>
      <c r="M7" t="s">
        <v>58</v>
      </c>
      <c r="N7" t="s">
        <v>35</v>
      </c>
      <c r="T7" t="s">
        <v>12</v>
      </c>
      <c r="U7" t="s">
        <v>5</v>
      </c>
      <c r="V7" t="s">
        <v>22</v>
      </c>
    </row>
    <row r="8" spans="2:23" x14ac:dyDescent="0.25">
      <c r="B8">
        <v>15</v>
      </c>
      <c r="C8">
        <f>B8+273.15</f>
        <v>288.14999999999998</v>
      </c>
      <c r="D8">
        <v>0.4</v>
      </c>
      <c r="E8">
        <v>-9.7000000000000003E-2</v>
      </c>
      <c r="F8">
        <f t="shared" ref="F8:F43" si="0">0.025%*ABS(E8)+0.008%*$R$3</f>
        <v>8.0242500000000001E-3</v>
      </c>
      <c r="G8">
        <v>-4.8000000000000001E-2</v>
      </c>
      <c r="H8">
        <f t="shared" ref="H8:H43" si="1">0.025%*ABS(G8)+0.008%*$R$3</f>
        <v>8.012E-3</v>
      </c>
      <c r="I8">
        <v>-9.7000000000000003E-2</v>
      </c>
      <c r="J8">
        <f t="shared" ref="J8:J43" si="2">0.025%*ABS(I8)+0.008%*$R$3</f>
        <v>8.0242500000000001E-3</v>
      </c>
      <c r="K8">
        <v>-1.4999999999999999E-2</v>
      </c>
      <c r="L8">
        <f t="shared" ref="L8:L43" si="3">0.025%*ABS(K8)+0.008%*$R$3</f>
        <v>8.0037500000000004E-3</v>
      </c>
      <c r="M8">
        <f>(C8^4-$C$56^4)*10^(-10)</f>
        <v>-3.9737221894813636E-2</v>
      </c>
      <c r="N8">
        <f>SQRT((D8*4*10^(-10))^2+($D$56*4*10^(-10))^2)</f>
        <v>2.3004726290870936E-9</v>
      </c>
      <c r="T8" t="s">
        <v>11</v>
      </c>
      <c r="U8">
        <v>1.839</v>
      </c>
      <c r="V8">
        <f>0.025%*ABS(U8)+0.008%*$R$3</f>
        <v>8.4597500000000003E-3</v>
      </c>
    </row>
    <row r="9" spans="2:23" x14ac:dyDescent="0.25">
      <c r="B9">
        <v>17</v>
      </c>
      <c r="C9">
        <f t="shared" ref="C9:C43" si="4">B9+273.15</f>
        <v>290.14999999999998</v>
      </c>
      <c r="D9">
        <v>0.4</v>
      </c>
      <c r="E9">
        <v>-6.7000000000000004E-2</v>
      </c>
      <c r="F9">
        <f t="shared" si="0"/>
        <v>8.0167499999999996E-3</v>
      </c>
      <c r="G9">
        <v>-3.5999999999999997E-2</v>
      </c>
      <c r="H9">
        <f t="shared" si="1"/>
        <v>8.0090000000000005E-3</v>
      </c>
      <c r="I9">
        <v>-5.2999999999999999E-2</v>
      </c>
      <c r="J9">
        <f t="shared" si="2"/>
        <v>8.0132499999999995E-3</v>
      </c>
      <c r="K9">
        <v>-8.9999999999999993E-3</v>
      </c>
      <c r="L9">
        <f t="shared" si="3"/>
        <v>8.0022500000000007E-3</v>
      </c>
      <c r="M9">
        <f t="shared" ref="M9:M43" si="5">(C9^4-$C$56^4)*10^(-10)</f>
        <v>-2.0396852206113626E-2</v>
      </c>
      <c r="N9">
        <f t="shared" ref="N9:N42" si="6">SQRT((D9*4*10^(-10))^2+($D$56*4*10^(-10))^2)</f>
        <v>2.3004726290870936E-9</v>
      </c>
      <c r="T9" t="s">
        <v>13</v>
      </c>
      <c r="U9">
        <v>-2.1000000000000001E-2</v>
      </c>
      <c r="V9">
        <f>0.025%*ABS(U9)+0.008%*$R$3</f>
        <v>8.0052500000000002E-3</v>
      </c>
    </row>
    <row r="10" spans="2:23" x14ac:dyDescent="0.25">
      <c r="B10">
        <v>19</v>
      </c>
      <c r="C10">
        <f t="shared" si="4"/>
        <v>292.14999999999998</v>
      </c>
      <c r="D10">
        <v>0.4</v>
      </c>
      <c r="E10">
        <v>-1.7999999999999999E-2</v>
      </c>
      <c r="F10">
        <f t="shared" si="0"/>
        <v>8.0044999999999995E-3</v>
      </c>
      <c r="G10">
        <v>-6.0000000000000001E-3</v>
      </c>
      <c r="H10">
        <f t="shared" si="1"/>
        <v>8.0014999999999999E-3</v>
      </c>
      <c r="I10">
        <v>-3.0000000000000001E-3</v>
      </c>
      <c r="J10">
        <f t="shared" si="2"/>
        <v>8.0007500000000009E-3</v>
      </c>
      <c r="K10">
        <v>-1E-3</v>
      </c>
      <c r="L10">
        <f t="shared" si="3"/>
        <v>8.0002500000000004E-3</v>
      </c>
      <c r="M10">
        <f t="shared" si="5"/>
        <v>-6.523816094137192E-4</v>
      </c>
      <c r="N10">
        <f t="shared" si="6"/>
        <v>2.3004726290870936E-9</v>
      </c>
      <c r="T10" t="s">
        <v>14</v>
      </c>
      <c r="U10">
        <v>1.0999999999999999E-2</v>
      </c>
      <c r="V10">
        <f>0.025%*ABS(U10)+0.008%*$R$3</f>
        <v>8.0027499999999994E-3</v>
      </c>
    </row>
    <row r="11" spans="2:23" x14ac:dyDescent="0.25">
      <c r="B11">
        <v>21</v>
      </c>
      <c r="C11">
        <f t="shared" si="4"/>
        <v>294.14999999999998</v>
      </c>
      <c r="D11">
        <v>0.4</v>
      </c>
      <c r="E11">
        <v>4.4999999999999998E-2</v>
      </c>
      <c r="F11">
        <f t="shared" si="0"/>
        <v>8.011250000000001E-3</v>
      </c>
      <c r="G11">
        <v>3.4000000000000002E-2</v>
      </c>
      <c r="H11">
        <f t="shared" si="1"/>
        <v>8.0085E-3</v>
      </c>
      <c r="I11">
        <v>5.0999999999999997E-2</v>
      </c>
      <c r="J11">
        <f t="shared" si="2"/>
        <v>8.0127500000000008E-3</v>
      </c>
      <c r="K11">
        <v>7.0000000000000001E-3</v>
      </c>
      <c r="L11">
        <f t="shared" si="3"/>
        <v>8.0017500000000002E-3</v>
      </c>
      <c r="M11">
        <f t="shared" si="5"/>
        <v>1.950177997528639E-2</v>
      </c>
      <c r="N11">
        <f t="shared" si="6"/>
        <v>2.3004726290870936E-9</v>
      </c>
      <c r="T11" t="s">
        <v>15</v>
      </c>
      <c r="U11">
        <v>0.81200000000000006</v>
      </c>
      <c r="V11">
        <f>0.025%*ABS(U11)+0.008%*$R$3</f>
        <v>8.2030000000000002E-3</v>
      </c>
      <c r="W11" t="s">
        <v>17</v>
      </c>
    </row>
    <row r="12" spans="2:23" x14ac:dyDescent="0.25">
      <c r="B12">
        <v>23</v>
      </c>
      <c r="C12">
        <f t="shared" si="4"/>
        <v>296.14999999999998</v>
      </c>
      <c r="D12">
        <v>0.4</v>
      </c>
      <c r="E12">
        <v>8.5000000000000006E-2</v>
      </c>
      <c r="F12">
        <f t="shared" si="0"/>
        <v>8.0212500000000006E-3</v>
      </c>
      <c r="G12">
        <v>5.5E-2</v>
      </c>
      <c r="H12">
        <f t="shared" si="1"/>
        <v>8.01375E-3</v>
      </c>
      <c r="I12">
        <v>0.1</v>
      </c>
      <c r="J12">
        <f t="shared" si="2"/>
        <v>8.0250000000000009E-3</v>
      </c>
      <c r="K12">
        <v>1.0999999999999999E-2</v>
      </c>
      <c r="L12">
        <f t="shared" si="3"/>
        <v>8.0027499999999994E-3</v>
      </c>
      <c r="M12">
        <f t="shared" si="5"/>
        <v>4.0071261027986242E-2</v>
      </c>
      <c r="N12">
        <f t="shared" si="6"/>
        <v>2.3004726290870936E-9</v>
      </c>
      <c r="T12" t="s">
        <v>16</v>
      </c>
      <c r="U12">
        <v>1.38</v>
      </c>
      <c r="V12">
        <f>0.025%*ABS(U12)+0.008%*$R$3</f>
        <v>8.345E-3</v>
      </c>
    </row>
    <row r="13" spans="2:23" x14ac:dyDescent="0.25">
      <c r="B13">
        <v>25</v>
      </c>
      <c r="C13">
        <f t="shared" si="4"/>
        <v>298.14999999999998</v>
      </c>
      <c r="D13">
        <v>0.4</v>
      </c>
      <c r="E13">
        <v>0.14499999999999999</v>
      </c>
      <c r="F13">
        <f t="shared" si="0"/>
        <v>8.03625E-3</v>
      </c>
      <c r="G13">
        <v>9.2999999999999999E-2</v>
      </c>
      <c r="H13">
        <f t="shared" si="1"/>
        <v>8.0232500000000009E-3</v>
      </c>
      <c r="I13">
        <v>0.155</v>
      </c>
      <c r="J13">
        <f t="shared" si="2"/>
        <v>8.0387500000000008E-3</v>
      </c>
      <c r="K13">
        <v>2.1999999999999999E-2</v>
      </c>
      <c r="L13">
        <f t="shared" si="3"/>
        <v>8.0055000000000005E-3</v>
      </c>
      <c r="M13">
        <f t="shared" si="5"/>
        <v>6.1061728428686332E-2</v>
      </c>
      <c r="N13">
        <f t="shared" si="6"/>
        <v>2.3004726290870936E-9</v>
      </c>
    </row>
    <row r="14" spans="2:23" x14ac:dyDescent="0.25">
      <c r="B14">
        <v>27</v>
      </c>
      <c r="C14">
        <f t="shared" si="4"/>
        <v>300.14999999999998</v>
      </c>
      <c r="D14">
        <v>0.4</v>
      </c>
      <c r="E14">
        <v>0.20200000000000001</v>
      </c>
      <c r="F14">
        <f t="shared" si="0"/>
        <v>8.0505000000000004E-3</v>
      </c>
      <c r="G14">
        <v>0.13</v>
      </c>
      <c r="H14">
        <f t="shared" si="1"/>
        <v>8.0324999999999997E-3</v>
      </c>
      <c r="I14">
        <v>0.21</v>
      </c>
      <c r="J14">
        <f t="shared" si="2"/>
        <v>8.0525000000000006E-3</v>
      </c>
      <c r="K14">
        <v>3.3000000000000002E-2</v>
      </c>
      <c r="L14">
        <f t="shared" si="3"/>
        <v>8.0082499999999997E-3</v>
      </c>
      <c r="M14">
        <f t="shared" si="5"/>
        <v>8.2478887457386407E-2</v>
      </c>
      <c r="N14">
        <f t="shared" si="6"/>
        <v>2.3004726290870936E-9</v>
      </c>
    </row>
    <row r="15" spans="2:23" x14ac:dyDescent="0.25">
      <c r="B15">
        <v>29</v>
      </c>
      <c r="C15">
        <f t="shared" si="4"/>
        <v>302.14999999999998</v>
      </c>
      <c r="D15">
        <v>0.4</v>
      </c>
      <c r="E15">
        <v>0.254</v>
      </c>
      <c r="F15">
        <f t="shared" si="0"/>
        <v>8.0634999999999995E-3</v>
      </c>
      <c r="G15">
        <v>0.16400000000000001</v>
      </c>
      <c r="H15">
        <f t="shared" si="1"/>
        <v>8.0409999999999995E-3</v>
      </c>
      <c r="I15">
        <v>0.26500000000000001</v>
      </c>
      <c r="J15">
        <f t="shared" si="2"/>
        <v>8.0662500000000005E-3</v>
      </c>
      <c r="K15">
        <v>4.2000000000000003E-2</v>
      </c>
      <c r="L15">
        <f t="shared" si="3"/>
        <v>8.0105000000000003E-3</v>
      </c>
      <c r="M15">
        <f t="shared" si="5"/>
        <v>0.10432848179408627</v>
      </c>
      <c r="N15">
        <f t="shared" si="6"/>
        <v>2.3004726290870936E-9</v>
      </c>
    </row>
    <row r="16" spans="2:23" x14ac:dyDescent="0.25">
      <c r="B16">
        <v>31</v>
      </c>
      <c r="C16">
        <f t="shared" si="4"/>
        <v>304.14999999999998</v>
      </c>
      <c r="D16">
        <v>0.4</v>
      </c>
      <c r="E16">
        <v>0.312</v>
      </c>
      <c r="F16">
        <f t="shared" si="0"/>
        <v>8.0780000000000001E-3</v>
      </c>
      <c r="G16">
        <v>0.20200000000000001</v>
      </c>
      <c r="H16">
        <f t="shared" si="1"/>
        <v>8.0505000000000004E-3</v>
      </c>
      <c r="I16">
        <v>0.32100000000000001</v>
      </c>
      <c r="J16">
        <f t="shared" si="2"/>
        <v>8.0802500000000006E-3</v>
      </c>
      <c r="K16">
        <v>5.5E-2</v>
      </c>
      <c r="L16">
        <f t="shared" si="3"/>
        <v>8.01375E-3</v>
      </c>
      <c r="M16">
        <f t="shared" si="5"/>
        <v>0.12661629351878634</v>
      </c>
      <c r="N16">
        <f t="shared" si="6"/>
        <v>2.3004726290870936E-9</v>
      </c>
    </row>
    <row r="17" spans="2:14" x14ac:dyDescent="0.25">
      <c r="B17">
        <v>33</v>
      </c>
      <c r="C17">
        <f t="shared" si="4"/>
        <v>306.14999999999998</v>
      </c>
      <c r="D17">
        <v>0.4</v>
      </c>
      <c r="E17">
        <v>0.372</v>
      </c>
      <c r="F17">
        <f t="shared" si="0"/>
        <v>8.0929999999999995E-3</v>
      </c>
      <c r="G17">
        <v>0.24</v>
      </c>
      <c r="H17">
        <f t="shared" si="1"/>
        <v>8.0599999999999995E-3</v>
      </c>
      <c r="I17">
        <v>0.378</v>
      </c>
      <c r="J17">
        <f t="shared" si="2"/>
        <v>8.094500000000001E-3</v>
      </c>
      <c r="K17">
        <v>6.5000000000000002E-2</v>
      </c>
      <c r="L17">
        <f t="shared" si="3"/>
        <v>8.0162500000000008E-3</v>
      </c>
      <c r="M17">
        <f t="shared" si="5"/>
        <v>0.14934814311148625</v>
      </c>
      <c r="N17">
        <f t="shared" si="6"/>
        <v>2.3004726290870936E-9</v>
      </c>
    </row>
    <row r="18" spans="2:14" x14ac:dyDescent="0.25">
      <c r="B18">
        <v>35</v>
      </c>
      <c r="C18">
        <f t="shared" si="4"/>
        <v>308.14999999999998</v>
      </c>
      <c r="D18">
        <v>0.4</v>
      </c>
      <c r="E18">
        <v>0.42899999999999999</v>
      </c>
      <c r="F18">
        <f t="shared" si="0"/>
        <v>8.1072499999999999E-3</v>
      </c>
      <c r="G18">
        <v>0.27800000000000002</v>
      </c>
      <c r="H18">
        <f t="shared" si="1"/>
        <v>8.0695000000000003E-3</v>
      </c>
      <c r="I18">
        <v>0.439</v>
      </c>
      <c r="J18">
        <f t="shared" si="2"/>
        <v>8.1097500000000006E-3</v>
      </c>
      <c r="K18">
        <v>7.3999999999999996E-2</v>
      </c>
      <c r="L18">
        <f t="shared" si="3"/>
        <v>8.0184999999999996E-3</v>
      </c>
      <c r="M18">
        <f t="shared" si="5"/>
        <v>0.1725298894521862</v>
      </c>
      <c r="N18">
        <f t="shared" si="6"/>
        <v>2.3004726290870936E-9</v>
      </c>
    </row>
    <row r="19" spans="2:14" x14ac:dyDescent="0.25">
      <c r="B19">
        <v>37</v>
      </c>
      <c r="C19">
        <f t="shared" si="4"/>
        <v>310.14999999999998</v>
      </c>
      <c r="D19">
        <v>0.4</v>
      </c>
      <c r="E19">
        <v>0.499</v>
      </c>
      <c r="F19">
        <f t="shared" si="0"/>
        <v>8.12475E-3</v>
      </c>
      <c r="G19">
        <v>0.32200000000000001</v>
      </c>
      <c r="H19">
        <f t="shared" si="1"/>
        <v>8.0805000000000009E-3</v>
      </c>
      <c r="I19">
        <v>0.502</v>
      </c>
      <c r="J19">
        <f t="shared" si="2"/>
        <v>8.1255000000000008E-3</v>
      </c>
      <c r="K19">
        <v>8.5999999999999993E-2</v>
      </c>
      <c r="L19">
        <f t="shared" si="3"/>
        <v>8.0215000000000009E-3</v>
      </c>
      <c r="M19">
        <f t="shared" si="5"/>
        <v>0.19616742982088642</v>
      </c>
      <c r="N19">
        <f t="shared" si="6"/>
        <v>2.3004726290870936E-9</v>
      </c>
    </row>
    <row r="20" spans="2:14" x14ac:dyDescent="0.25">
      <c r="B20">
        <v>39</v>
      </c>
      <c r="C20">
        <f t="shared" si="4"/>
        <v>312.14999999999998</v>
      </c>
      <c r="D20">
        <v>0.4</v>
      </c>
      <c r="E20">
        <v>0.55400000000000005</v>
      </c>
      <c r="F20">
        <f t="shared" si="0"/>
        <v>8.1384999999999999E-3</v>
      </c>
      <c r="G20">
        <v>0.35799999999999998</v>
      </c>
      <c r="H20">
        <f t="shared" si="1"/>
        <v>8.0894999999999995E-3</v>
      </c>
      <c r="I20">
        <v>0.55900000000000005</v>
      </c>
      <c r="J20">
        <f t="shared" si="2"/>
        <v>8.1397499999999994E-3</v>
      </c>
      <c r="K20">
        <v>9.8000000000000004E-2</v>
      </c>
      <c r="L20">
        <f t="shared" si="3"/>
        <v>8.0245000000000004E-3</v>
      </c>
      <c r="M20">
        <f t="shared" si="5"/>
        <v>0.22026669989758627</v>
      </c>
      <c r="N20">
        <f t="shared" si="6"/>
        <v>2.3004726290870936E-9</v>
      </c>
    </row>
    <row r="21" spans="2:14" x14ac:dyDescent="0.25">
      <c r="B21">
        <v>41</v>
      </c>
      <c r="C21">
        <f t="shared" si="4"/>
        <v>314.14999999999998</v>
      </c>
      <c r="D21">
        <v>0.4</v>
      </c>
      <c r="E21">
        <v>0.61</v>
      </c>
      <c r="F21">
        <f t="shared" si="0"/>
        <v>8.1525E-3</v>
      </c>
      <c r="G21">
        <v>0.39600000000000002</v>
      </c>
      <c r="H21">
        <f t="shared" si="1"/>
        <v>8.0990000000000003E-3</v>
      </c>
      <c r="I21">
        <v>0.61599999999999999</v>
      </c>
      <c r="J21">
        <f t="shared" si="2"/>
        <v>8.1539999999999998E-3</v>
      </c>
      <c r="K21">
        <v>0.108</v>
      </c>
      <c r="L21">
        <f t="shared" si="3"/>
        <v>8.0269999999999994E-3</v>
      </c>
      <c r="M21">
        <f t="shared" si="5"/>
        <v>0.24483367376228637</v>
      </c>
      <c r="N21">
        <f t="shared" si="6"/>
        <v>2.3004726290870936E-9</v>
      </c>
    </row>
    <row r="22" spans="2:14" x14ac:dyDescent="0.25">
      <c r="B22">
        <v>43</v>
      </c>
      <c r="C22">
        <f t="shared" si="4"/>
        <v>316.14999999999998</v>
      </c>
      <c r="D22">
        <v>0.4</v>
      </c>
      <c r="E22">
        <v>0.67300000000000004</v>
      </c>
      <c r="F22">
        <f t="shared" si="0"/>
        <v>8.1682500000000002E-3</v>
      </c>
      <c r="G22">
        <v>0.435</v>
      </c>
      <c r="H22">
        <f t="shared" si="1"/>
        <v>8.1087499999999996E-3</v>
      </c>
      <c r="I22">
        <v>0.68100000000000005</v>
      </c>
      <c r="J22">
        <f t="shared" si="2"/>
        <v>8.1702500000000004E-3</v>
      </c>
      <c r="K22">
        <v>0.12</v>
      </c>
      <c r="L22">
        <f t="shared" si="3"/>
        <v>8.0300000000000007E-3</v>
      </c>
      <c r="M22">
        <f t="shared" si="5"/>
        <v>0.26987436389498615</v>
      </c>
      <c r="N22">
        <f t="shared" si="6"/>
        <v>2.3004726290870936E-9</v>
      </c>
    </row>
    <row r="23" spans="2:14" x14ac:dyDescent="0.25">
      <c r="B23">
        <v>45</v>
      </c>
      <c r="C23">
        <f t="shared" si="4"/>
        <v>318.14999999999998</v>
      </c>
      <c r="D23">
        <v>0.4</v>
      </c>
      <c r="E23">
        <v>0.73499999999999999</v>
      </c>
      <c r="F23">
        <f t="shared" si="0"/>
        <v>8.1837500000000001E-3</v>
      </c>
      <c r="G23">
        <v>0.47699999999999998</v>
      </c>
      <c r="H23">
        <f t="shared" si="1"/>
        <v>8.1192499999999997E-3</v>
      </c>
      <c r="I23">
        <v>0.74399999999999999</v>
      </c>
      <c r="J23">
        <f t="shared" si="2"/>
        <v>8.1860000000000006E-3</v>
      </c>
      <c r="K23">
        <v>0.13200000000000001</v>
      </c>
      <c r="L23">
        <f t="shared" si="3"/>
        <v>8.0330000000000002E-3</v>
      </c>
      <c r="M23">
        <f t="shared" si="5"/>
        <v>0.29539482117568627</v>
      </c>
      <c r="N23">
        <f t="shared" si="6"/>
        <v>2.3004726290870936E-9</v>
      </c>
    </row>
    <row r="24" spans="2:14" x14ac:dyDescent="0.25">
      <c r="B24">
        <v>47</v>
      </c>
      <c r="C24">
        <f t="shared" si="4"/>
        <v>320.14999999999998</v>
      </c>
      <c r="D24">
        <v>0.4</v>
      </c>
      <c r="E24">
        <v>0.79900000000000004</v>
      </c>
      <c r="F24">
        <f t="shared" si="0"/>
        <v>8.1997500000000004E-3</v>
      </c>
      <c r="G24">
        <v>0.51900000000000002</v>
      </c>
      <c r="H24">
        <f t="shared" si="1"/>
        <v>8.1297499999999998E-3</v>
      </c>
      <c r="I24">
        <v>0.80500000000000005</v>
      </c>
      <c r="J24">
        <f t="shared" si="2"/>
        <v>8.2012500000000002E-3</v>
      </c>
      <c r="K24">
        <v>0.14199999999999999</v>
      </c>
      <c r="L24">
        <f t="shared" si="3"/>
        <v>8.035500000000001E-3</v>
      </c>
      <c r="M24">
        <f t="shared" si="5"/>
        <v>0.32140113488438643</v>
      </c>
      <c r="N24">
        <f t="shared" si="6"/>
        <v>2.3004726290870936E-9</v>
      </c>
    </row>
    <row r="25" spans="2:14" x14ac:dyDescent="0.25">
      <c r="B25">
        <v>49</v>
      </c>
      <c r="C25">
        <f t="shared" si="4"/>
        <v>322.14999999999998</v>
      </c>
      <c r="D25">
        <v>0.4</v>
      </c>
      <c r="E25">
        <v>0.87</v>
      </c>
      <c r="F25">
        <f t="shared" si="0"/>
        <v>8.2175000000000008E-3</v>
      </c>
      <c r="G25">
        <v>0.56100000000000005</v>
      </c>
      <c r="H25">
        <f t="shared" si="1"/>
        <v>8.1402499999999999E-3</v>
      </c>
      <c r="I25">
        <v>0.872</v>
      </c>
      <c r="J25">
        <f t="shared" si="2"/>
        <v>8.2179999999999996E-3</v>
      </c>
      <c r="K25">
        <v>0.151</v>
      </c>
      <c r="L25">
        <f t="shared" si="3"/>
        <v>8.0377499999999998E-3</v>
      </c>
      <c r="M25">
        <f t="shared" si="5"/>
        <v>0.34789943270108625</v>
      </c>
      <c r="N25">
        <f t="shared" si="6"/>
        <v>2.3004726290870936E-9</v>
      </c>
    </row>
    <row r="26" spans="2:14" x14ac:dyDescent="0.25">
      <c r="B26">
        <v>51</v>
      </c>
      <c r="C26">
        <f t="shared" si="4"/>
        <v>324.14999999999998</v>
      </c>
      <c r="D26">
        <v>0.4</v>
      </c>
      <c r="E26">
        <v>0.93600000000000005</v>
      </c>
      <c r="F26">
        <f t="shared" si="0"/>
        <v>8.234E-3</v>
      </c>
      <c r="G26">
        <v>0.60799999999999998</v>
      </c>
      <c r="H26">
        <f t="shared" si="1"/>
        <v>8.1519999999999995E-3</v>
      </c>
      <c r="I26">
        <v>0.93700000000000006</v>
      </c>
      <c r="J26">
        <f t="shared" si="2"/>
        <v>8.2342500000000002E-3</v>
      </c>
      <c r="K26">
        <v>0.16500000000000001</v>
      </c>
      <c r="L26">
        <f t="shared" si="3"/>
        <v>8.0412499999999998E-3</v>
      </c>
      <c r="M26">
        <f t="shared" si="5"/>
        <v>0.37489588070578633</v>
      </c>
      <c r="N26">
        <f t="shared" si="6"/>
        <v>2.3004726290870936E-9</v>
      </c>
    </row>
    <row r="27" spans="2:14" x14ac:dyDescent="0.25">
      <c r="B27">
        <v>53</v>
      </c>
      <c r="C27">
        <f t="shared" si="4"/>
        <v>326.14999999999998</v>
      </c>
      <c r="D27">
        <v>0.4</v>
      </c>
      <c r="E27">
        <v>1.004</v>
      </c>
      <c r="F27">
        <f t="shared" si="0"/>
        <v>8.2509999999999997E-3</v>
      </c>
      <c r="G27">
        <v>0.65200000000000002</v>
      </c>
      <c r="H27">
        <f t="shared" si="1"/>
        <v>8.1630000000000001E-3</v>
      </c>
      <c r="I27">
        <v>1.0089999999999999</v>
      </c>
      <c r="J27">
        <f t="shared" si="2"/>
        <v>8.2522500000000009E-3</v>
      </c>
      <c r="K27">
        <v>0.17699999999999999</v>
      </c>
      <c r="L27">
        <f t="shared" si="3"/>
        <v>8.0442499999999993E-3</v>
      </c>
      <c r="M27">
        <f t="shared" si="5"/>
        <v>0.40239668337848605</v>
      </c>
      <c r="N27">
        <f t="shared" si="6"/>
        <v>2.3004726290870936E-9</v>
      </c>
    </row>
    <row r="28" spans="2:14" x14ac:dyDescent="0.25">
      <c r="B28">
        <v>55</v>
      </c>
      <c r="C28">
        <f t="shared" si="4"/>
        <v>328.15</v>
      </c>
      <c r="D28">
        <v>0.4</v>
      </c>
      <c r="E28">
        <v>1.0780000000000001</v>
      </c>
      <c r="F28">
        <f t="shared" si="0"/>
        <v>8.2695000000000008E-3</v>
      </c>
      <c r="G28">
        <v>0.69499999999999995</v>
      </c>
      <c r="H28">
        <f t="shared" si="1"/>
        <v>8.1737500000000005E-3</v>
      </c>
      <c r="I28">
        <v>1.075</v>
      </c>
      <c r="J28">
        <f t="shared" si="2"/>
        <v>8.2687500000000001E-3</v>
      </c>
      <c r="K28">
        <v>0.189</v>
      </c>
      <c r="L28">
        <f t="shared" si="3"/>
        <v>8.0472500000000006E-3</v>
      </c>
      <c r="M28">
        <f t="shared" si="5"/>
        <v>0.43040808359918636</v>
      </c>
      <c r="N28">
        <f t="shared" si="6"/>
        <v>2.3004726290870936E-9</v>
      </c>
    </row>
    <row r="29" spans="2:14" x14ac:dyDescent="0.25">
      <c r="B29">
        <v>57</v>
      </c>
      <c r="C29">
        <f t="shared" si="4"/>
        <v>330.15</v>
      </c>
      <c r="D29">
        <v>0.4</v>
      </c>
      <c r="E29">
        <v>1.1459999999999999</v>
      </c>
      <c r="F29">
        <f t="shared" si="0"/>
        <v>8.2865000000000005E-3</v>
      </c>
      <c r="G29">
        <v>0.745</v>
      </c>
      <c r="H29">
        <f t="shared" si="1"/>
        <v>8.1862500000000008E-3</v>
      </c>
      <c r="I29">
        <v>1.1499999999999999</v>
      </c>
      <c r="J29">
        <f t="shared" si="2"/>
        <v>8.2874999999999997E-3</v>
      </c>
      <c r="K29">
        <v>0.20399999999999999</v>
      </c>
      <c r="L29">
        <f t="shared" si="3"/>
        <v>8.0510000000000009E-3</v>
      </c>
      <c r="M29">
        <f t="shared" si="5"/>
        <v>0.45893636264788651</v>
      </c>
      <c r="N29">
        <f t="shared" si="6"/>
        <v>2.3004726290870936E-9</v>
      </c>
    </row>
    <row r="30" spans="2:14" x14ac:dyDescent="0.25">
      <c r="B30">
        <v>59</v>
      </c>
      <c r="C30">
        <f t="shared" si="4"/>
        <v>332.15</v>
      </c>
      <c r="D30">
        <v>0.4</v>
      </c>
      <c r="E30">
        <v>1.2150000000000001</v>
      </c>
      <c r="F30">
        <f t="shared" si="0"/>
        <v>8.3037500000000004E-3</v>
      </c>
      <c r="G30">
        <v>0.79</v>
      </c>
      <c r="H30">
        <f t="shared" si="1"/>
        <v>8.1974999999999999E-3</v>
      </c>
      <c r="I30">
        <v>1.2150000000000001</v>
      </c>
      <c r="J30">
        <f t="shared" si="2"/>
        <v>8.3037500000000004E-3</v>
      </c>
      <c r="K30">
        <v>0.216</v>
      </c>
      <c r="L30">
        <f t="shared" si="3"/>
        <v>8.0540000000000004E-3</v>
      </c>
      <c r="M30">
        <f t="shared" si="5"/>
        <v>0.48798784020458624</v>
      </c>
      <c r="N30">
        <f t="shared" si="6"/>
        <v>2.3004726290870936E-9</v>
      </c>
    </row>
    <row r="31" spans="2:14" x14ac:dyDescent="0.25">
      <c r="B31">
        <v>61</v>
      </c>
      <c r="C31">
        <f t="shared" si="4"/>
        <v>334.15</v>
      </c>
      <c r="D31">
        <v>0.4</v>
      </c>
      <c r="E31">
        <v>1.288</v>
      </c>
      <c r="F31">
        <f t="shared" si="0"/>
        <v>8.3219999999999995E-3</v>
      </c>
      <c r="G31">
        <v>0.83599999999999997</v>
      </c>
      <c r="H31">
        <f t="shared" si="1"/>
        <v>8.209000000000001E-3</v>
      </c>
      <c r="I31">
        <v>1.294</v>
      </c>
      <c r="J31">
        <f t="shared" si="2"/>
        <v>8.323500000000001E-3</v>
      </c>
      <c r="K31">
        <v>0.22700000000000001</v>
      </c>
      <c r="L31">
        <f t="shared" si="3"/>
        <v>8.0567499999999997E-3</v>
      </c>
      <c r="M31">
        <f t="shared" si="5"/>
        <v>0.51756887434928633</v>
      </c>
      <c r="N31">
        <f t="shared" si="6"/>
        <v>2.3004726290870936E-9</v>
      </c>
    </row>
    <row r="32" spans="2:14" x14ac:dyDescent="0.25">
      <c r="B32">
        <v>63</v>
      </c>
      <c r="C32">
        <f t="shared" si="4"/>
        <v>336.15</v>
      </c>
      <c r="D32">
        <v>0.4</v>
      </c>
      <c r="E32">
        <v>1.3620000000000001</v>
      </c>
      <c r="F32">
        <f t="shared" si="0"/>
        <v>8.3405000000000007E-3</v>
      </c>
      <c r="G32">
        <v>0.88600000000000001</v>
      </c>
      <c r="H32">
        <f t="shared" si="1"/>
        <v>8.2214999999999996E-3</v>
      </c>
      <c r="I32">
        <v>1.3680000000000001</v>
      </c>
      <c r="J32">
        <f t="shared" si="2"/>
        <v>8.3420000000000005E-3</v>
      </c>
      <c r="K32">
        <v>0.23799999999999999</v>
      </c>
      <c r="L32">
        <f t="shared" si="3"/>
        <v>8.0595000000000007E-3</v>
      </c>
      <c r="M32">
        <f t="shared" si="5"/>
        <v>0.54768586156198618</v>
      </c>
      <c r="N32">
        <f t="shared" si="6"/>
        <v>2.3004726290870936E-9</v>
      </c>
    </row>
    <row r="33" spans="2:14" x14ac:dyDescent="0.25">
      <c r="B33">
        <v>65</v>
      </c>
      <c r="C33">
        <f t="shared" si="4"/>
        <v>338.15</v>
      </c>
      <c r="D33">
        <v>0.4</v>
      </c>
      <c r="E33">
        <v>1.4370000000000001</v>
      </c>
      <c r="F33">
        <f t="shared" si="0"/>
        <v>8.3592500000000004E-3</v>
      </c>
      <c r="G33">
        <v>0.93400000000000005</v>
      </c>
      <c r="H33">
        <f t="shared" si="1"/>
        <v>8.2334999999999995E-3</v>
      </c>
      <c r="I33">
        <v>1.4419999999999999</v>
      </c>
      <c r="J33">
        <f t="shared" si="2"/>
        <v>8.3604999999999999E-3</v>
      </c>
      <c r="K33">
        <v>0.25600000000000001</v>
      </c>
      <c r="L33">
        <f t="shared" si="3"/>
        <v>8.064E-3</v>
      </c>
      <c r="M33">
        <f t="shared" si="5"/>
        <v>0.57834523672268623</v>
      </c>
      <c r="N33">
        <f>SQRT((D33*4*10^(-10))^2+($D$56*4*10^(-10))^2)</f>
        <v>2.3004726290870936E-9</v>
      </c>
    </row>
    <row r="34" spans="2:14" x14ac:dyDescent="0.25">
      <c r="B34">
        <v>67</v>
      </c>
      <c r="C34">
        <f t="shared" si="4"/>
        <v>340.15</v>
      </c>
      <c r="D34">
        <v>0.4</v>
      </c>
      <c r="E34">
        <v>1.5149999999999999</v>
      </c>
      <c r="F34">
        <f t="shared" si="0"/>
        <v>8.3787500000000008E-3</v>
      </c>
      <c r="G34">
        <v>0.98499999999999999</v>
      </c>
      <c r="H34">
        <f t="shared" si="1"/>
        <v>8.2462500000000001E-3</v>
      </c>
      <c r="I34">
        <v>1.51</v>
      </c>
      <c r="J34">
        <f t="shared" si="2"/>
        <v>8.3774999999999995E-3</v>
      </c>
      <c r="K34">
        <v>0.26400000000000001</v>
      </c>
      <c r="L34">
        <f t="shared" si="3"/>
        <v>8.0660000000000003E-3</v>
      </c>
      <c r="M34">
        <f t="shared" si="5"/>
        <v>0.60955347311138608</v>
      </c>
      <c r="N34">
        <f t="shared" si="6"/>
        <v>2.3004726290870936E-9</v>
      </c>
    </row>
    <row r="35" spans="2:14" x14ac:dyDescent="0.25">
      <c r="B35">
        <v>69</v>
      </c>
      <c r="C35">
        <f t="shared" si="4"/>
        <v>342.15</v>
      </c>
      <c r="D35">
        <v>0.4</v>
      </c>
      <c r="E35">
        <v>1.593</v>
      </c>
      <c r="F35">
        <f t="shared" si="0"/>
        <v>8.3982499999999995E-3</v>
      </c>
      <c r="G35">
        <v>1.0349999999999999</v>
      </c>
      <c r="H35">
        <f t="shared" si="1"/>
        <v>8.2587500000000005E-3</v>
      </c>
      <c r="I35">
        <v>1.5920000000000001</v>
      </c>
      <c r="J35">
        <f t="shared" si="2"/>
        <v>8.398000000000001E-3</v>
      </c>
      <c r="K35">
        <v>0.28100000000000003</v>
      </c>
      <c r="L35">
        <f t="shared" si="3"/>
        <v>8.070250000000001E-3</v>
      </c>
      <c r="M35">
        <f t="shared" si="5"/>
        <v>0.64131708240808627</v>
      </c>
      <c r="N35">
        <f t="shared" si="6"/>
        <v>2.3004726290870936E-9</v>
      </c>
    </row>
    <row r="36" spans="2:14" x14ac:dyDescent="0.25">
      <c r="B36">
        <v>71</v>
      </c>
      <c r="C36">
        <f t="shared" si="4"/>
        <v>344.15</v>
      </c>
      <c r="D36">
        <v>0.4</v>
      </c>
      <c r="E36">
        <v>1.6759999999999999</v>
      </c>
      <c r="F36">
        <f t="shared" si="0"/>
        <v>8.4189999999999994E-3</v>
      </c>
      <c r="G36">
        <v>1.0860000000000001</v>
      </c>
      <c r="H36">
        <f t="shared" si="1"/>
        <v>8.2715000000000011E-3</v>
      </c>
      <c r="I36">
        <v>1.673</v>
      </c>
      <c r="J36">
        <f t="shared" si="2"/>
        <v>8.4182500000000004E-3</v>
      </c>
      <c r="K36">
        <v>0.29599999999999999</v>
      </c>
      <c r="L36">
        <f t="shared" si="3"/>
        <v>8.0739999999999996E-3</v>
      </c>
      <c r="M36">
        <f t="shared" si="5"/>
        <v>0.67364261469278619</v>
      </c>
      <c r="N36">
        <f t="shared" si="6"/>
        <v>2.3004726290870936E-9</v>
      </c>
    </row>
    <row r="37" spans="2:14" x14ac:dyDescent="0.25">
      <c r="B37">
        <v>73</v>
      </c>
      <c r="C37">
        <f t="shared" si="4"/>
        <v>346.15</v>
      </c>
      <c r="D37">
        <v>0.4</v>
      </c>
      <c r="E37">
        <v>1.764</v>
      </c>
      <c r="F37">
        <f t="shared" si="0"/>
        <v>8.4410000000000006E-3</v>
      </c>
      <c r="G37">
        <v>1.1459999999999999</v>
      </c>
      <c r="H37">
        <f t="shared" si="1"/>
        <v>8.2865000000000005E-3</v>
      </c>
      <c r="I37">
        <v>1.7470000000000001</v>
      </c>
      <c r="J37">
        <f t="shared" si="2"/>
        <v>8.4367499999999998E-3</v>
      </c>
      <c r="K37">
        <v>0.312</v>
      </c>
      <c r="L37">
        <f t="shared" si="3"/>
        <v>8.0780000000000001E-3</v>
      </c>
      <c r="M37">
        <f t="shared" si="5"/>
        <v>0.70653665844548608</v>
      </c>
      <c r="N37">
        <f t="shared" si="6"/>
        <v>2.3004726290870936E-9</v>
      </c>
    </row>
    <row r="38" spans="2:14" x14ac:dyDescent="0.25">
      <c r="B38">
        <v>75</v>
      </c>
      <c r="C38">
        <f t="shared" si="4"/>
        <v>348.15</v>
      </c>
      <c r="D38">
        <v>0.4</v>
      </c>
      <c r="E38">
        <v>1.833</v>
      </c>
      <c r="F38">
        <f t="shared" si="0"/>
        <v>8.4582500000000005E-3</v>
      </c>
      <c r="G38">
        <v>1.1910000000000001</v>
      </c>
      <c r="H38">
        <f t="shared" si="1"/>
        <v>8.2977499999999996E-3</v>
      </c>
      <c r="I38">
        <v>1.8320000000000001</v>
      </c>
      <c r="J38">
        <f t="shared" si="2"/>
        <v>8.4580000000000002E-3</v>
      </c>
      <c r="K38">
        <v>0.32500000000000001</v>
      </c>
      <c r="L38">
        <f t="shared" si="3"/>
        <v>8.0812499999999999E-3</v>
      </c>
      <c r="M38">
        <f t="shared" si="5"/>
        <v>0.74000584054618623</v>
      </c>
      <c r="N38">
        <f t="shared" si="6"/>
        <v>2.3004726290870936E-9</v>
      </c>
    </row>
    <row r="39" spans="2:14" x14ac:dyDescent="0.25">
      <c r="B39">
        <v>77</v>
      </c>
      <c r="C39">
        <f t="shared" si="4"/>
        <v>350.15</v>
      </c>
      <c r="D39">
        <v>0.4</v>
      </c>
      <c r="E39">
        <v>1.9059999999999999</v>
      </c>
      <c r="F39">
        <f t="shared" si="0"/>
        <v>8.4764999999999997E-3</v>
      </c>
      <c r="G39">
        <v>1.248</v>
      </c>
      <c r="H39">
        <f t="shared" si="1"/>
        <v>8.3119999999999999E-3</v>
      </c>
      <c r="I39">
        <v>1.911</v>
      </c>
      <c r="J39">
        <f t="shared" si="2"/>
        <v>8.4777500000000009E-3</v>
      </c>
      <c r="K39">
        <v>0.33500000000000002</v>
      </c>
      <c r="L39">
        <f t="shared" si="3"/>
        <v>8.0837500000000007E-3</v>
      </c>
      <c r="M39">
        <f t="shared" si="5"/>
        <v>0.77405682627488592</v>
      </c>
      <c r="N39">
        <f t="shared" si="6"/>
        <v>2.3004726290870936E-9</v>
      </c>
    </row>
    <row r="40" spans="2:14" x14ac:dyDescent="0.25">
      <c r="B40">
        <v>79</v>
      </c>
      <c r="C40">
        <f t="shared" si="4"/>
        <v>352.15</v>
      </c>
      <c r="D40">
        <v>0.4</v>
      </c>
      <c r="E40">
        <v>1.9770000000000001</v>
      </c>
      <c r="F40">
        <f t="shared" si="0"/>
        <v>8.4942500000000001E-3</v>
      </c>
      <c r="G40">
        <v>1.2989999999999999</v>
      </c>
      <c r="H40">
        <f t="shared" si="1"/>
        <v>8.3247500000000006E-3</v>
      </c>
      <c r="I40">
        <v>1.9890000000000001</v>
      </c>
      <c r="J40">
        <f t="shared" si="2"/>
        <v>8.4972499999999996E-3</v>
      </c>
      <c r="K40">
        <v>0.35299999999999998</v>
      </c>
      <c r="L40">
        <f t="shared" si="3"/>
        <v>8.08825E-3</v>
      </c>
      <c r="M40">
        <f t="shared" si="5"/>
        <v>0.80869631931158625</v>
      </c>
      <c r="N40">
        <f t="shared" si="6"/>
        <v>2.3004726290870936E-9</v>
      </c>
    </row>
    <row r="41" spans="2:14" x14ac:dyDescent="0.25">
      <c r="B41">
        <v>81</v>
      </c>
      <c r="C41">
        <f t="shared" si="4"/>
        <v>354.15</v>
      </c>
      <c r="D41">
        <v>0.4</v>
      </c>
      <c r="E41">
        <v>2.0819999999999999</v>
      </c>
      <c r="F41">
        <f t="shared" si="0"/>
        <v>8.5205000000000003E-3</v>
      </c>
      <c r="G41">
        <v>1.351</v>
      </c>
      <c r="H41">
        <f t="shared" si="1"/>
        <v>8.3377499999999997E-3</v>
      </c>
      <c r="I41">
        <v>2.0739999999999998</v>
      </c>
      <c r="J41">
        <f t="shared" si="2"/>
        <v>8.5185E-3</v>
      </c>
      <c r="K41">
        <v>0.36</v>
      </c>
      <c r="L41">
        <f t="shared" si="3"/>
        <v>8.09E-3</v>
      </c>
      <c r="M41">
        <f t="shared" si="5"/>
        <v>0.8439310617362864</v>
      </c>
      <c r="N41">
        <f t="shared" si="6"/>
        <v>2.3004726290870936E-9</v>
      </c>
    </row>
    <row r="42" spans="2:14" x14ac:dyDescent="0.25">
      <c r="B42">
        <v>83</v>
      </c>
      <c r="C42">
        <f t="shared" si="4"/>
        <v>356.15</v>
      </c>
      <c r="D42">
        <v>0.4</v>
      </c>
      <c r="E42">
        <v>2.169</v>
      </c>
      <c r="F42">
        <f t="shared" si="0"/>
        <v>8.5422499999999995E-3</v>
      </c>
      <c r="G42">
        <v>1.415</v>
      </c>
      <c r="H42">
        <f t="shared" si="1"/>
        <v>8.3537500000000001E-3</v>
      </c>
      <c r="I42">
        <v>2.16</v>
      </c>
      <c r="J42">
        <f t="shared" si="2"/>
        <v>8.5400000000000007E-3</v>
      </c>
      <c r="K42">
        <v>0.38200000000000001</v>
      </c>
      <c r="L42">
        <f t="shared" si="3"/>
        <v>8.0955000000000003E-3</v>
      </c>
      <c r="M42">
        <f t="shared" si="5"/>
        <v>0.87976783402898606</v>
      </c>
      <c r="N42">
        <f t="shared" si="6"/>
        <v>2.3004726290870936E-9</v>
      </c>
    </row>
    <row r="43" spans="2:14" x14ac:dyDescent="0.25">
      <c r="B43">
        <v>85</v>
      </c>
      <c r="C43">
        <f t="shared" si="4"/>
        <v>358.15</v>
      </c>
      <c r="D43">
        <v>0.4</v>
      </c>
      <c r="E43">
        <v>2.262</v>
      </c>
      <c r="F43">
        <f t="shared" si="0"/>
        <v>8.5655000000000002E-3</v>
      </c>
      <c r="G43">
        <v>1.4770000000000001</v>
      </c>
      <c r="H43">
        <f t="shared" si="1"/>
        <v>8.36925E-3</v>
      </c>
      <c r="I43">
        <v>2.2570000000000001</v>
      </c>
      <c r="J43">
        <f t="shared" si="2"/>
        <v>8.5642500000000007E-3</v>
      </c>
      <c r="K43">
        <v>0.40100000000000002</v>
      </c>
      <c r="L43">
        <f t="shared" si="3"/>
        <v>8.1002499999999998E-3</v>
      </c>
      <c r="M43">
        <f t="shared" si="5"/>
        <v>0.91621345506968621</v>
      </c>
      <c r="N43">
        <f>SQRT((D43*4*10^(-10))^2+($D$56*4*10^(-10))^2)</f>
        <v>2.3004726290870936E-9</v>
      </c>
    </row>
    <row r="47" spans="2:14" x14ac:dyDescent="0.25">
      <c r="B47" t="s">
        <v>27</v>
      </c>
    </row>
    <row r="49" spans="2:10" x14ac:dyDescent="0.25">
      <c r="C49" t="s">
        <v>1</v>
      </c>
      <c r="E49" t="s">
        <v>2</v>
      </c>
      <c r="G49" t="s">
        <v>3</v>
      </c>
      <c r="I49" t="s">
        <v>4</v>
      </c>
    </row>
    <row r="50" spans="2:10" x14ac:dyDescent="0.25">
      <c r="C50" t="s">
        <v>28</v>
      </c>
      <c r="D50" t="s">
        <v>29</v>
      </c>
      <c r="E50" t="s">
        <v>28</v>
      </c>
      <c r="F50" t="s">
        <v>29</v>
      </c>
      <c r="G50" t="s">
        <v>28</v>
      </c>
      <c r="H50" t="s">
        <v>29</v>
      </c>
      <c r="I50" t="s">
        <v>28</v>
      </c>
      <c r="J50" t="s">
        <v>29</v>
      </c>
    </row>
    <row r="51" spans="2:10" x14ac:dyDescent="0.25">
      <c r="B51" t="s">
        <v>30</v>
      </c>
      <c r="C51">
        <v>-7.2253400000000001</v>
      </c>
      <c r="D51">
        <v>0.32773000000000002</v>
      </c>
      <c r="E51">
        <v>-4.2477999999999998</v>
      </c>
      <c r="F51">
        <v>0.27759</v>
      </c>
      <c r="G51">
        <v>-7.3995300000000004</v>
      </c>
      <c r="H51">
        <v>0.11625000000000001</v>
      </c>
      <c r="I51">
        <v>-1.05701</v>
      </c>
      <c r="J51">
        <v>5.28E-2</v>
      </c>
    </row>
    <row r="52" spans="2:10" x14ac:dyDescent="0.25">
      <c r="B52" t="s">
        <v>31</v>
      </c>
      <c r="C52">
        <v>2.47E-2</v>
      </c>
      <c r="D52">
        <v>1.1199999999999999E-3</v>
      </c>
      <c r="E52">
        <v>1.4540000000000001E-2</v>
      </c>
      <c r="F52">
        <f>9.46871*10^(-4)</f>
        <v>9.4687100000000006E-4</v>
      </c>
      <c r="G52">
        <v>2.5329999999999998E-2</v>
      </c>
      <c r="H52">
        <f>3.96531*10^(-4)</f>
        <v>3.9653100000000004E-4</v>
      </c>
      <c r="I52">
        <v>3.6099999999999999E-3</v>
      </c>
      <c r="J52">
        <f>1.80151*10^(-4)</f>
        <v>1.80151E-4</v>
      </c>
    </row>
    <row r="54" spans="2:10" x14ac:dyDescent="0.25">
      <c r="B54" t="s">
        <v>32</v>
      </c>
      <c r="C54">
        <f>-C51/C52</f>
        <v>292.52388663967611</v>
      </c>
      <c r="D54">
        <f>C54*SQRT((D51/C51)^2+(D52/C52)^2)</f>
        <v>18.761425502806038</v>
      </c>
      <c r="E54">
        <f>-E51/E52</f>
        <v>292.14580467675376</v>
      </c>
      <c r="F54">
        <f>E54*SQRT((F51/E51)^2+(F52/E52)^2)</f>
        <v>26.952499887787461</v>
      </c>
      <c r="G54">
        <f>-G51/G52</f>
        <v>292.12514804579553</v>
      </c>
      <c r="H54">
        <f>G54*SQRT((H51/G51)^2+(H52/G52)^2)</f>
        <v>6.4788915685654338</v>
      </c>
      <c r="I54">
        <f>-I51/I52</f>
        <v>292.80055401662048</v>
      </c>
      <c r="J54">
        <f>I54*SQRT((J51/I51)^2+(J52/I52)^2)</f>
        <v>20.67422064707101</v>
      </c>
    </row>
    <row r="56" spans="2:10" x14ac:dyDescent="0.25">
      <c r="B56" t="s">
        <v>33</v>
      </c>
      <c r="C56">
        <f>(C54/D54^2+E54/F54^2+G54/H54^2+I54/J54^2)/(1/D54^2+1/F54^2+1/H54^2+1/J54^2)</f>
        <v>292.21538501873096</v>
      </c>
      <c r="D56">
        <f>1/SQRT(1/D54^2+1/F54^2+1/H54^2+1/J54^2)</f>
        <v>5.7372545248026103</v>
      </c>
    </row>
    <row r="59" spans="2:10" x14ac:dyDescent="0.25">
      <c r="B59" t="s">
        <v>34</v>
      </c>
      <c r="C59">
        <f>(E54/F54^2+G54/H54^2+I54/J54^2)/(1/F54^2+1/H54^2+1/J54^2)</f>
        <v>292.18355968912903</v>
      </c>
      <c r="D59">
        <f>1/SQRT(1/F54^2+1/H54^2+1/J54^2)</f>
        <v>6.0259227954618346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C2934-280F-46D2-874D-85369ACAF09B}">
  <dimension ref="B2:R83"/>
  <sheetViews>
    <sheetView workbookViewId="0">
      <selection activeCell="Q7" sqref="Q7:R22"/>
    </sheetView>
  </sheetViews>
  <sheetFormatPr baseColWidth="10" defaultRowHeight="15" x14ac:dyDescent="0.25"/>
  <sheetData>
    <row r="2" spans="2:18" x14ac:dyDescent="0.25">
      <c r="K2" t="s">
        <v>20</v>
      </c>
    </row>
    <row r="3" spans="2:18" x14ac:dyDescent="0.25">
      <c r="B3" t="s">
        <v>6</v>
      </c>
      <c r="E3">
        <v>100</v>
      </c>
    </row>
    <row r="6" spans="2:18" x14ac:dyDescent="0.25">
      <c r="B6" t="s">
        <v>0</v>
      </c>
      <c r="C6" t="s">
        <v>26</v>
      </c>
      <c r="D6" t="s">
        <v>36</v>
      </c>
      <c r="E6" t="s">
        <v>5</v>
      </c>
      <c r="F6" t="s">
        <v>22</v>
      </c>
      <c r="K6" t="s">
        <v>21</v>
      </c>
      <c r="L6" t="s">
        <v>25</v>
      </c>
      <c r="M6" t="s">
        <v>37</v>
      </c>
      <c r="N6" t="s">
        <v>29</v>
      </c>
      <c r="O6" t="s">
        <v>5</v>
      </c>
      <c r="P6" t="s">
        <v>22</v>
      </c>
      <c r="Q6" t="s">
        <v>38</v>
      </c>
      <c r="R6" t="s">
        <v>29</v>
      </c>
    </row>
    <row r="7" spans="2:18" x14ac:dyDescent="0.25">
      <c r="B7">
        <v>20</v>
      </c>
      <c r="C7">
        <f>B7+273.15</f>
        <v>293.14999999999998</v>
      </c>
      <c r="D7">
        <v>0.4</v>
      </c>
      <c r="E7">
        <v>-4.1000000000000002E-2</v>
      </c>
      <c r="F7">
        <f>0.035%*ABS(E7)+0.008%*$E$3</f>
        <v>8.0143499999999999E-3</v>
      </c>
      <c r="G7" s="1" t="s">
        <v>18</v>
      </c>
      <c r="K7">
        <v>0</v>
      </c>
      <c r="L7">
        <v>0.5</v>
      </c>
      <c r="M7">
        <f>COS(K7*(2*PI())/360)</f>
        <v>1</v>
      </c>
      <c r="N7">
        <f>L7*2*PI()/360*SIN(K7*2*PI()/360)</f>
        <v>0</v>
      </c>
      <c r="O7">
        <v>1.087</v>
      </c>
      <c r="P7">
        <f>0.035%*O7+0.008%*$E$3</f>
        <v>8.3804500000000011E-3</v>
      </c>
      <c r="Q7">
        <f>O7/$O$7</f>
        <v>1</v>
      </c>
      <c r="R7">
        <f>Q7*SQRT((P7/O7)^2+($P$7/$O$7)^2)</f>
        <v>1.0903170238076914E-2</v>
      </c>
    </row>
    <row r="8" spans="2:18" x14ac:dyDescent="0.25">
      <c r="B8">
        <v>25</v>
      </c>
      <c r="C8">
        <f t="shared" ref="C8:C71" si="0">B8+273.15</f>
        <v>298.14999999999998</v>
      </c>
      <c r="D8">
        <v>0.4</v>
      </c>
      <c r="E8">
        <v>-3.7999999999999999E-2</v>
      </c>
      <c r="F8">
        <f t="shared" ref="F8:F71" si="1">0.035%*ABS(E8)+0.008%*$E$3</f>
        <v>8.013300000000001E-3</v>
      </c>
      <c r="G8" s="1"/>
      <c r="K8">
        <v>2</v>
      </c>
      <c r="L8">
        <v>0.5</v>
      </c>
      <c r="M8">
        <f t="shared" ref="M8:M22" si="2">COS(K8*(2*PI())/360)</f>
        <v>0.99939082701909576</v>
      </c>
      <c r="N8">
        <f t="shared" ref="N8:N22" si="3">L8*2*PI()/360*SIN(K8*2*PI()/360)</f>
        <v>3.0455556237377296E-4</v>
      </c>
      <c r="O8">
        <v>1.085</v>
      </c>
      <c r="P8">
        <f t="shared" ref="P8:P22" si="4">0.035%*O8+0.008%*$E$3</f>
        <v>8.37975E-3</v>
      </c>
      <c r="Q8">
        <f>O8/$O$7</f>
        <v>0.99816007359705616</v>
      </c>
      <c r="R8">
        <f>Q8*SQRT((P8/O8)^2+($P$7/$O$7)^2)</f>
        <v>1.0892688572620553E-2</v>
      </c>
    </row>
    <row r="9" spans="2:18" x14ac:dyDescent="0.25">
      <c r="B9">
        <v>30</v>
      </c>
      <c r="C9">
        <f t="shared" si="0"/>
        <v>303.14999999999998</v>
      </c>
      <c r="D9">
        <v>0.4</v>
      </c>
      <c r="E9">
        <v>-3.3000000000000002E-2</v>
      </c>
      <c r="F9">
        <f t="shared" si="1"/>
        <v>8.011550000000001E-3</v>
      </c>
      <c r="G9" s="1"/>
      <c r="K9">
        <v>4</v>
      </c>
      <c r="L9">
        <v>0.5</v>
      </c>
      <c r="M9">
        <f t="shared" si="2"/>
        <v>0.9975640502598242</v>
      </c>
      <c r="N9">
        <f>L9*2*PI()/360*SIN(K9*2*PI()/360)</f>
        <v>6.0874007070798155E-4</v>
      </c>
      <c r="O9">
        <v>1.083</v>
      </c>
      <c r="P9">
        <f t="shared" si="4"/>
        <v>8.3790500000000007E-3</v>
      </c>
      <c r="Q9">
        <f t="shared" ref="Q9:Q22" si="5">O9/$O$7</f>
        <v>0.99632014719411222</v>
      </c>
      <c r="R9">
        <f t="shared" ref="R9:R22" si="6">Q9*SQRT((P9/O9)^2+($P$7/$O$7)^2)</f>
        <v>1.0882215340364886E-2</v>
      </c>
    </row>
    <row r="10" spans="2:18" x14ac:dyDescent="0.25">
      <c r="B10">
        <v>35</v>
      </c>
      <c r="C10">
        <f t="shared" si="0"/>
        <v>308.14999999999998</v>
      </c>
      <c r="D10">
        <v>0.4</v>
      </c>
      <c r="E10">
        <v>-2.7E-2</v>
      </c>
      <c r="F10">
        <f t="shared" si="1"/>
        <v>8.0094499999999996E-3</v>
      </c>
      <c r="G10" s="1"/>
      <c r="K10">
        <v>6</v>
      </c>
      <c r="L10">
        <v>0.5</v>
      </c>
      <c r="M10">
        <f t="shared" si="2"/>
        <v>0.99452189536827329</v>
      </c>
      <c r="N10">
        <f t="shared" si="3"/>
        <v>9.1218292303525184E-4</v>
      </c>
      <c r="O10">
        <v>1.08</v>
      </c>
      <c r="P10">
        <f t="shared" si="4"/>
        <v>8.378E-3</v>
      </c>
      <c r="Q10">
        <f t="shared" si="5"/>
        <v>0.99356025758969646</v>
      </c>
      <c r="R10">
        <f t="shared" si="6"/>
        <v>1.0866521357567185E-2</v>
      </c>
    </row>
    <row r="11" spans="2:18" x14ac:dyDescent="0.25">
      <c r="B11">
        <v>40</v>
      </c>
      <c r="C11">
        <f t="shared" si="0"/>
        <v>313.14999999999998</v>
      </c>
      <c r="D11">
        <v>0.4</v>
      </c>
      <c r="E11">
        <v>-2.3E-2</v>
      </c>
      <c r="F11">
        <f t="shared" si="1"/>
        <v>8.0080500000000009E-3</v>
      </c>
      <c r="G11" s="1"/>
      <c r="K11">
        <v>8</v>
      </c>
      <c r="L11">
        <v>0.5</v>
      </c>
      <c r="M11">
        <f t="shared" si="2"/>
        <v>0.99026806874157036</v>
      </c>
      <c r="N11">
        <f t="shared" si="3"/>
        <v>1.2145144209818116E-3</v>
      </c>
      <c r="O11">
        <v>1.0820000000000001</v>
      </c>
      <c r="P11">
        <f t="shared" si="4"/>
        <v>8.3787000000000011E-3</v>
      </c>
      <c r="Q11">
        <f t="shared" si="5"/>
        <v>0.99540018399264041</v>
      </c>
      <c r="R11">
        <f t="shared" si="6"/>
        <v>1.0876981894300732E-2</v>
      </c>
    </row>
    <row r="12" spans="2:18" x14ac:dyDescent="0.25">
      <c r="B12">
        <v>45</v>
      </c>
      <c r="C12">
        <f t="shared" si="0"/>
        <v>318.14999999999998</v>
      </c>
      <c r="D12">
        <v>0.4</v>
      </c>
      <c r="E12">
        <v>-1.6E-2</v>
      </c>
      <c r="F12">
        <f t="shared" si="1"/>
        <v>8.0055999999999999E-3</v>
      </c>
      <c r="G12" s="1"/>
      <c r="K12">
        <v>10</v>
      </c>
      <c r="L12">
        <v>0.5</v>
      </c>
      <c r="M12">
        <f t="shared" si="2"/>
        <v>0.98480775301220802</v>
      </c>
      <c r="N12">
        <f t="shared" si="3"/>
        <v>1.5153662201880097E-3</v>
      </c>
      <c r="O12">
        <v>1.0740000000000001</v>
      </c>
      <c r="P12">
        <f t="shared" si="4"/>
        <v>8.3759000000000004E-3</v>
      </c>
      <c r="Q12">
        <f t="shared" si="5"/>
        <v>0.98804047838086484</v>
      </c>
      <c r="R12">
        <f t="shared" si="6"/>
        <v>1.0835190811295898E-2</v>
      </c>
    </row>
    <row r="13" spans="2:18" x14ac:dyDescent="0.25">
      <c r="B13">
        <v>50</v>
      </c>
      <c r="C13">
        <f t="shared" si="0"/>
        <v>323.14999999999998</v>
      </c>
      <c r="D13">
        <v>0.4</v>
      </c>
      <c r="E13">
        <v>-0.01</v>
      </c>
      <c r="F13">
        <f t="shared" si="1"/>
        <v>8.0035000000000002E-3</v>
      </c>
      <c r="G13" s="1"/>
      <c r="K13">
        <v>12</v>
      </c>
      <c r="L13">
        <v>0.5</v>
      </c>
      <c r="M13">
        <f t="shared" si="2"/>
        <v>0.97814760073380569</v>
      </c>
      <c r="N13">
        <f t="shared" si="3"/>
        <v>1.8143717790791809E-3</v>
      </c>
      <c r="O13">
        <v>1.0649999999999999</v>
      </c>
      <c r="P13">
        <f t="shared" si="4"/>
        <v>8.37275E-3</v>
      </c>
      <c r="Q13">
        <f t="shared" si="5"/>
        <v>0.97976080956761724</v>
      </c>
      <c r="R13">
        <f t="shared" si="6"/>
        <v>1.0788339790076387E-2</v>
      </c>
    </row>
    <row r="14" spans="2:18" x14ac:dyDescent="0.25">
      <c r="B14">
        <v>55</v>
      </c>
      <c r="C14">
        <f t="shared" si="0"/>
        <v>328.15</v>
      </c>
      <c r="D14">
        <v>0.4</v>
      </c>
      <c r="E14">
        <v>-5.0000000000000001E-3</v>
      </c>
      <c r="F14">
        <f t="shared" si="1"/>
        <v>8.0017500000000002E-3</v>
      </c>
      <c r="G14" s="1"/>
      <c r="K14">
        <v>14</v>
      </c>
      <c r="L14">
        <v>0.5</v>
      </c>
      <c r="M14">
        <f t="shared" si="2"/>
        <v>0.97029572627599647</v>
      </c>
      <c r="N14">
        <f t="shared" si="3"/>
        <v>2.1111668054400916E-3</v>
      </c>
      <c r="O14">
        <v>1.0569999999999999</v>
      </c>
      <c r="P14">
        <f t="shared" si="4"/>
        <v>8.369950000000001E-3</v>
      </c>
      <c r="Q14">
        <f t="shared" si="5"/>
        <v>0.97240110395584178</v>
      </c>
      <c r="R14">
        <f t="shared" si="6"/>
        <v>1.0746841933456919E-2</v>
      </c>
    </row>
    <row r="15" spans="2:18" x14ac:dyDescent="0.25">
      <c r="B15">
        <v>60</v>
      </c>
      <c r="C15">
        <f t="shared" si="0"/>
        <v>333.15</v>
      </c>
      <c r="D15">
        <v>0.4</v>
      </c>
      <c r="E15">
        <v>1E-3</v>
      </c>
      <c r="F15">
        <f t="shared" si="1"/>
        <v>8.0003499999999998E-3</v>
      </c>
      <c r="G15" t="s">
        <v>19</v>
      </c>
      <c r="K15">
        <v>16</v>
      </c>
      <c r="L15">
        <v>0.5</v>
      </c>
      <c r="M15">
        <f t="shared" si="2"/>
        <v>0.96126169593831889</v>
      </c>
      <c r="N15">
        <f t="shared" si="3"/>
        <v>2.4053897002488901E-3</v>
      </c>
      <c r="O15">
        <v>1.0529999999999999</v>
      </c>
      <c r="P15">
        <f t="shared" si="4"/>
        <v>8.3685500000000006E-3</v>
      </c>
      <c r="Q15">
        <f t="shared" si="5"/>
        <v>0.968721251149954</v>
      </c>
      <c r="R15">
        <f t="shared" si="6"/>
        <v>1.0726145591365194E-2</v>
      </c>
    </row>
    <row r="16" spans="2:18" x14ac:dyDescent="0.25">
      <c r="B16">
        <v>65</v>
      </c>
      <c r="C16">
        <f t="shared" si="0"/>
        <v>338.15</v>
      </c>
      <c r="D16">
        <v>0.4</v>
      </c>
      <c r="E16">
        <v>7.0000000000000001E-3</v>
      </c>
      <c r="F16">
        <f t="shared" si="1"/>
        <v>8.0024499999999995E-3</v>
      </c>
      <c r="K16">
        <v>20</v>
      </c>
      <c r="L16">
        <v>0.5</v>
      </c>
      <c r="M16">
        <f t="shared" si="2"/>
        <v>0.93969262078590843</v>
      </c>
      <c r="N16">
        <f t="shared" si="3"/>
        <v>2.9846888045879138E-3</v>
      </c>
      <c r="O16">
        <v>1.04</v>
      </c>
      <c r="P16">
        <f t="shared" si="4"/>
        <v>8.3639999999999999E-3</v>
      </c>
      <c r="Q16">
        <f t="shared" si="5"/>
        <v>0.95676172953081884</v>
      </c>
      <c r="R16">
        <f t="shared" si="6"/>
        <v>1.0659127531880813E-2</v>
      </c>
    </row>
    <row r="17" spans="2:18" x14ac:dyDescent="0.25">
      <c r="B17">
        <v>70</v>
      </c>
      <c r="C17">
        <f t="shared" si="0"/>
        <v>343.15</v>
      </c>
      <c r="D17">
        <v>0.4</v>
      </c>
      <c r="E17">
        <v>1.4999999999999999E-2</v>
      </c>
      <c r="F17">
        <f t="shared" si="1"/>
        <v>8.0052500000000002E-3</v>
      </c>
      <c r="K17">
        <v>25</v>
      </c>
      <c r="L17">
        <v>0.5</v>
      </c>
      <c r="M17">
        <f t="shared" si="2"/>
        <v>0.90630778703664994</v>
      </c>
      <c r="N17">
        <f t="shared" si="3"/>
        <v>3.6880400732151935E-3</v>
      </c>
      <c r="O17">
        <v>1.0009999999999999</v>
      </c>
      <c r="P17">
        <f t="shared" si="4"/>
        <v>8.3503499999999994E-3</v>
      </c>
      <c r="Q17">
        <f t="shared" si="5"/>
        <v>0.92088316467341302</v>
      </c>
      <c r="R17">
        <f t="shared" si="6"/>
        <v>1.0460383897015757E-2</v>
      </c>
    </row>
    <row r="18" spans="2:18" x14ac:dyDescent="0.25">
      <c r="B18">
        <v>75</v>
      </c>
      <c r="C18">
        <f t="shared" si="0"/>
        <v>348.15</v>
      </c>
      <c r="D18">
        <v>0.4</v>
      </c>
      <c r="E18">
        <v>2.1000000000000001E-2</v>
      </c>
      <c r="F18">
        <f t="shared" si="1"/>
        <v>8.0073499999999999E-3</v>
      </c>
      <c r="K18">
        <v>30</v>
      </c>
      <c r="L18">
        <v>0.5</v>
      </c>
      <c r="M18">
        <f t="shared" si="2"/>
        <v>0.86602540378443871</v>
      </c>
      <c r="N18">
        <f t="shared" si="3"/>
        <v>4.363323129985823E-3</v>
      </c>
      <c r="O18">
        <v>0.89700000000000002</v>
      </c>
      <c r="P18">
        <f t="shared" si="4"/>
        <v>8.3139500000000005E-3</v>
      </c>
      <c r="Q18">
        <f t="shared" si="5"/>
        <v>0.82520699172033118</v>
      </c>
      <c r="R18">
        <f t="shared" si="6"/>
        <v>9.9486851257446409E-3</v>
      </c>
    </row>
    <row r="19" spans="2:18" x14ac:dyDescent="0.25">
      <c r="B19">
        <v>80</v>
      </c>
      <c r="C19">
        <f t="shared" si="0"/>
        <v>353.15</v>
      </c>
      <c r="D19">
        <v>0.4</v>
      </c>
      <c r="E19">
        <v>2.8000000000000001E-2</v>
      </c>
      <c r="F19">
        <f t="shared" si="1"/>
        <v>8.0098000000000009E-3</v>
      </c>
      <c r="K19">
        <v>35</v>
      </c>
      <c r="L19">
        <v>0.5</v>
      </c>
      <c r="M19">
        <f t="shared" si="2"/>
        <v>0.8191520442889918</v>
      </c>
      <c r="N19">
        <f t="shared" si="3"/>
        <v>5.0053986630907215E-3</v>
      </c>
      <c r="O19">
        <v>0.85</v>
      </c>
      <c r="P19">
        <f t="shared" si="4"/>
        <v>8.2974999999999993E-3</v>
      </c>
      <c r="Q19">
        <f t="shared" si="5"/>
        <v>0.78196872125114991</v>
      </c>
      <c r="R19">
        <f t="shared" si="6"/>
        <v>9.7269997555983635E-3</v>
      </c>
    </row>
    <row r="20" spans="2:18" x14ac:dyDescent="0.25">
      <c r="B20">
        <v>85</v>
      </c>
      <c r="C20">
        <f t="shared" si="0"/>
        <v>358.15</v>
      </c>
      <c r="D20">
        <v>0.4</v>
      </c>
      <c r="E20">
        <v>3.5999999999999997E-2</v>
      </c>
      <c r="F20">
        <f t="shared" si="1"/>
        <v>8.0125999999999999E-3</v>
      </c>
      <c r="K20">
        <v>40</v>
      </c>
      <c r="L20">
        <v>0.5</v>
      </c>
      <c r="M20">
        <f t="shared" si="2"/>
        <v>0.76604444311897801</v>
      </c>
      <c r="N20">
        <f t="shared" si="3"/>
        <v>5.609380090027153E-3</v>
      </c>
      <c r="O20">
        <v>0.78</v>
      </c>
      <c r="P20">
        <f t="shared" si="4"/>
        <v>8.2730000000000008E-3</v>
      </c>
      <c r="Q20">
        <f t="shared" si="5"/>
        <v>0.71757129714811407</v>
      </c>
      <c r="R20">
        <f t="shared" si="6"/>
        <v>9.4090946107974888E-3</v>
      </c>
    </row>
    <row r="21" spans="2:18" x14ac:dyDescent="0.25">
      <c r="B21">
        <v>90</v>
      </c>
      <c r="C21">
        <f t="shared" si="0"/>
        <v>363.15</v>
      </c>
      <c r="D21">
        <v>0.4</v>
      </c>
      <c r="E21">
        <v>4.4999999999999998E-2</v>
      </c>
      <c r="F21">
        <f t="shared" si="1"/>
        <v>8.0157500000000003E-3</v>
      </c>
      <c r="K21">
        <v>45</v>
      </c>
      <c r="L21">
        <v>0.5</v>
      </c>
      <c r="M21">
        <f t="shared" si="2"/>
        <v>0.70710678118654757</v>
      </c>
      <c r="N21">
        <f t="shared" si="3"/>
        <v>6.1706707474421746E-3</v>
      </c>
      <c r="O21">
        <v>0.72</v>
      </c>
      <c r="P21">
        <f t="shared" si="4"/>
        <v>8.2520000000000007E-3</v>
      </c>
      <c r="Q21">
        <f t="shared" si="5"/>
        <v>0.66237350505979764</v>
      </c>
      <c r="R21">
        <f t="shared" si="6"/>
        <v>9.1493091088443775E-3</v>
      </c>
    </row>
    <row r="22" spans="2:18" x14ac:dyDescent="0.25">
      <c r="B22">
        <v>95</v>
      </c>
      <c r="C22">
        <f t="shared" si="0"/>
        <v>368.15</v>
      </c>
      <c r="D22">
        <v>0.4</v>
      </c>
      <c r="E22">
        <v>5.1999999999999998E-2</v>
      </c>
      <c r="F22">
        <f t="shared" si="1"/>
        <v>8.0181999999999996E-3</v>
      </c>
      <c r="K22">
        <v>50</v>
      </c>
      <c r="L22">
        <v>0.5</v>
      </c>
      <c r="M22">
        <f t="shared" si="2"/>
        <v>0.64278760968653936</v>
      </c>
      <c r="N22">
        <f t="shared" si="3"/>
        <v>6.6849988745162929E-3</v>
      </c>
      <c r="O22">
        <v>0.64</v>
      </c>
      <c r="P22">
        <f t="shared" si="4"/>
        <v>8.2240000000000004E-3</v>
      </c>
      <c r="Q22">
        <f t="shared" si="5"/>
        <v>0.5887764489420424</v>
      </c>
      <c r="R22">
        <f t="shared" si="6"/>
        <v>8.8230476013316274E-3</v>
      </c>
    </row>
    <row r="23" spans="2:18" x14ac:dyDescent="0.25">
      <c r="B23">
        <v>100</v>
      </c>
      <c r="C23">
        <f t="shared" si="0"/>
        <v>373.15</v>
      </c>
      <c r="D23">
        <v>0.4</v>
      </c>
      <c r="E23">
        <v>0.06</v>
      </c>
      <c r="F23">
        <f t="shared" si="1"/>
        <v>8.0210000000000004E-3</v>
      </c>
    </row>
    <row r="24" spans="2:18" x14ac:dyDescent="0.25">
      <c r="B24">
        <v>105</v>
      </c>
      <c r="C24">
        <f t="shared" si="0"/>
        <v>378.15</v>
      </c>
      <c r="D24">
        <v>0.4</v>
      </c>
      <c r="E24">
        <v>6.9000000000000006E-2</v>
      </c>
      <c r="F24">
        <f t="shared" si="1"/>
        <v>8.0241500000000007E-3</v>
      </c>
    </row>
    <row r="25" spans="2:18" x14ac:dyDescent="0.25">
      <c r="B25">
        <v>110</v>
      </c>
      <c r="C25">
        <f t="shared" si="0"/>
        <v>383.15</v>
      </c>
      <c r="D25">
        <v>0.4</v>
      </c>
      <c r="E25">
        <v>7.9000000000000001E-2</v>
      </c>
      <c r="F25">
        <f t="shared" si="1"/>
        <v>8.0276500000000008E-3</v>
      </c>
    </row>
    <row r="26" spans="2:18" x14ac:dyDescent="0.25">
      <c r="B26">
        <v>115</v>
      </c>
      <c r="C26">
        <f t="shared" si="0"/>
        <v>388.15</v>
      </c>
      <c r="D26">
        <v>0.4</v>
      </c>
      <c r="E26">
        <v>8.7999999999999995E-2</v>
      </c>
      <c r="F26">
        <f t="shared" si="1"/>
        <v>8.0307999999999994E-3</v>
      </c>
    </row>
    <row r="27" spans="2:18" x14ac:dyDescent="0.25">
      <c r="B27">
        <v>120</v>
      </c>
      <c r="C27">
        <f t="shared" si="0"/>
        <v>393.15</v>
      </c>
      <c r="D27">
        <v>0.4</v>
      </c>
      <c r="E27">
        <v>9.8000000000000004E-2</v>
      </c>
      <c r="F27">
        <f t="shared" si="1"/>
        <v>8.0342999999999994E-3</v>
      </c>
    </row>
    <row r="28" spans="2:18" x14ac:dyDescent="0.25">
      <c r="B28">
        <v>125</v>
      </c>
      <c r="C28">
        <f t="shared" si="0"/>
        <v>398.15</v>
      </c>
      <c r="D28">
        <v>0.4</v>
      </c>
      <c r="E28">
        <v>0.108</v>
      </c>
      <c r="F28">
        <f t="shared" si="1"/>
        <v>8.0377999999999995E-3</v>
      </c>
    </row>
    <row r="29" spans="2:18" x14ac:dyDescent="0.25">
      <c r="B29">
        <v>130</v>
      </c>
      <c r="C29">
        <f t="shared" si="0"/>
        <v>403.15</v>
      </c>
      <c r="D29">
        <v>0.4</v>
      </c>
      <c r="E29">
        <v>0.11799999999999999</v>
      </c>
      <c r="F29">
        <f t="shared" si="1"/>
        <v>8.0412999999999995E-3</v>
      </c>
    </row>
    <row r="30" spans="2:18" x14ac:dyDescent="0.25">
      <c r="B30">
        <v>135</v>
      </c>
      <c r="C30">
        <f t="shared" si="0"/>
        <v>408.15</v>
      </c>
      <c r="D30">
        <v>0.4</v>
      </c>
      <c r="E30">
        <v>0.129</v>
      </c>
      <c r="F30">
        <f t="shared" si="1"/>
        <v>8.0451500000000009E-3</v>
      </c>
    </row>
    <row r="31" spans="2:18" x14ac:dyDescent="0.25">
      <c r="B31">
        <v>140</v>
      </c>
      <c r="C31">
        <f t="shared" si="0"/>
        <v>413.15</v>
      </c>
      <c r="D31">
        <v>0.4</v>
      </c>
      <c r="E31">
        <v>0.14000000000000001</v>
      </c>
      <c r="F31">
        <f t="shared" si="1"/>
        <v>8.0490000000000006E-3</v>
      </c>
    </row>
    <row r="32" spans="2:18" x14ac:dyDescent="0.25">
      <c r="B32">
        <v>145</v>
      </c>
      <c r="C32">
        <f t="shared" si="0"/>
        <v>418.15</v>
      </c>
      <c r="D32">
        <v>0.4</v>
      </c>
      <c r="E32">
        <v>0.152</v>
      </c>
      <c r="F32">
        <f t="shared" si="1"/>
        <v>8.0531999999999999E-3</v>
      </c>
    </row>
    <row r="33" spans="2:6" x14ac:dyDescent="0.25">
      <c r="B33">
        <v>150</v>
      </c>
      <c r="C33">
        <f t="shared" si="0"/>
        <v>423.15</v>
      </c>
      <c r="D33">
        <v>0.4</v>
      </c>
      <c r="E33">
        <v>0.16400000000000001</v>
      </c>
      <c r="F33">
        <f t="shared" si="1"/>
        <v>8.057400000000001E-3</v>
      </c>
    </row>
    <row r="34" spans="2:6" x14ac:dyDescent="0.25">
      <c r="B34">
        <v>155</v>
      </c>
      <c r="C34">
        <f t="shared" si="0"/>
        <v>428.15</v>
      </c>
      <c r="D34">
        <v>0.4</v>
      </c>
      <c r="E34">
        <v>0.17699999999999999</v>
      </c>
      <c r="F34">
        <f t="shared" si="1"/>
        <v>8.06195E-3</v>
      </c>
    </row>
    <row r="35" spans="2:6" x14ac:dyDescent="0.25">
      <c r="B35">
        <v>160</v>
      </c>
      <c r="C35">
        <f t="shared" si="0"/>
        <v>433.15</v>
      </c>
      <c r="D35">
        <v>0.4</v>
      </c>
      <c r="E35">
        <v>0.19</v>
      </c>
      <c r="F35">
        <f t="shared" si="1"/>
        <v>8.0665000000000008E-3</v>
      </c>
    </row>
    <row r="36" spans="2:6" x14ac:dyDescent="0.25">
      <c r="B36">
        <v>165</v>
      </c>
      <c r="C36">
        <f t="shared" si="0"/>
        <v>438.15</v>
      </c>
      <c r="D36">
        <v>0.4</v>
      </c>
      <c r="E36">
        <v>0.20399999999999999</v>
      </c>
      <c r="F36">
        <f t="shared" si="1"/>
        <v>8.0713999999999994E-3</v>
      </c>
    </row>
    <row r="37" spans="2:6" x14ac:dyDescent="0.25">
      <c r="B37">
        <v>170</v>
      </c>
      <c r="C37">
        <f t="shared" si="0"/>
        <v>443.15</v>
      </c>
      <c r="D37">
        <v>0.4</v>
      </c>
      <c r="E37">
        <v>0.217</v>
      </c>
      <c r="F37">
        <f t="shared" si="1"/>
        <v>8.0759500000000001E-3</v>
      </c>
    </row>
    <row r="38" spans="2:6" x14ac:dyDescent="0.25">
      <c r="B38">
        <v>175</v>
      </c>
      <c r="C38">
        <f t="shared" si="0"/>
        <v>448.15</v>
      </c>
      <c r="D38">
        <v>0.4</v>
      </c>
      <c r="E38">
        <v>0.23200000000000001</v>
      </c>
      <c r="F38">
        <f t="shared" si="1"/>
        <v>8.0812000000000002E-3</v>
      </c>
    </row>
    <row r="39" spans="2:6" x14ac:dyDescent="0.25">
      <c r="B39">
        <v>180</v>
      </c>
      <c r="C39">
        <f t="shared" si="0"/>
        <v>453.15</v>
      </c>
      <c r="D39">
        <v>0.4</v>
      </c>
      <c r="E39">
        <v>0.246</v>
      </c>
      <c r="F39">
        <f t="shared" si="1"/>
        <v>8.0861000000000006E-3</v>
      </c>
    </row>
    <row r="40" spans="2:6" x14ac:dyDescent="0.25">
      <c r="B40">
        <v>185</v>
      </c>
      <c r="C40">
        <f t="shared" si="0"/>
        <v>458.15</v>
      </c>
      <c r="D40">
        <v>0.4</v>
      </c>
      <c r="E40">
        <v>0.26</v>
      </c>
      <c r="F40">
        <f t="shared" si="1"/>
        <v>8.091000000000001E-3</v>
      </c>
    </row>
    <row r="41" spans="2:6" x14ac:dyDescent="0.25">
      <c r="B41">
        <v>190</v>
      </c>
      <c r="C41">
        <f t="shared" si="0"/>
        <v>463.15</v>
      </c>
      <c r="D41">
        <v>0.4</v>
      </c>
      <c r="E41">
        <v>0.27700000000000002</v>
      </c>
      <c r="F41">
        <f t="shared" si="1"/>
        <v>8.0969500000000003E-3</v>
      </c>
    </row>
    <row r="42" spans="2:6" x14ac:dyDescent="0.25">
      <c r="B42">
        <v>195</v>
      </c>
      <c r="C42">
        <f t="shared" si="0"/>
        <v>468.15</v>
      </c>
      <c r="D42">
        <v>0.4</v>
      </c>
      <c r="E42">
        <v>0.29299999999999998</v>
      </c>
      <c r="F42">
        <f t="shared" si="1"/>
        <v>8.10255E-3</v>
      </c>
    </row>
    <row r="43" spans="2:6" x14ac:dyDescent="0.25">
      <c r="B43">
        <v>200</v>
      </c>
      <c r="C43">
        <f t="shared" si="0"/>
        <v>473.15</v>
      </c>
      <c r="D43">
        <v>0.4</v>
      </c>
      <c r="E43">
        <v>0.311</v>
      </c>
      <c r="F43">
        <f t="shared" si="1"/>
        <v>8.1088500000000008E-3</v>
      </c>
    </row>
    <row r="44" spans="2:6" x14ac:dyDescent="0.25">
      <c r="B44">
        <v>205</v>
      </c>
      <c r="C44">
        <f t="shared" si="0"/>
        <v>478.15</v>
      </c>
      <c r="D44">
        <v>0.4</v>
      </c>
      <c r="E44">
        <v>0.32800000000000001</v>
      </c>
      <c r="F44">
        <f t="shared" si="1"/>
        <v>8.1148000000000001E-3</v>
      </c>
    </row>
    <row r="45" spans="2:6" x14ac:dyDescent="0.25">
      <c r="B45">
        <v>210</v>
      </c>
      <c r="C45">
        <f t="shared" si="0"/>
        <v>483.15</v>
      </c>
      <c r="D45">
        <v>0.4</v>
      </c>
      <c r="E45">
        <v>0.34499999999999997</v>
      </c>
      <c r="F45">
        <f t="shared" si="1"/>
        <v>8.1207499999999995E-3</v>
      </c>
    </row>
    <row r="46" spans="2:6" x14ac:dyDescent="0.25">
      <c r="B46">
        <v>215</v>
      </c>
      <c r="C46">
        <f t="shared" si="0"/>
        <v>488.15</v>
      </c>
      <c r="D46">
        <v>0.4</v>
      </c>
      <c r="E46">
        <v>0.36299999999999999</v>
      </c>
      <c r="F46">
        <f t="shared" si="1"/>
        <v>8.1270500000000002E-3</v>
      </c>
    </row>
    <row r="47" spans="2:6" x14ac:dyDescent="0.25">
      <c r="B47">
        <v>220</v>
      </c>
      <c r="C47">
        <f t="shared" si="0"/>
        <v>493.15</v>
      </c>
      <c r="D47">
        <v>0.4</v>
      </c>
      <c r="E47">
        <v>0.38200000000000001</v>
      </c>
      <c r="F47">
        <f t="shared" si="1"/>
        <v>8.1337000000000007E-3</v>
      </c>
    </row>
    <row r="48" spans="2:6" x14ac:dyDescent="0.25">
      <c r="B48">
        <v>225</v>
      </c>
      <c r="C48">
        <f t="shared" si="0"/>
        <v>498.15</v>
      </c>
      <c r="D48">
        <v>0.4</v>
      </c>
      <c r="E48">
        <v>0.40100000000000002</v>
      </c>
      <c r="F48">
        <f t="shared" si="1"/>
        <v>8.1403500000000011E-3</v>
      </c>
    </row>
    <row r="49" spans="2:6" x14ac:dyDescent="0.25">
      <c r="B49">
        <v>230</v>
      </c>
      <c r="C49">
        <f t="shared" si="0"/>
        <v>503.15</v>
      </c>
      <c r="D49">
        <v>0.4</v>
      </c>
      <c r="E49">
        <v>0.42</v>
      </c>
      <c r="F49">
        <f t="shared" si="1"/>
        <v>8.1469999999999997E-3</v>
      </c>
    </row>
    <row r="50" spans="2:6" x14ac:dyDescent="0.25">
      <c r="B50">
        <v>235</v>
      </c>
      <c r="C50">
        <f t="shared" si="0"/>
        <v>508.15</v>
      </c>
      <c r="D50">
        <v>0.4</v>
      </c>
      <c r="E50">
        <v>0.441</v>
      </c>
      <c r="F50">
        <f t="shared" si="1"/>
        <v>8.1543499999999994E-3</v>
      </c>
    </row>
    <row r="51" spans="2:6" x14ac:dyDescent="0.25">
      <c r="B51">
        <v>240</v>
      </c>
      <c r="C51">
        <f t="shared" si="0"/>
        <v>513.15</v>
      </c>
      <c r="D51">
        <v>0.4</v>
      </c>
      <c r="E51">
        <v>0.46100000000000002</v>
      </c>
      <c r="F51">
        <f t="shared" si="1"/>
        <v>8.1613499999999995E-3</v>
      </c>
    </row>
    <row r="52" spans="2:6" x14ac:dyDescent="0.25">
      <c r="B52">
        <v>245</v>
      </c>
      <c r="C52">
        <f t="shared" si="0"/>
        <v>518.15</v>
      </c>
      <c r="D52">
        <v>0.4</v>
      </c>
      <c r="E52">
        <v>0.48299999999999998</v>
      </c>
      <c r="F52">
        <f t="shared" si="1"/>
        <v>8.1690500000000006E-3</v>
      </c>
    </row>
    <row r="53" spans="2:6" x14ac:dyDescent="0.25">
      <c r="B53">
        <v>250</v>
      </c>
      <c r="C53">
        <f t="shared" si="0"/>
        <v>523.15</v>
      </c>
      <c r="D53">
        <v>0.4</v>
      </c>
      <c r="E53">
        <v>0.505</v>
      </c>
      <c r="F53">
        <f t="shared" si="1"/>
        <v>8.17675E-3</v>
      </c>
    </row>
    <row r="54" spans="2:6" x14ac:dyDescent="0.25">
      <c r="B54">
        <v>255</v>
      </c>
      <c r="C54">
        <f t="shared" si="0"/>
        <v>528.15</v>
      </c>
      <c r="D54">
        <v>0.4</v>
      </c>
      <c r="E54">
        <v>0.52700000000000002</v>
      </c>
      <c r="F54">
        <f t="shared" si="1"/>
        <v>8.1844499999999994E-3</v>
      </c>
    </row>
    <row r="55" spans="2:6" x14ac:dyDescent="0.25">
      <c r="B55">
        <v>260</v>
      </c>
      <c r="C55">
        <f t="shared" si="0"/>
        <v>533.15</v>
      </c>
      <c r="D55">
        <v>0.4</v>
      </c>
      <c r="E55">
        <v>0.55000000000000004</v>
      </c>
      <c r="F55">
        <f t="shared" si="1"/>
        <v>8.1925000000000001E-3</v>
      </c>
    </row>
    <row r="56" spans="2:6" x14ac:dyDescent="0.25">
      <c r="B56">
        <v>265</v>
      </c>
      <c r="C56">
        <f t="shared" si="0"/>
        <v>538.15</v>
      </c>
      <c r="D56">
        <v>0.4</v>
      </c>
      <c r="E56">
        <v>0.57299999999999995</v>
      </c>
      <c r="F56">
        <f t="shared" si="1"/>
        <v>8.2005500000000009E-3</v>
      </c>
    </row>
    <row r="57" spans="2:6" x14ac:dyDescent="0.25">
      <c r="B57">
        <v>270</v>
      </c>
      <c r="C57">
        <f t="shared" si="0"/>
        <v>543.15</v>
      </c>
      <c r="D57">
        <v>0.4</v>
      </c>
      <c r="E57">
        <v>0.59699999999999998</v>
      </c>
      <c r="F57">
        <f t="shared" si="1"/>
        <v>8.2089499999999996E-3</v>
      </c>
    </row>
    <row r="58" spans="2:6" x14ac:dyDescent="0.25">
      <c r="B58">
        <v>275</v>
      </c>
      <c r="C58">
        <f t="shared" si="0"/>
        <v>548.15</v>
      </c>
      <c r="D58">
        <v>0.4</v>
      </c>
      <c r="E58">
        <v>0.622</v>
      </c>
      <c r="F58">
        <f t="shared" si="1"/>
        <v>8.2176999999999997E-3</v>
      </c>
    </row>
    <row r="59" spans="2:6" x14ac:dyDescent="0.25">
      <c r="B59">
        <v>280</v>
      </c>
      <c r="C59">
        <f t="shared" si="0"/>
        <v>553.15</v>
      </c>
      <c r="D59">
        <v>0.4</v>
      </c>
      <c r="E59">
        <v>0.65200000000000002</v>
      </c>
      <c r="F59">
        <f t="shared" si="1"/>
        <v>8.2281999999999998E-3</v>
      </c>
    </row>
    <row r="60" spans="2:6" x14ac:dyDescent="0.25">
      <c r="B60">
        <v>285</v>
      </c>
      <c r="C60">
        <f t="shared" si="0"/>
        <v>558.15</v>
      </c>
      <c r="D60">
        <v>0.4</v>
      </c>
      <c r="E60">
        <v>0.68</v>
      </c>
      <c r="F60">
        <f t="shared" si="1"/>
        <v>8.2380000000000005E-3</v>
      </c>
    </row>
    <row r="61" spans="2:6" x14ac:dyDescent="0.25">
      <c r="B61">
        <v>290</v>
      </c>
      <c r="C61">
        <f t="shared" si="0"/>
        <v>563.15</v>
      </c>
      <c r="D61">
        <v>0.4</v>
      </c>
      <c r="E61">
        <v>0.70599999999999996</v>
      </c>
      <c r="F61">
        <f t="shared" si="1"/>
        <v>8.2471000000000003E-3</v>
      </c>
    </row>
    <row r="62" spans="2:6" x14ac:dyDescent="0.25">
      <c r="B62">
        <v>295</v>
      </c>
      <c r="C62">
        <f t="shared" si="0"/>
        <v>568.15</v>
      </c>
      <c r="D62">
        <v>0.4</v>
      </c>
      <c r="E62">
        <v>0.73399999999999999</v>
      </c>
      <c r="F62">
        <f t="shared" si="1"/>
        <v>8.256900000000001E-3</v>
      </c>
    </row>
    <row r="63" spans="2:6" x14ac:dyDescent="0.25">
      <c r="B63">
        <v>300</v>
      </c>
      <c r="C63">
        <f t="shared" si="0"/>
        <v>573.15</v>
      </c>
      <c r="D63">
        <v>0.4</v>
      </c>
      <c r="E63">
        <v>0.76400000000000001</v>
      </c>
      <c r="F63">
        <f t="shared" si="1"/>
        <v>8.2673999999999994E-3</v>
      </c>
    </row>
    <row r="64" spans="2:6" x14ac:dyDescent="0.25">
      <c r="B64">
        <v>305</v>
      </c>
      <c r="C64">
        <f t="shared" si="0"/>
        <v>578.15</v>
      </c>
      <c r="D64">
        <v>0.4</v>
      </c>
      <c r="E64">
        <v>0.79500000000000004</v>
      </c>
      <c r="F64">
        <f t="shared" si="1"/>
        <v>8.2782500000000009E-3</v>
      </c>
    </row>
    <row r="65" spans="2:6" x14ac:dyDescent="0.25">
      <c r="B65">
        <v>310</v>
      </c>
      <c r="C65">
        <f t="shared" si="0"/>
        <v>583.15</v>
      </c>
      <c r="D65">
        <v>0.4</v>
      </c>
      <c r="E65">
        <v>0.82199999999999995</v>
      </c>
      <c r="F65">
        <f t="shared" si="1"/>
        <v>8.2877000000000003E-3</v>
      </c>
    </row>
    <row r="66" spans="2:6" x14ac:dyDescent="0.25">
      <c r="B66">
        <v>315</v>
      </c>
      <c r="C66">
        <f t="shared" si="0"/>
        <v>588.15</v>
      </c>
      <c r="D66">
        <v>0.4</v>
      </c>
      <c r="E66">
        <v>0.85399999999999998</v>
      </c>
      <c r="F66">
        <f t="shared" si="1"/>
        <v>8.2988999999999997E-3</v>
      </c>
    </row>
    <row r="67" spans="2:6" x14ac:dyDescent="0.25">
      <c r="B67">
        <v>320</v>
      </c>
      <c r="C67">
        <f t="shared" si="0"/>
        <v>593.15</v>
      </c>
      <c r="D67">
        <v>0.4</v>
      </c>
      <c r="E67">
        <v>0.88700000000000001</v>
      </c>
      <c r="F67">
        <f t="shared" si="1"/>
        <v>8.3104500000000005E-3</v>
      </c>
    </row>
    <row r="68" spans="2:6" x14ac:dyDescent="0.25">
      <c r="B68">
        <v>325</v>
      </c>
      <c r="C68">
        <f t="shared" si="0"/>
        <v>598.15</v>
      </c>
      <c r="D68">
        <v>0.4</v>
      </c>
      <c r="E68">
        <v>0.91800000000000004</v>
      </c>
      <c r="F68">
        <f t="shared" si="1"/>
        <v>8.3213000000000002E-3</v>
      </c>
    </row>
    <row r="69" spans="2:6" x14ac:dyDescent="0.25">
      <c r="B69">
        <v>330</v>
      </c>
      <c r="C69">
        <f t="shared" si="0"/>
        <v>603.15</v>
      </c>
      <c r="D69">
        <v>0.4</v>
      </c>
      <c r="E69">
        <v>0.95</v>
      </c>
      <c r="F69">
        <f t="shared" si="1"/>
        <v>8.3324999999999996E-3</v>
      </c>
    </row>
    <row r="70" spans="2:6" x14ac:dyDescent="0.25">
      <c r="B70">
        <v>335</v>
      </c>
      <c r="C70">
        <f t="shared" si="0"/>
        <v>608.15</v>
      </c>
      <c r="D70">
        <v>0.4</v>
      </c>
      <c r="E70">
        <v>0.98299999999999998</v>
      </c>
      <c r="F70">
        <f t="shared" si="1"/>
        <v>8.3440500000000004E-3</v>
      </c>
    </row>
    <row r="71" spans="2:6" x14ac:dyDescent="0.25">
      <c r="B71">
        <v>340</v>
      </c>
      <c r="C71">
        <f t="shared" si="0"/>
        <v>613.15</v>
      </c>
      <c r="D71">
        <v>0.4</v>
      </c>
      <c r="E71">
        <v>1.016</v>
      </c>
      <c r="F71">
        <f t="shared" si="1"/>
        <v>8.3555999999999995E-3</v>
      </c>
    </row>
    <row r="72" spans="2:6" x14ac:dyDescent="0.25">
      <c r="B72">
        <v>345</v>
      </c>
      <c r="C72">
        <f t="shared" ref="C72:C83" si="7">B72+273.15</f>
        <v>618.15</v>
      </c>
      <c r="D72">
        <v>0.4</v>
      </c>
      <c r="E72">
        <v>1.052</v>
      </c>
      <c r="F72">
        <f t="shared" ref="F72:F83" si="8">0.035%*ABS(E72)+0.008%*$E$3</f>
        <v>8.368200000000001E-3</v>
      </c>
    </row>
    <row r="73" spans="2:6" x14ac:dyDescent="0.25">
      <c r="B73">
        <v>350</v>
      </c>
      <c r="C73">
        <f t="shared" si="7"/>
        <v>623.15</v>
      </c>
      <c r="D73">
        <v>0.4</v>
      </c>
      <c r="E73">
        <v>1.087</v>
      </c>
      <c r="F73">
        <f t="shared" si="8"/>
        <v>8.3804500000000011E-3</v>
      </c>
    </row>
    <row r="74" spans="2:6" x14ac:dyDescent="0.25">
      <c r="B74">
        <v>355</v>
      </c>
      <c r="C74">
        <f t="shared" si="7"/>
        <v>628.15</v>
      </c>
      <c r="D74">
        <v>0.4</v>
      </c>
      <c r="E74">
        <v>1.1259999999999999</v>
      </c>
      <c r="F74">
        <f t="shared" si="8"/>
        <v>8.3940999999999998E-3</v>
      </c>
    </row>
    <row r="75" spans="2:6" x14ac:dyDescent="0.25">
      <c r="B75">
        <v>360</v>
      </c>
      <c r="C75">
        <f t="shared" si="7"/>
        <v>633.15</v>
      </c>
      <c r="D75">
        <v>0.4</v>
      </c>
      <c r="E75">
        <v>1.165</v>
      </c>
      <c r="F75">
        <f t="shared" si="8"/>
        <v>8.4077500000000003E-3</v>
      </c>
    </row>
    <row r="76" spans="2:6" x14ac:dyDescent="0.25">
      <c r="B76">
        <v>365</v>
      </c>
      <c r="C76">
        <f t="shared" si="7"/>
        <v>638.15</v>
      </c>
      <c r="D76">
        <v>0.4</v>
      </c>
      <c r="E76">
        <v>1.2030000000000001</v>
      </c>
      <c r="F76">
        <f t="shared" si="8"/>
        <v>8.4210499999999994E-3</v>
      </c>
    </row>
    <row r="77" spans="2:6" x14ac:dyDescent="0.25">
      <c r="B77">
        <v>370</v>
      </c>
      <c r="C77">
        <f t="shared" si="7"/>
        <v>643.15</v>
      </c>
      <c r="D77">
        <v>0.4</v>
      </c>
      <c r="E77">
        <v>1.2430000000000001</v>
      </c>
      <c r="F77">
        <f t="shared" si="8"/>
        <v>8.4350499999999995E-3</v>
      </c>
    </row>
    <row r="78" spans="2:6" x14ac:dyDescent="0.25">
      <c r="B78">
        <v>375</v>
      </c>
      <c r="C78">
        <f t="shared" si="7"/>
        <v>648.15</v>
      </c>
      <c r="D78">
        <v>0.4</v>
      </c>
      <c r="E78">
        <v>1.2849999999999999</v>
      </c>
      <c r="F78">
        <f t="shared" si="8"/>
        <v>8.4497500000000007E-3</v>
      </c>
    </row>
    <row r="79" spans="2:6" x14ac:dyDescent="0.25">
      <c r="B79">
        <v>380</v>
      </c>
      <c r="C79">
        <f t="shared" si="7"/>
        <v>653.15</v>
      </c>
      <c r="D79">
        <v>0.4</v>
      </c>
      <c r="E79">
        <v>1.3280000000000001</v>
      </c>
      <c r="F79">
        <f t="shared" si="8"/>
        <v>8.4647999999999998E-3</v>
      </c>
    </row>
    <row r="80" spans="2:6" x14ac:dyDescent="0.25">
      <c r="B80">
        <v>385</v>
      </c>
      <c r="C80">
        <f t="shared" si="7"/>
        <v>658.15</v>
      </c>
      <c r="D80">
        <v>0.4</v>
      </c>
      <c r="E80">
        <v>1.3720000000000001</v>
      </c>
      <c r="F80">
        <f t="shared" si="8"/>
        <v>8.4802000000000002E-3</v>
      </c>
    </row>
    <row r="81" spans="2:6" x14ac:dyDescent="0.25">
      <c r="B81">
        <v>390</v>
      </c>
      <c r="C81">
        <f t="shared" si="7"/>
        <v>663.15</v>
      </c>
      <c r="D81">
        <v>0.4</v>
      </c>
      <c r="E81">
        <v>1.4139999999999999</v>
      </c>
      <c r="F81">
        <f t="shared" si="8"/>
        <v>8.4948999999999997E-3</v>
      </c>
    </row>
    <row r="82" spans="2:6" x14ac:dyDescent="0.25">
      <c r="B82">
        <v>395</v>
      </c>
      <c r="C82">
        <f t="shared" si="7"/>
        <v>668.15</v>
      </c>
      <c r="D82">
        <v>0.4</v>
      </c>
      <c r="E82">
        <v>1.46</v>
      </c>
      <c r="F82">
        <f t="shared" si="8"/>
        <v>8.5109999999999995E-3</v>
      </c>
    </row>
    <row r="83" spans="2:6" x14ac:dyDescent="0.25">
      <c r="B83">
        <v>400</v>
      </c>
      <c r="C83">
        <f t="shared" si="7"/>
        <v>673.15</v>
      </c>
      <c r="D83">
        <v>0.4</v>
      </c>
      <c r="E83">
        <v>1.504</v>
      </c>
      <c r="F83">
        <f t="shared" si="8"/>
        <v>8.5264E-3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39AE-C278-4F9C-86C3-D99D8667C25A}">
  <dimension ref="A1:AA43"/>
  <sheetViews>
    <sheetView workbookViewId="0">
      <selection activeCell="AA44" sqref="AA44"/>
    </sheetView>
  </sheetViews>
  <sheetFormatPr baseColWidth="10" defaultRowHeight="15" x14ac:dyDescent="0.25"/>
  <cols>
    <col min="7" max="7" width="12" bestFit="1" customWidth="1"/>
    <col min="9" max="9" width="12" bestFit="1" customWidth="1"/>
  </cols>
  <sheetData>
    <row r="1" spans="1:24" x14ac:dyDescent="0.25">
      <c r="A1" s="3" t="s">
        <v>39</v>
      </c>
    </row>
    <row r="2" spans="1:24" x14ac:dyDescent="0.25">
      <c r="B2" t="s">
        <v>43</v>
      </c>
      <c r="C2" t="s">
        <v>44</v>
      </c>
      <c r="G2" t="s">
        <v>45</v>
      </c>
      <c r="I2">
        <f>AVERAGE(K2:K5)</f>
        <v>8.3345675000000003E-10</v>
      </c>
      <c r="K2">
        <f>8.40608*10^(-10)</f>
        <v>8.4060799999999994E-10</v>
      </c>
    </row>
    <row r="3" spans="1:24" x14ac:dyDescent="0.25">
      <c r="G3" t="s">
        <v>46</v>
      </c>
      <c r="H3">
        <v>292.21538500000003</v>
      </c>
      <c r="K3">
        <f>2.12824*10^(-9)</f>
        <v>2.1282400000000001E-9</v>
      </c>
    </row>
    <row r="4" spans="1:24" x14ac:dyDescent="0.25">
      <c r="C4" t="s">
        <v>40</v>
      </c>
      <c r="K4">
        <f>2.46681*10^(-10)</f>
        <v>2.4668100000000003E-10</v>
      </c>
    </row>
    <row r="5" spans="1:24" x14ac:dyDescent="0.25">
      <c r="A5" s="2" t="s">
        <v>1</v>
      </c>
      <c r="C5" t="s">
        <v>26</v>
      </c>
      <c r="D5" t="s">
        <v>41</v>
      </c>
      <c r="E5" t="s">
        <v>42</v>
      </c>
      <c r="F5" t="s">
        <v>47</v>
      </c>
      <c r="K5">
        <f>1.18298*10^(-10)</f>
        <v>1.18298E-10</v>
      </c>
      <c r="N5" t="s">
        <v>26</v>
      </c>
      <c r="O5" t="s">
        <v>48</v>
      </c>
      <c r="P5" t="s">
        <v>49</v>
      </c>
      <c r="Q5" t="s">
        <v>47</v>
      </c>
      <c r="U5" t="s">
        <v>26</v>
      </c>
      <c r="V5" t="s">
        <v>48</v>
      </c>
      <c r="W5" t="s">
        <v>49</v>
      </c>
      <c r="X5" t="s">
        <v>47</v>
      </c>
    </row>
    <row r="6" spans="1:24" x14ac:dyDescent="0.25">
      <c r="C6">
        <v>288.14999999999998</v>
      </c>
      <c r="D6">
        <v>-9.7000000000000003E-2</v>
      </c>
      <c r="E6">
        <f>$I$2*(C6^4-$H$3^4)</f>
        <v>-0.33119255658664509</v>
      </c>
      <c r="F6">
        <f>(D6-E6)^2/ABS(E6)</f>
        <v>0.16560201148796158</v>
      </c>
      <c r="N6">
        <v>288.14999999999998</v>
      </c>
      <c r="O6">
        <f>D6*10</f>
        <v>-0.97</v>
      </c>
      <c r="P6">
        <f>$I$2*(N6^4-$H$3^4)*10</f>
        <v>-3.311925565866451</v>
      </c>
      <c r="Q6">
        <f>(O6-P6)^2/ABS(P6)</f>
        <v>1.6560201148796161</v>
      </c>
      <c r="R6" t="s">
        <v>50</v>
      </c>
      <c r="U6">
        <v>298.14999999999998</v>
      </c>
      <c r="V6">
        <f>SUM(O9:O11)</f>
        <v>2.75</v>
      </c>
      <c r="W6">
        <f>SUM(P9:P11)</f>
        <v>10.054386333520696</v>
      </c>
      <c r="X6">
        <f>(V6-W6)^2/W6</f>
        <v>5.3065456149665557</v>
      </c>
    </row>
    <row r="7" spans="1:24" x14ac:dyDescent="0.25">
      <c r="C7">
        <v>290.14999999999998</v>
      </c>
      <c r="D7">
        <v>-6.7000000000000004E-2</v>
      </c>
      <c r="E7">
        <f t="shared" ref="E7:E41" si="0">$I$2*(C7^4-$H$3^4)</f>
        <v>-0.16999893994122087</v>
      </c>
      <c r="F7">
        <f t="shared" ref="F7:F41" si="1">(D7-E7)^2/ABS(E7)</f>
        <v>6.2404986952761789E-2</v>
      </c>
      <c r="N7">
        <v>290.14999999999998</v>
      </c>
      <c r="O7">
        <f t="shared" ref="O7:O41" si="2">D7*10</f>
        <v>-0.67</v>
      </c>
      <c r="P7">
        <f t="shared" ref="P7:P41" si="3">$I$2*(N7^4-$H$3^4)*10</f>
        <v>-1.6999893994122086</v>
      </c>
      <c r="Q7">
        <f t="shared" ref="Q7:Q41" si="4">(O7-P7)^2/ABS(P7)</f>
        <v>0.62404986952761787</v>
      </c>
      <c r="U7">
        <v>300.14999999999998</v>
      </c>
      <c r="V7">
        <v>2.02</v>
      </c>
      <c r="W7">
        <v>6.8742585639664746</v>
      </c>
      <c r="X7">
        <f t="shared" ref="X7:X36" si="5">(V7-W7)^2/W7</f>
        <v>3.4278353056661053</v>
      </c>
    </row>
    <row r="8" spans="1:24" x14ac:dyDescent="0.25">
      <c r="C8">
        <v>292.14999999999998</v>
      </c>
      <c r="D8">
        <v>-1.7999999999999999E-2</v>
      </c>
      <c r="E8">
        <f>$I$2*(C8^4-$H$3^4)</f>
        <v>-5.4373170012602121E-3</v>
      </c>
      <c r="F8">
        <f t="shared" si="1"/>
        <v>2.9025529335561521E-2</v>
      </c>
      <c r="N8">
        <v>292.14999999999998</v>
      </c>
      <c r="O8">
        <f t="shared" si="2"/>
        <v>-0.18</v>
      </c>
      <c r="P8">
        <f t="shared" si="3"/>
        <v>-5.4373170012602119E-2</v>
      </c>
      <c r="Q8">
        <f t="shared" si="4"/>
        <v>0.29025529335561528</v>
      </c>
      <c r="U8">
        <v>302.14999999999998</v>
      </c>
      <c r="V8">
        <v>2.54</v>
      </c>
      <c r="W8">
        <v>8.6953277524349009</v>
      </c>
      <c r="X8">
        <f t="shared" si="5"/>
        <v>4.357289433890025</v>
      </c>
    </row>
    <row r="9" spans="1:24" x14ac:dyDescent="0.25">
      <c r="C9">
        <v>294.14999999999998</v>
      </c>
      <c r="D9">
        <v>4.4999999999999998E-2</v>
      </c>
      <c r="E9">
        <f t="shared" si="0"/>
        <v>0.1625389031323298</v>
      </c>
      <c r="F9">
        <f t="shared" si="1"/>
        <v>8.4997458967121922E-2</v>
      </c>
      <c r="N9">
        <v>294.14999999999998</v>
      </c>
      <c r="O9">
        <f t="shared" si="2"/>
        <v>0.44999999999999996</v>
      </c>
      <c r="P9">
        <f t="shared" si="3"/>
        <v>1.6253890313232979</v>
      </c>
      <c r="Q9">
        <f t="shared" si="4"/>
        <v>0.8499745896712193</v>
      </c>
      <c r="R9" t="s">
        <v>51</v>
      </c>
      <c r="U9">
        <v>304.14999999999998</v>
      </c>
      <c r="V9">
        <v>3.12</v>
      </c>
      <c r="W9">
        <v>10.552920464902943</v>
      </c>
      <c r="X9">
        <f t="shared" si="5"/>
        <v>5.2353570579176258</v>
      </c>
    </row>
    <row r="10" spans="1:24" x14ac:dyDescent="0.25">
      <c r="C10">
        <v>296.14999999999998</v>
      </c>
      <c r="D10">
        <v>8.5000000000000006E-2</v>
      </c>
      <c r="E10">
        <f t="shared" si="0"/>
        <v>0.33397663140602779</v>
      </c>
      <c r="F10">
        <f t="shared" si="1"/>
        <v>0.18560988152171115</v>
      </c>
      <c r="N10">
        <v>296.14999999999998</v>
      </c>
      <c r="O10">
        <f t="shared" si="2"/>
        <v>0.85000000000000009</v>
      </c>
      <c r="P10">
        <f t="shared" si="3"/>
        <v>3.3397663140602778</v>
      </c>
      <c r="Q10">
        <f t="shared" si="4"/>
        <v>1.8560988152171116</v>
      </c>
      <c r="R10" t="s">
        <v>51</v>
      </c>
      <c r="U10">
        <v>306.14999999999998</v>
      </c>
      <c r="V10">
        <v>3.7199999999999998</v>
      </c>
      <c r="W10">
        <v>12.447521813204991</v>
      </c>
      <c r="X10">
        <f t="shared" si="5"/>
        <v>6.1192611784912989</v>
      </c>
    </row>
    <row r="11" spans="1:24" x14ac:dyDescent="0.25">
      <c r="C11">
        <v>298.14999999999998</v>
      </c>
      <c r="D11">
        <v>0.14499999999999999</v>
      </c>
      <c r="E11">
        <f t="shared" si="0"/>
        <v>0.50892309881371223</v>
      </c>
      <c r="F11">
        <f t="shared" si="1"/>
        <v>0.26023582375979698</v>
      </c>
      <c r="N11">
        <v>298.14999999999998</v>
      </c>
      <c r="O11">
        <f t="shared" si="2"/>
        <v>1.45</v>
      </c>
      <c r="P11">
        <f t="shared" si="3"/>
        <v>5.089230988137122</v>
      </c>
      <c r="Q11">
        <f t="shared" si="4"/>
        <v>2.6023582375979695</v>
      </c>
      <c r="U11">
        <v>308.14999999999998</v>
      </c>
      <c r="V11">
        <v>4.29</v>
      </c>
      <c r="W11">
        <v>14.379620109649412</v>
      </c>
      <c r="X11">
        <f t="shared" si="5"/>
        <v>7.0794939769465035</v>
      </c>
    </row>
    <row r="12" spans="1:24" x14ac:dyDescent="0.25">
      <c r="C12">
        <v>300.14999999999998</v>
      </c>
      <c r="D12">
        <v>0.20200000000000001</v>
      </c>
      <c r="E12">
        <f t="shared" si="0"/>
        <v>0.68742585639664744</v>
      </c>
      <c r="F12">
        <f t="shared" si="1"/>
        <v>0.34278353056661043</v>
      </c>
      <c r="N12">
        <v>300.14999999999998</v>
      </c>
      <c r="O12">
        <f t="shared" si="2"/>
        <v>2.02</v>
      </c>
      <c r="P12">
        <f t="shared" si="3"/>
        <v>6.8742585639664746</v>
      </c>
      <c r="Q12">
        <f t="shared" si="4"/>
        <v>3.4278353056661053</v>
      </c>
      <c r="U12">
        <v>310.14999999999998</v>
      </c>
      <c r="V12">
        <v>4.99</v>
      </c>
      <c r="W12">
        <v>16.34970686701848</v>
      </c>
      <c r="X12">
        <f t="shared" si="5"/>
        <v>7.8926760677831629</v>
      </c>
    </row>
    <row r="13" spans="1:24" x14ac:dyDescent="0.25">
      <c r="C13">
        <v>302.14999999999998</v>
      </c>
      <c r="D13">
        <v>0.254</v>
      </c>
      <c r="E13">
        <f t="shared" si="0"/>
        <v>0.86953277524349015</v>
      </c>
      <c r="F13">
        <f t="shared" si="1"/>
        <v>0.43572894338900253</v>
      </c>
      <c r="N13">
        <v>302.14999999999998</v>
      </c>
      <c r="O13">
        <f t="shared" si="2"/>
        <v>2.54</v>
      </c>
      <c r="P13">
        <f t="shared" si="3"/>
        <v>8.6953277524349009</v>
      </c>
      <c r="Q13">
        <f t="shared" si="4"/>
        <v>4.357289433890025</v>
      </c>
      <c r="U13">
        <v>312.14999999999998</v>
      </c>
      <c r="V13">
        <v>5.5400000000000009</v>
      </c>
      <c r="W13">
        <v>18.35827679856833</v>
      </c>
      <c r="X13">
        <f t="shared" si="5"/>
        <v>8.9500894821200596</v>
      </c>
    </row>
    <row r="14" spans="1:24" x14ac:dyDescent="0.25">
      <c r="C14">
        <v>304.14999999999998</v>
      </c>
      <c r="D14">
        <v>0.312</v>
      </c>
      <c r="E14">
        <f t="shared" si="0"/>
        <v>1.0552920464902944</v>
      </c>
      <c r="F14">
        <f t="shared" si="1"/>
        <v>0.52353570579176267</v>
      </c>
      <c r="N14">
        <v>304.14999999999998</v>
      </c>
      <c r="O14">
        <f t="shared" si="2"/>
        <v>3.12</v>
      </c>
      <c r="P14">
        <f t="shared" si="3"/>
        <v>10.552920464902943</v>
      </c>
      <c r="Q14">
        <f t="shared" si="4"/>
        <v>5.2353570579176258</v>
      </c>
      <c r="U14">
        <v>314.14999999999998</v>
      </c>
      <c r="V14">
        <v>6.1</v>
      </c>
      <c r="W14">
        <v>20.405827818029117</v>
      </c>
      <c r="X14">
        <f t="shared" si="5"/>
        <v>10.029326493594924</v>
      </c>
    </row>
    <row r="15" spans="1:24" x14ac:dyDescent="0.25">
      <c r="C15">
        <v>306.14999999999998</v>
      </c>
      <c r="D15">
        <v>0.372</v>
      </c>
      <c r="E15">
        <f t="shared" si="0"/>
        <v>1.2447521813204991</v>
      </c>
      <c r="F15">
        <f t="shared" si="1"/>
        <v>0.61192611784912998</v>
      </c>
      <c r="N15">
        <v>306.14999999999998</v>
      </c>
      <c r="O15">
        <f t="shared" si="2"/>
        <v>3.7199999999999998</v>
      </c>
      <c r="P15">
        <f t="shared" si="3"/>
        <v>12.447521813204991</v>
      </c>
      <c r="Q15">
        <f t="shared" si="4"/>
        <v>6.1192611784912989</v>
      </c>
      <c r="U15">
        <v>316.14999999999998</v>
      </c>
      <c r="V15">
        <v>6.73</v>
      </c>
      <c r="W15">
        <v>22.492861039604822</v>
      </c>
      <c r="X15">
        <f t="shared" si="5"/>
        <v>11.046517724730359</v>
      </c>
    </row>
    <row r="16" spans="1:24" x14ac:dyDescent="0.25">
      <c r="C16">
        <v>308.14999999999998</v>
      </c>
      <c r="D16">
        <v>0.42899999999999999</v>
      </c>
      <c r="E16">
        <f t="shared" si="0"/>
        <v>1.4379620109649411</v>
      </c>
      <c r="F16">
        <f t="shared" si="1"/>
        <v>0.70794939769465004</v>
      </c>
      <c r="N16">
        <v>308.14999999999998</v>
      </c>
      <c r="O16">
        <f t="shared" si="2"/>
        <v>4.29</v>
      </c>
      <c r="P16">
        <f t="shared" si="3"/>
        <v>14.379620109649412</v>
      </c>
      <c r="Q16">
        <f t="shared" si="4"/>
        <v>7.0794939769465035</v>
      </c>
      <c r="U16">
        <v>318.14999999999998</v>
      </c>
      <c r="V16">
        <v>7.35</v>
      </c>
      <c r="W16">
        <v>24.619880777973435</v>
      </c>
      <c r="X16">
        <f t="shared" si="5"/>
        <v>12.114144043794447</v>
      </c>
    </row>
    <row r="17" spans="3:24" x14ac:dyDescent="0.25">
      <c r="C17">
        <v>310.14999999999998</v>
      </c>
      <c r="D17">
        <v>0.499</v>
      </c>
      <c r="E17">
        <f t="shared" si="0"/>
        <v>1.6349706867018479</v>
      </c>
      <c r="F17">
        <f t="shared" si="1"/>
        <v>0.78926760677831609</v>
      </c>
      <c r="N17">
        <v>310.14999999999998</v>
      </c>
      <c r="O17">
        <f t="shared" si="2"/>
        <v>4.99</v>
      </c>
      <c r="P17">
        <f t="shared" si="3"/>
        <v>16.34970686701848</v>
      </c>
      <c r="Q17">
        <f t="shared" si="4"/>
        <v>7.8926760677831629</v>
      </c>
      <c r="U17">
        <v>320.14999999999998</v>
      </c>
      <c r="V17">
        <v>7.99</v>
      </c>
      <c r="W17">
        <v>26.787394548286805</v>
      </c>
      <c r="X17">
        <f t="shared" si="5"/>
        <v>13.19060878306138</v>
      </c>
    </row>
    <row r="18" spans="3:24" x14ac:dyDescent="0.25">
      <c r="C18">
        <v>312.14999999999998</v>
      </c>
      <c r="D18">
        <v>0.55400000000000005</v>
      </c>
      <c r="E18">
        <f t="shared" si="0"/>
        <v>1.8358276798568329</v>
      </c>
      <c r="F18">
        <f t="shared" si="1"/>
        <v>0.89500894821200594</v>
      </c>
      <c r="N18">
        <v>312.14999999999998</v>
      </c>
      <c r="O18">
        <f t="shared" si="2"/>
        <v>5.5400000000000009</v>
      </c>
      <c r="P18">
        <f t="shared" si="3"/>
        <v>18.35827679856833</v>
      </c>
      <c r="Q18">
        <f t="shared" si="4"/>
        <v>8.9500894821200596</v>
      </c>
      <c r="U18">
        <v>322.14999999999998</v>
      </c>
      <c r="V18">
        <v>8.6999999999999993</v>
      </c>
      <c r="W18">
        <v>28.995913066170679</v>
      </c>
      <c r="X18">
        <f t="shared" si="5"/>
        <v>14.206280942059609</v>
      </c>
    </row>
    <row r="19" spans="3:24" x14ac:dyDescent="0.25">
      <c r="C19">
        <v>314.14999999999998</v>
      </c>
      <c r="D19">
        <v>0.61</v>
      </c>
      <c r="E19">
        <f t="shared" si="0"/>
        <v>2.0405827818029119</v>
      </c>
      <c r="F19">
        <f t="shared" si="1"/>
        <v>1.0029326493594928</v>
      </c>
      <c r="N19">
        <v>314.14999999999998</v>
      </c>
      <c r="O19">
        <f t="shared" si="2"/>
        <v>6.1</v>
      </c>
      <c r="P19">
        <f t="shared" si="3"/>
        <v>20.405827818029117</v>
      </c>
      <c r="Q19">
        <f t="shared" si="4"/>
        <v>10.029326493594924</v>
      </c>
      <c r="U19">
        <v>324.14999999999998</v>
      </c>
      <c r="V19">
        <v>9.3600000000000012</v>
      </c>
      <c r="W19">
        <v>31.245950247724807</v>
      </c>
      <c r="X19">
        <f t="shared" si="5"/>
        <v>15.329820807122479</v>
      </c>
    </row>
    <row r="20" spans="3:24" x14ac:dyDescent="0.25">
      <c r="C20">
        <v>316.14999999999998</v>
      </c>
      <c r="D20">
        <v>0.67300000000000004</v>
      </c>
      <c r="E20">
        <f t="shared" si="0"/>
        <v>2.2492861039604821</v>
      </c>
      <c r="F20">
        <f t="shared" si="1"/>
        <v>1.1046517724730358</v>
      </c>
      <c r="N20">
        <v>316.14999999999998</v>
      </c>
      <c r="O20">
        <f t="shared" si="2"/>
        <v>6.73</v>
      </c>
      <c r="P20">
        <f t="shared" si="3"/>
        <v>22.492861039604822</v>
      </c>
      <c r="Q20">
        <f t="shared" si="4"/>
        <v>11.046517724730359</v>
      </c>
      <c r="U20">
        <v>326.14999999999998</v>
      </c>
      <c r="V20">
        <v>10.039999999999999</v>
      </c>
      <c r="W20">
        <v>33.53802320952277</v>
      </c>
      <c r="X20">
        <f t="shared" si="5"/>
        <v>16.463614784502017</v>
      </c>
    </row>
    <row r="21" spans="3:24" x14ac:dyDescent="0.25">
      <c r="C21">
        <v>318.14999999999998</v>
      </c>
      <c r="D21">
        <v>0.73499999999999999</v>
      </c>
      <c r="E21">
        <f t="shared" si="0"/>
        <v>2.4619880777973435</v>
      </c>
      <c r="F21">
        <f t="shared" si="1"/>
        <v>1.2114144043794453</v>
      </c>
      <c r="N21">
        <v>318.14999999999998</v>
      </c>
      <c r="O21">
        <f t="shared" si="2"/>
        <v>7.35</v>
      </c>
      <c r="P21">
        <f t="shared" si="3"/>
        <v>24.619880777973435</v>
      </c>
      <c r="Q21">
        <f t="shared" si="4"/>
        <v>12.114144043794447</v>
      </c>
      <c r="U21">
        <v>328.15</v>
      </c>
      <c r="V21">
        <v>10.780000000000001</v>
      </c>
      <c r="W21">
        <v>35.872652268612185</v>
      </c>
      <c r="X21">
        <f t="shared" si="5"/>
        <v>17.55212280259553</v>
      </c>
    </row>
    <row r="22" spans="3:24" x14ac:dyDescent="0.25">
      <c r="C22">
        <v>320.14999999999998</v>
      </c>
      <c r="D22">
        <v>0.79900000000000004</v>
      </c>
      <c r="E22">
        <f t="shared" si="0"/>
        <v>2.6787394548286807</v>
      </c>
      <c r="F22">
        <f t="shared" si="1"/>
        <v>1.3190608783061384</v>
      </c>
      <c r="N22">
        <v>320.14999999999998</v>
      </c>
      <c r="O22">
        <f t="shared" si="2"/>
        <v>7.99</v>
      </c>
      <c r="P22">
        <f t="shared" si="3"/>
        <v>26.787394548286805</v>
      </c>
      <c r="Q22">
        <f t="shared" si="4"/>
        <v>13.19060878306138</v>
      </c>
      <c r="U22">
        <v>330.15</v>
      </c>
      <c r="V22">
        <v>11.459999999999999</v>
      </c>
      <c r="W22">
        <v>38.250360942514455</v>
      </c>
      <c r="X22">
        <f t="shared" si="5"/>
        <v>18.763834425218974</v>
      </c>
    </row>
    <row r="23" spans="3:24" x14ac:dyDescent="0.25">
      <c r="C23">
        <v>322.14999999999998</v>
      </c>
      <c r="D23">
        <v>0.87</v>
      </c>
      <c r="E23">
        <f t="shared" si="0"/>
        <v>2.8995913066170678</v>
      </c>
      <c r="F23">
        <f t="shared" si="1"/>
        <v>1.4206280942059604</v>
      </c>
      <c r="N23">
        <v>322.14999999999998</v>
      </c>
      <c r="O23">
        <f t="shared" si="2"/>
        <v>8.6999999999999993</v>
      </c>
      <c r="P23">
        <f t="shared" si="3"/>
        <v>28.995913066170679</v>
      </c>
      <c r="Q23">
        <f t="shared" si="4"/>
        <v>14.206280942059609</v>
      </c>
      <c r="U23">
        <v>332.15</v>
      </c>
      <c r="V23">
        <v>12.15</v>
      </c>
      <c r="W23">
        <v>40.671675949224948</v>
      </c>
      <c r="X23">
        <f t="shared" si="5"/>
        <v>20.001290332076884</v>
      </c>
    </row>
    <row r="24" spans="3:24" x14ac:dyDescent="0.25">
      <c r="C24">
        <v>324.14999999999998</v>
      </c>
      <c r="D24">
        <v>0.93600000000000005</v>
      </c>
      <c r="E24">
        <f t="shared" si="0"/>
        <v>3.1245950247724807</v>
      </c>
      <c r="F24">
        <f t="shared" si="1"/>
        <v>1.5329820807122481</v>
      </c>
      <c r="N24">
        <v>324.14999999999998</v>
      </c>
      <c r="O24">
        <f t="shared" si="2"/>
        <v>9.3600000000000012</v>
      </c>
      <c r="P24">
        <f t="shared" si="3"/>
        <v>31.245950247724807</v>
      </c>
      <c r="Q24">
        <f t="shared" si="4"/>
        <v>15.329820807122479</v>
      </c>
      <c r="U24">
        <v>334.15</v>
      </c>
      <c r="V24">
        <v>12.88</v>
      </c>
      <c r="W24">
        <v>43.13712720721302</v>
      </c>
      <c r="X24">
        <f t="shared" si="5"/>
        <v>21.222872409556036</v>
      </c>
    </row>
    <row r="25" spans="3:24" x14ac:dyDescent="0.25">
      <c r="C25">
        <v>326.14999999999998</v>
      </c>
      <c r="D25">
        <v>1.004</v>
      </c>
      <c r="E25">
        <f t="shared" si="0"/>
        <v>3.3538023209522771</v>
      </c>
      <c r="F25">
        <f t="shared" si="1"/>
        <v>1.6463614784502016</v>
      </c>
      <c r="N25">
        <v>326.14999999999998</v>
      </c>
      <c r="O25">
        <f t="shared" si="2"/>
        <v>10.039999999999999</v>
      </c>
      <c r="P25">
        <f t="shared" si="3"/>
        <v>33.53802320952277</v>
      </c>
      <c r="Q25">
        <f t="shared" si="4"/>
        <v>16.463614784502017</v>
      </c>
      <c r="U25">
        <v>336.15</v>
      </c>
      <c r="V25">
        <v>13.620000000000001</v>
      </c>
      <c r="W25">
        <v>45.647247835421865</v>
      </c>
      <c r="X25">
        <f t="shared" si="5"/>
        <v>22.471116059609741</v>
      </c>
    </row>
    <row r="26" spans="3:24" x14ac:dyDescent="0.25">
      <c r="C26">
        <v>328.15</v>
      </c>
      <c r="D26">
        <v>1.0780000000000001</v>
      </c>
      <c r="E26">
        <f t="shared" si="0"/>
        <v>3.5872652268612186</v>
      </c>
      <c r="F26">
        <f t="shared" si="1"/>
        <v>1.7552122802595533</v>
      </c>
      <c r="N26">
        <v>328.15</v>
      </c>
      <c r="O26">
        <f t="shared" si="2"/>
        <v>10.780000000000001</v>
      </c>
      <c r="P26">
        <f t="shared" si="3"/>
        <v>35.872652268612185</v>
      </c>
      <c r="Q26">
        <f t="shared" si="4"/>
        <v>17.55212280259553</v>
      </c>
      <c r="U26">
        <v>338.15</v>
      </c>
      <c r="V26">
        <v>14.370000000000001</v>
      </c>
      <c r="W26">
        <v>48.202574153268642</v>
      </c>
      <c r="X26">
        <f t="shared" si="5"/>
        <v>23.746513416416832</v>
      </c>
    </row>
    <row r="27" spans="3:24" x14ac:dyDescent="0.25">
      <c r="C27">
        <v>330.15</v>
      </c>
      <c r="D27">
        <v>1.1459999999999999</v>
      </c>
      <c r="E27">
        <f t="shared" si="0"/>
        <v>3.8250360942514456</v>
      </c>
      <c r="F27">
        <f t="shared" si="1"/>
        <v>1.8763834425218977</v>
      </c>
      <c r="N27">
        <v>330.15</v>
      </c>
      <c r="O27">
        <f t="shared" si="2"/>
        <v>11.459999999999999</v>
      </c>
      <c r="P27">
        <f t="shared" si="3"/>
        <v>38.250360942514455</v>
      </c>
      <c r="Q27">
        <f t="shared" si="4"/>
        <v>18.763834425218974</v>
      </c>
      <c r="U27">
        <v>340.15</v>
      </c>
      <c r="V27">
        <v>15.149999999999999</v>
      </c>
      <c r="W27">
        <v>50.803645680644394</v>
      </c>
      <c r="X27">
        <f t="shared" si="5"/>
        <v>25.021480905360274</v>
      </c>
    </row>
    <row r="28" spans="3:24" x14ac:dyDescent="0.25">
      <c r="C28">
        <v>332.15</v>
      </c>
      <c r="D28">
        <v>1.2150000000000001</v>
      </c>
      <c r="E28">
        <f t="shared" si="0"/>
        <v>4.0671675949224948</v>
      </c>
      <c r="F28">
        <f t="shared" si="1"/>
        <v>2.0001290332076884</v>
      </c>
      <c r="N28">
        <v>332.15</v>
      </c>
      <c r="O28">
        <f t="shared" si="2"/>
        <v>12.15</v>
      </c>
      <c r="P28">
        <f t="shared" si="3"/>
        <v>40.671675949224948</v>
      </c>
      <c r="Q28">
        <f t="shared" si="4"/>
        <v>20.001290332076884</v>
      </c>
      <c r="U28">
        <v>342.15</v>
      </c>
      <c r="V28">
        <v>15.93</v>
      </c>
      <c r="W28">
        <v>53.451005137914144</v>
      </c>
      <c r="X28">
        <f t="shared" si="5"/>
        <v>26.338622125569223</v>
      </c>
    </row>
    <row r="29" spans="3:24" x14ac:dyDescent="0.25">
      <c r="C29">
        <v>334.15</v>
      </c>
      <c r="D29">
        <v>1.288</v>
      </c>
      <c r="E29">
        <f t="shared" si="0"/>
        <v>4.313712720721302</v>
      </c>
      <c r="F29">
        <f t="shared" si="1"/>
        <v>2.1222872409556035</v>
      </c>
      <c r="N29">
        <v>334.15</v>
      </c>
      <c r="O29">
        <f t="shared" si="2"/>
        <v>12.88</v>
      </c>
      <c r="P29">
        <f t="shared" si="3"/>
        <v>43.13712720721302</v>
      </c>
      <c r="Q29">
        <f t="shared" si="4"/>
        <v>21.222872409556036</v>
      </c>
      <c r="U29">
        <v>344.15</v>
      </c>
      <c r="V29">
        <v>16.759999999999998</v>
      </c>
      <c r="W29">
        <v>56.145198445916762</v>
      </c>
      <c r="X29">
        <f t="shared" si="5"/>
        <v>27.62825494540677</v>
      </c>
    </row>
    <row r="30" spans="3:24" x14ac:dyDescent="0.25">
      <c r="C30">
        <v>336.15</v>
      </c>
      <c r="D30">
        <v>1.3620000000000001</v>
      </c>
      <c r="E30">
        <f t="shared" si="0"/>
        <v>4.5647247835421867</v>
      </c>
      <c r="F30">
        <f t="shared" si="1"/>
        <v>2.2471116059609746</v>
      </c>
      <c r="N30">
        <v>336.15</v>
      </c>
      <c r="O30">
        <f t="shared" si="2"/>
        <v>13.620000000000001</v>
      </c>
      <c r="P30">
        <f t="shared" si="3"/>
        <v>45.647247835421865</v>
      </c>
      <c r="Q30">
        <f t="shared" si="4"/>
        <v>22.471116059609741</v>
      </c>
      <c r="U30">
        <v>346.15</v>
      </c>
      <c r="V30">
        <v>17.64</v>
      </c>
      <c r="W30">
        <v>58.886774725965061</v>
      </c>
      <c r="X30">
        <f t="shared" si="5"/>
        <v>28.890976508930009</v>
      </c>
    </row>
    <row r="31" spans="3:24" x14ac:dyDescent="0.25">
      <c r="C31">
        <v>338.15</v>
      </c>
      <c r="D31">
        <v>1.4370000000000001</v>
      </c>
      <c r="E31">
        <f t="shared" si="0"/>
        <v>4.8202574153268642</v>
      </c>
      <c r="F31">
        <f t="shared" si="1"/>
        <v>2.3746513416416835</v>
      </c>
      <c r="N31">
        <v>338.15</v>
      </c>
      <c r="O31">
        <f t="shared" si="2"/>
        <v>14.370000000000001</v>
      </c>
      <c r="P31">
        <f t="shared" si="3"/>
        <v>48.202574153268642</v>
      </c>
      <c r="Q31">
        <f t="shared" si="4"/>
        <v>23.746513416416832</v>
      </c>
      <c r="U31">
        <v>348.15</v>
      </c>
      <c r="V31">
        <v>18.329999999999998</v>
      </c>
      <c r="W31">
        <v>61.676286299845835</v>
      </c>
      <c r="X31">
        <f t="shared" si="5"/>
        <v>30.463905152358361</v>
      </c>
    </row>
    <row r="32" spans="3:24" x14ac:dyDescent="0.25">
      <c r="C32">
        <v>340.15</v>
      </c>
      <c r="D32">
        <v>1.5149999999999999</v>
      </c>
      <c r="E32">
        <f t="shared" si="0"/>
        <v>5.0803645680644394</v>
      </c>
      <c r="F32">
        <f t="shared" si="1"/>
        <v>2.5021480905360276</v>
      </c>
      <c r="N32">
        <v>340.15</v>
      </c>
      <c r="O32">
        <f t="shared" si="2"/>
        <v>15.149999999999999</v>
      </c>
      <c r="P32">
        <f t="shared" si="3"/>
        <v>50.803645680644394</v>
      </c>
      <c r="Q32">
        <f t="shared" si="4"/>
        <v>25.021480905360274</v>
      </c>
      <c r="U32">
        <v>350.15</v>
      </c>
      <c r="V32">
        <v>19.059999999999999</v>
      </c>
      <c r="W32">
        <v>64.514288689819679</v>
      </c>
      <c r="X32">
        <f t="shared" si="5"/>
        <v>32.025345117437482</v>
      </c>
    </row>
    <row r="33" spans="3:27" x14ac:dyDescent="0.25">
      <c r="C33">
        <v>342.15</v>
      </c>
      <c r="D33">
        <v>1.593</v>
      </c>
      <c r="E33">
        <f t="shared" si="0"/>
        <v>5.3451005137914143</v>
      </c>
      <c r="F33">
        <f t="shared" si="1"/>
        <v>2.633862212556922</v>
      </c>
      <c r="N33">
        <v>342.15</v>
      </c>
      <c r="O33">
        <f t="shared" si="2"/>
        <v>15.93</v>
      </c>
      <c r="P33">
        <f t="shared" si="3"/>
        <v>53.451005137914144</v>
      </c>
      <c r="Q33">
        <f t="shared" si="4"/>
        <v>26.338622125569223</v>
      </c>
      <c r="U33">
        <v>352.15</v>
      </c>
      <c r="V33">
        <v>19.77</v>
      </c>
      <c r="W33">
        <v>67.401340618621262</v>
      </c>
      <c r="X33">
        <f t="shared" si="5"/>
        <v>33.660229726948842</v>
      </c>
    </row>
    <row r="34" spans="3:27" x14ac:dyDescent="0.25">
      <c r="C34">
        <v>344.15</v>
      </c>
      <c r="D34">
        <v>1.6759999999999999</v>
      </c>
      <c r="E34">
        <f t="shared" si="0"/>
        <v>5.6145198445916762</v>
      </c>
      <c r="F34">
        <f t="shared" si="1"/>
        <v>2.7628254945406767</v>
      </c>
      <c r="N34">
        <v>344.15</v>
      </c>
      <c r="O34">
        <f t="shared" si="2"/>
        <v>16.759999999999998</v>
      </c>
      <c r="P34">
        <f t="shared" si="3"/>
        <v>56.145198445916762</v>
      </c>
      <c r="Q34">
        <f t="shared" si="4"/>
        <v>27.62825494540677</v>
      </c>
      <c r="U34">
        <v>354.15</v>
      </c>
      <c r="V34">
        <v>20.82</v>
      </c>
      <c r="W34">
        <v>70.338004009459041</v>
      </c>
      <c r="X34">
        <f t="shared" si="5"/>
        <v>34.860709450200673</v>
      </c>
    </row>
    <row r="35" spans="3:27" x14ac:dyDescent="0.25">
      <c r="C35">
        <v>346.15</v>
      </c>
      <c r="D35">
        <v>1.764</v>
      </c>
      <c r="E35">
        <f t="shared" si="0"/>
        <v>5.8886774725965063</v>
      </c>
      <c r="F35">
        <f t="shared" si="1"/>
        <v>2.8890976508930009</v>
      </c>
      <c r="N35">
        <v>346.15</v>
      </c>
      <c r="O35">
        <f t="shared" si="2"/>
        <v>17.64</v>
      </c>
      <c r="P35">
        <f t="shared" si="3"/>
        <v>58.886774725965061</v>
      </c>
      <c r="Q35">
        <f t="shared" si="4"/>
        <v>28.890976508930009</v>
      </c>
      <c r="U35">
        <v>356.15</v>
      </c>
      <c r="V35">
        <v>21.69</v>
      </c>
      <c r="W35">
        <v>73.324843986015381</v>
      </c>
      <c r="X35">
        <f t="shared" si="5"/>
        <v>36.360897187434077</v>
      </c>
    </row>
    <row r="36" spans="3:27" x14ac:dyDescent="0.25">
      <c r="C36">
        <v>348.15</v>
      </c>
      <c r="D36">
        <v>1.833</v>
      </c>
      <c r="E36">
        <f t="shared" si="0"/>
        <v>6.1676286299845833</v>
      </c>
      <c r="F36">
        <f t="shared" si="1"/>
        <v>3.046390515235835</v>
      </c>
      <c r="N36">
        <v>348.15</v>
      </c>
      <c r="O36">
        <f t="shared" si="2"/>
        <v>18.329999999999998</v>
      </c>
      <c r="P36">
        <f t="shared" si="3"/>
        <v>61.676286299845835</v>
      </c>
      <c r="Q36">
        <f t="shared" si="4"/>
        <v>30.463905152358361</v>
      </c>
      <c r="U36">
        <v>358.15</v>
      </c>
      <c r="V36">
        <v>22.62</v>
      </c>
      <c r="W36">
        <v>76.362428872446728</v>
      </c>
      <c r="X36">
        <f t="shared" si="5"/>
        <v>37.822901965761595</v>
      </c>
    </row>
    <row r="37" spans="3:27" x14ac:dyDescent="0.25">
      <c r="C37">
        <v>350.15</v>
      </c>
      <c r="D37">
        <v>1.9059999999999999</v>
      </c>
      <c r="E37">
        <f t="shared" si="0"/>
        <v>6.4514288689819681</v>
      </c>
      <c r="F37">
        <f t="shared" si="1"/>
        <v>3.2025345117437496</v>
      </c>
      <c r="N37">
        <v>350.15</v>
      </c>
      <c r="O37">
        <f t="shared" si="2"/>
        <v>19.059999999999999</v>
      </c>
      <c r="P37">
        <f t="shared" si="3"/>
        <v>64.514288689819679</v>
      </c>
      <c r="Q37">
        <f t="shared" si="4"/>
        <v>32.025345117437482</v>
      </c>
    </row>
    <row r="38" spans="3:27" x14ac:dyDescent="0.25">
      <c r="C38">
        <v>352.15</v>
      </c>
      <c r="D38">
        <v>1.9770000000000001</v>
      </c>
      <c r="E38">
        <f t="shared" si="0"/>
        <v>6.7401340618621264</v>
      </c>
      <c r="F38">
        <f t="shared" si="1"/>
        <v>3.3660229726948834</v>
      </c>
      <c r="N38">
        <v>352.15</v>
      </c>
      <c r="O38">
        <f t="shared" si="2"/>
        <v>19.77</v>
      </c>
      <c r="P38">
        <f t="shared" si="3"/>
        <v>67.401340618621262</v>
      </c>
      <c r="Q38">
        <f t="shared" si="4"/>
        <v>33.660229726948842</v>
      </c>
    </row>
    <row r="39" spans="3:27" x14ac:dyDescent="0.25">
      <c r="C39">
        <v>354.15</v>
      </c>
      <c r="D39">
        <v>2.0819999999999999</v>
      </c>
      <c r="E39">
        <f t="shared" si="0"/>
        <v>7.0338004009459034</v>
      </c>
      <c r="F39">
        <f t="shared" si="1"/>
        <v>3.4860709450200673</v>
      </c>
      <c r="N39">
        <v>354.15</v>
      </c>
      <c r="O39">
        <f t="shared" si="2"/>
        <v>20.82</v>
      </c>
      <c r="P39">
        <f t="shared" si="3"/>
        <v>70.338004009459041</v>
      </c>
      <c r="Q39">
        <f t="shared" si="4"/>
        <v>34.860709450200673</v>
      </c>
      <c r="W39" t="s">
        <v>52</v>
      </c>
      <c r="X39">
        <f>SUM(X6:X36)</f>
        <v>577.5799342275277</v>
      </c>
    </row>
    <row r="40" spans="3:27" x14ac:dyDescent="0.25">
      <c r="C40">
        <v>356.15</v>
      </c>
      <c r="D40">
        <v>2.169</v>
      </c>
      <c r="E40">
        <f t="shared" si="0"/>
        <v>7.3324843986015376</v>
      </c>
      <c r="F40">
        <f t="shared" si="1"/>
        <v>3.6360897187434076</v>
      </c>
      <c r="N40">
        <v>356.15</v>
      </c>
      <c r="O40">
        <f t="shared" si="2"/>
        <v>21.69</v>
      </c>
      <c r="P40">
        <f t="shared" si="3"/>
        <v>73.324843986015381</v>
      </c>
      <c r="Q40">
        <f t="shared" si="4"/>
        <v>36.360897187434077</v>
      </c>
    </row>
    <row r="41" spans="3:27" x14ac:dyDescent="0.25">
      <c r="C41">
        <v>358.15</v>
      </c>
      <c r="D41">
        <v>2.262</v>
      </c>
      <c r="E41">
        <f t="shared" si="0"/>
        <v>7.6362428872446726</v>
      </c>
      <c r="F41">
        <f t="shared" si="1"/>
        <v>3.7822901965761604</v>
      </c>
      <c r="N41">
        <v>358.15</v>
      </c>
      <c r="O41">
        <f t="shared" si="2"/>
        <v>22.62</v>
      </c>
      <c r="P41">
        <f t="shared" si="3"/>
        <v>76.362428872446728</v>
      </c>
      <c r="Q41">
        <f t="shared" si="4"/>
        <v>37.822901965761595</v>
      </c>
      <c r="W41" t="s">
        <v>53</v>
      </c>
      <c r="X41" s="4" t="s">
        <v>54</v>
      </c>
      <c r="Y41">
        <v>28</v>
      </c>
    </row>
    <row r="43" spans="3:27" x14ac:dyDescent="0.25">
      <c r="W43" t="s">
        <v>55</v>
      </c>
      <c r="X43">
        <v>50.99</v>
      </c>
      <c r="Z43" t="s">
        <v>56</v>
      </c>
      <c r="AA43" t="s">
        <v>57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Leslie Würfel</vt:lpstr>
      <vt:lpstr>Black Body</vt:lpstr>
      <vt:lpstr>Chi-Quadrat Versuch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2023-03-28T06:37:33Z</dcterms:created>
  <dcterms:modified xsi:type="dcterms:W3CDTF">2023-04-15T17:12:56Z</dcterms:modified>
</cp:coreProperties>
</file>