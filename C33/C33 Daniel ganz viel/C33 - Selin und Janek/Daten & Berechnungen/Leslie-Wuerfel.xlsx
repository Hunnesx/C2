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xtcloud\Physik\Experimentalphysik\Physikalisches Praktikum\C\C33\C33 - Selin und Janek\"/>
    </mc:Choice>
  </mc:AlternateContent>
  <xr:revisionPtr revIDLastSave="0" documentId="13_ncr:1_{ADD69B5A-E10B-4D33-A415-72E5232E7826}" xr6:coauthVersionLast="47" xr6:coauthVersionMax="47" xr10:uidLastSave="{00000000-0000-0000-0000-000000000000}"/>
  <bookViews>
    <workbookView xWindow="34185" yWindow="165" windowWidth="17415" windowHeight="21705" xr2:uid="{E88C8515-8D67-4701-A54B-83DA282CEF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" i="1" l="1"/>
  <c r="O3" i="1"/>
  <c r="O35" i="1"/>
  <c r="O43" i="1"/>
  <c r="O51" i="1"/>
  <c r="O59" i="1"/>
  <c r="O67" i="1"/>
  <c r="O74" i="1"/>
  <c r="O75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I21" i="1"/>
  <c r="I20" i="1"/>
  <c r="I19" i="1"/>
  <c r="I18" i="1"/>
  <c r="I17" i="1"/>
  <c r="I15" i="1"/>
  <c r="I16" i="1"/>
  <c r="I14" i="1"/>
  <c r="V3" i="1"/>
  <c r="V4" i="1"/>
  <c r="V5" i="1"/>
  <c r="V6" i="1"/>
  <c r="V7" i="1"/>
  <c r="V8" i="1"/>
  <c r="V9" i="1"/>
  <c r="V10" i="1"/>
  <c r="V11" i="1"/>
  <c r="V12" i="1"/>
  <c r="V2" i="1"/>
  <c r="U3" i="1"/>
  <c r="U4" i="1"/>
  <c r="U5" i="1"/>
  <c r="U6" i="1"/>
  <c r="U7" i="1"/>
  <c r="U8" i="1"/>
  <c r="U9" i="1"/>
  <c r="U10" i="1"/>
  <c r="U11" i="1"/>
  <c r="U12" i="1"/>
  <c r="U2" i="1"/>
  <c r="S3" i="1"/>
  <c r="S4" i="1"/>
  <c r="S5" i="1"/>
  <c r="S6" i="1"/>
  <c r="S7" i="1"/>
  <c r="S8" i="1"/>
  <c r="S9" i="1"/>
  <c r="S10" i="1"/>
  <c r="S11" i="1"/>
  <c r="S12" i="1"/>
  <c r="S2" i="1"/>
  <c r="M2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38" i="1"/>
  <c r="H45" i="1"/>
  <c r="A40" i="1" s="1"/>
  <c r="O73" i="1" l="1"/>
  <c r="O65" i="1"/>
  <c r="O57" i="1"/>
  <c r="O49" i="1"/>
  <c r="O41" i="1"/>
  <c r="O33" i="1"/>
  <c r="O25" i="1"/>
  <c r="O17" i="1"/>
  <c r="O9" i="1"/>
  <c r="O72" i="1"/>
  <c r="O64" i="1"/>
  <c r="O56" i="1"/>
  <c r="O48" i="1"/>
  <c r="O40" i="1"/>
  <c r="O32" i="1"/>
  <c r="O24" i="1"/>
  <c r="O16" i="1"/>
  <c r="O8" i="1"/>
  <c r="O63" i="1"/>
  <c r="O66" i="1"/>
  <c r="O58" i="1"/>
  <c r="O42" i="1"/>
  <c r="O34" i="1"/>
  <c r="O26" i="1"/>
  <c r="O10" i="1"/>
  <c r="O2" i="1"/>
  <c r="O71" i="1"/>
  <c r="O55" i="1"/>
  <c r="O47" i="1"/>
  <c r="O39" i="1"/>
  <c r="O31" i="1"/>
  <c r="O23" i="1"/>
  <c r="O15" i="1"/>
  <c r="O7" i="1"/>
  <c r="O78" i="1"/>
  <c r="O70" i="1"/>
  <c r="O62" i="1"/>
  <c r="O54" i="1"/>
  <c r="O46" i="1"/>
  <c r="O38" i="1"/>
  <c r="O30" i="1"/>
  <c r="O22" i="1"/>
  <c r="O14" i="1"/>
  <c r="O6" i="1"/>
  <c r="O50" i="1"/>
  <c r="O18" i="1"/>
  <c r="O77" i="1"/>
  <c r="O69" i="1"/>
  <c r="O61" i="1"/>
  <c r="O53" i="1"/>
  <c r="O45" i="1"/>
  <c r="O37" i="1"/>
  <c r="O29" i="1"/>
  <c r="O21" i="1"/>
  <c r="O13" i="1"/>
  <c r="O5" i="1"/>
  <c r="O76" i="1"/>
  <c r="O68" i="1"/>
  <c r="O60" i="1"/>
  <c r="O52" i="1"/>
  <c r="O44" i="1"/>
  <c r="O36" i="1"/>
  <c r="O28" i="1"/>
  <c r="O20" i="1"/>
  <c r="O12" i="1"/>
  <c r="O4" i="1"/>
  <c r="O27" i="1"/>
  <c r="O19" i="1"/>
  <c r="O11" i="1"/>
  <c r="A54" i="1"/>
  <c r="A38" i="1"/>
  <c r="A53" i="1"/>
  <c r="A68" i="1"/>
  <c r="A52" i="1"/>
  <c r="A58" i="1"/>
  <c r="I40" i="1"/>
  <c r="A66" i="1"/>
  <c r="A65" i="1"/>
  <c r="A49" i="1"/>
  <c r="I41" i="1"/>
  <c r="A67" i="1"/>
  <c r="A50" i="1"/>
  <c r="A64" i="1"/>
  <c r="A48" i="1"/>
  <c r="A44" i="1"/>
  <c r="A55" i="1"/>
  <c r="A51" i="1"/>
  <c r="A63" i="1"/>
  <c r="A47" i="1"/>
  <c r="A43" i="1"/>
  <c r="A39" i="1"/>
  <c r="A62" i="1"/>
  <c r="A46" i="1"/>
  <c r="A59" i="1"/>
  <c r="A61" i="1"/>
  <c r="A45" i="1"/>
  <c r="A60" i="1"/>
  <c r="A42" i="1"/>
  <c r="I43" i="1"/>
  <c r="A57" i="1"/>
  <c r="A41" i="1"/>
  <c r="I42" i="1"/>
  <c r="A56" i="1"/>
  <c r="I45" i="1" l="1"/>
</calcChain>
</file>

<file path=xl/sharedStrings.xml><?xml version="1.0" encoding="utf-8"?>
<sst xmlns="http://schemas.openxmlformats.org/spreadsheetml/2006/main" count="41" uniqueCount="28">
  <si>
    <t>poliert</t>
  </si>
  <si>
    <t>weiß</t>
  </si>
  <si>
    <t>schwarz</t>
  </si>
  <si>
    <t>matt damon</t>
  </si>
  <si>
    <t>T</t>
  </si>
  <si>
    <t>ohne</t>
  </si>
  <si>
    <t>vernickelt</t>
  </si>
  <si>
    <t>fensterglas</t>
  </si>
  <si>
    <t>NaCl</t>
  </si>
  <si>
    <t>Infrarotglas</t>
  </si>
  <si>
    <t>silizium spiegel vorne</t>
  </si>
  <si>
    <t>silizium spiegel hinten</t>
  </si>
  <si>
    <t>U (mV)</t>
  </si>
  <si>
    <t>PHI</t>
  </si>
  <si>
    <t>Nst-t0</t>
  </si>
  <si>
    <t>matt</t>
  </si>
  <si>
    <t>T0</t>
  </si>
  <si>
    <t>T-T0</t>
  </si>
  <si>
    <t>T in K</t>
  </si>
  <si>
    <t>cos(phi)</t>
  </si>
  <si>
    <t>U normiert</t>
  </si>
  <si>
    <t>U erwartet</t>
  </si>
  <si>
    <t>Nullpunkt korrigiert:</t>
  </si>
  <si>
    <t>venickelt</t>
  </si>
  <si>
    <t>Infrarot</t>
  </si>
  <si>
    <t>silizium mittel</t>
  </si>
  <si>
    <t>U*</t>
  </si>
  <si>
    <t>schwarzer ofen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</si>
</sst>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D64FB-A5E0-4E9B-9C5D-4629A0C681A7}">
  <dimension ref="A1:V78"/>
  <sheetViews>
    <sheetView tabSelected="1" topLeftCell="A10" workbookViewId="0">
      <selection activeCell="H54" sqref="H54"/>
    </sheetView>
  </sheetViews>
  <sheetFormatPr baseColWidth="10" defaultColWidth="9.140625" defaultRowHeight="15" x14ac:dyDescent="0.25"/>
  <cols>
    <col min="8" max="8" width="18.7109375" bestFit="1" customWidth="1"/>
  </cols>
  <sheetData>
    <row r="1" spans="1:22" x14ac:dyDescent="0.25">
      <c r="A1" t="s">
        <v>4</v>
      </c>
      <c r="B1" t="s">
        <v>0</v>
      </c>
      <c r="C1" t="s">
        <v>1</v>
      </c>
      <c r="D1" t="s">
        <v>3</v>
      </c>
      <c r="E1" t="s">
        <v>2</v>
      </c>
      <c r="L1" t="s">
        <v>4</v>
      </c>
      <c r="M1" t="s">
        <v>18</v>
      </c>
      <c r="N1" t="s">
        <v>12</v>
      </c>
      <c r="O1" t="s">
        <v>26</v>
      </c>
      <c r="R1" t="s">
        <v>13</v>
      </c>
      <c r="S1" t="s">
        <v>19</v>
      </c>
      <c r="T1" t="s">
        <v>12</v>
      </c>
      <c r="U1" t="s">
        <v>20</v>
      </c>
      <c r="V1" t="s">
        <v>21</v>
      </c>
    </row>
    <row r="2" spans="1:22" x14ac:dyDescent="0.25">
      <c r="A2">
        <v>16</v>
      </c>
      <c r="B2">
        <v>-1E-3</v>
      </c>
      <c r="C2">
        <v>-8.1000000000000003E-2</v>
      </c>
      <c r="D2">
        <v>-4.5999999999999999E-2</v>
      </c>
      <c r="E2">
        <v>-8.3000000000000004E-2</v>
      </c>
      <c r="H2" t="s">
        <v>4</v>
      </c>
      <c r="I2">
        <v>75</v>
      </c>
      <c r="L2">
        <v>20</v>
      </c>
      <c r="M2">
        <f>L2+273.15</f>
        <v>293.14999999999998</v>
      </c>
      <c r="N2">
        <v>-1.4999999999999999E-2</v>
      </c>
      <c r="O2">
        <f>N2/(1-($P$6/M2)^4)</f>
        <v>5.3807144679692678E-2</v>
      </c>
      <c r="R2">
        <v>0</v>
      </c>
      <c r="S2">
        <f>COS(RADIANS(R2))</f>
        <v>1</v>
      </c>
      <c r="T2">
        <v>1.073</v>
      </c>
      <c r="U2">
        <f>T2/1.073</f>
        <v>1</v>
      </c>
      <c r="V2">
        <f>COS(RADIANS(R2))</f>
        <v>1</v>
      </c>
    </row>
    <row r="3" spans="1:22" x14ac:dyDescent="0.25">
      <c r="A3">
        <v>18</v>
      </c>
      <c r="B3">
        <v>5.0000000000000001E-3</v>
      </c>
      <c r="C3">
        <v>-2.8000000000000001E-2</v>
      </c>
      <c r="D3">
        <v>-1.2999999999999999E-2</v>
      </c>
      <c r="E3">
        <v>-2.8000000000000001E-2</v>
      </c>
      <c r="L3">
        <v>25</v>
      </c>
      <c r="M3">
        <f t="shared" ref="M3:M66" si="0">L3+273.15</f>
        <v>298.14999999999998</v>
      </c>
      <c r="N3">
        <v>-1.0999999999999999E-2</v>
      </c>
      <c r="O3">
        <f t="shared" ref="O3:O66" si="1">N3/(1-($P$6/M3)^4)</f>
        <v>5.6373643874427851E-2</v>
      </c>
      <c r="R3">
        <v>5</v>
      </c>
      <c r="S3">
        <f t="shared" ref="S3:S12" si="2">COS(RADIANS(R3))</f>
        <v>0.99619469809174555</v>
      </c>
      <c r="T3">
        <v>1.054</v>
      </c>
      <c r="U3">
        <f t="shared" ref="U3:U12" si="3">T3/1.073</f>
        <v>0.98229263746505135</v>
      </c>
      <c r="V3">
        <f t="shared" ref="V3:V12" si="4">COS(RADIANS(R3))</f>
        <v>0.99619469809174555</v>
      </c>
    </row>
    <row r="4" spans="1:22" x14ac:dyDescent="0.25">
      <c r="A4">
        <v>20</v>
      </c>
      <c r="B4">
        <v>1.4999999999999999E-2</v>
      </c>
      <c r="C4">
        <v>3.1E-2</v>
      </c>
      <c r="D4">
        <v>2.4E-2</v>
      </c>
      <c r="E4">
        <v>3.1E-2</v>
      </c>
      <c r="H4" t="s">
        <v>5</v>
      </c>
      <c r="I4">
        <v>2.0819999999999999</v>
      </c>
      <c r="L4">
        <v>30</v>
      </c>
      <c r="M4">
        <f t="shared" si="0"/>
        <v>303.14999999999998</v>
      </c>
      <c r="N4">
        <v>-8.0000000000000002E-3</v>
      </c>
      <c r="O4">
        <f t="shared" si="1"/>
        <v>6.7676874632461248E-2</v>
      </c>
      <c r="R4">
        <v>10</v>
      </c>
      <c r="S4">
        <f t="shared" si="2"/>
        <v>0.98480775301220802</v>
      </c>
      <c r="T4">
        <v>1.0269999999999999</v>
      </c>
      <c r="U4">
        <f t="shared" si="3"/>
        <v>0.95712954333643985</v>
      </c>
      <c r="V4">
        <f t="shared" si="4"/>
        <v>0.98480775301220802</v>
      </c>
    </row>
    <row r="5" spans="1:22" x14ac:dyDescent="0.25">
      <c r="A5">
        <v>22</v>
      </c>
      <c r="B5">
        <v>2.5999999999999999E-2</v>
      </c>
      <c r="C5">
        <v>9.0999999999999998E-2</v>
      </c>
      <c r="D5">
        <v>6.0999999999999999E-2</v>
      </c>
      <c r="E5">
        <v>8.8999999999999996E-2</v>
      </c>
      <c r="H5" t="s">
        <v>6</v>
      </c>
      <c r="I5">
        <v>-0.01</v>
      </c>
      <c r="L5">
        <v>35</v>
      </c>
      <c r="M5">
        <f t="shared" si="0"/>
        <v>308.14999999999998</v>
      </c>
      <c r="N5">
        <v>-3.0000000000000001E-3</v>
      </c>
      <c r="O5">
        <f t="shared" si="1"/>
        <v>6.3317150506335101E-2</v>
      </c>
      <c r="P5" t="s">
        <v>16</v>
      </c>
      <c r="R5">
        <v>15</v>
      </c>
      <c r="S5">
        <f t="shared" si="2"/>
        <v>0.96592582628906831</v>
      </c>
      <c r="T5">
        <v>1</v>
      </c>
      <c r="U5">
        <f t="shared" si="3"/>
        <v>0.93196644920782856</v>
      </c>
      <c r="V5">
        <f t="shared" si="4"/>
        <v>0.96592582628906831</v>
      </c>
    </row>
    <row r="6" spans="1:22" x14ac:dyDescent="0.25">
      <c r="A6">
        <v>24</v>
      </c>
      <c r="B6">
        <v>3.5000000000000003E-2</v>
      </c>
      <c r="C6">
        <v>0.14899999999999999</v>
      </c>
      <c r="D6">
        <v>9.9000000000000005E-2</v>
      </c>
      <c r="E6">
        <v>0.14799999999999999</v>
      </c>
      <c r="H6" t="s">
        <v>7</v>
      </c>
      <c r="I6">
        <v>3.3000000000000002E-2</v>
      </c>
      <c r="L6">
        <v>40</v>
      </c>
      <c r="M6">
        <f t="shared" si="0"/>
        <v>313.14999999999998</v>
      </c>
      <c r="N6">
        <v>1E-3</v>
      </c>
      <c r="O6">
        <f t="shared" si="1"/>
        <v>5.5780011206380195E-2</v>
      </c>
      <c r="P6" s="1">
        <f>38.58696+273.15</f>
        <v>311.73695999999995</v>
      </c>
      <c r="R6">
        <v>20</v>
      </c>
      <c r="S6">
        <f t="shared" si="2"/>
        <v>0.93969262078590843</v>
      </c>
      <c r="T6">
        <v>0.97299999999999998</v>
      </c>
      <c r="U6">
        <f t="shared" si="3"/>
        <v>0.90680335507921717</v>
      </c>
      <c r="V6">
        <f t="shared" si="4"/>
        <v>0.93969262078590843</v>
      </c>
    </row>
    <row r="7" spans="1:22" x14ac:dyDescent="0.25">
      <c r="A7">
        <v>26</v>
      </c>
      <c r="B7">
        <v>4.3999999999999997E-2</v>
      </c>
      <c r="C7">
        <v>0.20899999999999999</v>
      </c>
      <c r="D7">
        <v>0.13700000000000001</v>
      </c>
      <c r="E7">
        <v>0.21</v>
      </c>
      <c r="H7" t="s">
        <v>10</v>
      </c>
      <c r="I7">
        <v>0.96099999999999997</v>
      </c>
      <c r="L7">
        <v>45</v>
      </c>
      <c r="M7">
        <f t="shared" si="0"/>
        <v>318.14999999999998</v>
      </c>
      <c r="N7">
        <v>6.0000000000000001E-3</v>
      </c>
      <c r="O7">
        <f t="shared" si="1"/>
        <v>7.6702962665170488E-2</v>
      </c>
      <c r="R7">
        <v>25</v>
      </c>
      <c r="S7">
        <f t="shared" si="2"/>
        <v>0.90630778703664994</v>
      </c>
      <c r="T7">
        <v>0.92600000000000005</v>
      </c>
      <c r="U7">
        <f t="shared" si="3"/>
        <v>0.86300093196644934</v>
      </c>
      <c r="V7">
        <f t="shared" si="4"/>
        <v>0.90630778703664994</v>
      </c>
    </row>
    <row r="8" spans="1:22" x14ac:dyDescent="0.25">
      <c r="A8">
        <v>28</v>
      </c>
      <c r="B8">
        <v>5.5E-2</v>
      </c>
      <c r="C8">
        <v>0.27</v>
      </c>
      <c r="D8">
        <v>0.17699999999999999</v>
      </c>
      <c r="E8">
        <v>0.27200000000000002</v>
      </c>
      <c r="H8" t="s">
        <v>8</v>
      </c>
      <c r="I8">
        <v>1.635</v>
      </c>
      <c r="L8">
        <v>50</v>
      </c>
      <c r="M8">
        <f t="shared" si="0"/>
        <v>323.14999999999998</v>
      </c>
      <c r="N8">
        <v>1.4E-2</v>
      </c>
      <c r="O8">
        <f t="shared" si="1"/>
        <v>0.10450661718399898</v>
      </c>
      <c r="R8">
        <v>30</v>
      </c>
      <c r="S8">
        <f t="shared" si="2"/>
        <v>0.86602540378443871</v>
      </c>
      <c r="T8">
        <v>0.85099999999999998</v>
      </c>
      <c r="U8">
        <f t="shared" si="3"/>
        <v>0.7931034482758621</v>
      </c>
      <c r="V8">
        <f t="shared" si="4"/>
        <v>0.86602540378443871</v>
      </c>
    </row>
    <row r="9" spans="1:22" x14ac:dyDescent="0.25">
      <c r="A9">
        <v>30</v>
      </c>
      <c r="B9">
        <v>6.5000000000000002E-2</v>
      </c>
      <c r="C9">
        <v>0.33300000000000002</v>
      </c>
      <c r="D9">
        <v>0.216</v>
      </c>
      <c r="E9">
        <v>0.33500000000000002</v>
      </c>
      <c r="H9" t="s">
        <v>9</v>
      </c>
      <c r="I9">
        <v>1.9E-2</v>
      </c>
      <c r="L9">
        <v>55</v>
      </c>
      <c r="M9">
        <f t="shared" si="0"/>
        <v>328.15</v>
      </c>
      <c r="N9">
        <v>2.1000000000000001E-2</v>
      </c>
      <c r="O9">
        <f t="shared" si="1"/>
        <v>0.11317603660003631</v>
      </c>
      <c r="R9">
        <v>35</v>
      </c>
      <c r="S9">
        <f t="shared" si="2"/>
        <v>0.8191520442889918</v>
      </c>
      <c r="T9">
        <v>0.76500000000000001</v>
      </c>
      <c r="U9">
        <f t="shared" si="3"/>
        <v>0.71295433364398886</v>
      </c>
      <c r="V9">
        <f t="shared" si="4"/>
        <v>0.8191520442889918</v>
      </c>
    </row>
    <row r="10" spans="1:22" x14ac:dyDescent="0.25">
      <c r="A10">
        <v>32</v>
      </c>
      <c r="B10">
        <v>7.3999999999999996E-2</v>
      </c>
      <c r="C10">
        <v>0.39600000000000002</v>
      </c>
      <c r="D10">
        <v>0.255</v>
      </c>
      <c r="E10">
        <v>0.39900000000000002</v>
      </c>
      <c r="H10" t="s">
        <v>11</v>
      </c>
      <c r="I10">
        <v>0.96799999999999997</v>
      </c>
      <c r="L10">
        <v>60</v>
      </c>
      <c r="M10">
        <f t="shared" si="0"/>
        <v>333.15</v>
      </c>
      <c r="N10">
        <v>2.5999999999999999E-2</v>
      </c>
      <c r="O10">
        <f t="shared" si="1"/>
        <v>0.11141789314084816</v>
      </c>
      <c r="R10">
        <v>40</v>
      </c>
      <c r="S10">
        <f t="shared" si="2"/>
        <v>0.76604444311897801</v>
      </c>
      <c r="T10">
        <v>0.69</v>
      </c>
      <c r="U10">
        <f t="shared" si="3"/>
        <v>0.64305684995340162</v>
      </c>
      <c r="V10">
        <f t="shared" si="4"/>
        <v>0.76604444311897801</v>
      </c>
    </row>
    <row r="11" spans="1:22" x14ac:dyDescent="0.25">
      <c r="A11">
        <v>34</v>
      </c>
      <c r="B11">
        <v>8.1000000000000003E-2</v>
      </c>
      <c r="C11">
        <v>0.46100000000000002</v>
      </c>
      <c r="D11">
        <v>0.29599999999999999</v>
      </c>
      <c r="E11">
        <v>0.46300000000000002</v>
      </c>
      <c r="L11">
        <v>65</v>
      </c>
      <c r="M11">
        <f t="shared" si="0"/>
        <v>338.15</v>
      </c>
      <c r="N11">
        <v>3.4000000000000002E-2</v>
      </c>
      <c r="O11">
        <f t="shared" si="1"/>
        <v>0.12243281642906935</v>
      </c>
      <c r="R11">
        <v>45</v>
      </c>
      <c r="S11">
        <f t="shared" si="2"/>
        <v>0.70710678118654757</v>
      </c>
      <c r="T11">
        <v>0.64100000000000001</v>
      </c>
      <c r="U11">
        <f t="shared" si="3"/>
        <v>0.5973904939422181</v>
      </c>
      <c r="V11">
        <f t="shared" si="4"/>
        <v>0.70710678118654757</v>
      </c>
    </row>
    <row r="12" spans="1:22" x14ac:dyDescent="0.25">
      <c r="A12">
        <v>36</v>
      </c>
      <c r="B12">
        <v>9.0999999999999998E-2</v>
      </c>
      <c r="C12">
        <v>0.52600000000000002</v>
      </c>
      <c r="D12">
        <v>0.33800000000000002</v>
      </c>
      <c r="E12">
        <v>0.53</v>
      </c>
      <c r="L12">
        <v>70</v>
      </c>
      <c r="M12">
        <f t="shared" si="0"/>
        <v>343.15</v>
      </c>
      <c r="N12">
        <v>0.04</v>
      </c>
      <c r="O12">
        <f t="shared" si="1"/>
        <v>0.12543505009548425</v>
      </c>
      <c r="R12">
        <v>50</v>
      </c>
      <c r="S12">
        <f t="shared" si="2"/>
        <v>0.64278760968653936</v>
      </c>
      <c r="T12">
        <v>0.56999999999999995</v>
      </c>
      <c r="U12">
        <f t="shared" si="3"/>
        <v>0.53122087604846224</v>
      </c>
      <c r="V12">
        <f t="shared" si="4"/>
        <v>0.64278760968653936</v>
      </c>
    </row>
    <row r="13" spans="1:22" x14ac:dyDescent="0.25">
      <c r="A13">
        <v>38</v>
      </c>
      <c r="B13">
        <v>0.10100000000000001</v>
      </c>
      <c r="C13">
        <v>0.59599999999999997</v>
      </c>
      <c r="D13">
        <v>0.38</v>
      </c>
      <c r="E13">
        <v>0.60199999999999998</v>
      </c>
      <c r="H13" t="s">
        <v>22</v>
      </c>
      <c r="L13">
        <v>75</v>
      </c>
      <c r="M13">
        <f t="shared" si="0"/>
        <v>348.15</v>
      </c>
      <c r="N13">
        <v>4.7E-2</v>
      </c>
      <c r="O13">
        <f t="shared" si="1"/>
        <v>0.13158533635303693</v>
      </c>
    </row>
    <row r="14" spans="1:22" x14ac:dyDescent="0.25">
      <c r="A14">
        <v>40</v>
      </c>
      <c r="B14">
        <v>0.111</v>
      </c>
      <c r="C14">
        <v>0.66</v>
      </c>
      <c r="D14">
        <v>0.42199999999999999</v>
      </c>
      <c r="E14">
        <v>0.66900000000000004</v>
      </c>
      <c r="H14" t="s">
        <v>5</v>
      </c>
      <c r="I14">
        <f>I4+0.01</f>
        <v>2.0919999999999996</v>
      </c>
      <c r="L14">
        <v>80</v>
      </c>
      <c r="M14">
        <f t="shared" si="0"/>
        <v>353.15</v>
      </c>
      <c r="N14">
        <v>5.3999999999999999E-2</v>
      </c>
      <c r="O14">
        <f t="shared" si="1"/>
        <v>0.13746699615642397</v>
      </c>
    </row>
    <row r="15" spans="1:22" x14ac:dyDescent="0.25">
      <c r="A15">
        <v>42</v>
      </c>
      <c r="B15">
        <v>0.122</v>
      </c>
      <c r="C15">
        <v>0.73399999999999999</v>
      </c>
      <c r="D15">
        <v>0.46800000000000003</v>
      </c>
      <c r="E15">
        <v>0.74099999999999999</v>
      </c>
      <c r="H15" t="s">
        <v>23</v>
      </c>
      <c r="I15">
        <f t="shared" ref="I15:I16" si="5">I5+0.01</f>
        <v>0</v>
      </c>
      <c r="L15">
        <v>85</v>
      </c>
      <c r="M15">
        <f t="shared" si="0"/>
        <v>358.15</v>
      </c>
      <c r="N15">
        <v>6.0999999999999999E-2</v>
      </c>
      <c r="O15">
        <f t="shared" si="1"/>
        <v>0.14318425646768976</v>
      </c>
    </row>
    <row r="16" spans="1:22" x14ac:dyDescent="0.25">
      <c r="A16">
        <v>44</v>
      </c>
      <c r="B16">
        <v>0.13300000000000001</v>
      </c>
      <c r="C16">
        <v>0.80700000000000005</v>
      </c>
      <c r="D16">
        <v>0.51300000000000001</v>
      </c>
      <c r="E16">
        <v>0.81200000000000006</v>
      </c>
      <c r="H16" t="s">
        <v>7</v>
      </c>
      <c r="I16">
        <f t="shared" si="5"/>
        <v>4.3000000000000003E-2</v>
      </c>
      <c r="L16">
        <v>90</v>
      </c>
      <c r="M16">
        <f t="shared" si="0"/>
        <v>363.15</v>
      </c>
      <c r="N16">
        <v>6.9000000000000006E-2</v>
      </c>
      <c r="O16">
        <f t="shared" si="1"/>
        <v>0.15098846670638227</v>
      </c>
    </row>
    <row r="17" spans="1:15" x14ac:dyDescent="0.25">
      <c r="A17">
        <v>46</v>
      </c>
      <c r="B17">
        <v>0.14499999999999999</v>
      </c>
      <c r="C17">
        <v>0.877</v>
      </c>
      <c r="D17">
        <v>0.56200000000000006</v>
      </c>
      <c r="E17">
        <v>0.88600000000000001</v>
      </c>
      <c r="H17" t="s">
        <v>8</v>
      </c>
      <c r="I17">
        <f>I8+0.01</f>
        <v>1.645</v>
      </c>
      <c r="L17">
        <v>95</v>
      </c>
      <c r="M17">
        <f t="shared" si="0"/>
        <v>368.15</v>
      </c>
      <c r="N17">
        <v>7.6999999999999999E-2</v>
      </c>
      <c r="O17">
        <f t="shared" si="1"/>
        <v>0.15847127640954312</v>
      </c>
    </row>
    <row r="18" spans="1:15" x14ac:dyDescent="0.25">
      <c r="A18">
        <v>48</v>
      </c>
      <c r="B18">
        <v>0.161</v>
      </c>
      <c r="C18">
        <v>0.95099999999999996</v>
      </c>
      <c r="D18">
        <v>0.60899999999999999</v>
      </c>
      <c r="E18">
        <v>0.96099999999999997</v>
      </c>
      <c r="H18" t="s">
        <v>24</v>
      </c>
      <c r="I18">
        <f>I9+0.01</f>
        <v>2.8999999999999998E-2</v>
      </c>
      <c r="L18">
        <v>100</v>
      </c>
      <c r="M18">
        <f t="shared" si="0"/>
        <v>373.15</v>
      </c>
      <c r="N18">
        <v>8.5000000000000006E-2</v>
      </c>
      <c r="O18">
        <f t="shared" si="1"/>
        <v>0.16572477310109998</v>
      </c>
    </row>
    <row r="19" spans="1:15" x14ac:dyDescent="0.25">
      <c r="A19">
        <v>50</v>
      </c>
      <c r="B19">
        <v>0.17199999999999999</v>
      </c>
      <c r="C19">
        <v>1.03</v>
      </c>
      <c r="D19">
        <v>0.65800000000000003</v>
      </c>
      <c r="E19">
        <v>1.034</v>
      </c>
      <c r="H19" t="s">
        <v>10</v>
      </c>
      <c r="I19">
        <f>I7+0.01</f>
        <v>0.97099999999999997</v>
      </c>
      <c r="L19">
        <v>105</v>
      </c>
      <c r="M19">
        <f t="shared" si="0"/>
        <v>378.15</v>
      </c>
      <c r="N19">
        <v>9.4E-2</v>
      </c>
      <c r="O19">
        <f t="shared" si="1"/>
        <v>0.17467104518559368</v>
      </c>
    </row>
    <row r="20" spans="1:15" x14ac:dyDescent="0.25">
      <c r="A20">
        <v>52</v>
      </c>
      <c r="B20">
        <v>0.182</v>
      </c>
      <c r="C20">
        <v>1.1020000000000001</v>
      </c>
      <c r="D20">
        <v>0.70099999999999996</v>
      </c>
      <c r="E20">
        <v>1.113</v>
      </c>
      <c r="H20" t="s">
        <v>11</v>
      </c>
      <c r="I20">
        <f>I10+0.01</f>
        <v>0.97799999999999998</v>
      </c>
      <c r="L20">
        <v>110</v>
      </c>
      <c r="M20">
        <f t="shared" si="0"/>
        <v>383.15</v>
      </c>
      <c r="N20">
        <v>0.10299999999999999</v>
      </c>
      <c r="O20">
        <f t="shared" si="1"/>
        <v>0.18334107471237338</v>
      </c>
    </row>
    <row r="21" spans="1:15" x14ac:dyDescent="0.25">
      <c r="A21">
        <v>54</v>
      </c>
      <c r="B21">
        <v>0.192</v>
      </c>
      <c r="C21">
        <v>1.173</v>
      </c>
      <c r="D21">
        <v>0.755</v>
      </c>
      <c r="E21">
        <v>1.1910000000000001</v>
      </c>
      <c r="H21" t="s">
        <v>25</v>
      </c>
      <c r="I21">
        <f>(I19+I20)/2</f>
        <v>0.97449999999999992</v>
      </c>
      <c r="L21">
        <v>115</v>
      </c>
      <c r="M21">
        <f t="shared" si="0"/>
        <v>388.15</v>
      </c>
      <c r="N21">
        <v>0.112</v>
      </c>
      <c r="O21">
        <f t="shared" si="1"/>
        <v>0.19180016778498682</v>
      </c>
    </row>
    <row r="22" spans="1:15" x14ac:dyDescent="0.25">
      <c r="A22">
        <v>56</v>
      </c>
      <c r="B22">
        <v>0.20399999999999999</v>
      </c>
      <c r="C22">
        <v>1.2549999999999999</v>
      </c>
      <c r="D22">
        <v>0.80700000000000005</v>
      </c>
      <c r="E22">
        <v>1.268</v>
      </c>
      <c r="L22">
        <v>120</v>
      </c>
      <c r="M22">
        <f t="shared" si="0"/>
        <v>393.15</v>
      </c>
      <c r="N22">
        <v>0.122</v>
      </c>
      <c r="O22">
        <f t="shared" si="1"/>
        <v>0.20175088531838101</v>
      </c>
    </row>
    <row r="23" spans="1:15" x14ac:dyDescent="0.25">
      <c r="A23">
        <v>58</v>
      </c>
      <c r="B23">
        <v>0.217</v>
      </c>
      <c r="C23">
        <v>1.339</v>
      </c>
      <c r="D23">
        <v>0.85899999999999999</v>
      </c>
      <c r="E23">
        <v>1.353</v>
      </c>
      <c r="L23">
        <v>125</v>
      </c>
      <c r="M23">
        <f t="shared" si="0"/>
        <v>398.15</v>
      </c>
      <c r="N23">
        <v>0.13200000000000001</v>
      </c>
      <c r="O23">
        <f t="shared" si="1"/>
        <v>0.21147347564883068</v>
      </c>
    </row>
    <row r="24" spans="1:15" x14ac:dyDescent="0.25">
      <c r="A24">
        <v>60</v>
      </c>
      <c r="B24">
        <v>0.23200000000000001</v>
      </c>
      <c r="C24">
        <v>1.421</v>
      </c>
      <c r="D24">
        <v>0.90800000000000003</v>
      </c>
      <c r="E24">
        <v>1.4370000000000001</v>
      </c>
      <c r="L24">
        <v>130</v>
      </c>
      <c r="M24">
        <f t="shared" si="0"/>
        <v>403.15</v>
      </c>
      <c r="N24">
        <v>0.14199999999999999</v>
      </c>
      <c r="O24">
        <f t="shared" si="1"/>
        <v>0.22101464105499144</v>
      </c>
    </row>
    <row r="25" spans="1:15" x14ac:dyDescent="0.25">
      <c r="A25">
        <v>62</v>
      </c>
      <c r="B25">
        <v>0.24299999999999999</v>
      </c>
      <c r="C25">
        <v>1.502</v>
      </c>
      <c r="D25">
        <v>0.96199999999999997</v>
      </c>
      <c r="E25">
        <v>1.5169999999999999</v>
      </c>
      <c r="L25">
        <v>135</v>
      </c>
      <c r="M25">
        <f t="shared" si="0"/>
        <v>408.15</v>
      </c>
      <c r="N25">
        <v>0.153</v>
      </c>
      <c r="O25">
        <f t="shared" si="1"/>
        <v>0.23192691600417092</v>
      </c>
    </row>
    <row r="26" spans="1:15" x14ac:dyDescent="0.25">
      <c r="A26">
        <v>66</v>
      </c>
      <c r="B26">
        <v>0.26900000000000002</v>
      </c>
      <c r="C26">
        <v>1.6719999999999999</v>
      </c>
      <c r="D26">
        <v>1.0740000000000001</v>
      </c>
      <c r="E26">
        <v>1.6850000000000001</v>
      </c>
      <c r="L26">
        <v>140</v>
      </c>
      <c r="M26">
        <f t="shared" si="0"/>
        <v>413.15</v>
      </c>
      <c r="N26">
        <v>0.16400000000000001</v>
      </c>
      <c r="O26">
        <f t="shared" si="1"/>
        <v>0.24265099786148844</v>
      </c>
    </row>
    <row r="27" spans="1:15" x14ac:dyDescent="0.25">
      <c r="A27">
        <v>70</v>
      </c>
      <c r="B27">
        <v>0.30199999999999999</v>
      </c>
      <c r="C27">
        <v>1.845</v>
      </c>
      <c r="D27">
        <v>1.1910000000000001</v>
      </c>
      <c r="E27">
        <v>1.8759999999999999</v>
      </c>
      <c r="L27">
        <v>145</v>
      </c>
      <c r="M27">
        <f t="shared" si="0"/>
        <v>418.15</v>
      </c>
      <c r="N27">
        <v>0.17599999999999999</v>
      </c>
      <c r="O27">
        <f t="shared" si="1"/>
        <v>0.25466827462871938</v>
      </c>
    </row>
    <row r="28" spans="1:15" x14ac:dyDescent="0.25">
      <c r="A28">
        <v>74</v>
      </c>
      <c r="B28">
        <v>0.33100000000000002</v>
      </c>
      <c r="C28">
        <v>2.0350000000000001</v>
      </c>
      <c r="D28">
        <v>1.306</v>
      </c>
      <c r="E28">
        <v>2.048</v>
      </c>
      <c r="L28">
        <v>150</v>
      </c>
      <c r="M28">
        <f t="shared" si="0"/>
        <v>423.15</v>
      </c>
      <c r="N28">
        <v>0.187</v>
      </c>
      <c r="O28">
        <f t="shared" si="1"/>
        <v>0.26508330303093613</v>
      </c>
    </row>
    <row r="29" spans="1:15" x14ac:dyDescent="0.25">
      <c r="A29">
        <v>78</v>
      </c>
      <c r="B29">
        <v>0.36499999999999999</v>
      </c>
      <c r="C29">
        <v>2.218</v>
      </c>
      <c r="D29">
        <v>1.4319999999999999</v>
      </c>
      <c r="E29">
        <v>2.2330000000000001</v>
      </c>
      <c r="L29">
        <v>155</v>
      </c>
      <c r="M29">
        <f t="shared" si="0"/>
        <v>428.15</v>
      </c>
      <c r="N29">
        <v>0.2</v>
      </c>
      <c r="O29">
        <f t="shared" si="1"/>
        <v>0.27817990660433628</v>
      </c>
    </row>
    <row r="30" spans="1:15" x14ac:dyDescent="0.25">
      <c r="A30">
        <v>82</v>
      </c>
      <c r="B30">
        <v>0.39600000000000002</v>
      </c>
      <c r="C30">
        <v>2.4159999999999999</v>
      </c>
      <c r="D30">
        <v>1.5629999999999999</v>
      </c>
      <c r="E30">
        <v>2.4420000000000002</v>
      </c>
      <c r="L30">
        <v>160</v>
      </c>
      <c r="M30">
        <f t="shared" si="0"/>
        <v>433.15</v>
      </c>
      <c r="N30">
        <v>0.21199999999999999</v>
      </c>
      <c r="O30">
        <f t="shared" si="1"/>
        <v>0.28973115147977863</v>
      </c>
    </row>
    <row r="31" spans="1:15" x14ac:dyDescent="0.25">
      <c r="A31">
        <v>86</v>
      </c>
      <c r="B31">
        <v>0.42699999999999999</v>
      </c>
      <c r="C31">
        <v>2.613</v>
      </c>
      <c r="D31">
        <v>1.6890000000000001</v>
      </c>
      <c r="E31">
        <v>2.645</v>
      </c>
      <c r="L31">
        <v>165</v>
      </c>
      <c r="M31">
        <f t="shared" si="0"/>
        <v>438.15</v>
      </c>
      <c r="N31">
        <v>0.22600000000000001</v>
      </c>
      <c r="O31">
        <f t="shared" si="1"/>
        <v>0.30386507507073079</v>
      </c>
    </row>
    <row r="32" spans="1:15" x14ac:dyDescent="0.25">
      <c r="A32">
        <v>90</v>
      </c>
      <c r="B32">
        <v>0.46500000000000002</v>
      </c>
      <c r="C32">
        <v>2.8170000000000002</v>
      </c>
      <c r="D32">
        <v>1.8240000000000001</v>
      </c>
      <c r="E32">
        <v>2.8519999999999999</v>
      </c>
      <c r="L32">
        <v>170</v>
      </c>
      <c r="M32">
        <f t="shared" si="0"/>
        <v>443.15</v>
      </c>
      <c r="N32">
        <v>0.24</v>
      </c>
      <c r="O32">
        <f t="shared" si="1"/>
        <v>0.31782953166578742</v>
      </c>
    </row>
    <row r="33" spans="1:15" x14ac:dyDescent="0.25">
      <c r="L33">
        <v>175</v>
      </c>
      <c r="M33">
        <f t="shared" si="0"/>
        <v>448.15</v>
      </c>
      <c r="N33">
        <v>0.254</v>
      </c>
      <c r="O33">
        <f t="shared" si="1"/>
        <v>0.33164956163431553</v>
      </c>
    </row>
    <row r="34" spans="1:15" x14ac:dyDescent="0.25">
      <c r="L34">
        <v>180</v>
      </c>
      <c r="M34">
        <f t="shared" si="0"/>
        <v>453.15</v>
      </c>
      <c r="N34">
        <v>0.26900000000000002</v>
      </c>
      <c r="O34">
        <f t="shared" si="1"/>
        <v>0.34663502319885237</v>
      </c>
    </row>
    <row r="35" spans="1:15" x14ac:dyDescent="0.25">
      <c r="L35">
        <v>185</v>
      </c>
      <c r="M35">
        <f t="shared" si="0"/>
        <v>458.15</v>
      </c>
      <c r="N35">
        <v>0.28199999999999997</v>
      </c>
      <c r="O35">
        <f t="shared" si="1"/>
        <v>0.35893821783971674</v>
      </c>
    </row>
    <row r="36" spans="1:15" x14ac:dyDescent="0.25">
      <c r="L36">
        <v>190</v>
      </c>
      <c r="M36">
        <f t="shared" si="0"/>
        <v>463.15</v>
      </c>
      <c r="N36">
        <v>0.29799999999999999</v>
      </c>
      <c r="O36">
        <f t="shared" si="1"/>
        <v>0.37495696580024962</v>
      </c>
    </row>
    <row r="37" spans="1:15" x14ac:dyDescent="0.25">
      <c r="A37" t="s">
        <v>17</v>
      </c>
      <c r="C37" t="s">
        <v>18</v>
      </c>
      <c r="L37">
        <v>195</v>
      </c>
      <c r="M37">
        <f t="shared" si="0"/>
        <v>468.15</v>
      </c>
      <c r="N37">
        <v>0.314</v>
      </c>
      <c r="O37">
        <f t="shared" si="1"/>
        <v>0.39084544454470405</v>
      </c>
    </row>
    <row r="38" spans="1:15" x14ac:dyDescent="0.25">
      <c r="A38">
        <f t="shared" ref="A38:A68" si="6">A2-H$45</f>
        <v>-2.2432599999999994</v>
      </c>
      <c r="C38">
        <f>A2+273.15</f>
        <v>289.14999999999998</v>
      </c>
      <c r="L38">
        <v>200</v>
      </c>
      <c r="M38">
        <f t="shared" si="0"/>
        <v>473.15</v>
      </c>
      <c r="N38">
        <v>0.33</v>
      </c>
      <c r="O38">
        <f t="shared" si="1"/>
        <v>0.40662095529001596</v>
      </c>
    </row>
    <row r="39" spans="1:15" x14ac:dyDescent="0.25">
      <c r="A39">
        <f t="shared" si="6"/>
        <v>-0.24325999999999937</v>
      </c>
      <c r="C39">
        <f t="shared" ref="C39:C68" si="7">A3+273.15</f>
        <v>291.14999999999998</v>
      </c>
      <c r="H39" t="s">
        <v>14</v>
      </c>
      <c r="L39">
        <v>205</v>
      </c>
      <c r="M39">
        <f t="shared" si="0"/>
        <v>478.15</v>
      </c>
      <c r="N39">
        <v>0.34799999999999998</v>
      </c>
      <c r="O39">
        <f t="shared" si="1"/>
        <v>0.42473954950387716</v>
      </c>
    </row>
    <row r="40" spans="1:15" x14ac:dyDescent="0.25">
      <c r="A40">
        <f t="shared" si="6"/>
        <v>1.7567400000000006</v>
      </c>
      <c r="C40">
        <f t="shared" si="7"/>
        <v>293.14999999999998</v>
      </c>
      <c r="G40" t="s">
        <v>0</v>
      </c>
      <c r="H40">
        <v>16.527470000000001</v>
      </c>
      <c r="I40">
        <f>(H40-H$45)^2</f>
        <v>2.9439353240999946</v>
      </c>
      <c r="L40">
        <v>210</v>
      </c>
      <c r="M40">
        <f t="shared" si="0"/>
        <v>483.15</v>
      </c>
      <c r="N40">
        <v>0.36699999999999999</v>
      </c>
      <c r="O40">
        <f t="shared" si="1"/>
        <v>0.44393943080861542</v>
      </c>
    </row>
    <row r="41" spans="1:15" x14ac:dyDescent="0.25">
      <c r="A41">
        <f t="shared" si="6"/>
        <v>3.7567400000000006</v>
      </c>
      <c r="C41">
        <f t="shared" si="7"/>
        <v>295.14999999999998</v>
      </c>
      <c r="G41" t="s">
        <v>1</v>
      </c>
      <c r="H41">
        <v>18.886959999999998</v>
      </c>
      <c r="I41">
        <f>(H41-H$45)^2</f>
        <v>0.41434968999999877</v>
      </c>
      <c r="L41">
        <v>215</v>
      </c>
      <c r="M41">
        <f t="shared" si="0"/>
        <v>488.15</v>
      </c>
      <c r="N41">
        <v>0.38300000000000001</v>
      </c>
      <c r="O41">
        <f t="shared" si="1"/>
        <v>0.45940794316625239</v>
      </c>
    </row>
    <row r="42" spans="1:15" x14ac:dyDescent="0.25">
      <c r="A42">
        <f t="shared" si="6"/>
        <v>5.7567400000000006</v>
      </c>
      <c r="C42">
        <f t="shared" si="7"/>
        <v>297.14999999999998</v>
      </c>
      <c r="G42" t="s">
        <v>15</v>
      </c>
      <c r="H42">
        <v>18.636869999999998</v>
      </c>
      <c r="I42">
        <f>(H42-H$45)^2</f>
        <v>0.15492883209999914</v>
      </c>
      <c r="L42">
        <v>220</v>
      </c>
      <c r="M42">
        <f t="shared" si="0"/>
        <v>493.15</v>
      </c>
      <c r="N42">
        <v>0.40100000000000002</v>
      </c>
      <c r="O42">
        <f t="shared" si="1"/>
        <v>0.47719634562183461</v>
      </c>
    </row>
    <row r="43" spans="1:15" x14ac:dyDescent="0.25">
      <c r="A43">
        <f t="shared" si="6"/>
        <v>7.7567400000000006</v>
      </c>
      <c r="C43">
        <f t="shared" si="7"/>
        <v>299.14999999999998</v>
      </c>
      <c r="G43" t="s">
        <v>2</v>
      </c>
      <c r="H43">
        <v>18.92174</v>
      </c>
      <c r="I43">
        <f>(H43-H$45)^2</f>
        <v>0.46033511040000058</v>
      </c>
      <c r="L43">
        <v>225</v>
      </c>
      <c r="M43">
        <f t="shared" si="0"/>
        <v>498.15</v>
      </c>
      <c r="N43">
        <v>0.42</v>
      </c>
      <c r="O43">
        <f t="shared" si="1"/>
        <v>0.49607872946530268</v>
      </c>
    </row>
    <row r="44" spans="1:15" x14ac:dyDescent="0.25">
      <c r="A44">
        <f t="shared" si="6"/>
        <v>9.7567400000000006</v>
      </c>
      <c r="C44">
        <f t="shared" si="7"/>
        <v>301.14999999999998</v>
      </c>
      <c r="L44">
        <v>230</v>
      </c>
      <c r="M44">
        <f t="shared" si="0"/>
        <v>503.15</v>
      </c>
      <c r="N44">
        <v>0.439</v>
      </c>
      <c r="O44">
        <f t="shared" si="1"/>
        <v>0.51486811075112993</v>
      </c>
    </row>
    <row r="45" spans="1:15" x14ac:dyDescent="0.25">
      <c r="A45">
        <f t="shared" si="6"/>
        <v>11.756740000000001</v>
      </c>
      <c r="C45">
        <f t="shared" si="7"/>
        <v>303.14999999999998</v>
      </c>
      <c r="G45" t="s">
        <v>16</v>
      </c>
      <c r="H45">
        <f>SUM(H40:H43)/4</f>
        <v>18.243259999999999</v>
      </c>
      <c r="I45">
        <f>1/SQRT(4) *SQRT(1/4*SUM(I40:I43))</f>
        <v>0.49834406767563671</v>
      </c>
      <c r="L45">
        <v>235</v>
      </c>
      <c r="M45">
        <f t="shared" si="0"/>
        <v>508.15</v>
      </c>
      <c r="N45">
        <v>0.45800000000000002</v>
      </c>
      <c r="O45">
        <f t="shared" si="1"/>
        <v>0.53357556385743099</v>
      </c>
    </row>
    <row r="46" spans="1:15" x14ac:dyDescent="0.25">
      <c r="A46">
        <f t="shared" si="6"/>
        <v>13.756740000000001</v>
      </c>
      <c r="C46">
        <f t="shared" si="7"/>
        <v>305.14999999999998</v>
      </c>
      <c r="L46">
        <v>240</v>
      </c>
      <c r="M46">
        <f t="shared" si="0"/>
        <v>513.15</v>
      </c>
      <c r="N46">
        <v>0.47899999999999998</v>
      </c>
      <c r="O46">
        <f t="shared" si="1"/>
        <v>0.55452625773718756</v>
      </c>
    </row>
    <row r="47" spans="1:15" x14ac:dyDescent="0.25">
      <c r="A47">
        <f t="shared" si="6"/>
        <v>15.756740000000001</v>
      </c>
      <c r="C47">
        <f t="shared" si="7"/>
        <v>307.14999999999998</v>
      </c>
      <c r="L47">
        <v>245</v>
      </c>
      <c r="M47">
        <f t="shared" si="0"/>
        <v>518.15</v>
      </c>
      <c r="N47">
        <v>0.501</v>
      </c>
      <c r="O47">
        <f t="shared" si="1"/>
        <v>0.57653672481746798</v>
      </c>
    </row>
    <row r="48" spans="1:15" x14ac:dyDescent="0.25">
      <c r="A48">
        <f t="shared" si="6"/>
        <v>17.756740000000001</v>
      </c>
      <c r="C48">
        <f t="shared" si="7"/>
        <v>309.14999999999998</v>
      </c>
      <c r="L48">
        <v>250</v>
      </c>
      <c r="M48">
        <f t="shared" si="0"/>
        <v>523.15</v>
      </c>
      <c r="N48">
        <v>0.52300000000000002</v>
      </c>
      <c r="O48">
        <f t="shared" si="1"/>
        <v>0.59845335815776468</v>
      </c>
    </row>
    <row r="49" spans="1:15" x14ac:dyDescent="0.25">
      <c r="A49">
        <f t="shared" si="6"/>
        <v>19.756740000000001</v>
      </c>
      <c r="C49">
        <f t="shared" si="7"/>
        <v>311.14999999999998</v>
      </c>
      <c r="G49" t="s">
        <v>27</v>
      </c>
      <c r="H49">
        <v>4.0195100000000004</v>
      </c>
      <c r="I49">
        <v>1.2500000000000001E-2</v>
      </c>
      <c r="L49">
        <v>255</v>
      </c>
      <c r="M49">
        <f t="shared" si="0"/>
        <v>528.15</v>
      </c>
      <c r="N49">
        <v>0.54500000000000004</v>
      </c>
      <c r="O49">
        <f t="shared" si="1"/>
        <v>0.62028635573195912</v>
      </c>
    </row>
    <row r="50" spans="1:15" x14ac:dyDescent="0.25">
      <c r="A50">
        <f t="shared" si="6"/>
        <v>21.756740000000001</v>
      </c>
      <c r="C50">
        <f t="shared" si="7"/>
        <v>313.14999999999998</v>
      </c>
      <c r="L50">
        <v>260</v>
      </c>
      <c r="M50">
        <f t="shared" si="0"/>
        <v>533.15</v>
      </c>
      <c r="N50">
        <v>0.56699999999999995</v>
      </c>
      <c r="O50">
        <f t="shared" si="1"/>
        <v>0.64204485047497051</v>
      </c>
    </row>
    <row r="51" spans="1:15" x14ac:dyDescent="0.25">
      <c r="A51">
        <f t="shared" si="6"/>
        <v>23.756740000000001</v>
      </c>
      <c r="C51">
        <f t="shared" si="7"/>
        <v>315.14999999999998</v>
      </c>
      <c r="L51">
        <v>265</v>
      </c>
      <c r="M51">
        <f t="shared" si="0"/>
        <v>538.15</v>
      </c>
      <c r="N51">
        <v>0.59199999999999997</v>
      </c>
      <c r="O51">
        <f t="shared" si="1"/>
        <v>0.66711769743612692</v>
      </c>
    </row>
    <row r="52" spans="1:15" x14ac:dyDescent="0.25">
      <c r="A52">
        <f t="shared" si="6"/>
        <v>25.756740000000001</v>
      </c>
      <c r="C52">
        <f t="shared" si="7"/>
        <v>317.14999999999998</v>
      </c>
      <c r="L52">
        <v>270</v>
      </c>
      <c r="M52">
        <f t="shared" si="0"/>
        <v>543.15</v>
      </c>
      <c r="N52">
        <v>0.61599999999999999</v>
      </c>
      <c r="O52">
        <f t="shared" si="1"/>
        <v>0.69097885533120451</v>
      </c>
    </row>
    <row r="53" spans="1:15" x14ac:dyDescent="0.25">
      <c r="A53">
        <f t="shared" si="6"/>
        <v>27.756740000000001</v>
      </c>
      <c r="C53">
        <f t="shared" si="7"/>
        <v>319.14999999999998</v>
      </c>
      <c r="L53">
        <v>275</v>
      </c>
      <c r="M53">
        <f t="shared" si="0"/>
        <v>548.15</v>
      </c>
      <c r="N53">
        <v>0.64</v>
      </c>
      <c r="O53">
        <f t="shared" si="1"/>
        <v>0.71476893200293035</v>
      </c>
    </row>
    <row r="54" spans="1:15" x14ac:dyDescent="0.25">
      <c r="A54">
        <f t="shared" si="6"/>
        <v>29.756740000000001</v>
      </c>
      <c r="C54">
        <f t="shared" si="7"/>
        <v>321.14999999999998</v>
      </c>
      <c r="L54">
        <v>280</v>
      </c>
      <c r="M54">
        <f t="shared" si="0"/>
        <v>553.15</v>
      </c>
      <c r="N54">
        <v>0.66700000000000004</v>
      </c>
      <c r="O54">
        <f t="shared" si="1"/>
        <v>0.7418319477929457</v>
      </c>
    </row>
    <row r="55" spans="1:15" x14ac:dyDescent="0.25">
      <c r="A55">
        <f t="shared" si="6"/>
        <v>31.756740000000001</v>
      </c>
      <c r="C55">
        <f t="shared" si="7"/>
        <v>323.14999999999998</v>
      </c>
      <c r="L55">
        <v>285</v>
      </c>
      <c r="M55">
        <f t="shared" si="0"/>
        <v>558.15</v>
      </c>
      <c r="N55">
        <v>0.69299999999999995</v>
      </c>
      <c r="O55">
        <f t="shared" si="1"/>
        <v>0.76770388838631065</v>
      </c>
    </row>
    <row r="56" spans="1:15" x14ac:dyDescent="0.25">
      <c r="A56">
        <f t="shared" si="6"/>
        <v>33.756740000000001</v>
      </c>
      <c r="C56">
        <f t="shared" si="7"/>
        <v>325.14999999999998</v>
      </c>
      <c r="L56">
        <v>290</v>
      </c>
      <c r="M56">
        <f t="shared" si="0"/>
        <v>563.15</v>
      </c>
      <c r="N56">
        <v>0.72</v>
      </c>
      <c r="O56">
        <f t="shared" si="1"/>
        <v>0.79461261957757989</v>
      </c>
    </row>
    <row r="57" spans="1:15" x14ac:dyDescent="0.25">
      <c r="A57">
        <f t="shared" si="6"/>
        <v>35.756740000000001</v>
      </c>
      <c r="C57">
        <f t="shared" si="7"/>
        <v>327.14999999999998</v>
      </c>
      <c r="L57">
        <v>295</v>
      </c>
      <c r="M57">
        <f t="shared" si="0"/>
        <v>568.15</v>
      </c>
      <c r="N57">
        <v>0.748</v>
      </c>
      <c r="O57">
        <f t="shared" si="1"/>
        <v>0.82255298230270646</v>
      </c>
    </row>
    <row r="58" spans="1:15" x14ac:dyDescent="0.25">
      <c r="A58">
        <f t="shared" si="6"/>
        <v>37.756740000000001</v>
      </c>
      <c r="C58">
        <f t="shared" si="7"/>
        <v>329.15</v>
      </c>
      <c r="L58">
        <v>300</v>
      </c>
      <c r="M58">
        <f t="shared" si="0"/>
        <v>573.15</v>
      </c>
      <c r="N58">
        <v>0.77600000000000002</v>
      </c>
      <c r="O58">
        <f t="shared" si="1"/>
        <v>0.85042446891026213</v>
      </c>
    </row>
    <row r="59" spans="1:15" x14ac:dyDescent="0.25">
      <c r="A59">
        <f t="shared" si="6"/>
        <v>39.756740000000001</v>
      </c>
      <c r="C59">
        <f t="shared" si="7"/>
        <v>331.15</v>
      </c>
      <c r="L59">
        <v>305</v>
      </c>
      <c r="M59">
        <f t="shared" si="0"/>
        <v>578.15</v>
      </c>
      <c r="N59">
        <v>0.80800000000000005</v>
      </c>
      <c r="O59">
        <f t="shared" si="1"/>
        <v>0.88260303209842073</v>
      </c>
    </row>
    <row r="60" spans="1:15" x14ac:dyDescent="0.25">
      <c r="A60">
        <f t="shared" si="6"/>
        <v>41.756740000000001</v>
      </c>
      <c r="C60">
        <f t="shared" si="7"/>
        <v>333.15</v>
      </c>
      <c r="L60">
        <v>310</v>
      </c>
      <c r="M60">
        <f t="shared" si="0"/>
        <v>583.15</v>
      </c>
      <c r="N60">
        <v>0.83799999999999997</v>
      </c>
      <c r="O60">
        <f t="shared" si="1"/>
        <v>0.91252030072503765</v>
      </c>
    </row>
    <row r="61" spans="1:15" x14ac:dyDescent="0.25">
      <c r="A61">
        <f t="shared" si="6"/>
        <v>43.756740000000001</v>
      </c>
      <c r="C61">
        <f t="shared" si="7"/>
        <v>335.15</v>
      </c>
      <c r="L61">
        <v>315</v>
      </c>
      <c r="M61">
        <f t="shared" si="0"/>
        <v>588.15</v>
      </c>
      <c r="N61">
        <v>0.86899999999999999</v>
      </c>
      <c r="O61">
        <f t="shared" si="1"/>
        <v>0.94346023053138051</v>
      </c>
    </row>
    <row r="62" spans="1:15" x14ac:dyDescent="0.25">
      <c r="A62">
        <f t="shared" si="6"/>
        <v>47.756740000000001</v>
      </c>
      <c r="C62">
        <f t="shared" si="7"/>
        <v>339.15</v>
      </c>
      <c r="L62">
        <v>320</v>
      </c>
      <c r="M62">
        <f t="shared" si="0"/>
        <v>593.15</v>
      </c>
      <c r="N62">
        <v>0.90100000000000002</v>
      </c>
      <c r="O62">
        <f t="shared" si="1"/>
        <v>0.97541944999757513</v>
      </c>
    </row>
    <row r="63" spans="1:15" x14ac:dyDescent="0.25">
      <c r="A63">
        <f t="shared" si="6"/>
        <v>51.756740000000001</v>
      </c>
      <c r="C63">
        <f t="shared" si="7"/>
        <v>343.15</v>
      </c>
      <c r="L63">
        <v>325</v>
      </c>
      <c r="M63">
        <f t="shared" si="0"/>
        <v>598.15</v>
      </c>
      <c r="N63">
        <v>0.93600000000000005</v>
      </c>
      <c r="O63">
        <f t="shared" si="1"/>
        <v>1.0105542467893753</v>
      </c>
    </row>
    <row r="64" spans="1:15" x14ac:dyDescent="0.25">
      <c r="A64">
        <f t="shared" si="6"/>
        <v>55.756740000000001</v>
      </c>
      <c r="C64">
        <f t="shared" si="7"/>
        <v>347.15</v>
      </c>
      <c r="L64">
        <v>330</v>
      </c>
      <c r="M64">
        <f t="shared" si="0"/>
        <v>603.15</v>
      </c>
      <c r="N64">
        <v>0.96599999999999997</v>
      </c>
      <c r="O64">
        <f t="shared" si="1"/>
        <v>1.0402303256155825</v>
      </c>
    </row>
    <row r="65" spans="1:15" x14ac:dyDescent="0.25">
      <c r="A65">
        <f t="shared" si="6"/>
        <v>59.756740000000001</v>
      </c>
      <c r="C65">
        <f t="shared" si="7"/>
        <v>351.15</v>
      </c>
      <c r="L65">
        <v>335</v>
      </c>
      <c r="M65">
        <f t="shared" si="0"/>
        <v>608.15</v>
      </c>
      <c r="N65">
        <v>1</v>
      </c>
      <c r="O65">
        <f t="shared" si="1"/>
        <v>1.0741617598197533</v>
      </c>
    </row>
    <row r="66" spans="1:15" x14ac:dyDescent="0.25">
      <c r="A66">
        <f t="shared" si="6"/>
        <v>63.756740000000001</v>
      </c>
      <c r="C66">
        <f t="shared" si="7"/>
        <v>355.15</v>
      </c>
      <c r="L66">
        <v>340</v>
      </c>
      <c r="M66">
        <f t="shared" si="0"/>
        <v>613.15</v>
      </c>
      <c r="N66">
        <v>1.0369999999999999</v>
      </c>
      <c r="O66">
        <f t="shared" si="1"/>
        <v>1.1112502875137766</v>
      </c>
    </row>
    <row r="67" spans="1:15" x14ac:dyDescent="0.25">
      <c r="A67">
        <f t="shared" si="6"/>
        <v>67.756740000000008</v>
      </c>
      <c r="C67">
        <f t="shared" si="7"/>
        <v>359.15</v>
      </c>
      <c r="L67">
        <v>345</v>
      </c>
      <c r="M67">
        <f t="shared" ref="M67:M78" si="8">L67+273.15</f>
        <v>618.15</v>
      </c>
      <c r="N67">
        <v>1.0680000000000001</v>
      </c>
      <c r="O67">
        <f t="shared" ref="O67:O78" si="9">N67/(1-($P$6/M67)^4)</f>
        <v>1.1418565899875279</v>
      </c>
    </row>
    <row r="68" spans="1:15" x14ac:dyDescent="0.25">
      <c r="A68">
        <f t="shared" si="6"/>
        <v>71.756740000000008</v>
      </c>
      <c r="C68">
        <f t="shared" si="7"/>
        <v>363.15</v>
      </c>
      <c r="L68">
        <v>350</v>
      </c>
      <c r="M68">
        <f t="shared" si="8"/>
        <v>623.15</v>
      </c>
      <c r="N68">
        <v>1.1040000000000001</v>
      </c>
      <c r="O68">
        <f t="shared" si="9"/>
        <v>1.1777633843883819</v>
      </c>
    </row>
    <row r="69" spans="1:15" x14ac:dyDescent="0.25">
      <c r="L69">
        <v>355</v>
      </c>
      <c r="M69">
        <f t="shared" si="8"/>
        <v>628.15</v>
      </c>
      <c r="N69">
        <v>1.1439999999999999</v>
      </c>
      <c r="O69">
        <f t="shared" si="9"/>
        <v>1.217875896203823</v>
      </c>
    </row>
    <row r="70" spans="1:15" x14ac:dyDescent="0.25">
      <c r="L70">
        <v>360</v>
      </c>
      <c r="M70">
        <f t="shared" si="8"/>
        <v>633.15</v>
      </c>
      <c r="N70">
        <v>1.1819999999999999</v>
      </c>
      <c r="O70">
        <f t="shared" si="9"/>
        <v>1.2557983491175413</v>
      </c>
    </row>
    <row r="71" spans="1:15" x14ac:dyDescent="0.25">
      <c r="L71">
        <v>365</v>
      </c>
      <c r="M71">
        <f t="shared" si="8"/>
        <v>638.15</v>
      </c>
      <c r="N71">
        <v>1.2210000000000001</v>
      </c>
      <c r="O71">
        <f t="shared" si="9"/>
        <v>1.2947294719329341</v>
      </c>
    </row>
    <row r="72" spans="1:15" x14ac:dyDescent="0.25">
      <c r="L72">
        <v>370</v>
      </c>
      <c r="M72">
        <f t="shared" si="8"/>
        <v>643.15</v>
      </c>
      <c r="N72">
        <v>1.2609999999999999</v>
      </c>
      <c r="O72">
        <f t="shared" si="9"/>
        <v>1.3346677228597847</v>
      </c>
    </row>
    <row r="73" spans="1:15" x14ac:dyDescent="0.25">
      <c r="L73">
        <v>375</v>
      </c>
      <c r="M73">
        <f t="shared" si="8"/>
        <v>648.15</v>
      </c>
      <c r="N73">
        <v>1.3029999999999999</v>
      </c>
      <c r="O73">
        <f t="shared" si="9"/>
        <v>1.3766682545595161</v>
      </c>
    </row>
    <row r="74" spans="1:15" x14ac:dyDescent="0.25">
      <c r="L74">
        <v>380</v>
      </c>
      <c r="M74">
        <f t="shared" si="8"/>
        <v>653.15</v>
      </c>
      <c r="N74">
        <v>1.345</v>
      </c>
      <c r="O74">
        <f t="shared" si="9"/>
        <v>1.4186149446132335</v>
      </c>
    </row>
    <row r="75" spans="1:15" x14ac:dyDescent="0.25">
      <c r="L75">
        <v>385</v>
      </c>
      <c r="M75">
        <f t="shared" si="8"/>
        <v>658.15</v>
      </c>
      <c r="N75">
        <v>1.39</v>
      </c>
      <c r="O75">
        <f t="shared" si="9"/>
        <v>1.4636710972445541</v>
      </c>
    </row>
    <row r="76" spans="1:15" x14ac:dyDescent="0.25">
      <c r="L76">
        <v>390</v>
      </c>
      <c r="M76">
        <f t="shared" si="8"/>
        <v>663.15</v>
      </c>
      <c r="N76">
        <v>1.4330000000000001</v>
      </c>
      <c r="O76">
        <f t="shared" si="9"/>
        <v>1.506569046648967</v>
      </c>
    </row>
    <row r="77" spans="1:15" x14ac:dyDescent="0.25">
      <c r="L77">
        <v>395</v>
      </c>
      <c r="M77">
        <f t="shared" si="8"/>
        <v>668.15</v>
      </c>
      <c r="N77">
        <v>1.478</v>
      </c>
      <c r="O77">
        <f t="shared" si="9"/>
        <v>1.5515216300601424</v>
      </c>
    </row>
    <row r="78" spans="1:15" x14ac:dyDescent="0.25">
      <c r="L78">
        <v>400</v>
      </c>
      <c r="M78">
        <f t="shared" si="8"/>
        <v>673.15</v>
      </c>
      <c r="N78">
        <v>1.524</v>
      </c>
      <c r="O78">
        <f t="shared" si="9"/>
        <v>1.5974750458915665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selin</dc:creator>
  <cp:lastModifiedBy>Fortuna Plays</cp:lastModifiedBy>
  <dcterms:created xsi:type="dcterms:W3CDTF">2022-03-30T07:16:48Z</dcterms:created>
  <dcterms:modified xsi:type="dcterms:W3CDTF">2022-04-01T11:19:25Z</dcterms:modified>
</cp:coreProperties>
</file>