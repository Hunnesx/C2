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9\Janek und Selin\"/>
    </mc:Choice>
  </mc:AlternateContent>
  <xr:revisionPtr revIDLastSave="0" documentId="13_ncr:1_{4153471A-E158-400C-B2C5-B08CC5B35FCD}" xr6:coauthVersionLast="47" xr6:coauthVersionMax="47" xr10:uidLastSave="{00000000-0000-0000-0000-000000000000}"/>
  <bookViews>
    <workbookView xWindow="-18072" yWindow="-8604" windowWidth="16320" windowHeight="19476" xr2:uid="{B74FF94E-22DF-445D-92F4-EF1157BCC8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J22" i="1"/>
  <c r="J14" i="1"/>
  <c r="J15" i="1"/>
  <c r="J16" i="1"/>
  <c r="J17" i="1"/>
  <c r="J18" i="1"/>
  <c r="J13" i="1"/>
  <c r="K14" i="1"/>
  <c r="K15" i="1"/>
  <c r="K16" i="1"/>
  <c r="K17" i="1"/>
  <c r="K18" i="1"/>
  <c r="K13" i="1"/>
  <c r="D17" i="1"/>
  <c r="C17" i="1"/>
  <c r="C11" i="1"/>
  <c r="C12" i="1"/>
  <c r="C10" i="1"/>
  <c r="D11" i="1"/>
  <c r="D12" i="1"/>
  <c r="D10" i="1"/>
  <c r="K9" i="1"/>
  <c r="K8" i="1"/>
  <c r="K7" i="1"/>
  <c r="K6" i="1"/>
  <c r="K5" i="1"/>
  <c r="K4" i="1"/>
  <c r="D6" i="1"/>
  <c r="D5" i="1"/>
  <c r="D4" i="1"/>
  <c r="J9" i="1"/>
  <c r="J8" i="1"/>
  <c r="J7" i="1"/>
  <c r="J6" i="1"/>
  <c r="J5" i="1"/>
  <c r="J4" i="1"/>
  <c r="C6" i="1"/>
  <c r="C5" i="1"/>
  <c r="C4" i="1"/>
</calcChain>
</file>

<file path=xl/sharedStrings.xml><?xml version="1.0" encoding="utf-8"?>
<sst xmlns="http://schemas.openxmlformats.org/spreadsheetml/2006/main" count="9" uniqueCount="8">
  <si>
    <t>Spannungen Neon</t>
  </si>
  <si>
    <t>Spannungen Hg</t>
  </si>
  <si>
    <t>U_K</t>
  </si>
  <si>
    <t>Sigma U_K</t>
  </si>
  <si>
    <t>1/sigma^2</t>
  </si>
  <si>
    <t>U_k*1/sigma^2</t>
  </si>
  <si>
    <t>1/sig^2</t>
  </si>
  <si>
    <t>U_k*1/sig^2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</si>
</sst>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D317-FC0F-4227-AEAC-8958F86E23BE}">
  <dimension ref="A2:K22"/>
  <sheetViews>
    <sheetView tabSelected="1" workbookViewId="0">
      <selection activeCell="C6" sqref="C6"/>
    </sheetView>
  </sheetViews>
  <sheetFormatPr baseColWidth="10" defaultRowHeight="15" x14ac:dyDescent="0.25"/>
  <sheetData>
    <row r="2" spans="1:11" x14ac:dyDescent="0.25">
      <c r="A2" t="s">
        <v>0</v>
      </c>
      <c r="C2" t="s">
        <v>2</v>
      </c>
      <c r="D2" t="s">
        <v>3</v>
      </c>
      <c r="H2" t="s">
        <v>1</v>
      </c>
      <c r="J2" t="s">
        <v>2</v>
      </c>
    </row>
    <row r="4" spans="1:11" x14ac:dyDescent="0.25">
      <c r="A4">
        <v>18.63</v>
      </c>
      <c r="C4">
        <f>(19.39-(0.85+A4))</f>
        <v>-8.9999999999999858E-2</v>
      </c>
      <c r="D4">
        <f>((1^2*0.94^2+0.5^2)^0.5)</f>
        <v>1.0647065323364933</v>
      </c>
      <c r="H4">
        <v>3.34</v>
      </c>
      <c r="J4">
        <f>(4.812-(3.73+H4))</f>
        <v>-2.258</v>
      </c>
      <c r="K4">
        <f>((1^2*0.061^2+0.5^2)^0.5)</f>
        <v>0.5037072562510887</v>
      </c>
    </row>
    <row r="5" spans="1:11" x14ac:dyDescent="0.25">
      <c r="A5">
        <v>36.69</v>
      </c>
      <c r="C5">
        <f>(2*19.39-(0.85+A5))</f>
        <v>1.240000000000002</v>
      </c>
      <c r="D5">
        <f>((2^2*0.94^2+0.5^2)^0.5)</f>
        <v>1.9453534383242548</v>
      </c>
      <c r="H5">
        <v>8.0500000000000007</v>
      </c>
      <c r="J5">
        <f>(2*4.812-(3.73+H5))</f>
        <v>-2.1560000000000006</v>
      </c>
      <c r="K5">
        <f>((2^2*0.061^2+0.5^2)^0.5)</f>
        <v>0.51466882555678461</v>
      </c>
    </row>
    <row r="6" spans="1:11" x14ac:dyDescent="0.25">
      <c r="A6">
        <v>57.41</v>
      </c>
      <c r="C6">
        <f>(3*19.39-(0.85+A6))</f>
        <v>-8.9999999999996305E-2</v>
      </c>
      <c r="D6">
        <f>((3^2*0.94^2+0.5^2)^0.5)</f>
        <v>2.863983240174425</v>
      </c>
      <c r="H6">
        <v>12.68</v>
      </c>
      <c r="J6">
        <f>(3*4.812-(3.73+H6))</f>
        <v>-1.9740000000000002</v>
      </c>
      <c r="K6">
        <f>((3^2*0.061^2+0.5^2)^0.5)</f>
        <v>0.53243685071565061</v>
      </c>
    </row>
    <row r="7" spans="1:11" x14ac:dyDescent="0.25">
      <c r="H7">
        <v>17.47</v>
      </c>
      <c r="J7">
        <f>(4*4.812-(3.73+H7))</f>
        <v>-1.9519999999999982</v>
      </c>
      <c r="K7">
        <f>((4^2*0.061^2+0.5^2)^0.5)</f>
        <v>0.55635959594492479</v>
      </c>
    </row>
    <row r="8" spans="1:11" x14ac:dyDescent="0.25">
      <c r="H8">
        <v>22.4</v>
      </c>
      <c r="J8">
        <f>(5*4.812-(3.73+H8))</f>
        <v>-2.0699999999999967</v>
      </c>
      <c r="K8">
        <f>((5^2*0.061^2+0.5^2)^0.5)</f>
        <v>0.58568336155298117</v>
      </c>
    </row>
    <row r="9" spans="1:11" x14ac:dyDescent="0.25">
      <c r="C9" t="s">
        <v>5</v>
      </c>
      <c r="D9" t="s">
        <v>4</v>
      </c>
      <c r="H9">
        <v>27.4</v>
      </c>
      <c r="J9">
        <f>(6*4.812-(3.73+H9))</f>
        <v>-2.2579999999999991</v>
      </c>
      <c r="K9">
        <f>((6^2*0.061^2+0.5^2)^0.5)</f>
        <v>0.61964183202879386</v>
      </c>
    </row>
    <row r="10" spans="1:11" x14ac:dyDescent="0.25">
      <c r="C10">
        <f>C4*D10</f>
        <v>-7.9393083980239809E-2</v>
      </c>
      <c r="D10">
        <f>1/(D4^2)</f>
        <v>0.88214537755822142</v>
      </c>
    </row>
    <row r="11" spans="1:11" x14ac:dyDescent="0.25">
      <c r="C11">
        <f t="shared" ref="C11:C12" si="0">C5*D11</f>
        <v>0.32766092379241146</v>
      </c>
      <c r="D11">
        <f t="shared" ref="D11:D12" si="1">1/(D5^2)</f>
        <v>0.26424268047775074</v>
      </c>
    </row>
    <row r="12" spans="1:11" x14ac:dyDescent="0.25">
      <c r="C12">
        <f t="shared" si="0"/>
        <v>-1.0972398322441766E-2</v>
      </c>
      <c r="D12">
        <f t="shared" si="1"/>
        <v>0.12191553691602462</v>
      </c>
      <c r="J12" t="s">
        <v>7</v>
      </c>
      <c r="K12" t="s">
        <v>6</v>
      </c>
    </row>
    <row r="13" spans="1:11" x14ac:dyDescent="0.25">
      <c r="J13">
        <f>J4*K13</f>
        <v>-8.8995392576885664</v>
      </c>
      <c r="K13">
        <f>1/K4^2</f>
        <v>3.941337138037452</v>
      </c>
    </row>
    <row r="14" spans="1:11" x14ac:dyDescent="0.25">
      <c r="J14">
        <f t="shared" ref="J14:J18" si="2">J5*K14</f>
        <v>-8.139411969012853</v>
      </c>
      <c r="K14">
        <f t="shared" ref="K14:K18" si="3">1/K5^2</f>
        <v>3.7752374624363871</v>
      </c>
    </row>
    <row r="15" spans="1:11" x14ac:dyDescent="0.25">
      <c r="J15">
        <f t="shared" si="2"/>
        <v>-6.9632331413211812</v>
      </c>
      <c r="K15">
        <f t="shared" si="3"/>
        <v>3.5274737291394023</v>
      </c>
    </row>
    <row r="16" spans="1:11" x14ac:dyDescent="0.25">
      <c r="J16">
        <f t="shared" si="2"/>
        <v>-6.3062131706812723</v>
      </c>
      <c r="K16">
        <f t="shared" si="3"/>
        <v>3.2306419931768842</v>
      </c>
    </row>
    <row r="17" spans="3:11" x14ac:dyDescent="0.25">
      <c r="C17">
        <f>SUM(C10:C12)/SUM(D10:D12)</f>
        <v>0.18709671914058648</v>
      </c>
      <c r="D17">
        <f>1/SQRT(SUM(D10:D12))</f>
        <v>0.88794974791582859</v>
      </c>
      <c r="J17">
        <f t="shared" si="2"/>
        <v>-6.0345455870563258</v>
      </c>
      <c r="K17">
        <f t="shared" si="3"/>
        <v>2.9152394140368769</v>
      </c>
    </row>
    <row r="18" spans="3:11" x14ac:dyDescent="0.25">
      <c r="J18">
        <f t="shared" si="2"/>
        <v>-5.8808821844169623</v>
      </c>
      <c r="K18">
        <f t="shared" si="3"/>
        <v>2.6044650949587975</v>
      </c>
    </row>
    <row r="22" spans="3:11" x14ac:dyDescent="0.25">
      <c r="J22">
        <f>SUM(J13:J18)/SUM(K13:K18)</f>
        <v>-2.1117831104871678</v>
      </c>
      <c r="K22">
        <f>1/SQRT(SUM(K13:K18))</f>
        <v>0.22363813818057798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2021-09-20T09:16:48Z</dcterms:created>
  <dcterms:modified xsi:type="dcterms:W3CDTF">2021-10-05T14:33:01Z</dcterms:modified>
</cp:coreProperties>
</file>