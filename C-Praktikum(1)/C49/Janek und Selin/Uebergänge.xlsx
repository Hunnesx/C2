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lin\Nextcloud\Physik\Experimentalphysik\Physikalisches Praktikum\C\C49\Janek und Selin\"/>
    </mc:Choice>
  </mc:AlternateContent>
  <xr:revisionPtr revIDLastSave="0" documentId="13_ncr:1_{28A80F24-FE19-49E3-BBB6-02939EF039E7}" xr6:coauthVersionLast="47" xr6:coauthVersionMax="47" xr10:uidLastSave="{00000000-0000-0000-0000-000000000000}"/>
  <bookViews>
    <workbookView xWindow="-22644" yWindow="216" windowWidth="21600" windowHeight="11388" xr2:uid="{32ED2349-CEB2-48F2-A221-347874C1085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3" i="1" l="1"/>
  <c r="D33" i="1"/>
  <c r="F30" i="1" s="1"/>
  <c r="H40" i="1"/>
  <c r="E41" i="1"/>
  <c r="H41" i="1" s="1"/>
  <c r="E42" i="1"/>
  <c r="H42" i="1" s="1"/>
  <c r="E40" i="1"/>
  <c r="G40" i="1" s="1"/>
  <c r="J40" i="1" s="1"/>
  <c r="D18" i="1"/>
  <c r="E18" i="1" s="1"/>
  <c r="E12" i="1"/>
  <c r="D19" i="1"/>
  <c r="E19" i="1" s="1"/>
  <c r="D17" i="1"/>
  <c r="E17" i="1" s="1"/>
  <c r="D16" i="1"/>
  <c r="E16" i="1" s="1"/>
  <c r="D15" i="1"/>
  <c r="E15" i="1" s="1"/>
  <c r="D14" i="1"/>
  <c r="E14" i="1" s="1"/>
  <c r="D13" i="1"/>
  <c r="E13" i="1" s="1"/>
  <c r="D12" i="1"/>
  <c r="D11" i="1"/>
  <c r="E11" i="1" s="1"/>
  <c r="D10" i="1"/>
  <c r="E10" i="1" s="1"/>
  <c r="D9" i="1"/>
  <c r="E9" i="1" s="1"/>
  <c r="D8" i="1"/>
  <c r="E8" i="1" s="1"/>
  <c r="D7" i="1"/>
  <c r="E7" i="1" s="1"/>
  <c r="D29" i="1"/>
  <c r="D30" i="1"/>
  <c r="D31" i="1"/>
  <c r="D28" i="1"/>
  <c r="D5" i="1"/>
  <c r="E5" i="1" s="1"/>
  <c r="D4" i="1"/>
  <c r="E4" i="1" s="1"/>
  <c r="F27" i="1" l="1"/>
  <c r="F29" i="1"/>
  <c r="F28" i="1"/>
  <c r="G42" i="1"/>
  <c r="J42" i="1" s="1"/>
  <c r="C46" i="1"/>
  <c r="F31" i="1"/>
  <c r="G41" i="1"/>
  <c r="J41" i="1" s="1"/>
  <c r="C47" i="1"/>
  <c r="G7" i="1"/>
  <c r="G5" i="1" s="1"/>
  <c r="C50" i="1" l="1"/>
  <c r="G4" i="1"/>
  <c r="I7" i="1" s="1"/>
  <c r="C52" i="1" l="1"/>
  <c r="E46" i="1"/>
  <c r="E47" i="1"/>
  <c r="E50" i="1" l="1"/>
</calcChain>
</file>

<file path=xl/sharedStrings.xml><?xml version="1.0" encoding="utf-8"?>
<sst xmlns="http://schemas.openxmlformats.org/spreadsheetml/2006/main" count="32" uniqueCount="31">
  <si>
    <t>Neon:</t>
  </si>
  <si>
    <t>Spannungen:</t>
  </si>
  <si>
    <t>Wellenlängen:</t>
  </si>
  <si>
    <t>mögliche Spannungsdifferenzen</t>
  </si>
  <si>
    <t>5-4</t>
  </si>
  <si>
    <t>7-5</t>
  </si>
  <si>
    <t>6-4</t>
  </si>
  <si>
    <t>8-6</t>
  </si>
  <si>
    <t>9-5</t>
  </si>
  <si>
    <t>9-6</t>
  </si>
  <si>
    <t>Quecksilber:</t>
  </si>
  <si>
    <t>Spannungsdifferenzen:</t>
  </si>
  <si>
    <t>6-5</t>
  </si>
  <si>
    <t>9-8</t>
  </si>
  <si>
    <t>9-7</t>
  </si>
  <si>
    <t>9-4</t>
  </si>
  <si>
    <t>8-7</t>
  </si>
  <si>
    <t>8-5</t>
  </si>
  <si>
    <t>8-4</t>
  </si>
  <si>
    <t>7-6</t>
  </si>
  <si>
    <t>7-4</t>
  </si>
  <si>
    <t>pm</t>
  </si>
  <si>
    <t>Leuchten</t>
  </si>
  <si>
    <t>Janek</t>
  </si>
  <si>
    <t>Selin</t>
  </si>
  <si>
    <t>Mittel</t>
  </si>
  <si>
    <t>Fehler</t>
  </si>
  <si>
    <t>dif 1</t>
  </si>
  <si>
    <t>dif 2</t>
  </si>
  <si>
    <t>Mittel:</t>
  </si>
  <si>
    <t>Wellenlänge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</si>
</sst>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FDCEB-2A4D-45D6-805A-F16DA32407E9}">
  <dimension ref="A2:J53"/>
  <sheetViews>
    <sheetView tabSelected="1" topLeftCell="A22" workbookViewId="0">
      <selection activeCell="I34" sqref="I34"/>
    </sheetView>
  </sheetViews>
  <sheetFormatPr baseColWidth="10" defaultRowHeight="15" x14ac:dyDescent="0.25"/>
  <cols>
    <col min="1" max="1" width="12.5703125" bestFit="1" customWidth="1"/>
    <col min="3" max="3" width="11.42578125" style="1"/>
    <col min="4" max="4" width="14.42578125" customWidth="1"/>
  </cols>
  <sheetData>
    <row r="2" spans="1:9" x14ac:dyDescent="0.25">
      <c r="A2" t="s">
        <v>0</v>
      </c>
    </row>
    <row r="3" spans="1:9" x14ac:dyDescent="0.25">
      <c r="A3" t="s">
        <v>1</v>
      </c>
      <c r="C3" s="1" t="s">
        <v>3</v>
      </c>
      <c r="E3" t="s">
        <v>2</v>
      </c>
    </row>
    <row r="4" spans="1:9" x14ac:dyDescent="0.25">
      <c r="A4">
        <v>18.63</v>
      </c>
      <c r="C4" s="1" t="s">
        <v>4</v>
      </c>
      <c r="D4">
        <f>A5-A4</f>
        <v>18.059999999999999</v>
      </c>
      <c r="E4">
        <f>3*10^8*6.626*10^(-34)/(D4*1.602*10^(-19))*10^9</f>
        <v>68.705646181475828</v>
      </c>
      <c r="G4">
        <f>(D4-G7)^2</f>
        <v>1.768900000000005</v>
      </c>
    </row>
    <row r="5" spans="1:9" x14ac:dyDescent="0.25">
      <c r="A5">
        <v>36.69</v>
      </c>
      <c r="C5" s="1" t="s">
        <v>5</v>
      </c>
      <c r="D5">
        <f>A7-A5</f>
        <v>20.72</v>
      </c>
      <c r="E5">
        <f t="shared" ref="E5" si="0">3*10^8*6.626*10^(-34)/(D5*1.602*10^(-19))*10^9</f>
        <v>59.88532673925932</v>
      </c>
      <c r="G5">
        <f>(G7-D5)^2</f>
        <v>1.7688999999999955</v>
      </c>
    </row>
    <row r="6" spans="1:9" x14ac:dyDescent="0.25">
      <c r="A6">
        <v>45.06</v>
      </c>
    </row>
    <row r="7" spans="1:9" x14ac:dyDescent="0.25">
      <c r="A7">
        <v>57.41</v>
      </c>
      <c r="C7" s="1" t="s">
        <v>13</v>
      </c>
      <c r="D7">
        <f>A9-A8</f>
        <v>2</v>
      </c>
      <c r="E7">
        <f>3*10^8*6.626*10^(-34)/(D7*1.602*10^(-19))*10^9</f>
        <v>620.41198501872668</v>
      </c>
      <c r="G7">
        <f>(D4+D5)/2</f>
        <v>19.39</v>
      </c>
      <c r="H7" t="s">
        <v>21</v>
      </c>
      <c r="I7">
        <f>1/SQRT(2)*SQRT(1/2*SUM(G4:G5))</f>
        <v>0.94045201897810815</v>
      </c>
    </row>
    <row r="8" spans="1:9" x14ac:dyDescent="0.25">
      <c r="A8">
        <v>61.42</v>
      </c>
      <c r="C8" s="1" t="s">
        <v>14</v>
      </c>
      <c r="D8">
        <f>A9-A7</f>
        <v>6.0100000000000051</v>
      </c>
      <c r="E8">
        <f t="shared" ref="E8:E18" si="1">3*10^8*6.626*10^(-34)/(D8*1.602*10^(-19))*10^9</f>
        <v>206.45989518094049</v>
      </c>
    </row>
    <row r="9" spans="1:9" x14ac:dyDescent="0.25">
      <c r="A9">
        <v>63.42</v>
      </c>
      <c r="C9" s="1" t="s">
        <v>9</v>
      </c>
      <c r="D9">
        <f>A9-A6</f>
        <v>18.36</v>
      </c>
      <c r="E9">
        <f t="shared" si="1"/>
        <v>67.583004904000717</v>
      </c>
    </row>
    <row r="10" spans="1:9" x14ac:dyDescent="0.25">
      <c r="C10" s="1" t="s">
        <v>8</v>
      </c>
      <c r="D10">
        <f>A9-A5</f>
        <v>26.730000000000004</v>
      </c>
      <c r="E10">
        <f t="shared" si="1"/>
        <v>46.420649833050994</v>
      </c>
    </row>
    <row r="11" spans="1:9" x14ac:dyDescent="0.25">
      <c r="C11" s="1" t="s">
        <v>15</v>
      </c>
      <c r="D11">
        <f>A9-A4</f>
        <v>44.790000000000006</v>
      </c>
      <c r="E11">
        <f t="shared" si="1"/>
        <v>27.703147355156354</v>
      </c>
    </row>
    <row r="12" spans="1:9" x14ac:dyDescent="0.25">
      <c r="C12" s="1" t="s">
        <v>16</v>
      </c>
      <c r="D12">
        <f>A8-A7</f>
        <v>4.0100000000000051</v>
      </c>
      <c r="E12">
        <f t="shared" si="1"/>
        <v>309.4324114806613</v>
      </c>
    </row>
    <row r="13" spans="1:9" x14ac:dyDescent="0.25">
      <c r="C13" s="1" t="s">
        <v>7</v>
      </c>
      <c r="D13">
        <f>A8-A6</f>
        <v>16.36</v>
      </c>
      <c r="E13">
        <f t="shared" si="1"/>
        <v>75.844985943609615</v>
      </c>
    </row>
    <row r="14" spans="1:9" x14ac:dyDescent="0.25">
      <c r="C14" s="1" t="s">
        <v>17</v>
      </c>
      <c r="D14">
        <f>A8-A5</f>
        <v>24.730000000000004</v>
      </c>
      <c r="E14">
        <f t="shared" si="1"/>
        <v>50.174847150725967</v>
      </c>
    </row>
    <row r="15" spans="1:9" x14ac:dyDescent="0.25">
      <c r="C15" s="1" t="s">
        <v>18</v>
      </c>
      <c r="D15">
        <f>A8-A4</f>
        <v>42.790000000000006</v>
      </c>
      <c r="E15">
        <f t="shared" si="1"/>
        <v>28.997989484399461</v>
      </c>
    </row>
    <row r="16" spans="1:9" x14ac:dyDescent="0.25">
      <c r="C16" s="1" t="s">
        <v>19</v>
      </c>
      <c r="D16">
        <f>A7-A6</f>
        <v>12.349999999999994</v>
      </c>
      <c r="E16">
        <f t="shared" si="1"/>
        <v>100.47157652125134</v>
      </c>
    </row>
    <row r="17" spans="1:6" x14ac:dyDescent="0.25">
      <c r="C17" s="1" t="s">
        <v>20</v>
      </c>
      <c r="D17">
        <f>A7-A4</f>
        <v>38.78</v>
      </c>
      <c r="E17">
        <f t="shared" si="1"/>
        <v>31.996492265019427</v>
      </c>
    </row>
    <row r="18" spans="1:6" x14ac:dyDescent="0.25">
      <c r="C18" s="1" t="s">
        <v>12</v>
      </c>
      <c r="D18">
        <f>A6-A5</f>
        <v>8.3700000000000045</v>
      </c>
      <c r="E18">
        <f t="shared" si="1"/>
        <v>148.24659140232407</v>
      </c>
    </row>
    <row r="19" spans="1:6" x14ac:dyDescent="0.25">
      <c r="C19" s="1" t="s">
        <v>6</v>
      </c>
      <c r="D19">
        <f>A6-A4</f>
        <v>26.430000000000003</v>
      </c>
      <c r="E19">
        <f>3*10^8*6.626*10^(-34)/(D19*1.602*10^(-19))*10^9</f>
        <v>46.947558457716738</v>
      </c>
    </row>
    <row r="25" spans="1:6" x14ac:dyDescent="0.25">
      <c r="A25" t="s">
        <v>10</v>
      </c>
    </row>
    <row r="26" spans="1:6" x14ac:dyDescent="0.25">
      <c r="C26" s="1" t="s">
        <v>11</v>
      </c>
    </row>
    <row r="27" spans="1:6" x14ac:dyDescent="0.25">
      <c r="C27" s="2">
        <v>4.71</v>
      </c>
      <c r="D27" s="2"/>
      <c r="E27" s="2"/>
      <c r="F27">
        <f t="shared" ref="F27:F31" si="2">(D$33-C27)^2</f>
        <v>1.0403999999999882E-2</v>
      </c>
    </row>
    <row r="28" spans="1:6" x14ac:dyDescent="0.25">
      <c r="C28">
        <v>4.63</v>
      </c>
      <c r="D28">
        <f>3*10^8*6.626*10^(-34)/(C28*1.602*10^(-19))*10^9</f>
        <v>267.99653780506549</v>
      </c>
      <c r="F28">
        <f t="shared" si="2"/>
        <v>3.3123999999999813E-2</v>
      </c>
    </row>
    <row r="29" spans="1:6" x14ac:dyDescent="0.25">
      <c r="C29">
        <v>4.79</v>
      </c>
      <c r="D29">
        <f t="shared" ref="D29:D31" si="3">3*10^8*6.626*10^(-34)/(C29*1.602*10^(-19))*10^9</f>
        <v>259.04467015395682</v>
      </c>
      <c r="F29">
        <f t="shared" si="2"/>
        <v>4.8399999999997154E-4</v>
      </c>
    </row>
    <row r="30" spans="1:6" x14ac:dyDescent="0.25">
      <c r="C30">
        <v>4.93</v>
      </c>
      <c r="D30">
        <f t="shared" si="3"/>
        <v>251.6884320562786</v>
      </c>
      <c r="F30">
        <f t="shared" si="2"/>
        <v>1.3924000000000077E-2</v>
      </c>
    </row>
    <row r="31" spans="1:6" x14ac:dyDescent="0.25">
      <c r="C31">
        <v>5</v>
      </c>
      <c r="D31">
        <f t="shared" si="3"/>
        <v>248.16479400749068</v>
      </c>
      <c r="F31">
        <f t="shared" si="2"/>
        <v>3.5344000000000229E-2</v>
      </c>
    </row>
    <row r="33" spans="1:10" x14ac:dyDescent="0.25">
      <c r="D33">
        <f>SUM(C27:C31)/5</f>
        <v>4.8119999999999994</v>
      </c>
      <c r="E33" t="s">
        <v>21</v>
      </c>
      <c r="F33">
        <f>1/SQRT(5)*SQRT(1/5*SUM(F27:F31))</f>
        <v>6.108354934022743E-2</v>
      </c>
    </row>
    <row r="37" spans="1:10" x14ac:dyDescent="0.25">
      <c r="A37" t="s">
        <v>22</v>
      </c>
    </row>
    <row r="39" spans="1:10" x14ac:dyDescent="0.25">
      <c r="A39" t="s">
        <v>23</v>
      </c>
      <c r="C39" s="1" t="s">
        <v>24</v>
      </c>
      <c r="E39" t="s">
        <v>25</v>
      </c>
      <c r="J39" t="s">
        <v>26</v>
      </c>
    </row>
    <row r="40" spans="1:10" x14ac:dyDescent="0.25">
      <c r="A40">
        <v>2.81</v>
      </c>
      <c r="C40" s="2">
        <v>3.02</v>
      </c>
      <c r="E40">
        <f>1/2*(A40+C40)</f>
        <v>2.915</v>
      </c>
      <c r="G40">
        <f>(E40-A40)^2</f>
        <v>1.1024999999999997E-2</v>
      </c>
      <c r="H40">
        <f>(E40-C40)^2</f>
        <v>1.1024999999999997E-2</v>
      </c>
      <c r="J40">
        <f>1/SQRT(2)*SQRT(1/2*SUM(G40:H40))</f>
        <v>7.4246212024587477E-2</v>
      </c>
    </row>
    <row r="41" spans="1:10" x14ac:dyDescent="0.25">
      <c r="A41">
        <v>4.4550000000000001</v>
      </c>
      <c r="C41" s="2">
        <v>4.3</v>
      </c>
      <c r="E41">
        <f t="shared" ref="E41:E42" si="4">1/2*(A41+C41)</f>
        <v>4.3774999999999995</v>
      </c>
      <c r="G41">
        <f t="shared" ref="G41:G42" si="5">(E41-A41)^2</f>
        <v>6.0062500000000879E-3</v>
      </c>
      <c r="H41">
        <f t="shared" ref="H41:H42" si="6">(E41-C41)^2</f>
        <v>6.0062499999999509E-3</v>
      </c>
      <c r="J41">
        <f>1/SQRT(2)*SQRT(1/2*SUM(G41:H41))</f>
        <v>5.4800775541957517E-2</v>
      </c>
    </row>
    <row r="42" spans="1:10" x14ac:dyDescent="0.25">
      <c r="A42">
        <v>6.133</v>
      </c>
      <c r="C42" s="2">
        <v>6.0830000000000002</v>
      </c>
      <c r="E42">
        <f t="shared" si="4"/>
        <v>6.1080000000000005</v>
      </c>
      <c r="G42">
        <f t="shared" si="5"/>
        <v>6.2499999999997334E-4</v>
      </c>
      <c r="H42">
        <f t="shared" si="6"/>
        <v>6.2500000000001779E-4</v>
      </c>
      <c r="J42">
        <f>1/SQRT(2)*SQRT(1/2*SUM(G42:H42))</f>
        <v>1.7677669529663622E-2</v>
      </c>
    </row>
    <row r="45" spans="1:10" x14ac:dyDescent="0.25">
      <c r="C45" s="2"/>
    </row>
    <row r="46" spans="1:10" x14ac:dyDescent="0.25">
      <c r="B46" t="s">
        <v>27</v>
      </c>
      <c r="C46" s="2">
        <f>E41-E40</f>
        <v>1.4624999999999995</v>
      </c>
      <c r="E46">
        <f>(C50-C46)^2</f>
        <v>1.7956000000000211E-2</v>
      </c>
    </row>
    <row r="47" spans="1:10" x14ac:dyDescent="0.25">
      <c r="B47" t="s">
        <v>28</v>
      </c>
      <c r="C47" s="2">
        <f>E42-E41</f>
        <v>1.730500000000001</v>
      </c>
      <c r="E47">
        <f>(C50-C47)^2</f>
        <v>1.7956000000000211E-2</v>
      </c>
    </row>
    <row r="48" spans="1:10" x14ac:dyDescent="0.25">
      <c r="C48" s="2"/>
    </row>
    <row r="49" spans="2:5" x14ac:dyDescent="0.25">
      <c r="C49" s="2"/>
    </row>
    <row r="50" spans="2:5" x14ac:dyDescent="0.25">
      <c r="B50" t="s">
        <v>29</v>
      </c>
      <c r="C50" s="2">
        <f>1/2*(C46+C47)</f>
        <v>1.5965000000000003</v>
      </c>
      <c r="E50">
        <f>1/SQRT(2)*SQRT(1/2*(E46+E47))</f>
        <v>9.4752308678997921E-2</v>
      </c>
    </row>
    <row r="51" spans="2:5" x14ac:dyDescent="0.25">
      <c r="C51" s="2"/>
    </row>
    <row r="52" spans="2:5" x14ac:dyDescent="0.25">
      <c r="B52" t="s">
        <v>30</v>
      </c>
      <c r="C52">
        <f>3*10^8*6.626*10^(-34)/(C50*1.602*10^(-19))*10^9</f>
        <v>777.2151393908257</v>
      </c>
    </row>
    <row r="53" spans="2:5" x14ac:dyDescent="0.25">
      <c r="C53" s="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Fortuna Plays</dc:creator>
  <cp:lastModifiedBy>selin</cp:lastModifiedBy>
  <dcterms:created xsi:type="dcterms:W3CDTF">2021-09-19T11:28:17Z</dcterms:created>
  <dcterms:modified xsi:type="dcterms:W3CDTF">2021-09-20T09:13:47Z</dcterms:modified>
</cp:coreProperties>
</file>