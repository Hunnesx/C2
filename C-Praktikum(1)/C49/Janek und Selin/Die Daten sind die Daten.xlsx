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9\Janek und Selin\"/>
    </mc:Choice>
  </mc:AlternateContent>
  <xr:revisionPtr revIDLastSave="0" documentId="13_ncr:1_{FA6C6E40-B57A-4F8D-B37B-3F4D200D1763}" xr6:coauthVersionLast="47" xr6:coauthVersionMax="47" xr10:uidLastSave="{00000000-0000-0000-0000-000000000000}"/>
  <bookViews>
    <workbookView xWindow="23130" yWindow="600" windowWidth="21495" windowHeight="195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X14" i="1"/>
  <c r="X15" i="1"/>
  <c r="X16" i="1"/>
  <c r="X17" i="1"/>
  <c r="X18" i="1"/>
  <c r="X19" i="1"/>
  <c r="X20" i="1"/>
  <c r="X21" i="1"/>
  <c r="X22" i="1"/>
  <c r="X23" i="1"/>
  <c r="Y23" i="1"/>
  <c r="X24" i="1"/>
  <c r="X25" i="1"/>
  <c r="X26" i="1"/>
  <c r="X27" i="1"/>
  <c r="X28" i="1"/>
  <c r="X29" i="1"/>
  <c r="X30" i="1"/>
  <c r="X31" i="1"/>
  <c r="Y31" i="1"/>
  <c r="X32" i="1"/>
  <c r="X33" i="1"/>
  <c r="X34" i="1"/>
  <c r="X35" i="1"/>
  <c r="X36" i="1"/>
  <c r="X37" i="1"/>
  <c r="X38" i="1"/>
  <c r="X39" i="1"/>
  <c r="Y39" i="1"/>
  <c r="X40" i="1"/>
  <c r="X41" i="1"/>
  <c r="X42" i="1"/>
  <c r="X43" i="1"/>
  <c r="X44" i="1"/>
  <c r="X45" i="1"/>
  <c r="X46" i="1"/>
  <c r="X47" i="1"/>
  <c r="Y47" i="1"/>
  <c r="X48" i="1"/>
  <c r="X49" i="1"/>
  <c r="X50" i="1"/>
  <c r="X51" i="1"/>
  <c r="Y51" i="1"/>
  <c r="X52" i="1"/>
  <c r="X53" i="1"/>
  <c r="X54" i="1"/>
  <c r="X55" i="1"/>
  <c r="Y55" i="1"/>
  <c r="X56" i="1"/>
  <c r="X57" i="1"/>
  <c r="X58" i="1"/>
  <c r="X59" i="1"/>
  <c r="Y59" i="1"/>
  <c r="X60" i="1"/>
  <c r="X61" i="1"/>
  <c r="X62" i="1"/>
  <c r="Y5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5" i="1"/>
  <c r="O25" i="1"/>
  <c r="O24" i="1"/>
  <c r="O23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5" i="1"/>
  <c r="J37" i="1"/>
  <c r="J45" i="1"/>
  <c r="J48" i="1"/>
  <c r="J53" i="1"/>
  <c r="J56" i="1"/>
  <c r="J61" i="1"/>
  <c r="J6" i="1"/>
  <c r="J7" i="1"/>
  <c r="J8" i="1"/>
  <c r="J9" i="1"/>
  <c r="J10" i="1"/>
  <c r="J11" i="1"/>
  <c r="J12" i="1"/>
  <c r="J17" i="1"/>
  <c r="J19" i="1"/>
  <c r="J23" i="1"/>
  <c r="J27" i="1"/>
  <c r="J31" i="1"/>
  <c r="J5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5" i="1"/>
  <c r="B11" i="1"/>
  <c r="B12" i="1"/>
  <c r="B13" i="1"/>
  <c r="B14" i="1"/>
  <c r="B15" i="1"/>
  <c r="B16" i="1"/>
  <c r="B17" i="1"/>
  <c r="B18" i="1"/>
  <c r="B19" i="1"/>
  <c r="B20" i="1"/>
  <c r="B21" i="1"/>
  <c r="B10" i="1"/>
  <c r="B6" i="1"/>
  <c r="B7" i="1"/>
  <c r="B8" i="1"/>
  <c r="B9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5" i="1"/>
  <c r="I62" i="1"/>
  <c r="Y62" i="1" s="1"/>
  <c r="I61" i="1"/>
  <c r="Y61" i="1" s="1"/>
  <c r="I60" i="1"/>
  <c r="J60" i="1" s="1"/>
  <c r="I59" i="1"/>
  <c r="J59" i="1" s="1"/>
  <c r="I58" i="1"/>
  <c r="J58" i="1" s="1"/>
  <c r="I57" i="1"/>
  <c r="Y57" i="1" s="1"/>
  <c r="I56" i="1"/>
  <c r="Y56" i="1" s="1"/>
  <c r="I55" i="1"/>
  <c r="J55" i="1" s="1"/>
  <c r="I54" i="1"/>
  <c r="Y54" i="1" s="1"/>
  <c r="I53" i="1"/>
  <c r="Y53" i="1" s="1"/>
  <c r="I52" i="1"/>
  <c r="J52" i="1" s="1"/>
  <c r="I51" i="1"/>
  <c r="J51" i="1" s="1"/>
  <c r="I50" i="1"/>
  <c r="J50" i="1" s="1"/>
  <c r="I49" i="1"/>
  <c r="Y49" i="1" s="1"/>
  <c r="I48" i="1"/>
  <c r="Y48" i="1" s="1"/>
  <c r="I47" i="1"/>
  <c r="J47" i="1" s="1"/>
  <c r="I46" i="1"/>
  <c r="Y46" i="1" s="1"/>
  <c r="I45" i="1"/>
  <c r="Y45" i="1" s="1"/>
  <c r="I44" i="1"/>
  <c r="J44" i="1" s="1"/>
  <c r="I43" i="1"/>
  <c r="J43" i="1" s="1"/>
  <c r="I42" i="1"/>
  <c r="J42" i="1" s="1"/>
  <c r="I41" i="1"/>
  <c r="Y41" i="1" s="1"/>
  <c r="I40" i="1"/>
  <c r="Y40" i="1" s="1"/>
  <c r="I39" i="1"/>
  <c r="J39" i="1" s="1"/>
  <c r="I38" i="1"/>
  <c r="Y38" i="1" s="1"/>
  <c r="I37" i="1"/>
  <c r="Y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I30" i="1"/>
  <c r="Y30" i="1" s="1"/>
  <c r="I29" i="1"/>
  <c r="J29" i="1" s="1"/>
  <c r="I28" i="1"/>
  <c r="J28" i="1" s="1"/>
  <c r="I27" i="1"/>
  <c r="Y27" i="1" s="1"/>
  <c r="I26" i="1"/>
  <c r="Y26" i="1" s="1"/>
  <c r="I25" i="1"/>
  <c r="J25" i="1" s="1"/>
  <c r="I24" i="1"/>
  <c r="J24" i="1" s="1"/>
  <c r="I23" i="1"/>
  <c r="I22" i="1"/>
  <c r="Y22" i="1" s="1"/>
  <c r="I21" i="1"/>
  <c r="J21" i="1" s="1"/>
  <c r="I20" i="1"/>
  <c r="J20" i="1" s="1"/>
  <c r="I19" i="1"/>
  <c r="Y19" i="1" s="1"/>
  <c r="I18" i="1"/>
  <c r="Y18" i="1" s="1"/>
  <c r="I15" i="1"/>
  <c r="Y15" i="1" s="1"/>
  <c r="I16" i="1"/>
  <c r="J16" i="1" s="1"/>
  <c r="I17" i="1"/>
  <c r="Y17" i="1" s="1"/>
  <c r="I14" i="1"/>
  <c r="Y14" i="1" s="1"/>
  <c r="I13" i="1"/>
  <c r="J13" i="1" s="1"/>
  <c r="J15" i="1" l="1"/>
  <c r="J57" i="1"/>
  <c r="J49" i="1"/>
  <c r="J41" i="1"/>
  <c r="Y33" i="1"/>
  <c r="Y29" i="1"/>
  <c r="Y25" i="1"/>
  <c r="Y21" i="1"/>
  <c r="Y13" i="1"/>
  <c r="J40" i="1"/>
  <c r="J30" i="1"/>
  <c r="J14" i="1"/>
  <c r="Y60" i="1"/>
  <c r="Y52" i="1"/>
  <c r="Y44" i="1"/>
  <c r="Y36" i="1"/>
  <c r="Y32" i="1"/>
  <c r="Y28" i="1"/>
  <c r="Y24" i="1"/>
  <c r="Y20" i="1"/>
  <c r="Y16" i="1"/>
  <c r="J22" i="1"/>
  <c r="J62" i="1"/>
  <c r="J54" i="1"/>
  <c r="J46" i="1"/>
  <c r="J38" i="1"/>
  <c r="Y43" i="1"/>
  <c r="Y35" i="1"/>
  <c r="J26" i="1"/>
  <c r="J18" i="1"/>
  <c r="Y58" i="1"/>
  <c r="Y50" i="1"/>
  <c r="Y42" i="1"/>
  <c r="Y34" i="1"/>
</calcChain>
</file>

<file path=xl/sharedStrings.xml><?xml version="1.0" encoding="utf-8"?>
<sst xmlns="http://schemas.openxmlformats.org/spreadsheetml/2006/main" count="25" uniqueCount="21">
  <si>
    <t>Kennlinie Vakuumdiode</t>
  </si>
  <si>
    <t>Heizspannung = 6.5V</t>
  </si>
  <si>
    <t>Ua</t>
  </si>
  <si>
    <t>Ia</t>
  </si>
  <si>
    <t>Heizspannung = 7.5 V</t>
  </si>
  <si>
    <t>Sättigungssspannung 499.74V</t>
  </si>
  <si>
    <t>Uh</t>
  </si>
  <si>
    <t>Ia in mA</t>
  </si>
  <si>
    <t>Ua in V</t>
  </si>
  <si>
    <t>I^(2/3)</t>
  </si>
  <si>
    <t>U</t>
  </si>
  <si>
    <t>6,5V(2/3)</t>
  </si>
  <si>
    <t>7,5V</t>
  </si>
  <si>
    <t>u</t>
  </si>
  <si>
    <t>I</t>
  </si>
  <si>
    <t>T</t>
  </si>
  <si>
    <t>Ln(I/T^2C)</t>
  </si>
  <si>
    <t>1/T</t>
  </si>
  <si>
    <t>Ub-Uk</t>
  </si>
  <si>
    <t>IA</t>
  </si>
  <si>
    <t>6,5V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</si>
</sst>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0.000"/>
    <numFmt numFmtId="166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"/>
  <sheetViews>
    <sheetView tabSelected="1" topLeftCell="K13" workbookViewId="0">
      <selection activeCell="AE5" sqref="AE5:AF62"/>
    </sheetView>
  </sheetViews>
  <sheetFormatPr baseColWidth="10" defaultColWidth="8.85546875" defaultRowHeight="15" x14ac:dyDescent="0.25"/>
  <cols>
    <col min="2" max="2" width="9.28515625" bestFit="1" customWidth="1"/>
    <col min="8" max="8" width="8.85546875" customWidth="1"/>
  </cols>
  <sheetData>
    <row r="1" spans="1:32" x14ac:dyDescent="0.25">
      <c r="A1" t="s">
        <v>0</v>
      </c>
    </row>
    <row r="2" spans="1:32" x14ac:dyDescent="0.25">
      <c r="A2" t="s">
        <v>1</v>
      </c>
      <c r="F2" t="s">
        <v>4</v>
      </c>
      <c r="L2" t="s">
        <v>5</v>
      </c>
      <c r="U2" t="s">
        <v>11</v>
      </c>
      <c r="X2" t="s">
        <v>12</v>
      </c>
      <c r="AB2" t="s">
        <v>20</v>
      </c>
      <c r="AE2" t="s">
        <v>12</v>
      </c>
    </row>
    <row r="4" spans="1:32" x14ac:dyDescent="0.25">
      <c r="A4" t="s">
        <v>8</v>
      </c>
      <c r="C4" t="s">
        <v>7</v>
      </c>
      <c r="F4" t="s">
        <v>2</v>
      </c>
      <c r="I4" t="s">
        <v>3</v>
      </c>
      <c r="L4" t="s">
        <v>6</v>
      </c>
      <c r="N4" t="s">
        <v>3</v>
      </c>
      <c r="P4" t="s">
        <v>15</v>
      </c>
      <c r="Q4" t="s">
        <v>16</v>
      </c>
      <c r="R4" t="s">
        <v>17</v>
      </c>
      <c r="U4" t="s">
        <v>10</v>
      </c>
      <c r="V4" t="s">
        <v>9</v>
      </c>
      <c r="X4" t="s">
        <v>13</v>
      </c>
      <c r="Y4" t="s">
        <v>14</v>
      </c>
      <c r="AB4" t="s">
        <v>18</v>
      </c>
      <c r="AC4" t="s">
        <v>19</v>
      </c>
      <c r="AE4" t="s">
        <v>18</v>
      </c>
      <c r="AF4" t="s">
        <v>19</v>
      </c>
    </row>
    <row r="5" spans="1:32" x14ac:dyDescent="0.25">
      <c r="A5">
        <v>-501.3</v>
      </c>
      <c r="B5" s="2">
        <f>A5*0.00025+0.00005*1000</f>
        <v>-7.5324999999999989E-2</v>
      </c>
      <c r="C5">
        <v>2.9999999999999997E-4</v>
      </c>
      <c r="D5">
        <f>C5*0.0005+0.00015*10</f>
        <v>1.5001499999999998E-3</v>
      </c>
      <c r="F5">
        <v>-500.04</v>
      </c>
      <c r="G5" s="2">
        <f>F5*0.00025+0.00005*1000</f>
        <v>-7.5010000000000007E-2</v>
      </c>
      <c r="I5">
        <v>2.9999999999999997E-4</v>
      </c>
      <c r="J5">
        <f>I5*0.0005+0.00015*10</f>
        <v>1.5001499999999998E-3</v>
      </c>
      <c r="L5">
        <v>5.0091999999999999</v>
      </c>
      <c r="M5">
        <f>0.00025*L5+0.00005*10</f>
        <v>1.7523E-3</v>
      </c>
      <c r="N5">
        <v>0.59319999999999995</v>
      </c>
      <c r="O5">
        <f>0.0005*N5+0.00015*10</f>
        <v>1.7965999999999998E-3</v>
      </c>
      <c r="P5">
        <f>1616+97*L5</f>
        <v>2101.8924000000002</v>
      </c>
      <c r="Q5">
        <f>LN(N5/(P5^2*1.2*1000000))</f>
        <v>-29.821242505042978</v>
      </c>
      <c r="R5">
        <f>1/P5</f>
        <v>4.7576174689056394E-4</v>
      </c>
      <c r="U5">
        <f>A5</f>
        <v>-501.3</v>
      </c>
      <c r="V5">
        <f>C5^(2/3)</f>
        <v>4.4814047465571672E-3</v>
      </c>
      <c r="X5">
        <f>F5</f>
        <v>-500.04</v>
      </c>
      <c r="Y5">
        <f>I5^(2/3)</f>
        <v>4.4814047465571672E-3</v>
      </c>
      <c r="AB5">
        <f>A5+2.52764</f>
        <v>-498.77235999999999</v>
      </c>
      <c r="AC5">
        <f>C5</f>
        <v>2.9999999999999997E-4</v>
      </c>
      <c r="AE5">
        <f>F5+2.89298</f>
        <v>-497.14702</v>
      </c>
      <c r="AF5">
        <f>I5</f>
        <v>2.9999999999999997E-4</v>
      </c>
    </row>
    <row r="6" spans="1:32" x14ac:dyDescent="0.25">
      <c r="A6">
        <v>-399.69</v>
      </c>
      <c r="B6" s="2">
        <f t="shared" ref="B6:B61" si="0">A6*0.00025+0.00005*1000</f>
        <v>-4.9922499999999995E-2</v>
      </c>
      <c r="C6">
        <v>2.0000000000000001E-4</v>
      </c>
      <c r="D6">
        <f t="shared" ref="D6:D61" si="1">C6*0.0005+0.00015*10</f>
        <v>1.5000999999999999E-3</v>
      </c>
      <c r="F6">
        <v>-400.95</v>
      </c>
      <c r="G6" s="2">
        <f t="shared" ref="G6:G62" si="2">F6*0.00025+0.00005*1000</f>
        <v>-5.023749999999999E-2</v>
      </c>
      <c r="I6">
        <v>2.0000000000000001E-4</v>
      </c>
      <c r="J6">
        <f t="shared" ref="J6:J32" si="3">I6*0.0005+0.00015*10</f>
        <v>1.5000999999999999E-3</v>
      </c>
      <c r="L6">
        <v>5.0960000000000001</v>
      </c>
      <c r="M6">
        <f t="shared" ref="M6:M25" si="4">0.00025*L6+0.00005*10</f>
        <v>1.774E-3</v>
      </c>
      <c r="N6">
        <v>0.70120000000000005</v>
      </c>
      <c r="O6">
        <f t="shared" ref="O6:O22" si="5">0.0005*N6+0.00015*10</f>
        <v>1.8505999999999998E-3</v>
      </c>
      <c r="P6">
        <f t="shared" ref="P6:P25" si="6">1616+97*L6</f>
        <v>2110.3119999999999</v>
      </c>
      <c r="Q6">
        <f t="shared" ref="Q6:Q25" si="7">LN(N6/(P6^2*1.2*1000000))</f>
        <v>-29.661976406368083</v>
      </c>
      <c r="R6">
        <f t="shared" ref="R6:R25" si="8">1/P6</f>
        <v>4.7386358036157687E-4</v>
      </c>
      <c r="U6">
        <f t="shared" ref="U6:U61" si="9">A6</f>
        <v>-399.69</v>
      </c>
      <c r="V6">
        <f t="shared" ref="V6:V61" si="10">C6^(2/3)</f>
        <v>3.4199518933533931E-3</v>
      </c>
      <c r="X6">
        <f t="shared" ref="X6:X62" si="11">F6</f>
        <v>-400.95</v>
      </c>
      <c r="Y6">
        <f t="shared" ref="Y6:Y62" si="12">I6^(2/3)</f>
        <v>3.4199518933533931E-3</v>
      </c>
      <c r="AB6">
        <f t="shared" ref="AB6:AB61" si="13">A6+2.52764</f>
        <v>-397.16235999999998</v>
      </c>
      <c r="AC6">
        <f t="shared" ref="AC6:AC61" si="14">C6</f>
        <v>2.0000000000000001E-4</v>
      </c>
      <c r="AE6">
        <f t="shared" ref="AE6:AE62" si="15">F6+2.89298</f>
        <v>-398.05701999999997</v>
      </c>
      <c r="AF6">
        <f t="shared" ref="AF6:AF62" si="16">I6</f>
        <v>2.0000000000000001E-4</v>
      </c>
    </row>
    <row r="7" spans="1:32" x14ac:dyDescent="0.25">
      <c r="A7">
        <v>-301.72000000000003</v>
      </c>
      <c r="B7" s="2">
        <f t="shared" si="0"/>
        <v>-2.5430000000000008E-2</v>
      </c>
      <c r="C7">
        <v>2.0000000000000001E-4</v>
      </c>
      <c r="D7">
        <f t="shared" si="1"/>
        <v>1.5000999999999999E-3</v>
      </c>
      <c r="F7">
        <v>-301.48</v>
      </c>
      <c r="G7" s="2">
        <f t="shared" si="2"/>
        <v>-2.5370000000000004E-2</v>
      </c>
      <c r="I7">
        <v>2.0000000000000001E-4</v>
      </c>
      <c r="J7">
        <f t="shared" si="3"/>
        <v>1.5000999999999999E-3</v>
      </c>
      <c r="L7">
        <v>5.2030000000000003</v>
      </c>
      <c r="M7">
        <f t="shared" si="4"/>
        <v>1.8007500000000001E-3</v>
      </c>
      <c r="N7">
        <v>0.86499999999999999</v>
      </c>
      <c r="O7">
        <f t="shared" si="5"/>
        <v>1.9324999999999998E-3</v>
      </c>
      <c r="P7">
        <f t="shared" si="6"/>
        <v>2120.6909999999998</v>
      </c>
      <c r="Q7">
        <f t="shared" si="7"/>
        <v>-29.461852402717039</v>
      </c>
      <c r="R7">
        <f t="shared" si="8"/>
        <v>4.7154441641898801E-4</v>
      </c>
      <c r="U7">
        <f t="shared" si="9"/>
        <v>-301.72000000000003</v>
      </c>
      <c r="V7">
        <f t="shared" si="10"/>
        <v>3.4199518933533931E-3</v>
      </c>
      <c r="X7">
        <f t="shared" si="11"/>
        <v>-301.48</v>
      </c>
      <c r="Y7">
        <f t="shared" si="12"/>
        <v>3.4199518933533931E-3</v>
      </c>
      <c r="AB7">
        <f t="shared" si="13"/>
        <v>-299.19236000000001</v>
      </c>
      <c r="AC7">
        <f t="shared" si="14"/>
        <v>2.0000000000000001E-4</v>
      </c>
      <c r="AE7">
        <f t="shared" si="15"/>
        <v>-298.58702</v>
      </c>
      <c r="AF7">
        <f t="shared" si="16"/>
        <v>2.0000000000000001E-4</v>
      </c>
    </row>
    <row r="8" spans="1:32" x14ac:dyDescent="0.25">
      <c r="A8">
        <v>-200.7</v>
      </c>
      <c r="B8" s="1">
        <f t="shared" si="0"/>
        <v>-1.749999999999946E-4</v>
      </c>
      <c r="C8">
        <v>2.0000000000000001E-4</v>
      </c>
      <c r="D8">
        <f t="shared" si="1"/>
        <v>1.5000999999999999E-3</v>
      </c>
      <c r="F8">
        <v>-199.34</v>
      </c>
      <c r="G8" s="1">
        <f t="shared" si="2"/>
        <v>1.6499999999999848E-4</v>
      </c>
      <c r="I8">
        <v>2.0000000000000001E-4</v>
      </c>
      <c r="J8">
        <f t="shared" si="3"/>
        <v>1.5000999999999999E-3</v>
      </c>
      <c r="L8">
        <v>5.3003999999999998</v>
      </c>
      <c r="M8">
        <f t="shared" si="4"/>
        <v>1.8251000000000001E-3</v>
      </c>
      <c r="N8">
        <v>1.0406</v>
      </c>
      <c r="O8">
        <f t="shared" si="5"/>
        <v>2.0203E-3</v>
      </c>
      <c r="P8">
        <f t="shared" si="6"/>
        <v>2130.1387999999997</v>
      </c>
      <c r="Q8">
        <f t="shared" si="7"/>
        <v>-29.285919486683397</v>
      </c>
      <c r="R8">
        <f t="shared" si="8"/>
        <v>4.6945297649148503E-4</v>
      </c>
      <c r="U8">
        <f t="shared" si="9"/>
        <v>-200.7</v>
      </c>
      <c r="V8">
        <f t="shared" si="10"/>
        <v>3.4199518933533931E-3</v>
      </c>
      <c r="X8">
        <f t="shared" si="11"/>
        <v>-199.34</v>
      </c>
      <c r="Y8">
        <f t="shared" si="12"/>
        <v>3.4199518933533931E-3</v>
      </c>
      <c r="AB8">
        <f t="shared" si="13"/>
        <v>-198.17236</v>
      </c>
      <c r="AC8">
        <f t="shared" si="14"/>
        <v>2.0000000000000001E-4</v>
      </c>
      <c r="AE8">
        <f t="shared" si="15"/>
        <v>-196.44702000000001</v>
      </c>
      <c r="AF8">
        <f t="shared" si="16"/>
        <v>2.0000000000000001E-4</v>
      </c>
    </row>
    <row r="9" spans="1:32" x14ac:dyDescent="0.25">
      <c r="A9">
        <v>-99.61</v>
      </c>
      <c r="B9" s="2">
        <f t="shared" si="0"/>
        <v>2.5097500000000002E-2</v>
      </c>
      <c r="C9">
        <v>1E-4</v>
      </c>
      <c r="D9">
        <f t="shared" si="1"/>
        <v>1.5000499999999997E-3</v>
      </c>
      <c r="F9">
        <v>-100.21</v>
      </c>
      <c r="G9" s="2">
        <f t="shared" si="2"/>
        <v>2.4947500000000004E-2</v>
      </c>
      <c r="I9">
        <v>1E-4</v>
      </c>
      <c r="J9">
        <f t="shared" si="3"/>
        <v>1.5000499999999997E-3</v>
      </c>
      <c r="L9">
        <v>5.4023000000000003</v>
      </c>
      <c r="M9">
        <f t="shared" si="4"/>
        <v>1.8505750000000001E-3</v>
      </c>
      <c r="N9">
        <v>1.2585</v>
      </c>
      <c r="O9">
        <f t="shared" si="5"/>
        <v>2.1292500000000001E-3</v>
      </c>
      <c r="P9">
        <f t="shared" si="6"/>
        <v>2140.0230999999999</v>
      </c>
      <c r="Q9">
        <f t="shared" si="7"/>
        <v>-29.105055383865317</v>
      </c>
      <c r="R9">
        <f t="shared" si="8"/>
        <v>4.6728467557195997E-4</v>
      </c>
      <c r="U9">
        <f t="shared" si="9"/>
        <v>-99.61</v>
      </c>
      <c r="V9">
        <f t="shared" si="10"/>
        <v>2.1544346900318864E-3</v>
      </c>
      <c r="X9">
        <f t="shared" si="11"/>
        <v>-100.21</v>
      </c>
      <c r="Y9">
        <f t="shared" si="12"/>
        <v>2.1544346900318864E-3</v>
      </c>
      <c r="AB9">
        <f t="shared" si="13"/>
        <v>-97.082359999999994</v>
      </c>
      <c r="AC9">
        <f t="shared" si="14"/>
        <v>1E-4</v>
      </c>
      <c r="AE9">
        <f t="shared" si="15"/>
        <v>-97.317019999999999</v>
      </c>
      <c r="AF9">
        <f t="shared" si="16"/>
        <v>1E-4</v>
      </c>
    </row>
    <row r="10" spans="1:32" x14ac:dyDescent="0.25">
      <c r="A10">
        <v>-2.04</v>
      </c>
      <c r="B10" s="4">
        <f>A10*0.00025+0.00005*100</f>
        <v>4.4900000000000001E-3</v>
      </c>
      <c r="C10">
        <v>1E-4</v>
      </c>
      <c r="D10">
        <f t="shared" si="1"/>
        <v>1.5000499999999997E-3</v>
      </c>
      <c r="F10">
        <v>-2.0710000000000002</v>
      </c>
      <c r="G10" s="4">
        <f>F10*0.00025+0.00005*100</f>
        <v>4.4822500000000001E-3</v>
      </c>
      <c r="I10">
        <v>1E-4</v>
      </c>
      <c r="J10">
        <f t="shared" si="3"/>
        <v>1.5000499999999997E-3</v>
      </c>
      <c r="L10">
        <v>5.5016999999999996</v>
      </c>
      <c r="M10">
        <f t="shared" si="4"/>
        <v>1.875425E-3</v>
      </c>
      <c r="N10">
        <v>1.5019</v>
      </c>
      <c r="O10">
        <f t="shared" si="5"/>
        <v>2.2509499999999998E-3</v>
      </c>
      <c r="P10">
        <f t="shared" si="6"/>
        <v>2149.6648999999998</v>
      </c>
      <c r="Q10">
        <f t="shared" si="7"/>
        <v>-28.937235638547005</v>
      </c>
      <c r="R10">
        <f t="shared" si="8"/>
        <v>4.6518878360994782E-4</v>
      </c>
      <c r="U10">
        <f t="shared" si="9"/>
        <v>-2.04</v>
      </c>
      <c r="V10">
        <f t="shared" si="10"/>
        <v>2.1544346900318864E-3</v>
      </c>
      <c r="X10">
        <f t="shared" si="11"/>
        <v>-2.0710000000000002</v>
      </c>
      <c r="Y10">
        <f t="shared" si="12"/>
        <v>2.1544346900318864E-3</v>
      </c>
      <c r="AB10">
        <f t="shared" si="13"/>
        <v>0.48763999999999985</v>
      </c>
      <c r="AC10">
        <f t="shared" si="14"/>
        <v>1E-4</v>
      </c>
      <c r="AE10">
        <f t="shared" si="15"/>
        <v>0.82197999999999993</v>
      </c>
      <c r="AF10">
        <f t="shared" si="16"/>
        <v>1E-4</v>
      </c>
    </row>
    <row r="11" spans="1:32" x14ac:dyDescent="0.25">
      <c r="A11">
        <v>1.9610000000000001</v>
      </c>
      <c r="B11" s="4">
        <f t="shared" ref="B11:B21" si="17">A11*0.00025+0.00005*100</f>
        <v>5.4902500000000003E-3</v>
      </c>
      <c r="C11">
        <v>2.0899999999999998E-2</v>
      </c>
      <c r="D11">
        <f t="shared" si="1"/>
        <v>1.5104499999999998E-3</v>
      </c>
      <c r="F11">
        <v>1.9830000000000001</v>
      </c>
      <c r="G11" s="4">
        <f t="shared" ref="G11:G21" si="18">F11*0.00025+0.00005*100</f>
        <v>5.4957499999999998E-3</v>
      </c>
      <c r="I11">
        <v>2.58E-2</v>
      </c>
      <c r="J11">
        <f t="shared" si="3"/>
        <v>1.5128999999999997E-3</v>
      </c>
      <c r="L11">
        <v>5.6029999999999998</v>
      </c>
      <c r="M11">
        <f t="shared" si="4"/>
        <v>1.9007499999999999E-3</v>
      </c>
      <c r="N11">
        <v>1.7887999999999999</v>
      </c>
      <c r="O11">
        <f t="shared" si="5"/>
        <v>2.3943999999999997E-3</v>
      </c>
      <c r="P11">
        <f t="shared" si="6"/>
        <v>2159.491</v>
      </c>
      <c r="Q11">
        <f t="shared" si="7"/>
        <v>-28.771542760300935</v>
      </c>
      <c r="R11">
        <f t="shared" si="8"/>
        <v>4.6307208504226227E-4</v>
      </c>
      <c r="U11">
        <f t="shared" si="9"/>
        <v>1.9610000000000001</v>
      </c>
      <c r="V11">
        <f t="shared" si="10"/>
        <v>7.5874793842459307E-2</v>
      </c>
      <c r="X11">
        <f t="shared" si="11"/>
        <v>1.9830000000000001</v>
      </c>
      <c r="Y11">
        <f t="shared" si="12"/>
        <v>8.7313179636909252E-2</v>
      </c>
      <c r="AB11">
        <f t="shared" si="13"/>
        <v>4.4886400000000002</v>
      </c>
      <c r="AC11">
        <f t="shared" si="14"/>
        <v>2.0899999999999998E-2</v>
      </c>
      <c r="AE11">
        <f t="shared" si="15"/>
        <v>4.8759800000000002</v>
      </c>
      <c r="AF11">
        <f t="shared" si="16"/>
        <v>2.58E-2</v>
      </c>
    </row>
    <row r="12" spans="1:32" x14ac:dyDescent="0.25">
      <c r="A12">
        <v>9.5990000000000002</v>
      </c>
      <c r="B12" s="4">
        <f t="shared" si="17"/>
        <v>7.3997500000000001E-3</v>
      </c>
      <c r="C12">
        <v>0.14940000000000001</v>
      </c>
      <c r="D12">
        <f t="shared" si="1"/>
        <v>1.5746999999999998E-3</v>
      </c>
      <c r="F12">
        <v>10.502000000000001</v>
      </c>
      <c r="G12" s="4">
        <f t="shared" si="18"/>
        <v>7.6255000000000003E-3</v>
      </c>
      <c r="I12">
        <v>0.1852</v>
      </c>
      <c r="J12">
        <f t="shared" si="3"/>
        <v>1.5925999999999998E-3</v>
      </c>
      <c r="L12">
        <v>5.6905999999999999</v>
      </c>
      <c r="M12">
        <f t="shared" si="4"/>
        <v>1.9226499999999999E-3</v>
      </c>
      <c r="N12">
        <v>2.0832999999999999</v>
      </c>
      <c r="O12">
        <f t="shared" si="5"/>
        <v>2.5416499999999999E-3</v>
      </c>
      <c r="P12">
        <f t="shared" si="6"/>
        <v>2167.9881999999998</v>
      </c>
      <c r="Q12">
        <f t="shared" si="7"/>
        <v>-28.626988779286624</v>
      </c>
      <c r="R12">
        <f t="shared" si="8"/>
        <v>4.6125712307843749E-4</v>
      </c>
      <c r="U12">
        <f t="shared" si="9"/>
        <v>9.5990000000000002</v>
      </c>
      <c r="V12">
        <f t="shared" si="10"/>
        <v>0.2815574770609926</v>
      </c>
      <c r="X12">
        <f t="shared" si="11"/>
        <v>10.502000000000001</v>
      </c>
      <c r="Y12">
        <f t="shared" si="12"/>
        <v>0.32490818708292707</v>
      </c>
      <c r="AB12">
        <f t="shared" si="13"/>
        <v>12.12664</v>
      </c>
      <c r="AC12">
        <f t="shared" si="14"/>
        <v>0.14940000000000001</v>
      </c>
      <c r="AE12">
        <f t="shared" si="15"/>
        <v>13.39498</v>
      </c>
      <c r="AF12">
        <f t="shared" si="16"/>
        <v>0.1852</v>
      </c>
    </row>
    <row r="13" spans="1:32" x14ac:dyDescent="0.25">
      <c r="A13">
        <v>20.434000000000001</v>
      </c>
      <c r="B13" s="2">
        <f t="shared" si="17"/>
        <v>1.0108499999999999E-2</v>
      </c>
      <c r="C13">
        <v>0.38419999999999999</v>
      </c>
      <c r="D13">
        <f t="shared" si="1"/>
        <v>1.6920999999999998E-3</v>
      </c>
      <c r="F13">
        <v>20.523</v>
      </c>
      <c r="G13" s="2">
        <f t="shared" si="18"/>
        <v>1.0130750000000001E-2</v>
      </c>
      <c r="H13">
        <v>4205</v>
      </c>
      <c r="I13">
        <f>H13/10000</f>
        <v>0.42049999999999998</v>
      </c>
      <c r="J13">
        <f t="shared" si="3"/>
        <v>1.7102499999999997E-3</v>
      </c>
      <c r="L13">
        <v>5.8075000000000001</v>
      </c>
      <c r="M13">
        <f t="shared" si="4"/>
        <v>1.9518750000000001E-3</v>
      </c>
      <c r="N13">
        <v>2.5341999999999998</v>
      </c>
      <c r="O13">
        <f t="shared" si="5"/>
        <v>2.7670999999999998E-3</v>
      </c>
      <c r="P13">
        <f t="shared" si="6"/>
        <v>2179.3274999999999</v>
      </c>
      <c r="Q13">
        <f t="shared" si="7"/>
        <v>-28.441497353281427</v>
      </c>
      <c r="R13">
        <f t="shared" si="8"/>
        <v>4.5885714744571434E-4</v>
      </c>
      <c r="U13">
        <f t="shared" si="9"/>
        <v>20.434000000000001</v>
      </c>
      <c r="V13">
        <f t="shared" si="10"/>
        <v>0.5284917843058955</v>
      </c>
      <c r="X13">
        <f t="shared" si="11"/>
        <v>20.523</v>
      </c>
      <c r="Y13">
        <f t="shared" si="12"/>
        <v>0.56127711289103055</v>
      </c>
      <c r="AB13">
        <f t="shared" si="13"/>
        <v>22.961640000000003</v>
      </c>
      <c r="AC13">
        <f t="shared" si="14"/>
        <v>0.38419999999999999</v>
      </c>
      <c r="AE13">
        <f t="shared" si="15"/>
        <v>23.415980000000001</v>
      </c>
      <c r="AF13">
        <f t="shared" si="16"/>
        <v>0.42049999999999998</v>
      </c>
    </row>
    <row r="14" spans="1:32" x14ac:dyDescent="0.25">
      <c r="A14">
        <v>30.387</v>
      </c>
      <c r="B14" s="2">
        <f t="shared" si="17"/>
        <v>1.259675E-2</v>
      </c>
      <c r="C14">
        <v>0.6653</v>
      </c>
      <c r="D14">
        <f t="shared" si="1"/>
        <v>1.8326499999999999E-3</v>
      </c>
      <c r="F14">
        <v>29.783999999999999</v>
      </c>
      <c r="G14" s="2">
        <f t="shared" si="18"/>
        <v>1.2445999999999999E-2</v>
      </c>
      <c r="H14">
        <v>6931</v>
      </c>
      <c r="I14">
        <f t="shared" ref="I14" si="19">H14/10000</f>
        <v>0.69310000000000005</v>
      </c>
      <c r="J14">
        <f t="shared" si="3"/>
        <v>1.8465499999999998E-3</v>
      </c>
      <c r="L14">
        <v>5.8966000000000003</v>
      </c>
      <c r="M14">
        <f t="shared" si="4"/>
        <v>1.97415E-3</v>
      </c>
      <c r="N14">
        <v>2.9302000000000001</v>
      </c>
      <c r="O14">
        <f t="shared" si="5"/>
        <v>2.9651E-3</v>
      </c>
      <c r="P14">
        <f t="shared" si="6"/>
        <v>2187.9701999999997</v>
      </c>
      <c r="Q14">
        <f t="shared" si="7"/>
        <v>-28.304220522083281</v>
      </c>
      <c r="R14">
        <f t="shared" si="8"/>
        <v>4.5704461605555692E-4</v>
      </c>
      <c r="U14">
        <f t="shared" si="9"/>
        <v>30.387</v>
      </c>
      <c r="V14">
        <f t="shared" si="10"/>
        <v>0.7620995098330875</v>
      </c>
      <c r="X14">
        <f t="shared" si="11"/>
        <v>29.783999999999999</v>
      </c>
      <c r="Y14">
        <f t="shared" si="12"/>
        <v>0.78318422734130555</v>
      </c>
      <c r="AB14">
        <f t="shared" si="13"/>
        <v>32.914639999999999</v>
      </c>
      <c r="AC14">
        <f t="shared" si="14"/>
        <v>0.6653</v>
      </c>
      <c r="AE14">
        <f t="shared" si="15"/>
        <v>32.67698</v>
      </c>
      <c r="AF14">
        <f t="shared" si="16"/>
        <v>0.69310000000000005</v>
      </c>
    </row>
    <row r="15" spans="1:32" x14ac:dyDescent="0.25">
      <c r="A15">
        <v>39.124000000000002</v>
      </c>
      <c r="B15" s="2">
        <f t="shared" si="17"/>
        <v>1.4781000000000002E-2</v>
      </c>
      <c r="C15">
        <v>0.94079999999999997</v>
      </c>
      <c r="D15">
        <f t="shared" si="1"/>
        <v>1.9703999999999998E-3</v>
      </c>
      <c r="F15">
        <v>41.073</v>
      </c>
      <c r="G15" s="2">
        <f t="shared" si="18"/>
        <v>1.5268250000000001E-2</v>
      </c>
      <c r="H15">
        <v>850</v>
      </c>
      <c r="I15">
        <f>H15/10000+1</f>
        <v>1.085</v>
      </c>
      <c r="J15">
        <f t="shared" si="3"/>
        <v>2.0425E-3</v>
      </c>
      <c r="L15">
        <v>6.0039999999999996</v>
      </c>
      <c r="M15">
        <f t="shared" si="4"/>
        <v>2.0010000000000002E-3</v>
      </c>
      <c r="N15">
        <v>3.3805999999999998</v>
      </c>
      <c r="O15">
        <f t="shared" si="5"/>
        <v>3.1903000000000001E-3</v>
      </c>
      <c r="P15">
        <f t="shared" si="6"/>
        <v>2198.3879999999999</v>
      </c>
      <c r="Q15">
        <f t="shared" si="7"/>
        <v>-28.170738193219986</v>
      </c>
      <c r="R15">
        <f t="shared" si="8"/>
        <v>4.5487875661621156E-4</v>
      </c>
      <c r="U15">
        <f t="shared" si="9"/>
        <v>39.124000000000002</v>
      </c>
      <c r="V15">
        <f t="shared" si="10"/>
        <v>0.96013331481910025</v>
      </c>
      <c r="X15">
        <f t="shared" si="11"/>
        <v>41.073</v>
      </c>
      <c r="Y15">
        <f t="shared" si="12"/>
        <v>1.0558927926250172</v>
      </c>
      <c r="AB15">
        <f t="shared" si="13"/>
        <v>41.65164</v>
      </c>
      <c r="AC15">
        <f t="shared" si="14"/>
        <v>0.94079999999999997</v>
      </c>
      <c r="AE15">
        <f t="shared" si="15"/>
        <v>43.965980000000002</v>
      </c>
      <c r="AF15">
        <f t="shared" si="16"/>
        <v>1.085</v>
      </c>
    </row>
    <row r="16" spans="1:32" x14ac:dyDescent="0.25">
      <c r="A16">
        <v>50.189</v>
      </c>
      <c r="B16" s="2">
        <f t="shared" si="17"/>
        <v>1.754725E-2</v>
      </c>
      <c r="C16">
        <v>1.3217000000000001</v>
      </c>
      <c r="D16">
        <f t="shared" si="1"/>
        <v>2.1608499999999998E-3</v>
      </c>
      <c r="F16">
        <v>49.457999999999998</v>
      </c>
      <c r="G16" s="2">
        <f t="shared" si="18"/>
        <v>1.7364500000000001E-2</v>
      </c>
      <c r="H16">
        <v>4200</v>
      </c>
      <c r="I16">
        <f t="shared" ref="I16:I17" si="20">H16/10000+1</f>
        <v>1.42</v>
      </c>
      <c r="J16">
        <f t="shared" si="3"/>
        <v>2.2099999999999997E-3</v>
      </c>
      <c r="L16">
        <v>6.0990000000000002</v>
      </c>
      <c r="M16">
        <f t="shared" si="4"/>
        <v>2.0247500000000001E-3</v>
      </c>
      <c r="N16">
        <v>4.0114999999999998</v>
      </c>
      <c r="O16">
        <f t="shared" si="5"/>
        <v>3.5057500000000002E-3</v>
      </c>
      <c r="P16">
        <f t="shared" si="6"/>
        <v>2207.6030000000001</v>
      </c>
      <c r="Q16">
        <f t="shared" si="7"/>
        <v>-28.007992059559175</v>
      </c>
      <c r="R16">
        <f t="shared" si="8"/>
        <v>4.5297999685631879E-4</v>
      </c>
      <c r="U16">
        <f t="shared" si="9"/>
        <v>50.189</v>
      </c>
      <c r="V16">
        <f t="shared" si="10"/>
        <v>1.2043570521375366</v>
      </c>
      <c r="X16">
        <f t="shared" si="11"/>
        <v>49.457999999999998</v>
      </c>
      <c r="Y16">
        <f t="shared" si="12"/>
        <v>1.2633554637362368</v>
      </c>
      <c r="AB16">
        <f t="shared" si="13"/>
        <v>52.716639999999998</v>
      </c>
      <c r="AC16">
        <f t="shared" si="14"/>
        <v>1.3217000000000001</v>
      </c>
      <c r="AE16">
        <f t="shared" si="15"/>
        <v>52.35098</v>
      </c>
      <c r="AF16">
        <f t="shared" si="16"/>
        <v>1.42</v>
      </c>
    </row>
    <row r="17" spans="1:32" x14ac:dyDescent="0.25">
      <c r="A17">
        <v>60.328000000000003</v>
      </c>
      <c r="B17" s="2">
        <f t="shared" si="17"/>
        <v>2.0082000000000003E-2</v>
      </c>
      <c r="C17">
        <v>1.6863999999999999</v>
      </c>
      <c r="D17">
        <f t="shared" si="1"/>
        <v>2.3431999999999997E-3</v>
      </c>
      <c r="F17">
        <v>60.698999999999998</v>
      </c>
      <c r="G17" s="2">
        <f t="shared" si="18"/>
        <v>2.0174749999999998E-2</v>
      </c>
      <c r="H17">
        <v>9018</v>
      </c>
      <c r="I17">
        <f t="shared" si="20"/>
        <v>1.9018000000000002</v>
      </c>
      <c r="J17">
        <f t="shared" si="3"/>
        <v>2.4508999999999998E-3</v>
      </c>
      <c r="L17">
        <v>6.2050000000000001</v>
      </c>
      <c r="M17">
        <f t="shared" si="4"/>
        <v>2.0512500000000001E-3</v>
      </c>
      <c r="N17">
        <v>4.7247000000000003</v>
      </c>
      <c r="O17">
        <f t="shared" si="5"/>
        <v>3.8623499999999996E-3</v>
      </c>
      <c r="P17">
        <f t="shared" si="6"/>
        <v>2217.8850000000002</v>
      </c>
      <c r="Q17">
        <f t="shared" si="7"/>
        <v>-27.853646683999639</v>
      </c>
      <c r="R17">
        <f t="shared" si="8"/>
        <v>4.5088000504985601E-4</v>
      </c>
      <c r="U17">
        <f t="shared" si="9"/>
        <v>60.328000000000003</v>
      </c>
      <c r="V17">
        <f t="shared" si="10"/>
        <v>1.4167951527909033</v>
      </c>
      <c r="X17">
        <f t="shared" si="11"/>
        <v>60.698999999999998</v>
      </c>
      <c r="Y17">
        <f t="shared" si="12"/>
        <v>1.5350053567136503</v>
      </c>
      <c r="AB17">
        <f t="shared" si="13"/>
        <v>62.855640000000001</v>
      </c>
      <c r="AC17">
        <f t="shared" si="14"/>
        <v>1.6863999999999999</v>
      </c>
      <c r="AE17">
        <f t="shared" si="15"/>
        <v>63.59198</v>
      </c>
      <c r="AF17">
        <f t="shared" si="16"/>
        <v>1.9018000000000002</v>
      </c>
    </row>
    <row r="18" spans="1:32" x14ac:dyDescent="0.25">
      <c r="A18">
        <v>70.25</v>
      </c>
      <c r="B18" s="2">
        <f t="shared" si="17"/>
        <v>2.2562500000000003E-2</v>
      </c>
      <c r="C18">
        <v>2.0611000000000002</v>
      </c>
      <c r="D18">
        <f t="shared" si="1"/>
        <v>2.5305499999999999E-3</v>
      </c>
      <c r="F18">
        <v>69.42</v>
      </c>
      <c r="G18" s="2">
        <f t="shared" si="18"/>
        <v>2.2355000000000003E-2</v>
      </c>
      <c r="H18">
        <v>3098</v>
      </c>
      <c r="I18">
        <f>H18/10000+2</f>
        <v>2.3098000000000001</v>
      </c>
      <c r="J18">
        <f t="shared" si="3"/>
        <v>2.6549E-3</v>
      </c>
      <c r="L18">
        <v>6.3041</v>
      </c>
      <c r="M18">
        <f t="shared" si="4"/>
        <v>2.076025E-3</v>
      </c>
      <c r="N18">
        <v>5.4744000000000002</v>
      </c>
      <c r="O18">
        <f t="shared" si="5"/>
        <v>4.2372E-3</v>
      </c>
      <c r="P18">
        <f t="shared" si="6"/>
        <v>2227.4976999999999</v>
      </c>
      <c r="Q18">
        <f t="shared" si="7"/>
        <v>-27.715017687695543</v>
      </c>
      <c r="R18">
        <f t="shared" si="8"/>
        <v>4.4893424581313824E-4</v>
      </c>
      <c r="U18">
        <f t="shared" si="9"/>
        <v>70.25</v>
      </c>
      <c r="V18">
        <f t="shared" si="10"/>
        <v>1.619568702183825</v>
      </c>
      <c r="X18">
        <f t="shared" si="11"/>
        <v>69.42</v>
      </c>
      <c r="Y18">
        <f t="shared" si="12"/>
        <v>1.7473621253710925</v>
      </c>
      <c r="AB18">
        <f t="shared" si="13"/>
        <v>72.777640000000005</v>
      </c>
      <c r="AC18">
        <f t="shared" si="14"/>
        <v>2.0611000000000002</v>
      </c>
      <c r="AE18">
        <f t="shared" si="15"/>
        <v>72.312979999999996</v>
      </c>
      <c r="AF18">
        <f t="shared" si="16"/>
        <v>2.3098000000000001</v>
      </c>
    </row>
    <row r="19" spans="1:32" x14ac:dyDescent="0.25">
      <c r="A19">
        <v>79.734999999999999</v>
      </c>
      <c r="B19" s="2">
        <f t="shared" si="17"/>
        <v>2.4933750000000001E-2</v>
      </c>
      <c r="C19">
        <v>2.4075000000000002</v>
      </c>
      <c r="D19">
        <f t="shared" si="1"/>
        <v>2.70375E-3</v>
      </c>
      <c r="F19">
        <v>79.843999999999994</v>
      </c>
      <c r="G19" s="2">
        <f t="shared" si="18"/>
        <v>2.4961000000000001E-2</v>
      </c>
      <c r="H19">
        <v>8266</v>
      </c>
      <c r="I19">
        <f t="shared" ref="I19" si="21">H19/10000+2</f>
        <v>2.8266</v>
      </c>
      <c r="J19">
        <f t="shared" si="3"/>
        <v>2.9132999999999997E-3</v>
      </c>
      <c r="L19">
        <v>6.4081000000000001</v>
      </c>
      <c r="M19">
        <f t="shared" si="4"/>
        <v>2.102025E-3</v>
      </c>
      <c r="N19">
        <v>6.3602999999999996</v>
      </c>
      <c r="O19">
        <f t="shared" si="5"/>
        <v>4.6801500000000001E-3</v>
      </c>
      <c r="P19">
        <f t="shared" si="6"/>
        <v>2237.5857000000001</v>
      </c>
      <c r="Q19">
        <f t="shared" si="7"/>
        <v>-27.574062070890335</v>
      </c>
      <c r="R19">
        <f t="shared" si="8"/>
        <v>4.4691025688982545E-4</v>
      </c>
      <c r="U19">
        <f t="shared" si="9"/>
        <v>79.734999999999999</v>
      </c>
      <c r="V19">
        <f t="shared" si="10"/>
        <v>1.7962944602207365</v>
      </c>
      <c r="X19">
        <f t="shared" si="11"/>
        <v>79.843999999999994</v>
      </c>
      <c r="Y19">
        <f t="shared" si="12"/>
        <v>1.9991385923750504</v>
      </c>
      <c r="AB19">
        <f t="shared" si="13"/>
        <v>82.262640000000005</v>
      </c>
      <c r="AC19">
        <f t="shared" si="14"/>
        <v>2.4075000000000002</v>
      </c>
      <c r="AE19">
        <f t="shared" si="15"/>
        <v>82.736979999999988</v>
      </c>
      <c r="AF19">
        <f t="shared" si="16"/>
        <v>2.8266</v>
      </c>
    </row>
    <row r="20" spans="1:32" x14ac:dyDescent="0.25">
      <c r="A20">
        <v>90.613</v>
      </c>
      <c r="B20" s="2">
        <f t="shared" si="17"/>
        <v>2.7653250000000001E-2</v>
      </c>
      <c r="C20">
        <v>2.8050999999999999</v>
      </c>
      <c r="D20">
        <f t="shared" si="1"/>
        <v>2.9025499999999998E-3</v>
      </c>
      <c r="F20">
        <v>89.474999999999994</v>
      </c>
      <c r="G20" s="2">
        <f t="shared" si="18"/>
        <v>2.7368750000000001E-2</v>
      </c>
      <c r="H20">
        <v>3270</v>
      </c>
      <c r="I20">
        <f>H20/10000+3</f>
        <v>3.327</v>
      </c>
      <c r="J20">
        <f t="shared" si="3"/>
        <v>3.1634999999999996E-3</v>
      </c>
      <c r="L20">
        <v>6.5010000000000003</v>
      </c>
      <c r="M20">
        <f t="shared" si="4"/>
        <v>2.1252500000000004E-3</v>
      </c>
      <c r="N20">
        <v>7.2618999999999998</v>
      </c>
      <c r="O20">
        <f t="shared" si="5"/>
        <v>5.1309499999999996E-3</v>
      </c>
      <c r="P20">
        <f t="shared" si="6"/>
        <v>2246.5969999999998</v>
      </c>
      <c r="Q20">
        <f t="shared" si="7"/>
        <v>-27.449534423882866</v>
      </c>
      <c r="R20">
        <f t="shared" si="8"/>
        <v>4.4511766017670288E-4</v>
      </c>
      <c r="U20">
        <f t="shared" si="9"/>
        <v>90.613</v>
      </c>
      <c r="V20">
        <f t="shared" si="10"/>
        <v>1.988988316854273</v>
      </c>
      <c r="X20">
        <f t="shared" si="11"/>
        <v>89.474999999999994</v>
      </c>
      <c r="Y20">
        <f t="shared" si="12"/>
        <v>2.2286157764491277</v>
      </c>
      <c r="AB20">
        <f t="shared" si="13"/>
        <v>93.140640000000005</v>
      </c>
      <c r="AC20">
        <f t="shared" si="14"/>
        <v>2.8050999999999999</v>
      </c>
      <c r="AE20">
        <f t="shared" si="15"/>
        <v>92.367979999999989</v>
      </c>
      <c r="AF20">
        <f t="shared" si="16"/>
        <v>3.327</v>
      </c>
    </row>
    <row r="21" spans="1:32" x14ac:dyDescent="0.25">
      <c r="A21">
        <v>99.751999999999995</v>
      </c>
      <c r="B21" s="2">
        <f t="shared" si="17"/>
        <v>2.9937999999999999E-2</v>
      </c>
      <c r="C21">
        <v>3.1448</v>
      </c>
      <c r="D21">
        <f t="shared" si="1"/>
        <v>3.0723999999999999E-3</v>
      </c>
      <c r="F21">
        <v>100.434</v>
      </c>
      <c r="G21" s="2">
        <f t="shared" si="18"/>
        <v>3.01085E-2</v>
      </c>
      <c r="H21">
        <v>9170</v>
      </c>
      <c r="I21">
        <f t="shared" ref="I21" si="22">H21/10000+3</f>
        <v>3.9169999999999998</v>
      </c>
      <c r="J21">
        <f t="shared" si="3"/>
        <v>3.4584999999999998E-3</v>
      </c>
      <c r="L21">
        <v>6.6002000000000001</v>
      </c>
      <c r="M21">
        <f t="shared" si="4"/>
        <v>2.1500500000000001E-3</v>
      </c>
      <c r="N21">
        <v>8.3277000000000001</v>
      </c>
      <c r="O21">
        <f t="shared" si="5"/>
        <v>5.6638499999999998E-3</v>
      </c>
      <c r="P21">
        <f t="shared" si="6"/>
        <v>2256.2194</v>
      </c>
      <c r="Q21">
        <f t="shared" si="7"/>
        <v>-27.321136526473865</v>
      </c>
      <c r="R21">
        <f t="shared" si="8"/>
        <v>4.432193074840151E-4</v>
      </c>
      <c r="U21">
        <f t="shared" si="9"/>
        <v>99.751999999999995</v>
      </c>
      <c r="V21">
        <f t="shared" si="10"/>
        <v>2.1464890988153518</v>
      </c>
      <c r="X21">
        <f t="shared" si="11"/>
        <v>100.434</v>
      </c>
      <c r="Y21">
        <f t="shared" si="12"/>
        <v>2.4848626087459351</v>
      </c>
      <c r="AB21">
        <f t="shared" si="13"/>
        <v>102.27964</v>
      </c>
      <c r="AC21">
        <f t="shared" si="14"/>
        <v>3.1448</v>
      </c>
      <c r="AE21">
        <f t="shared" si="15"/>
        <v>103.32697999999999</v>
      </c>
      <c r="AF21">
        <f t="shared" si="16"/>
        <v>3.9169999999999998</v>
      </c>
    </row>
    <row r="22" spans="1:32" x14ac:dyDescent="0.25">
      <c r="A22">
        <v>110.26</v>
      </c>
      <c r="B22" s="2">
        <f t="shared" si="0"/>
        <v>7.7565000000000009E-2</v>
      </c>
      <c r="C22">
        <v>3.5268999999999999</v>
      </c>
      <c r="D22">
        <f t="shared" si="1"/>
        <v>3.2634499999999998E-3</v>
      </c>
      <c r="F22">
        <v>110.46</v>
      </c>
      <c r="G22" s="2">
        <f t="shared" si="2"/>
        <v>7.7615000000000003E-2</v>
      </c>
      <c r="H22">
        <v>4705</v>
      </c>
      <c r="I22">
        <f>H22/10000+4</f>
        <v>4.4705000000000004</v>
      </c>
      <c r="J22">
        <f t="shared" si="3"/>
        <v>3.7352499999999999E-3</v>
      </c>
      <c r="L22">
        <v>6.7065999999999999</v>
      </c>
      <c r="M22">
        <f t="shared" si="4"/>
        <v>2.17665E-3</v>
      </c>
      <c r="N22">
        <v>9.6130999999999993</v>
      </c>
      <c r="O22">
        <f t="shared" si="5"/>
        <v>6.3065499999999993E-3</v>
      </c>
      <c r="P22">
        <f t="shared" si="6"/>
        <v>2266.5401999999999</v>
      </c>
      <c r="Q22">
        <f t="shared" si="7"/>
        <v>-27.1867249767926</v>
      </c>
      <c r="R22">
        <f t="shared" si="8"/>
        <v>4.4120108701359013E-4</v>
      </c>
      <c r="U22">
        <f t="shared" si="9"/>
        <v>110.26</v>
      </c>
      <c r="V22">
        <f t="shared" si="10"/>
        <v>2.3170145662044552</v>
      </c>
      <c r="X22">
        <f t="shared" si="11"/>
        <v>110.46</v>
      </c>
      <c r="Y22">
        <f t="shared" si="12"/>
        <v>2.713755600964499</v>
      </c>
      <c r="AB22">
        <f t="shared" si="13"/>
        <v>112.78764000000001</v>
      </c>
      <c r="AC22">
        <f t="shared" si="14"/>
        <v>3.5268999999999999</v>
      </c>
      <c r="AE22">
        <f t="shared" si="15"/>
        <v>113.35297999999999</v>
      </c>
      <c r="AF22">
        <f t="shared" si="16"/>
        <v>4.4705000000000004</v>
      </c>
    </row>
    <row r="23" spans="1:32" x14ac:dyDescent="0.25">
      <c r="A23">
        <v>120.75</v>
      </c>
      <c r="B23" s="2">
        <f t="shared" si="0"/>
        <v>8.0187499999999995E-2</v>
      </c>
      <c r="C23">
        <v>3.8891</v>
      </c>
      <c r="D23">
        <f t="shared" si="1"/>
        <v>3.4445499999999998E-3</v>
      </c>
      <c r="F23">
        <v>120.13</v>
      </c>
      <c r="G23" s="2">
        <f t="shared" si="2"/>
        <v>8.0032500000000006E-2</v>
      </c>
      <c r="H23">
        <v>59</v>
      </c>
      <c r="I23">
        <f>H23/10000+5</f>
        <v>5.0058999999999996</v>
      </c>
      <c r="J23">
        <f t="shared" si="3"/>
        <v>4.0029499999999999E-3</v>
      </c>
      <c r="L23">
        <v>6.8042999999999996</v>
      </c>
      <c r="M23">
        <f t="shared" si="4"/>
        <v>2.2010750000000003E-3</v>
      </c>
      <c r="N23">
        <v>10.927</v>
      </c>
      <c r="O23">
        <f>0.0005*N23+0.00005*100</f>
        <v>1.0463500000000001E-2</v>
      </c>
      <c r="P23">
        <f t="shared" si="6"/>
        <v>2276.0171</v>
      </c>
      <c r="Q23">
        <f t="shared" si="7"/>
        <v>-27.066959940967653</v>
      </c>
      <c r="R23">
        <f t="shared" si="8"/>
        <v>4.3936401005071534E-4</v>
      </c>
      <c r="U23">
        <f t="shared" si="9"/>
        <v>120.75</v>
      </c>
      <c r="V23">
        <f t="shared" si="10"/>
        <v>2.4730491069889342</v>
      </c>
      <c r="X23">
        <f t="shared" si="11"/>
        <v>120.13</v>
      </c>
      <c r="Y23">
        <f t="shared" si="12"/>
        <v>2.9263175133593102</v>
      </c>
      <c r="AB23">
        <f t="shared" si="13"/>
        <v>123.27764000000001</v>
      </c>
      <c r="AC23">
        <f t="shared" si="14"/>
        <v>3.8891</v>
      </c>
      <c r="AE23">
        <f t="shared" si="15"/>
        <v>123.02297999999999</v>
      </c>
      <c r="AF23">
        <f t="shared" si="16"/>
        <v>5.0058999999999996</v>
      </c>
    </row>
    <row r="24" spans="1:32" x14ac:dyDescent="0.25">
      <c r="A24">
        <v>130.62</v>
      </c>
      <c r="B24" s="2">
        <f t="shared" si="0"/>
        <v>8.2655000000000006E-2</v>
      </c>
      <c r="C24">
        <v>4.2157</v>
      </c>
      <c r="D24">
        <f t="shared" si="1"/>
        <v>3.6078500000000001E-3</v>
      </c>
      <c r="F24">
        <v>130.63999999999999</v>
      </c>
      <c r="G24" s="2">
        <f t="shared" si="2"/>
        <v>8.2659999999999997E-2</v>
      </c>
      <c r="H24">
        <v>5960</v>
      </c>
      <c r="I24">
        <f t="shared" ref="I24" si="23">H24/10000+5</f>
        <v>5.5960000000000001</v>
      </c>
      <c r="J24">
        <f t="shared" si="3"/>
        <v>4.2979999999999997E-3</v>
      </c>
      <c r="L24">
        <v>6.9076000000000004</v>
      </c>
      <c r="M24">
        <f t="shared" si="4"/>
        <v>2.2269000000000004E-3</v>
      </c>
      <c r="N24">
        <v>12.503</v>
      </c>
      <c r="O24">
        <f>0.0005*N24+0.00005*100</f>
        <v>1.1251500000000001E-2</v>
      </c>
      <c r="P24">
        <f t="shared" si="6"/>
        <v>2286.0371999999998</v>
      </c>
      <c r="Q24">
        <f t="shared" si="7"/>
        <v>-26.94101373362183</v>
      </c>
      <c r="R24">
        <f t="shared" si="8"/>
        <v>4.3743820091816531E-4</v>
      </c>
      <c r="U24">
        <f t="shared" si="9"/>
        <v>130.62</v>
      </c>
      <c r="V24">
        <f t="shared" si="10"/>
        <v>2.6096351809246627</v>
      </c>
      <c r="X24">
        <f t="shared" si="11"/>
        <v>130.63999999999999</v>
      </c>
      <c r="Y24">
        <f t="shared" si="12"/>
        <v>3.1519922225752248</v>
      </c>
      <c r="AB24">
        <f t="shared" si="13"/>
        <v>133.14764</v>
      </c>
      <c r="AC24">
        <f t="shared" si="14"/>
        <v>4.2157</v>
      </c>
      <c r="AE24">
        <f t="shared" si="15"/>
        <v>133.53297999999998</v>
      </c>
      <c r="AF24">
        <f t="shared" si="16"/>
        <v>5.5960000000000001</v>
      </c>
    </row>
    <row r="25" spans="1:32" x14ac:dyDescent="0.25">
      <c r="A25">
        <v>139.93</v>
      </c>
      <c r="B25" s="2">
        <f t="shared" si="0"/>
        <v>8.4982500000000002E-2</v>
      </c>
      <c r="C25">
        <v>4.5148999999999999</v>
      </c>
      <c r="D25">
        <f t="shared" si="1"/>
        <v>3.7574499999999999E-3</v>
      </c>
      <c r="F25">
        <v>140.44999999999999</v>
      </c>
      <c r="G25" s="2">
        <f t="shared" si="2"/>
        <v>8.5112500000000008E-2</v>
      </c>
      <c r="H25">
        <v>1548</v>
      </c>
      <c r="I25">
        <f>H25/10000+6</f>
        <v>6.1547999999999998</v>
      </c>
      <c r="J25">
        <f t="shared" si="3"/>
        <v>4.5773999999999997E-3</v>
      </c>
      <c r="L25">
        <v>7.0052000000000003</v>
      </c>
      <c r="M25">
        <f t="shared" si="4"/>
        <v>2.2513000000000003E-3</v>
      </c>
      <c r="N25">
        <v>14.164</v>
      </c>
      <c r="O25">
        <f>0.0005*N25+0.00005*100</f>
        <v>1.2081999999999999E-2</v>
      </c>
      <c r="P25">
        <f t="shared" si="6"/>
        <v>2295.5043999999998</v>
      </c>
      <c r="Q25">
        <f t="shared" si="7"/>
        <v>-26.824544341470904</v>
      </c>
      <c r="R25">
        <f t="shared" si="8"/>
        <v>4.3563410290130576E-4</v>
      </c>
      <c r="U25">
        <f t="shared" si="9"/>
        <v>139.93</v>
      </c>
      <c r="V25">
        <f t="shared" si="10"/>
        <v>2.7316942619896305</v>
      </c>
      <c r="X25">
        <f t="shared" si="11"/>
        <v>140.44999999999999</v>
      </c>
      <c r="Y25">
        <f t="shared" si="12"/>
        <v>3.3584789458845439</v>
      </c>
      <c r="AB25">
        <f t="shared" si="13"/>
        <v>142.45764</v>
      </c>
      <c r="AC25">
        <f t="shared" si="14"/>
        <v>4.5148999999999999</v>
      </c>
      <c r="AE25">
        <f t="shared" si="15"/>
        <v>143.34297999999998</v>
      </c>
      <c r="AF25">
        <f t="shared" si="16"/>
        <v>6.1547999999999998</v>
      </c>
    </row>
    <row r="26" spans="1:32" x14ac:dyDescent="0.25">
      <c r="A26">
        <v>149.85</v>
      </c>
      <c r="B26" s="2">
        <f t="shared" si="0"/>
        <v>8.7462499999999999E-2</v>
      </c>
      <c r="C26">
        <v>4.8150000000000004</v>
      </c>
      <c r="D26">
        <f t="shared" si="1"/>
        <v>3.9075000000000004E-3</v>
      </c>
      <c r="F26">
        <v>150.27000000000001</v>
      </c>
      <c r="G26" s="2">
        <f t="shared" si="2"/>
        <v>8.7567500000000006E-2</v>
      </c>
      <c r="H26">
        <v>7213</v>
      </c>
      <c r="I26">
        <f t="shared" ref="I26" si="24">H26/10000+6</f>
        <v>6.7213000000000003</v>
      </c>
      <c r="J26">
        <f t="shared" si="3"/>
        <v>4.8606500000000002E-3</v>
      </c>
      <c r="U26">
        <f t="shared" si="9"/>
        <v>149.85</v>
      </c>
      <c r="V26">
        <f t="shared" si="10"/>
        <v>2.8514397157990459</v>
      </c>
      <c r="X26">
        <f t="shared" si="11"/>
        <v>150.27000000000001</v>
      </c>
      <c r="Y26">
        <f t="shared" si="12"/>
        <v>3.5615210878276438</v>
      </c>
      <c r="AB26">
        <f t="shared" si="13"/>
        <v>152.37763999999999</v>
      </c>
      <c r="AC26">
        <f t="shared" si="14"/>
        <v>4.8150000000000004</v>
      </c>
      <c r="AE26">
        <f t="shared" si="15"/>
        <v>153.16298</v>
      </c>
      <c r="AF26">
        <f t="shared" si="16"/>
        <v>6.7213000000000003</v>
      </c>
    </row>
    <row r="27" spans="1:32" x14ac:dyDescent="0.25">
      <c r="A27">
        <v>159.5</v>
      </c>
      <c r="B27" s="2">
        <f t="shared" si="0"/>
        <v>8.987500000000001E-2</v>
      </c>
      <c r="C27">
        <v>5.0917000000000003</v>
      </c>
      <c r="D27">
        <f t="shared" si="1"/>
        <v>4.0458500000000001E-3</v>
      </c>
      <c r="F27">
        <v>160.58000000000001</v>
      </c>
      <c r="G27" s="2">
        <f t="shared" si="2"/>
        <v>9.0145000000000003E-2</v>
      </c>
      <c r="H27">
        <v>3244</v>
      </c>
      <c r="I27">
        <f>H27/10000+7</f>
        <v>7.3243999999999998</v>
      </c>
      <c r="J27">
        <f t="shared" si="3"/>
        <v>5.1621999999999996E-3</v>
      </c>
      <c r="U27">
        <f t="shared" si="9"/>
        <v>159.5</v>
      </c>
      <c r="V27">
        <f t="shared" si="10"/>
        <v>2.9596603308949772</v>
      </c>
      <c r="X27">
        <f t="shared" si="11"/>
        <v>160.58000000000001</v>
      </c>
      <c r="Y27">
        <f t="shared" si="12"/>
        <v>3.771505128786127</v>
      </c>
      <c r="AB27">
        <f t="shared" si="13"/>
        <v>162.02763999999999</v>
      </c>
      <c r="AC27">
        <f t="shared" si="14"/>
        <v>5.0917000000000003</v>
      </c>
      <c r="AE27">
        <f t="shared" si="15"/>
        <v>163.47298000000001</v>
      </c>
      <c r="AF27">
        <f t="shared" si="16"/>
        <v>7.3243999999999998</v>
      </c>
    </row>
    <row r="28" spans="1:32" x14ac:dyDescent="0.25">
      <c r="A28">
        <v>170.41</v>
      </c>
      <c r="B28" s="2">
        <f t="shared" si="0"/>
        <v>9.2602500000000004E-2</v>
      </c>
      <c r="C28">
        <v>5.3860000000000001</v>
      </c>
      <c r="D28">
        <f t="shared" si="1"/>
        <v>4.1929999999999997E-3</v>
      </c>
      <c r="F28">
        <v>170.98</v>
      </c>
      <c r="G28" s="2">
        <f t="shared" si="2"/>
        <v>9.2744999999999994E-2</v>
      </c>
      <c r="H28">
        <v>9289</v>
      </c>
      <c r="I28">
        <f t="shared" ref="I28" si="25">H28/10000+7</f>
        <v>7.9288999999999996</v>
      </c>
      <c r="J28">
        <f t="shared" si="3"/>
        <v>5.4644499999999992E-3</v>
      </c>
      <c r="U28">
        <f t="shared" si="9"/>
        <v>170.41</v>
      </c>
      <c r="V28">
        <f t="shared" si="10"/>
        <v>3.07263447746476</v>
      </c>
      <c r="X28">
        <f t="shared" si="11"/>
        <v>170.98</v>
      </c>
      <c r="Y28">
        <f t="shared" si="12"/>
        <v>3.9762647549845904</v>
      </c>
      <c r="AB28">
        <f t="shared" si="13"/>
        <v>172.93763999999999</v>
      </c>
      <c r="AC28">
        <f t="shared" si="14"/>
        <v>5.3860000000000001</v>
      </c>
      <c r="AE28">
        <f t="shared" si="15"/>
        <v>173.87297999999998</v>
      </c>
      <c r="AF28">
        <f t="shared" si="16"/>
        <v>7.9288999999999996</v>
      </c>
    </row>
    <row r="29" spans="1:32" x14ac:dyDescent="0.25">
      <c r="A29">
        <v>179.16</v>
      </c>
      <c r="B29" s="2">
        <f t="shared" si="0"/>
        <v>9.4790000000000013E-2</v>
      </c>
      <c r="C29">
        <v>5.5777999999999999</v>
      </c>
      <c r="D29">
        <f t="shared" si="1"/>
        <v>4.2889E-3</v>
      </c>
      <c r="F29">
        <v>181.39</v>
      </c>
      <c r="G29" s="2">
        <f t="shared" si="2"/>
        <v>9.5347500000000002E-2</v>
      </c>
      <c r="H29">
        <v>5343</v>
      </c>
      <c r="I29">
        <f>H29/10000+8</f>
        <v>8.5343</v>
      </c>
      <c r="J29">
        <f t="shared" si="3"/>
        <v>5.7671499999999995E-3</v>
      </c>
      <c r="U29">
        <f t="shared" si="9"/>
        <v>179.16</v>
      </c>
      <c r="V29">
        <f t="shared" si="10"/>
        <v>3.1451543146546332</v>
      </c>
      <c r="X29">
        <f t="shared" si="11"/>
        <v>181.39</v>
      </c>
      <c r="Y29">
        <f t="shared" si="12"/>
        <v>4.1761741756307034</v>
      </c>
      <c r="AB29">
        <f t="shared" si="13"/>
        <v>181.68763999999999</v>
      </c>
      <c r="AC29">
        <f t="shared" si="14"/>
        <v>5.5777999999999999</v>
      </c>
      <c r="AE29">
        <f t="shared" si="15"/>
        <v>184.28297999999998</v>
      </c>
      <c r="AF29">
        <f t="shared" si="16"/>
        <v>8.5343</v>
      </c>
    </row>
    <row r="30" spans="1:32" x14ac:dyDescent="0.25">
      <c r="A30">
        <v>192.03</v>
      </c>
      <c r="B30" s="2">
        <f t="shared" si="0"/>
        <v>9.8007499999999997E-2</v>
      </c>
      <c r="C30">
        <v>5.8596000000000004</v>
      </c>
      <c r="D30">
        <f t="shared" si="1"/>
        <v>4.4298000000000002E-3</v>
      </c>
      <c r="F30">
        <v>189.17</v>
      </c>
      <c r="G30" s="2">
        <f t="shared" si="2"/>
        <v>9.7292500000000004E-2</v>
      </c>
      <c r="H30">
        <v>9861</v>
      </c>
      <c r="I30">
        <f t="shared" ref="I30" si="26">H30/10000+8</f>
        <v>8.9861000000000004</v>
      </c>
      <c r="J30">
        <f t="shared" si="3"/>
        <v>5.9930499999999998E-3</v>
      </c>
      <c r="U30">
        <f t="shared" si="9"/>
        <v>192.03</v>
      </c>
      <c r="V30">
        <f t="shared" si="10"/>
        <v>3.2502141763390302</v>
      </c>
      <c r="X30">
        <f t="shared" si="11"/>
        <v>189.17</v>
      </c>
      <c r="Y30">
        <f t="shared" si="12"/>
        <v>4.3222926147248568</v>
      </c>
      <c r="AB30">
        <f t="shared" si="13"/>
        <v>194.55763999999999</v>
      </c>
      <c r="AC30">
        <f t="shared" si="14"/>
        <v>5.8596000000000004</v>
      </c>
      <c r="AE30">
        <f t="shared" si="15"/>
        <v>192.06297999999998</v>
      </c>
      <c r="AF30">
        <f t="shared" si="16"/>
        <v>8.9861000000000004</v>
      </c>
    </row>
    <row r="31" spans="1:32" x14ac:dyDescent="0.25">
      <c r="A31">
        <v>201.85</v>
      </c>
      <c r="B31" s="3">
        <f t="shared" si="0"/>
        <v>0.10046250000000001</v>
      </c>
      <c r="C31">
        <v>6.0266000000000002</v>
      </c>
      <c r="D31">
        <f t="shared" si="1"/>
        <v>4.5132999999999996E-3</v>
      </c>
      <c r="F31">
        <v>199.8</v>
      </c>
      <c r="G31" s="3">
        <f t="shared" si="2"/>
        <v>9.9950000000000011E-2</v>
      </c>
      <c r="H31">
        <v>6096</v>
      </c>
      <c r="I31">
        <f>H31/10000+9</f>
        <v>9.6096000000000004</v>
      </c>
      <c r="J31">
        <f t="shared" si="3"/>
        <v>6.3048000000000002E-3</v>
      </c>
      <c r="U31">
        <f t="shared" si="9"/>
        <v>201.85</v>
      </c>
      <c r="V31">
        <f t="shared" si="10"/>
        <v>3.3116790816521164</v>
      </c>
      <c r="X31">
        <f t="shared" si="11"/>
        <v>199.8</v>
      </c>
      <c r="Y31">
        <f t="shared" si="12"/>
        <v>4.5199837522584039</v>
      </c>
      <c r="AB31">
        <f t="shared" si="13"/>
        <v>204.37763999999999</v>
      </c>
      <c r="AC31">
        <f t="shared" si="14"/>
        <v>6.0266000000000002</v>
      </c>
      <c r="AE31">
        <f t="shared" si="15"/>
        <v>202.69298000000001</v>
      </c>
      <c r="AF31">
        <f t="shared" si="16"/>
        <v>9.6096000000000004</v>
      </c>
    </row>
    <row r="32" spans="1:32" x14ac:dyDescent="0.25">
      <c r="A32">
        <v>210.3</v>
      </c>
      <c r="B32" s="3">
        <f t="shared" si="0"/>
        <v>0.102575</v>
      </c>
      <c r="C32">
        <v>6.1550000000000002</v>
      </c>
      <c r="D32">
        <f t="shared" si="1"/>
        <v>4.5775E-3</v>
      </c>
      <c r="F32">
        <v>210.79</v>
      </c>
      <c r="G32" s="3">
        <f t="shared" si="2"/>
        <v>0.1026975</v>
      </c>
      <c r="H32">
        <v>2671</v>
      </c>
      <c r="I32">
        <f>H32/10000+10</f>
        <v>10.267099999999999</v>
      </c>
      <c r="J32">
        <f t="shared" si="3"/>
        <v>6.6335499999999993E-3</v>
      </c>
      <c r="U32">
        <f t="shared" si="9"/>
        <v>210.3</v>
      </c>
      <c r="V32">
        <f t="shared" si="10"/>
        <v>3.3585517012572006</v>
      </c>
      <c r="X32">
        <f t="shared" si="11"/>
        <v>210.79</v>
      </c>
      <c r="Y32">
        <f t="shared" si="12"/>
        <v>4.7238764240130999</v>
      </c>
      <c r="AB32">
        <f t="shared" si="13"/>
        <v>212.82764</v>
      </c>
      <c r="AC32">
        <f t="shared" si="14"/>
        <v>6.1550000000000002</v>
      </c>
      <c r="AE32">
        <f t="shared" si="15"/>
        <v>213.68297999999999</v>
      </c>
      <c r="AF32">
        <f t="shared" si="16"/>
        <v>10.267099999999999</v>
      </c>
    </row>
    <row r="33" spans="1:32" x14ac:dyDescent="0.25">
      <c r="A33">
        <v>221.85</v>
      </c>
      <c r="B33" s="3">
        <f t="shared" si="0"/>
        <v>0.1054625</v>
      </c>
      <c r="C33">
        <v>6.3216000000000001</v>
      </c>
      <c r="D33">
        <f t="shared" si="1"/>
        <v>4.6607999999999997E-3</v>
      </c>
      <c r="F33">
        <v>211.66</v>
      </c>
      <c r="G33" s="3">
        <f t="shared" si="2"/>
        <v>0.10291500000000001</v>
      </c>
      <c r="H33">
        <v>328</v>
      </c>
      <c r="I33">
        <f>H33/1000+10</f>
        <v>10.327999999999999</v>
      </c>
      <c r="J33">
        <f>I33*0.0005+0.00005*100</f>
        <v>1.0163999999999999E-2</v>
      </c>
      <c r="U33">
        <f t="shared" si="9"/>
        <v>221.85</v>
      </c>
      <c r="V33">
        <f t="shared" si="10"/>
        <v>3.4188864333945213</v>
      </c>
      <c r="X33">
        <f t="shared" si="11"/>
        <v>211.66</v>
      </c>
      <c r="Y33">
        <f t="shared" si="12"/>
        <v>4.7425380011844078</v>
      </c>
      <c r="AB33">
        <f t="shared" si="13"/>
        <v>224.37763999999999</v>
      </c>
      <c r="AC33">
        <f t="shared" si="14"/>
        <v>6.3216000000000001</v>
      </c>
      <c r="AE33">
        <f t="shared" si="15"/>
        <v>214.55297999999999</v>
      </c>
      <c r="AF33">
        <f t="shared" si="16"/>
        <v>10.327999999999999</v>
      </c>
    </row>
    <row r="34" spans="1:32" x14ac:dyDescent="0.25">
      <c r="A34">
        <v>230.01</v>
      </c>
      <c r="B34" s="3">
        <f t="shared" si="0"/>
        <v>0.1075025</v>
      </c>
      <c r="C34">
        <v>6.4255000000000004</v>
      </c>
      <c r="D34">
        <f t="shared" si="1"/>
        <v>4.7127499999999999E-3</v>
      </c>
      <c r="F34">
        <v>220.94</v>
      </c>
      <c r="G34" s="3">
        <f t="shared" si="2"/>
        <v>0.105235</v>
      </c>
      <c r="H34">
        <v>862</v>
      </c>
      <c r="I34">
        <f t="shared" ref="I34" si="27">H34/1000+10</f>
        <v>10.862</v>
      </c>
      <c r="J34">
        <f t="shared" ref="J34:J62" si="28">I34*0.0005+0.00005*100</f>
        <v>1.0430999999999999E-2</v>
      </c>
      <c r="U34">
        <f t="shared" si="9"/>
        <v>230.01</v>
      </c>
      <c r="V34">
        <f t="shared" si="10"/>
        <v>3.4562457818390748</v>
      </c>
      <c r="X34">
        <f t="shared" si="11"/>
        <v>220.94</v>
      </c>
      <c r="Y34">
        <f t="shared" si="12"/>
        <v>4.9046331853999723</v>
      </c>
      <c r="AB34">
        <f t="shared" si="13"/>
        <v>232.53763999999998</v>
      </c>
      <c r="AC34">
        <f t="shared" si="14"/>
        <v>6.4255000000000004</v>
      </c>
      <c r="AE34">
        <f t="shared" si="15"/>
        <v>223.83297999999999</v>
      </c>
      <c r="AF34">
        <f t="shared" si="16"/>
        <v>10.862</v>
      </c>
    </row>
    <row r="35" spans="1:32" x14ac:dyDescent="0.25">
      <c r="A35">
        <v>240.44</v>
      </c>
      <c r="B35" s="3">
        <f t="shared" si="0"/>
        <v>0.11011000000000001</v>
      </c>
      <c r="C35">
        <v>6.5540000000000003</v>
      </c>
      <c r="D35">
        <f t="shared" si="1"/>
        <v>4.777E-3</v>
      </c>
      <c r="F35">
        <v>230.91</v>
      </c>
      <c r="G35" s="3">
        <f t="shared" si="2"/>
        <v>0.1077275</v>
      </c>
      <c r="H35">
        <v>455</v>
      </c>
      <c r="I35">
        <f>H35/1000+11</f>
        <v>11.455</v>
      </c>
      <c r="J35">
        <f t="shared" si="28"/>
        <v>1.0727500000000001E-2</v>
      </c>
      <c r="U35">
        <f t="shared" si="9"/>
        <v>240.44</v>
      </c>
      <c r="V35">
        <f t="shared" si="10"/>
        <v>3.5021732353399067</v>
      </c>
      <c r="X35">
        <f t="shared" si="11"/>
        <v>230.91</v>
      </c>
      <c r="Y35">
        <f t="shared" si="12"/>
        <v>5.081556152619509</v>
      </c>
      <c r="AB35">
        <f t="shared" si="13"/>
        <v>242.96763999999999</v>
      </c>
      <c r="AC35">
        <f t="shared" si="14"/>
        <v>6.5540000000000003</v>
      </c>
      <c r="AE35">
        <f t="shared" si="15"/>
        <v>233.80297999999999</v>
      </c>
      <c r="AF35">
        <f t="shared" si="16"/>
        <v>11.455</v>
      </c>
    </row>
    <row r="36" spans="1:32" x14ac:dyDescent="0.25">
      <c r="A36">
        <v>250.72</v>
      </c>
      <c r="B36" s="3">
        <f t="shared" si="0"/>
        <v>0.11268</v>
      </c>
      <c r="C36">
        <v>6.6455000000000002</v>
      </c>
      <c r="D36">
        <f t="shared" si="1"/>
        <v>4.8227499999999998E-3</v>
      </c>
      <c r="F36">
        <v>240.49</v>
      </c>
      <c r="G36" s="3">
        <f t="shared" si="2"/>
        <v>0.11012250000000001</v>
      </c>
      <c r="H36">
        <v>22</v>
      </c>
      <c r="I36">
        <f>H36/1000+12</f>
        <v>12.022</v>
      </c>
      <c r="J36">
        <f t="shared" si="28"/>
        <v>1.1011E-2</v>
      </c>
      <c r="U36">
        <f t="shared" si="9"/>
        <v>250.72</v>
      </c>
      <c r="V36">
        <f t="shared" si="10"/>
        <v>3.5346936109236231</v>
      </c>
      <c r="X36">
        <f t="shared" si="11"/>
        <v>240.49</v>
      </c>
      <c r="Y36">
        <f t="shared" si="12"/>
        <v>5.2478870892851246</v>
      </c>
      <c r="AB36">
        <f t="shared" si="13"/>
        <v>253.24763999999999</v>
      </c>
      <c r="AC36">
        <f t="shared" si="14"/>
        <v>6.6455000000000002</v>
      </c>
      <c r="AE36">
        <f t="shared" si="15"/>
        <v>243.38298</v>
      </c>
      <c r="AF36">
        <f t="shared" si="16"/>
        <v>12.022</v>
      </c>
    </row>
    <row r="37" spans="1:32" x14ac:dyDescent="0.25">
      <c r="A37">
        <v>260.64</v>
      </c>
      <c r="B37" s="3">
        <f t="shared" si="0"/>
        <v>0.11516</v>
      </c>
      <c r="C37">
        <v>6.7195999999999998</v>
      </c>
      <c r="D37">
        <f t="shared" si="1"/>
        <v>4.8598000000000001E-3</v>
      </c>
      <c r="F37">
        <v>249.38</v>
      </c>
      <c r="G37" s="3">
        <f t="shared" si="2"/>
        <v>0.112345</v>
      </c>
      <c r="H37">
        <v>536</v>
      </c>
      <c r="I37">
        <f>H37/1000+12</f>
        <v>12.536</v>
      </c>
      <c r="J37">
        <f t="shared" si="28"/>
        <v>1.1268E-2</v>
      </c>
      <c r="U37">
        <f t="shared" si="9"/>
        <v>260.64</v>
      </c>
      <c r="V37">
        <f t="shared" si="10"/>
        <v>3.5609205253267082</v>
      </c>
      <c r="X37">
        <f t="shared" si="11"/>
        <v>249.38</v>
      </c>
      <c r="Y37">
        <f t="shared" si="12"/>
        <v>5.3964230541173688</v>
      </c>
      <c r="AB37">
        <f t="shared" si="13"/>
        <v>263.16764000000001</v>
      </c>
      <c r="AC37">
        <f t="shared" si="14"/>
        <v>6.7195999999999998</v>
      </c>
      <c r="AE37">
        <f t="shared" si="15"/>
        <v>252.27297999999999</v>
      </c>
      <c r="AF37">
        <f t="shared" si="16"/>
        <v>12.536</v>
      </c>
    </row>
    <row r="38" spans="1:32" x14ac:dyDescent="0.25">
      <c r="A38">
        <v>270.77999999999997</v>
      </c>
      <c r="B38" s="3">
        <f t="shared" si="0"/>
        <v>0.11769499999999999</v>
      </c>
      <c r="C38">
        <v>6.7884000000000002</v>
      </c>
      <c r="D38">
        <f t="shared" si="1"/>
        <v>4.8941999999999996E-3</v>
      </c>
      <c r="F38">
        <v>260.58</v>
      </c>
      <c r="G38" s="3">
        <f t="shared" si="2"/>
        <v>0.115145</v>
      </c>
      <c r="H38">
        <v>184</v>
      </c>
      <c r="I38">
        <f>H38/1000+13</f>
        <v>13.183999999999999</v>
      </c>
      <c r="J38">
        <f t="shared" si="28"/>
        <v>1.1592E-2</v>
      </c>
      <c r="U38">
        <f t="shared" si="9"/>
        <v>270.77999999999997</v>
      </c>
      <c r="V38">
        <f t="shared" si="10"/>
        <v>3.5851853781581884</v>
      </c>
      <c r="X38">
        <f t="shared" si="11"/>
        <v>260.58</v>
      </c>
      <c r="Y38">
        <f t="shared" si="12"/>
        <v>5.5808214683684421</v>
      </c>
      <c r="AB38">
        <f t="shared" si="13"/>
        <v>273.30763999999999</v>
      </c>
      <c r="AC38">
        <f t="shared" si="14"/>
        <v>6.7884000000000002</v>
      </c>
      <c r="AE38">
        <f t="shared" si="15"/>
        <v>263.47298000000001</v>
      </c>
      <c r="AF38">
        <f t="shared" si="16"/>
        <v>13.183999999999999</v>
      </c>
    </row>
    <row r="39" spans="1:32" x14ac:dyDescent="0.25">
      <c r="A39">
        <v>280.69</v>
      </c>
      <c r="B39" s="3">
        <f t="shared" si="0"/>
        <v>0.1201725</v>
      </c>
      <c r="C39">
        <v>6.8733000000000004</v>
      </c>
      <c r="D39">
        <f t="shared" si="1"/>
        <v>4.9366499999999999E-3</v>
      </c>
      <c r="F39">
        <v>269.81</v>
      </c>
      <c r="G39" s="3">
        <f t="shared" si="2"/>
        <v>0.1174525</v>
      </c>
      <c r="H39">
        <v>716</v>
      </c>
      <c r="I39">
        <f>H39/1000+13</f>
        <v>13.715999999999999</v>
      </c>
      <c r="J39">
        <f t="shared" si="28"/>
        <v>1.1858E-2</v>
      </c>
      <c r="U39">
        <f t="shared" si="9"/>
        <v>280.69</v>
      </c>
      <c r="V39">
        <f t="shared" si="10"/>
        <v>3.6150158020004493</v>
      </c>
      <c r="X39">
        <f t="shared" si="11"/>
        <v>269.81</v>
      </c>
      <c r="Y39">
        <f t="shared" si="12"/>
        <v>5.7299608012449594</v>
      </c>
      <c r="AB39">
        <f t="shared" si="13"/>
        <v>283.21764000000002</v>
      </c>
      <c r="AC39">
        <f t="shared" si="14"/>
        <v>6.8733000000000004</v>
      </c>
      <c r="AE39">
        <f t="shared" si="15"/>
        <v>272.70298000000003</v>
      </c>
      <c r="AF39">
        <f t="shared" si="16"/>
        <v>13.715999999999999</v>
      </c>
    </row>
    <row r="40" spans="1:32" x14ac:dyDescent="0.25">
      <c r="A40">
        <v>290.98</v>
      </c>
      <c r="B40" s="3">
        <f t="shared" si="0"/>
        <v>0.12274500000000001</v>
      </c>
      <c r="C40">
        <v>6.9313000000000002</v>
      </c>
      <c r="D40">
        <f t="shared" si="1"/>
        <v>4.9656500000000003E-3</v>
      </c>
      <c r="F40">
        <v>280.29000000000002</v>
      </c>
      <c r="G40" s="3">
        <f t="shared" si="2"/>
        <v>0.12007250000000001</v>
      </c>
      <c r="H40">
        <v>315</v>
      </c>
      <c r="I40">
        <f>H40/1000+14</f>
        <v>14.315</v>
      </c>
      <c r="J40">
        <f t="shared" si="28"/>
        <v>1.21575E-2</v>
      </c>
      <c r="U40">
        <f t="shared" si="9"/>
        <v>290.98</v>
      </c>
      <c r="V40">
        <f t="shared" si="10"/>
        <v>3.6353240609256288</v>
      </c>
      <c r="X40">
        <f t="shared" si="11"/>
        <v>280.29000000000002</v>
      </c>
      <c r="Y40">
        <f t="shared" si="12"/>
        <v>5.8955940005594458</v>
      </c>
      <c r="AB40">
        <f t="shared" si="13"/>
        <v>293.50764000000004</v>
      </c>
      <c r="AC40">
        <f t="shared" si="14"/>
        <v>6.9313000000000002</v>
      </c>
      <c r="AE40">
        <f t="shared" si="15"/>
        <v>283.18298000000004</v>
      </c>
      <c r="AF40">
        <f t="shared" si="16"/>
        <v>14.315</v>
      </c>
    </row>
    <row r="41" spans="1:32" x14ac:dyDescent="0.25">
      <c r="A41">
        <v>300.54000000000002</v>
      </c>
      <c r="B41" s="3">
        <f t="shared" si="0"/>
        <v>0.125135</v>
      </c>
      <c r="C41">
        <v>6.9509999999999996</v>
      </c>
      <c r="D41">
        <f t="shared" si="1"/>
        <v>4.9754999999999999E-3</v>
      </c>
      <c r="F41">
        <v>289.89999999999998</v>
      </c>
      <c r="G41" s="3">
        <f t="shared" si="2"/>
        <v>0.122475</v>
      </c>
      <c r="H41">
        <v>857</v>
      </c>
      <c r="I41">
        <f t="shared" ref="I41" si="29">H41/1000+14</f>
        <v>14.856999999999999</v>
      </c>
      <c r="J41">
        <f t="shared" si="28"/>
        <v>1.24285E-2</v>
      </c>
      <c r="U41">
        <f t="shared" si="9"/>
        <v>300.54000000000002</v>
      </c>
      <c r="V41">
        <f t="shared" si="10"/>
        <v>3.6422089649196252</v>
      </c>
      <c r="X41">
        <f t="shared" si="11"/>
        <v>289.89999999999998</v>
      </c>
      <c r="Y41">
        <f t="shared" si="12"/>
        <v>6.0434845414685814</v>
      </c>
      <c r="AB41">
        <f t="shared" si="13"/>
        <v>303.06764000000004</v>
      </c>
      <c r="AC41">
        <f t="shared" si="14"/>
        <v>6.9509999999999996</v>
      </c>
      <c r="AE41">
        <f t="shared" si="15"/>
        <v>292.79298</v>
      </c>
      <c r="AF41">
        <f t="shared" si="16"/>
        <v>14.856999999999999</v>
      </c>
    </row>
    <row r="42" spans="1:32" x14ac:dyDescent="0.25">
      <c r="A42">
        <v>309.82</v>
      </c>
      <c r="B42" s="3">
        <f t="shared" si="0"/>
        <v>0.12745499999999998</v>
      </c>
      <c r="C42">
        <v>6.9969999999999999</v>
      </c>
      <c r="D42">
        <f t="shared" si="1"/>
        <v>4.9984999999999995E-3</v>
      </c>
      <c r="F42">
        <v>301.02</v>
      </c>
      <c r="G42" s="3">
        <f t="shared" si="2"/>
        <v>0.12525500000000001</v>
      </c>
      <c r="H42">
        <v>473</v>
      </c>
      <c r="I42">
        <f>H42/1000+15</f>
        <v>15.473000000000001</v>
      </c>
      <c r="J42">
        <f t="shared" si="28"/>
        <v>1.2736500000000001E-2</v>
      </c>
      <c r="U42">
        <f t="shared" si="9"/>
        <v>309.82</v>
      </c>
      <c r="V42">
        <f t="shared" si="10"/>
        <v>3.6582601194118851</v>
      </c>
      <c r="X42">
        <f t="shared" si="11"/>
        <v>301.02</v>
      </c>
      <c r="Y42">
        <f t="shared" si="12"/>
        <v>6.2094006628637004</v>
      </c>
      <c r="AB42">
        <f t="shared" si="13"/>
        <v>312.34764000000001</v>
      </c>
      <c r="AC42">
        <f t="shared" si="14"/>
        <v>6.9969999999999999</v>
      </c>
      <c r="AE42">
        <f t="shared" si="15"/>
        <v>303.91298</v>
      </c>
      <c r="AF42">
        <f t="shared" si="16"/>
        <v>15.473000000000001</v>
      </c>
    </row>
    <row r="43" spans="1:32" x14ac:dyDescent="0.25">
      <c r="A43">
        <v>319.87</v>
      </c>
      <c r="B43" s="3">
        <f t="shared" si="0"/>
        <v>0.12996750000000001</v>
      </c>
      <c r="C43">
        <v>7.0232000000000001</v>
      </c>
      <c r="D43">
        <f t="shared" si="1"/>
        <v>5.0115999999999997E-3</v>
      </c>
      <c r="F43">
        <v>310.35000000000002</v>
      </c>
      <c r="G43" s="3">
        <f t="shared" si="2"/>
        <v>0.12758750000000002</v>
      </c>
      <c r="H43">
        <v>989</v>
      </c>
      <c r="I43">
        <f>H43/1000+15</f>
        <v>15.989000000000001</v>
      </c>
      <c r="J43">
        <f t="shared" si="28"/>
        <v>1.2994499999999999E-2</v>
      </c>
      <c r="U43">
        <f t="shared" si="9"/>
        <v>319.87</v>
      </c>
      <c r="V43">
        <f t="shared" si="10"/>
        <v>3.6673865735031841</v>
      </c>
      <c r="X43">
        <f t="shared" si="11"/>
        <v>310.35000000000002</v>
      </c>
      <c r="Y43">
        <f t="shared" si="12"/>
        <v>6.3466936390444673</v>
      </c>
      <c r="AB43">
        <f t="shared" si="13"/>
        <v>322.39764000000002</v>
      </c>
      <c r="AC43">
        <f t="shared" si="14"/>
        <v>7.0232000000000001</v>
      </c>
      <c r="AE43">
        <f t="shared" si="15"/>
        <v>313.24298000000005</v>
      </c>
      <c r="AF43">
        <f t="shared" si="16"/>
        <v>15.989000000000001</v>
      </c>
    </row>
    <row r="44" spans="1:32" x14ac:dyDescent="0.25">
      <c r="A44">
        <v>330.89</v>
      </c>
      <c r="B44" s="3">
        <f t="shared" si="0"/>
        <v>0.13272250000000002</v>
      </c>
      <c r="C44">
        <v>7.0491000000000001</v>
      </c>
      <c r="D44">
        <f t="shared" si="1"/>
        <v>5.02455E-3</v>
      </c>
      <c r="F44">
        <v>320.72000000000003</v>
      </c>
      <c r="G44" s="3">
        <f t="shared" si="2"/>
        <v>0.13018000000000002</v>
      </c>
      <c r="H44">
        <v>542</v>
      </c>
      <c r="I44">
        <f>H44/1000+16</f>
        <v>16.542000000000002</v>
      </c>
      <c r="J44">
        <f t="shared" si="28"/>
        <v>1.3271000000000002E-2</v>
      </c>
      <c r="U44">
        <f t="shared" si="9"/>
        <v>330.89</v>
      </c>
      <c r="V44">
        <f t="shared" si="10"/>
        <v>3.6763973783547175</v>
      </c>
      <c r="X44">
        <f t="shared" si="11"/>
        <v>320.72000000000003</v>
      </c>
      <c r="Y44">
        <f t="shared" si="12"/>
        <v>6.4922018038887748</v>
      </c>
      <c r="AB44">
        <f t="shared" si="13"/>
        <v>333.41764000000001</v>
      </c>
      <c r="AC44">
        <f t="shared" si="14"/>
        <v>7.0491000000000001</v>
      </c>
      <c r="AE44">
        <f t="shared" si="15"/>
        <v>323.61298000000005</v>
      </c>
      <c r="AF44">
        <f t="shared" si="16"/>
        <v>16.542000000000002</v>
      </c>
    </row>
    <row r="45" spans="1:32" x14ac:dyDescent="0.25">
      <c r="A45">
        <v>340.94</v>
      </c>
      <c r="B45" s="3">
        <f t="shared" si="0"/>
        <v>0.13523499999999999</v>
      </c>
      <c r="C45">
        <v>7.0824999999999996</v>
      </c>
      <c r="D45">
        <f t="shared" si="1"/>
        <v>5.0412499999999997E-3</v>
      </c>
      <c r="F45">
        <v>330.95</v>
      </c>
      <c r="G45" s="3">
        <f t="shared" si="2"/>
        <v>0.13273750000000001</v>
      </c>
      <c r="H45">
        <v>82</v>
      </c>
      <c r="I45">
        <f>H45/1000+17</f>
        <v>17.082000000000001</v>
      </c>
      <c r="J45">
        <f t="shared" si="28"/>
        <v>1.3541000000000001E-2</v>
      </c>
      <c r="U45">
        <f t="shared" si="9"/>
        <v>340.94</v>
      </c>
      <c r="V45">
        <f t="shared" si="10"/>
        <v>3.6880012150265848</v>
      </c>
      <c r="X45">
        <f t="shared" si="11"/>
        <v>330.95</v>
      </c>
      <c r="Y45">
        <f t="shared" si="12"/>
        <v>6.632732437733047</v>
      </c>
      <c r="AB45">
        <f t="shared" si="13"/>
        <v>343.46764000000002</v>
      </c>
      <c r="AC45">
        <f t="shared" si="14"/>
        <v>7.0824999999999996</v>
      </c>
      <c r="AE45">
        <f t="shared" si="15"/>
        <v>333.84298000000001</v>
      </c>
      <c r="AF45">
        <f t="shared" si="16"/>
        <v>17.082000000000001</v>
      </c>
    </row>
    <row r="46" spans="1:32" x14ac:dyDescent="0.25">
      <c r="A46">
        <v>350.19</v>
      </c>
      <c r="B46" s="3">
        <f t="shared" si="0"/>
        <v>0.13754749999999999</v>
      </c>
      <c r="C46">
        <v>7.1090999999999998</v>
      </c>
      <c r="D46">
        <f t="shared" si="1"/>
        <v>5.0545499999999997E-3</v>
      </c>
      <c r="F46">
        <v>340.13</v>
      </c>
      <c r="G46" s="3">
        <f t="shared" si="2"/>
        <v>0.1350325</v>
      </c>
      <c r="H46">
        <v>552</v>
      </c>
      <c r="I46">
        <f>H46/1000+17</f>
        <v>17.552</v>
      </c>
      <c r="J46">
        <f t="shared" si="28"/>
        <v>1.3776E-2</v>
      </c>
      <c r="U46">
        <f t="shared" si="9"/>
        <v>350.19</v>
      </c>
      <c r="V46">
        <f t="shared" si="10"/>
        <v>3.6972295503877177</v>
      </c>
      <c r="X46">
        <f t="shared" si="11"/>
        <v>340.13</v>
      </c>
      <c r="Y46">
        <f t="shared" si="12"/>
        <v>6.7538447524843344</v>
      </c>
      <c r="AB46">
        <f t="shared" si="13"/>
        <v>352.71764000000002</v>
      </c>
      <c r="AC46">
        <f t="shared" si="14"/>
        <v>7.1090999999999998</v>
      </c>
      <c r="AE46">
        <f t="shared" si="15"/>
        <v>343.02298000000002</v>
      </c>
      <c r="AF46">
        <f t="shared" si="16"/>
        <v>17.552</v>
      </c>
    </row>
    <row r="47" spans="1:32" x14ac:dyDescent="0.25">
      <c r="A47">
        <v>359.89</v>
      </c>
      <c r="B47" s="3">
        <f t="shared" si="0"/>
        <v>0.1399725</v>
      </c>
      <c r="C47">
        <v>7.1230000000000002</v>
      </c>
      <c r="D47">
        <f t="shared" si="1"/>
        <v>5.0615E-3</v>
      </c>
      <c r="F47">
        <v>349.23</v>
      </c>
      <c r="G47" s="3">
        <f t="shared" si="2"/>
        <v>0.13730750000000003</v>
      </c>
      <c r="H47">
        <v>9</v>
      </c>
      <c r="I47">
        <f>H47/1000+18</f>
        <v>18.009</v>
      </c>
      <c r="J47">
        <f t="shared" si="28"/>
        <v>1.40045E-2</v>
      </c>
      <c r="U47">
        <f t="shared" si="9"/>
        <v>359.89</v>
      </c>
      <c r="V47">
        <f t="shared" si="10"/>
        <v>3.7020472964846549</v>
      </c>
      <c r="X47">
        <f t="shared" si="11"/>
        <v>349.23</v>
      </c>
      <c r="Y47">
        <f t="shared" si="12"/>
        <v>6.8705746930617737</v>
      </c>
      <c r="AB47">
        <f t="shared" si="13"/>
        <v>362.41764000000001</v>
      </c>
      <c r="AC47">
        <f t="shared" si="14"/>
        <v>7.1230000000000002</v>
      </c>
      <c r="AE47">
        <f t="shared" si="15"/>
        <v>352.12298000000004</v>
      </c>
      <c r="AF47">
        <f t="shared" si="16"/>
        <v>18.009</v>
      </c>
    </row>
    <row r="48" spans="1:32" x14ac:dyDescent="0.25">
      <c r="A48">
        <v>370.97</v>
      </c>
      <c r="B48" s="3">
        <f t="shared" si="0"/>
        <v>0.14274249999999999</v>
      </c>
      <c r="C48">
        <v>7.1326000000000001</v>
      </c>
      <c r="D48">
        <f t="shared" si="1"/>
        <v>5.0663000000000001E-3</v>
      </c>
      <c r="F48">
        <v>361.31</v>
      </c>
      <c r="G48" s="3">
        <f t="shared" si="2"/>
        <v>0.14032749999999999</v>
      </c>
      <c r="H48">
        <v>599</v>
      </c>
      <c r="I48">
        <f>H48/1000+18</f>
        <v>18.599</v>
      </c>
      <c r="J48">
        <f t="shared" si="28"/>
        <v>1.42995E-2</v>
      </c>
      <c r="U48">
        <f t="shared" si="9"/>
        <v>370.97</v>
      </c>
      <c r="V48">
        <f t="shared" si="10"/>
        <v>3.7053728312077481</v>
      </c>
      <c r="X48">
        <f t="shared" si="11"/>
        <v>361.31</v>
      </c>
      <c r="Y48">
        <f t="shared" si="12"/>
        <v>7.0198267896105184</v>
      </c>
      <c r="AB48">
        <f t="shared" si="13"/>
        <v>373.49764000000005</v>
      </c>
      <c r="AC48">
        <f t="shared" si="14"/>
        <v>7.1326000000000001</v>
      </c>
      <c r="AE48">
        <f t="shared" si="15"/>
        <v>364.20298000000003</v>
      </c>
      <c r="AF48">
        <f t="shared" si="16"/>
        <v>18.599</v>
      </c>
    </row>
    <row r="49" spans="1:32" x14ac:dyDescent="0.25">
      <c r="A49">
        <v>381.4</v>
      </c>
      <c r="B49" s="3">
        <f t="shared" si="0"/>
        <v>0.14534999999999998</v>
      </c>
      <c r="C49">
        <v>7.1478000000000002</v>
      </c>
      <c r="D49">
        <f t="shared" si="1"/>
        <v>5.0739000000000001E-3</v>
      </c>
      <c r="F49">
        <v>371.06</v>
      </c>
      <c r="G49" s="3">
        <f t="shared" si="2"/>
        <v>0.142765</v>
      </c>
      <c r="H49">
        <v>60</v>
      </c>
      <c r="I49">
        <f>H49/1000+19</f>
        <v>19.059999999999999</v>
      </c>
      <c r="J49">
        <f t="shared" si="28"/>
        <v>1.4530000000000001E-2</v>
      </c>
      <c r="U49">
        <f t="shared" si="9"/>
        <v>381.4</v>
      </c>
      <c r="V49">
        <f t="shared" si="10"/>
        <v>3.7106352116219643</v>
      </c>
      <c r="X49">
        <f t="shared" si="11"/>
        <v>371.06</v>
      </c>
      <c r="Y49">
        <f t="shared" si="12"/>
        <v>7.1353497274224162</v>
      </c>
      <c r="AB49">
        <f t="shared" si="13"/>
        <v>383.92764</v>
      </c>
      <c r="AC49">
        <f t="shared" si="14"/>
        <v>7.1478000000000002</v>
      </c>
      <c r="AE49">
        <f t="shared" si="15"/>
        <v>373.95298000000003</v>
      </c>
      <c r="AF49">
        <f t="shared" si="16"/>
        <v>19.059999999999999</v>
      </c>
    </row>
    <row r="50" spans="1:32" x14ac:dyDescent="0.25">
      <c r="A50">
        <v>390.03</v>
      </c>
      <c r="B50" s="3">
        <f t="shared" si="0"/>
        <v>0.14750750000000001</v>
      </c>
      <c r="C50">
        <v>7.1875</v>
      </c>
      <c r="D50">
        <f t="shared" si="1"/>
        <v>5.0937500000000002E-3</v>
      </c>
      <c r="F50">
        <v>380.49</v>
      </c>
      <c r="G50" s="3">
        <f t="shared" si="2"/>
        <v>0.14512249999999999</v>
      </c>
      <c r="H50">
        <v>492</v>
      </c>
      <c r="I50">
        <f>H50/1000+19</f>
        <v>19.492000000000001</v>
      </c>
      <c r="J50">
        <f t="shared" si="28"/>
        <v>1.4746000000000002E-2</v>
      </c>
      <c r="U50">
        <f t="shared" si="9"/>
        <v>390.03</v>
      </c>
      <c r="V50">
        <f t="shared" si="10"/>
        <v>3.7243621567503609</v>
      </c>
      <c r="X50">
        <f t="shared" si="11"/>
        <v>380.49</v>
      </c>
      <c r="Y50">
        <f t="shared" si="12"/>
        <v>7.2427629026411209</v>
      </c>
      <c r="AB50">
        <f t="shared" si="13"/>
        <v>392.55763999999999</v>
      </c>
      <c r="AC50">
        <f t="shared" si="14"/>
        <v>7.1875</v>
      </c>
      <c r="AE50">
        <f t="shared" si="15"/>
        <v>383.38298000000003</v>
      </c>
      <c r="AF50">
        <f t="shared" si="16"/>
        <v>19.492000000000001</v>
      </c>
    </row>
    <row r="51" spans="1:32" x14ac:dyDescent="0.25">
      <c r="A51">
        <v>400.36</v>
      </c>
      <c r="B51" s="3">
        <f t="shared" si="0"/>
        <v>0.15009</v>
      </c>
      <c r="C51">
        <v>7.2077</v>
      </c>
      <c r="D51">
        <f t="shared" si="1"/>
        <v>5.1038500000000001E-3</v>
      </c>
      <c r="F51">
        <v>390.55</v>
      </c>
      <c r="G51" s="3">
        <f t="shared" si="2"/>
        <v>0.1476375</v>
      </c>
      <c r="H51">
        <v>935</v>
      </c>
      <c r="I51">
        <f>H51/1000+19</f>
        <v>19.934999999999999</v>
      </c>
      <c r="J51">
        <f t="shared" si="28"/>
        <v>1.4967499999999998E-2</v>
      </c>
      <c r="U51">
        <f t="shared" si="9"/>
        <v>400.36</v>
      </c>
      <c r="V51">
        <f t="shared" si="10"/>
        <v>3.7313369435656063</v>
      </c>
      <c r="X51">
        <f t="shared" si="11"/>
        <v>390.55</v>
      </c>
      <c r="Y51">
        <f t="shared" si="12"/>
        <v>7.3520902010318743</v>
      </c>
      <c r="AB51">
        <f t="shared" si="13"/>
        <v>402.88764000000003</v>
      </c>
      <c r="AC51">
        <f t="shared" si="14"/>
        <v>7.2077</v>
      </c>
      <c r="AE51">
        <f t="shared" si="15"/>
        <v>393.44298000000003</v>
      </c>
      <c r="AF51">
        <f t="shared" si="16"/>
        <v>19.934999999999999</v>
      </c>
    </row>
    <row r="52" spans="1:32" x14ac:dyDescent="0.25">
      <c r="A52">
        <v>410.74</v>
      </c>
      <c r="B52" s="3">
        <f t="shared" si="0"/>
        <v>0.15268500000000002</v>
      </c>
      <c r="C52">
        <v>7.2091000000000003</v>
      </c>
      <c r="D52">
        <f t="shared" si="1"/>
        <v>5.1045500000000002E-3</v>
      </c>
      <c r="F52">
        <v>400.5</v>
      </c>
      <c r="G52" s="3">
        <f t="shared" si="2"/>
        <v>0.15012500000000001</v>
      </c>
      <c r="H52">
        <v>363</v>
      </c>
      <c r="I52">
        <f>H52/1000+20</f>
        <v>20.363</v>
      </c>
      <c r="J52">
        <f t="shared" si="28"/>
        <v>1.5181500000000001E-2</v>
      </c>
      <c r="U52">
        <f t="shared" si="9"/>
        <v>410.74</v>
      </c>
      <c r="V52">
        <f t="shared" si="10"/>
        <v>3.7318201030223275</v>
      </c>
      <c r="X52">
        <f t="shared" si="11"/>
        <v>400.5</v>
      </c>
      <c r="Y52">
        <f t="shared" si="12"/>
        <v>7.4569490227595576</v>
      </c>
      <c r="AB52">
        <f t="shared" si="13"/>
        <v>413.26764000000003</v>
      </c>
      <c r="AC52">
        <f t="shared" si="14"/>
        <v>7.2091000000000003</v>
      </c>
      <c r="AE52">
        <f t="shared" si="15"/>
        <v>403.39298000000002</v>
      </c>
      <c r="AF52">
        <f t="shared" si="16"/>
        <v>20.363</v>
      </c>
    </row>
    <row r="53" spans="1:32" x14ac:dyDescent="0.25">
      <c r="A53">
        <v>420.46</v>
      </c>
      <c r="B53" s="3">
        <f t="shared" si="0"/>
        <v>0.155115</v>
      </c>
      <c r="C53">
        <v>7.2244000000000002</v>
      </c>
      <c r="D53">
        <f t="shared" si="1"/>
        <v>5.1121999999999999E-3</v>
      </c>
      <c r="F53">
        <v>410.54</v>
      </c>
      <c r="G53" s="3">
        <f t="shared" si="2"/>
        <v>0.15263500000000002</v>
      </c>
      <c r="H53">
        <v>773</v>
      </c>
      <c r="I53">
        <f>H53/1000+20</f>
        <v>20.773</v>
      </c>
      <c r="J53">
        <f t="shared" si="28"/>
        <v>1.5386500000000001E-2</v>
      </c>
      <c r="U53">
        <f t="shared" si="9"/>
        <v>420.46</v>
      </c>
      <c r="V53">
        <f t="shared" si="10"/>
        <v>3.737098308838914</v>
      </c>
      <c r="X53">
        <f t="shared" si="11"/>
        <v>410.54</v>
      </c>
      <c r="Y53">
        <f t="shared" si="12"/>
        <v>7.5567110132238664</v>
      </c>
      <c r="AB53">
        <f t="shared" si="13"/>
        <v>422.98764</v>
      </c>
      <c r="AC53">
        <f t="shared" si="14"/>
        <v>7.2244000000000002</v>
      </c>
      <c r="AE53">
        <f t="shared" si="15"/>
        <v>413.43298000000004</v>
      </c>
      <c r="AF53">
        <f t="shared" si="16"/>
        <v>20.773</v>
      </c>
    </row>
    <row r="54" spans="1:32" x14ac:dyDescent="0.25">
      <c r="A54">
        <v>430.95</v>
      </c>
      <c r="B54" s="3">
        <f t="shared" si="0"/>
        <v>0.1577375</v>
      </c>
      <c r="C54">
        <v>7.2549999999999999</v>
      </c>
      <c r="D54">
        <f t="shared" si="1"/>
        <v>5.1275000000000001E-3</v>
      </c>
      <c r="F54">
        <v>420.69</v>
      </c>
      <c r="G54" s="3">
        <f t="shared" si="2"/>
        <v>0.15517249999999999</v>
      </c>
      <c r="H54">
        <v>187</v>
      </c>
      <c r="I54">
        <f>H54/1000+21</f>
        <v>21.187000000000001</v>
      </c>
      <c r="J54">
        <f t="shared" si="28"/>
        <v>1.55935E-2</v>
      </c>
      <c r="U54">
        <f t="shared" si="9"/>
        <v>430.95</v>
      </c>
      <c r="V54">
        <f t="shared" si="10"/>
        <v>3.7476435565937236</v>
      </c>
      <c r="X54">
        <f t="shared" si="11"/>
        <v>420.69</v>
      </c>
      <c r="Y54">
        <f t="shared" si="12"/>
        <v>7.6567825077684706</v>
      </c>
      <c r="AB54">
        <f t="shared" si="13"/>
        <v>433.47764000000001</v>
      </c>
      <c r="AC54">
        <f t="shared" si="14"/>
        <v>7.2549999999999999</v>
      </c>
      <c r="AE54">
        <f t="shared" si="15"/>
        <v>423.58298000000002</v>
      </c>
      <c r="AF54">
        <f t="shared" si="16"/>
        <v>21.187000000000001</v>
      </c>
    </row>
    <row r="55" spans="1:32" x14ac:dyDescent="0.25">
      <c r="A55">
        <v>441.12</v>
      </c>
      <c r="B55" s="3">
        <f t="shared" si="0"/>
        <v>0.16028000000000001</v>
      </c>
      <c r="C55">
        <v>7.2649999999999997</v>
      </c>
      <c r="D55">
        <f t="shared" si="1"/>
        <v>5.1324999999999999E-3</v>
      </c>
      <c r="F55">
        <v>429.02</v>
      </c>
      <c r="G55" s="3">
        <f t="shared" si="2"/>
        <v>0.15725500000000001</v>
      </c>
      <c r="H55">
        <v>568</v>
      </c>
      <c r="I55">
        <f>H55/1000+21</f>
        <v>21.568000000000001</v>
      </c>
      <c r="J55">
        <f t="shared" si="28"/>
        <v>1.5783999999999999E-2</v>
      </c>
      <c r="U55">
        <f t="shared" si="9"/>
        <v>441.12</v>
      </c>
      <c r="V55">
        <f t="shared" si="10"/>
        <v>3.7510864999891518</v>
      </c>
      <c r="X55">
        <f t="shared" si="11"/>
        <v>429.02</v>
      </c>
      <c r="Y55">
        <f t="shared" si="12"/>
        <v>7.7483027792266785</v>
      </c>
      <c r="AB55">
        <f t="shared" si="13"/>
        <v>443.64764000000002</v>
      </c>
      <c r="AC55">
        <f t="shared" si="14"/>
        <v>7.2649999999999997</v>
      </c>
      <c r="AE55">
        <f t="shared" si="15"/>
        <v>431.91298</v>
      </c>
      <c r="AF55">
        <f t="shared" si="16"/>
        <v>21.568000000000001</v>
      </c>
    </row>
    <row r="56" spans="1:32" x14ac:dyDescent="0.25">
      <c r="A56">
        <v>450.33</v>
      </c>
      <c r="B56" s="3">
        <f t="shared" si="0"/>
        <v>0.16258250000000002</v>
      </c>
      <c r="C56">
        <v>7.2819000000000003</v>
      </c>
      <c r="D56">
        <f t="shared" si="1"/>
        <v>5.14095E-3</v>
      </c>
      <c r="F56">
        <v>439.8</v>
      </c>
      <c r="G56" s="3">
        <f t="shared" si="2"/>
        <v>0.15995000000000001</v>
      </c>
      <c r="H56">
        <v>881</v>
      </c>
      <c r="I56">
        <f>H56/1000+21</f>
        <v>21.881</v>
      </c>
      <c r="J56">
        <f t="shared" si="28"/>
        <v>1.59405E-2</v>
      </c>
      <c r="U56">
        <f t="shared" si="9"/>
        <v>450.33</v>
      </c>
      <c r="V56">
        <f t="shared" si="10"/>
        <v>3.7569014859392427</v>
      </c>
      <c r="X56">
        <f t="shared" si="11"/>
        <v>439.8</v>
      </c>
      <c r="Y56">
        <f t="shared" si="12"/>
        <v>7.8230861123764299</v>
      </c>
      <c r="AB56">
        <f t="shared" si="13"/>
        <v>452.85764</v>
      </c>
      <c r="AC56">
        <f t="shared" si="14"/>
        <v>7.2819000000000003</v>
      </c>
      <c r="AE56">
        <f t="shared" si="15"/>
        <v>442.69298000000003</v>
      </c>
      <c r="AF56">
        <f t="shared" si="16"/>
        <v>21.881</v>
      </c>
    </row>
    <row r="57" spans="1:32" x14ac:dyDescent="0.25">
      <c r="A57">
        <v>461.57</v>
      </c>
      <c r="B57" s="3">
        <f t="shared" si="0"/>
        <v>0.1653925</v>
      </c>
      <c r="C57">
        <v>7.3109000000000002</v>
      </c>
      <c r="D57">
        <f t="shared" si="1"/>
        <v>5.1554499999999998E-3</v>
      </c>
      <c r="F57">
        <v>450.45</v>
      </c>
      <c r="G57" s="3">
        <f t="shared" si="2"/>
        <v>0.16261249999999999</v>
      </c>
      <c r="H57">
        <v>260</v>
      </c>
      <c r="I57">
        <f>H57/1000+22</f>
        <v>22.26</v>
      </c>
      <c r="J57">
        <f t="shared" si="28"/>
        <v>1.6130000000000002E-2</v>
      </c>
      <c r="U57">
        <f t="shared" si="9"/>
        <v>461.57</v>
      </c>
      <c r="V57">
        <f t="shared" si="10"/>
        <v>3.7668693931751061</v>
      </c>
      <c r="X57">
        <f t="shared" si="11"/>
        <v>450.45</v>
      </c>
      <c r="Y57">
        <f t="shared" si="12"/>
        <v>7.913162908753999</v>
      </c>
      <c r="AB57">
        <f t="shared" si="13"/>
        <v>464.09764000000001</v>
      </c>
      <c r="AC57">
        <f t="shared" si="14"/>
        <v>7.3109000000000002</v>
      </c>
      <c r="AE57">
        <f t="shared" si="15"/>
        <v>453.34298000000001</v>
      </c>
      <c r="AF57">
        <f t="shared" si="16"/>
        <v>22.26</v>
      </c>
    </row>
    <row r="58" spans="1:32" x14ac:dyDescent="0.25">
      <c r="A58">
        <v>470.97</v>
      </c>
      <c r="B58" s="3">
        <f t="shared" si="0"/>
        <v>0.16774250000000002</v>
      </c>
      <c r="C58">
        <v>7.3253000000000004</v>
      </c>
      <c r="D58">
        <f t="shared" si="1"/>
        <v>5.1626500000000004E-3</v>
      </c>
      <c r="F58">
        <v>460.72</v>
      </c>
      <c r="G58" s="3">
        <f t="shared" si="2"/>
        <v>0.16517999999999999</v>
      </c>
      <c r="H58">
        <v>588</v>
      </c>
      <c r="I58">
        <f>H58/1000+22</f>
        <v>22.588000000000001</v>
      </c>
      <c r="J58">
        <f t="shared" si="28"/>
        <v>1.6293999999999999E-2</v>
      </c>
      <c r="U58">
        <f t="shared" si="9"/>
        <v>470.97</v>
      </c>
      <c r="V58">
        <f t="shared" si="10"/>
        <v>3.7718140765138175</v>
      </c>
      <c r="X58">
        <f t="shared" si="11"/>
        <v>460.72</v>
      </c>
      <c r="Y58">
        <f t="shared" si="12"/>
        <v>7.9907066249947043</v>
      </c>
      <c r="AB58">
        <f t="shared" si="13"/>
        <v>473.49764000000005</v>
      </c>
      <c r="AC58">
        <f t="shared" si="14"/>
        <v>7.3253000000000004</v>
      </c>
      <c r="AE58">
        <f t="shared" si="15"/>
        <v>463.61298000000005</v>
      </c>
      <c r="AF58">
        <f t="shared" si="16"/>
        <v>22.588000000000001</v>
      </c>
    </row>
    <row r="59" spans="1:32" x14ac:dyDescent="0.25">
      <c r="A59">
        <v>480.87</v>
      </c>
      <c r="B59" s="3">
        <f t="shared" si="0"/>
        <v>0.17021750000000002</v>
      </c>
      <c r="C59">
        <v>7.3426</v>
      </c>
      <c r="D59">
        <f t="shared" si="1"/>
        <v>5.1713000000000002E-3</v>
      </c>
      <c r="F59">
        <v>470.52</v>
      </c>
      <c r="G59" s="3">
        <f t="shared" si="2"/>
        <v>0.16763</v>
      </c>
      <c r="H59">
        <v>881</v>
      </c>
      <c r="I59">
        <f>H59/1000+22</f>
        <v>22.881</v>
      </c>
      <c r="J59">
        <f t="shared" si="28"/>
        <v>1.64405E-2</v>
      </c>
      <c r="U59">
        <f t="shared" si="9"/>
        <v>480.87</v>
      </c>
      <c r="V59">
        <f t="shared" si="10"/>
        <v>3.7777502817439981</v>
      </c>
      <c r="X59">
        <f t="shared" si="11"/>
        <v>470.52</v>
      </c>
      <c r="Y59">
        <f t="shared" si="12"/>
        <v>8.0596589997494021</v>
      </c>
      <c r="AB59">
        <f t="shared" si="13"/>
        <v>483.39764000000002</v>
      </c>
      <c r="AC59">
        <f t="shared" si="14"/>
        <v>7.3426</v>
      </c>
      <c r="AE59">
        <f t="shared" si="15"/>
        <v>473.41298</v>
      </c>
      <c r="AF59">
        <f t="shared" si="16"/>
        <v>22.881</v>
      </c>
    </row>
    <row r="60" spans="1:32" x14ac:dyDescent="0.25">
      <c r="A60">
        <v>490.55</v>
      </c>
      <c r="B60" s="3">
        <f t="shared" si="0"/>
        <v>0.1726375</v>
      </c>
      <c r="C60">
        <v>7.3464</v>
      </c>
      <c r="D60">
        <f t="shared" si="1"/>
        <v>5.1732000000000002E-3</v>
      </c>
      <c r="F60">
        <v>480.3</v>
      </c>
      <c r="G60" s="3">
        <f t="shared" si="2"/>
        <v>0.170075</v>
      </c>
      <c r="H60">
        <v>168</v>
      </c>
      <c r="I60">
        <f>H60/1000+23</f>
        <v>23.167999999999999</v>
      </c>
      <c r="J60">
        <f t="shared" si="28"/>
        <v>1.6584000000000002E-2</v>
      </c>
      <c r="U60">
        <f t="shared" si="9"/>
        <v>490.55</v>
      </c>
      <c r="V60">
        <f t="shared" si="10"/>
        <v>3.7790535633364462</v>
      </c>
      <c r="X60">
        <f t="shared" si="11"/>
        <v>480.3</v>
      </c>
      <c r="Y60">
        <f t="shared" si="12"/>
        <v>8.1269146048946936</v>
      </c>
      <c r="AB60">
        <f t="shared" si="13"/>
        <v>493.07764000000003</v>
      </c>
      <c r="AC60">
        <f t="shared" si="14"/>
        <v>7.3464</v>
      </c>
      <c r="AE60">
        <f t="shared" si="15"/>
        <v>483.19298000000003</v>
      </c>
      <c r="AF60">
        <f t="shared" si="16"/>
        <v>23.167999999999999</v>
      </c>
    </row>
    <row r="61" spans="1:32" x14ac:dyDescent="0.25">
      <c r="A61">
        <v>499.62</v>
      </c>
      <c r="B61" s="3">
        <f t="shared" si="0"/>
        <v>0.174905</v>
      </c>
      <c r="C61">
        <v>7.3525999999999998</v>
      </c>
      <c r="D61">
        <f t="shared" si="1"/>
        <v>5.1763E-3</v>
      </c>
      <c r="F61">
        <v>490.44</v>
      </c>
      <c r="G61" s="3">
        <f t="shared" si="2"/>
        <v>0.17260999999999999</v>
      </c>
      <c r="H61">
        <v>427</v>
      </c>
      <c r="I61">
        <f>H61/1000+23</f>
        <v>23.427</v>
      </c>
      <c r="J61">
        <f t="shared" si="28"/>
        <v>1.6713499999999999E-2</v>
      </c>
      <c r="U61">
        <f t="shared" si="9"/>
        <v>499.62</v>
      </c>
      <c r="V61">
        <f t="shared" si="10"/>
        <v>3.7811794878420422</v>
      </c>
      <c r="X61">
        <f t="shared" si="11"/>
        <v>490.44</v>
      </c>
      <c r="Y61">
        <f t="shared" si="12"/>
        <v>8.1873706489286082</v>
      </c>
      <c r="AB61">
        <f t="shared" si="13"/>
        <v>502.14764000000002</v>
      </c>
      <c r="AC61">
        <f t="shared" si="14"/>
        <v>7.3525999999999998</v>
      </c>
      <c r="AE61">
        <f t="shared" si="15"/>
        <v>493.33298000000002</v>
      </c>
      <c r="AF61">
        <f t="shared" si="16"/>
        <v>23.427</v>
      </c>
    </row>
    <row r="62" spans="1:32" x14ac:dyDescent="0.25">
      <c r="F62">
        <v>499.34</v>
      </c>
      <c r="G62" s="3">
        <f t="shared" si="2"/>
        <v>0.17483500000000002</v>
      </c>
      <c r="H62">
        <v>651</v>
      </c>
      <c r="I62">
        <f>H62/1000+23</f>
        <v>23.651</v>
      </c>
      <c r="J62">
        <f t="shared" si="28"/>
        <v>1.68255E-2</v>
      </c>
      <c r="X62">
        <f t="shared" si="11"/>
        <v>499.34</v>
      </c>
      <c r="Y62">
        <f t="shared" si="12"/>
        <v>8.2394774987205999</v>
      </c>
      <c r="AE62">
        <f t="shared" si="15"/>
        <v>502.23298</v>
      </c>
      <c r="AF62">
        <f t="shared" si="16"/>
        <v>23.651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2015-06-05T18:19:34Z</dcterms:created>
  <dcterms:modified xsi:type="dcterms:W3CDTF">2021-10-05T13:20:26Z</dcterms:modified>
</cp:coreProperties>
</file>