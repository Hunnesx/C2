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9\"/>
    </mc:Choice>
  </mc:AlternateContent>
  <xr:revisionPtr revIDLastSave="0" documentId="13_ncr:1_{7CF79728-079D-4063-9173-0946B559A9AB}" xr6:coauthVersionLast="47" xr6:coauthVersionMax="47" xr10:uidLastSave="{00000000-0000-0000-0000-000000000000}"/>
  <bookViews>
    <workbookView xWindow="-120" yWindow="-120" windowWidth="29040" windowHeight="16440" xr2:uid="{7C8FD61B-B90A-449E-A96C-079E66FA15E9}"/>
  </bookViews>
  <sheets>
    <sheet name="Vakuumdi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" i="1" l="1"/>
  <c r="AL8" i="1"/>
  <c r="AK9" i="1"/>
  <c r="AL9" i="1"/>
  <c r="AK10" i="1"/>
  <c r="AL10" i="1"/>
  <c r="AK11" i="1"/>
  <c r="AL11" i="1"/>
  <c r="AK12" i="1"/>
  <c r="AL12" i="1"/>
  <c r="AK13" i="1"/>
  <c r="AL13" i="1"/>
  <c r="AK14" i="1"/>
  <c r="AL14" i="1"/>
  <c r="AK15" i="1"/>
  <c r="AL15" i="1"/>
  <c r="AK16" i="1"/>
  <c r="AL16" i="1"/>
  <c r="AK17" i="1"/>
  <c r="AL17" i="1"/>
  <c r="AK18" i="1"/>
  <c r="AL18" i="1"/>
  <c r="AK19" i="1"/>
  <c r="AL19" i="1"/>
  <c r="AK20" i="1"/>
  <c r="AL20" i="1"/>
  <c r="AK21" i="1"/>
  <c r="AL21" i="1"/>
  <c r="AK22" i="1"/>
  <c r="AL22" i="1"/>
  <c r="AK23" i="1"/>
  <c r="AL23" i="1"/>
  <c r="AK24" i="1"/>
  <c r="AL24" i="1"/>
  <c r="AK25" i="1"/>
  <c r="AL25" i="1"/>
  <c r="AK26" i="1"/>
  <c r="AL26" i="1"/>
  <c r="AK27" i="1"/>
  <c r="AL27" i="1"/>
  <c r="AL7" i="1"/>
  <c r="AK7" i="1"/>
  <c r="AM8" i="1"/>
  <c r="AN8" i="1"/>
  <c r="AM9" i="1"/>
  <c r="AN9" i="1" s="1"/>
  <c r="AM10" i="1"/>
  <c r="AN10" i="1" s="1"/>
  <c r="AM11" i="1"/>
  <c r="AN11" i="1"/>
  <c r="AM12" i="1"/>
  <c r="AN12" i="1"/>
  <c r="AM13" i="1"/>
  <c r="AN13" i="1"/>
  <c r="AM14" i="1"/>
  <c r="AN14" i="1" s="1"/>
  <c r="AM15" i="1"/>
  <c r="AN15" i="1"/>
  <c r="AM16" i="1"/>
  <c r="AN16" i="1"/>
  <c r="AM17" i="1"/>
  <c r="AN17" i="1"/>
  <c r="AM18" i="1"/>
  <c r="AN18" i="1" s="1"/>
  <c r="AM19" i="1"/>
  <c r="AN19" i="1"/>
  <c r="AM20" i="1"/>
  <c r="AN20" i="1"/>
  <c r="AM21" i="1"/>
  <c r="AN21" i="1"/>
  <c r="AM22" i="1"/>
  <c r="AN22" i="1" s="1"/>
  <c r="AM23" i="1"/>
  <c r="AN23" i="1"/>
  <c r="AM24" i="1"/>
  <c r="AN24" i="1"/>
  <c r="AM25" i="1"/>
  <c r="AN25" i="1"/>
  <c r="AM26" i="1"/>
  <c r="AN26" i="1" s="1"/>
  <c r="AM27" i="1"/>
  <c r="AN27" i="1"/>
  <c r="AN7" i="1"/>
  <c r="AM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7" i="1"/>
  <c r="G14" i="1"/>
  <c r="G15" i="1"/>
  <c r="G16" i="1"/>
  <c r="G17" i="1"/>
  <c r="G18" i="1"/>
  <c r="G19" i="1"/>
  <c r="G20" i="1"/>
  <c r="V11" i="1"/>
  <c r="W12" i="1"/>
  <c r="W8" i="1"/>
  <c r="W9" i="1"/>
  <c r="W10" i="1"/>
  <c r="W11" i="1"/>
  <c r="W13" i="1"/>
  <c r="W14" i="1"/>
  <c r="W7" i="1"/>
  <c r="V8" i="1"/>
  <c r="V9" i="1"/>
  <c r="V10" i="1"/>
  <c r="V12" i="1"/>
  <c r="V13" i="1"/>
  <c r="V14" i="1"/>
  <c r="V7" i="1"/>
  <c r="K15" i="1"/>
  <c r="K16" i="1"/>
  <c r="K17" i="1"/>
  <c r="K18" i="1"/>
  <c r="K19" i="1"/>
  <c r="K20" i="1"/>
  <c r="K14" i="1"/>
  <c r="J15" i="1"/>
  <c r="J16" i="1"/>
  <c r="J17" i="1"/>
  <c r="J18" i="1"/>
  <c r="J19" i="1"/>
  <c r="J20" i="1"/>
  <c r="J14" i="1"/>
  <c r="T8" i="1"/>
  <c r="T9" i="1"/>
  <c r="T10" i="1"/>
  <c r="U10" i="1" s="1"/>
  <c r="T11" i="1"/>
  <c r="T12" i="1"/>
  <c r="T13" i="1"/>
  <c r="T14" i="1"/>
  <c r="T15" i="1"/>
  <c r="U15" i="1"/>
  <c r="T16" i="1"/>
  <c r="T17" i="1"/>
  <c r="T18" i="1"/>
  <c r="T19" i="1"/>
  <c r="T20" i="1"/>
  <c r="T21" i="1"/>
  <c r="T22" i="1"/>
  <c r="U22" i="1" s="1"/>
  <c r="T23" i="1"/>
  <c r="U23" i="1" s="1"/>
  <c r="T24" i="1"/>
  <c r="T25" i="1"/>
  <c r="T26" i="1"/>
  <c r="T27" i="1"/>
  <c r="T28" i="1"/>
  <c r="T29" i="1"/>
  <c r="T30" i="1"/>
  <c r="T31" i="1"/>
  <c r="U31" i="1" s="1"/>
  <c r="T32" i="1"/>
  <c r="T33" i="1"/>
  <c r="T34" i="1"/>
  <c r="T35" i="1"/>
  <c r="T36" i="1"/>
  <c r="T37" i="1"/>
  <c r="T38" i="1"/>
  <c r="T39" i="1"/>
  <c r="T40" i="1"/>
  <c r="T41" i="1"/>
  <c r="T42" i="1"/>
  <c r="U42" i="1"/>
  <c r="T43" i="1"/>
  <c r="T44" i="1"/>
  <c r="U44" i="1" s="1"/>
  <c r="T45" i="1"/>
  <c r="T46" i="1"/>
  <c r="T47" i="1"/>
  <c r="T48" i="1"/>
  <c r="T49" i="1"/>
  <c r="T50" i="1"/>
  <c r="U50" i="1" s="1"/>
  <c r="T51" i="1"/>
  <c r="T52" i="1"/>
  <c r="T53" i="1"/>
  <c r="T54" i="1"/>
  <c r="T55" i="1"/>
  <c r="T56" i="1"/>
  <c r="T57" i="1"/>
  <c r="T7" i="1"/>
  <c r="H14" i="1"/>
  <c r="H15" i="1"/>
  <c r="I15" i="1" s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7" i="1"/>
  <c r="AF26" i="1"/>
  <c r="AF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7" i="1"/>
  <c r="S59" i="1"/>
  <c r="S61" i="1"/>
  <c r="S62" i="1"/>
  <c r="S63" i="1"/>
  <c r="S64" i="1"/>
  <c r="S60" i="1"/>
  <c r="S32" i="1"/>
  <c r="S33" i="1"/>
  <c r="S34" i="1"/>
  <c r="S35" i="1"/>
  <c r="U35" i="1" s="1"/>
  <c r="S36" i="1"/>
  <c r="S37" i="1"/>
  <c r="S38" i="1"/>
  <c r="S39" i="1"/>
  <c r="S40" i="1"/>
  <c r="S41" i="1"/>
  <c r="S42" i="1"/>
  <c r="S43" i="1"/>
  <c r="S44" i="1"/>
  <c r="S45" i="1"/>
  <c r="S46" i="1"/>
  <c r="U46" i="1" s="1"/>
  <c r="S47" i="1"/>
  <c r="U47" i="1" s="1"/>
  <c r="S48" i="1"/>
  <c r="S49" i="1"/>
  <c r="S50" i="1"/>
  <c r="S51" i="1"/>
  <c r="U51" i="1" s="1"/>
  <c r="S52" i="1"/>
  <c r="S53" i="1"/>
  <c r="S54" i="1"/>
  <c r="S55" i="1"/>
  <c r="S56" i="1"/>
  <c r="S57" i="1"/>
  <c r="S31" i="1"/>
  <c r="S8" i="1"/>
  <c r="S9" i="1"/>
  <c r="S10" i="1"/>
  <c r="S11" i="1"/>
  <c r="S12" i="1"/>
  <c r="S13" i="1"/>
  <c r="S14" i="1"/>
  <c r="S15" i="1"/>
  <c r="S16" i="1"/>
  <c r="S17" i="1"/>
  <c r="S18" i="1"/>
  <c r="S19" i="1"/>
  <c r="U19" i="1" s="1"/>
  <c r="S20" i="1"/>
  <c r="S21" i="1"/>
  <c r="S22" i="1"/>
  <c r="S23" i="1"/>
  <c r="S24" i="1"/>
  <c r="S25" i="1"/>
  <c r="S26" i="1"/>
  <c r="U26" i="1" s="1"/>
  <c r="S27" i="1"/>
  <c r="S28" i="1"/>
  <c r="S29" i="1"/>
  <c r="S30" i="1"/>
  <c r="S7" i="1"/>
  <c r="P59" i="1"/>
  <c r="P60" i="1"/>
  <c r="P61" i="1"/>
  <c r="P62" i="1"/>
  <c r="P63" i="1"/>
  <c r="P6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7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8" i="1"/>
  <c r="G9" i="1"/>
  <c r="G10" i="1"/>
  <c r="G11" i="1"/>
  <c r="G12" i="1"/>
  <c r="G7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3" i="1"/>
  <c r="D15" i="1"/>
  <c r="D16" i="1"/>
  <c r="D17" i="1"/>
  <c r="D18" i="1"/>
  <c r="D19" i="1"/>
  <c r="D20" i="1"/>
  <c r="D21" i="1"/>
  <c r="D22" i="1"/>
  <c r="D14" i="1"/>
  <c r="D8" i="1"/>
  <c r="D9" i="1"/>
  <c r="D10" i="1"/>
  <c r="D11" i="1"/>
  <c r="D12" i="1"/>
  <c r="D7" i="1"/>
  <c r="U21" i="1" l="1"/>
  <c r="U34" i="1"/>
  <c r="U27" i="1"/>
  <c r="U48" i="1"/>
  <c r="U55" i="1"/>
  <c r="U32" i="1"/>
  <c r="U18" i="1"/>
  <c r="U11" i="1"/>
  <c r="U30" i="1"/>
  <c r="U14" i="1"/>
  <c r="I17" i="1"/>
  <c r="U54" i="1"/>
  <c r="U39" i="1"/>
  <c r="U53" i="1"/>
  <c r="U38" i="1"/>
  <c r="U16" i="1"/>
  <c r="U37" i="1"/>
  <c r="I14" i="1"/>
  <c r="U43" i="1"/>
  <c r="I39" i="1"/>
  <c r="I57" i="1"/>
  <c r="I49" i="1"/>
  <c r="I41" i="1"/>
  <c r="I33" i="1"/>
  <c r="I25" i="1"/>
  <c r="U28" i="1"/>
  <c r="U12" i="1"/>
  <c r="I56" i="1"/>
  <c r="I48" i="1"/>
  <c r="I40" i="1"/>
  <c r="I32" i="1"/>
  <c r="I24" i="1"/>
  <c r="I16" i="1"/>
  <c r="U49" i="1"/>
  <c r="U33" i="1"/>
  <c r="U17" i="1"/>
  <c r="I63" i="1"/>
  <c r="I55" i="1"/>
  <c r="I23" i="1"/>
  <c r="I62" i="1"/>
  <c r="I46" i="1"/>
  <c r="I38" i="1"/>
  <c r="I30" i="1"/>
  <c r="I22" i="1"/>
  <c r="I61" i="1"/>
  <c r="I53" i="1"/>
  <c r="I45" i="1"/>
  <c r="I37" i="1"/>
  <c r="I29" i="1"/>
  <c r="I21" i="1"/>
  <c r="U7" i="1"/>
  <c r="U52" i="1"/>
  <c r="U36" i="1"/>
  <c r="U20" i="1"/>
  <c r="I47" i="1"/>
  <c r="I60" i="1"/>
  <c r="I52" i="1"/>
  <c r="I44" i="1"/>
  <c r="I36" i="1"/>
  <c r="I28" i="1"/>
  <c r="I20" i="1"/>
  <c r="U57" i="1"/>
  <c r="U41" i="1"/>
  <c r="U25" i="1"/>
  <c r="U9" i="1"/>
  <c r="I31" i="1"/>
  <c r="I54" i="1"/>
  <c r="I59" i="1"/>
  <c r="I51" i="1"/>
  <c r="I43" i="1"/>
  <c r="I35" i="1"/>
  <c r="I27" i="1"/>
  <c r="I19" i="1"/>
  <c r="U56" i="1"/>
  <c r="U40" i="1"/>
  <c r="U24" i="1"/>
  <c r="U8" i="1"/>
  <c r="I58" i="1"/>
  <c r="I50" i="1"/>
  <c r="I42" i="1"/>
  <c r="I34" i="1"/>
  <c r="I26" i="1"/>
  <c r="I18" i="1"/>
  <c r="U45" i="1"/>
  <c r="U29" i="1"/>
  <c r="U13" i="1"/>
</calcChain>
</file>

<file path=xl/sharedStrings.xml><?xml version="1.0" encoding="utf-8"?>
<sst xmlns="http://schemas.openxmlformats.org/spreadsheetml/2006/main" count="48" uniqueCount="23">
  <si>
    <t>U_H/V</t>
  </si>
  <si>
    <t>Fehler/V</t>
  </si>
  <si>
    <t xml:space="preserve">Agilent 34405A </t>
  </si>
  <si>
    <t>Bereich/V</t>
  </si>
  <si>
    <t>Anodenspannung/V</t>
  </si>
  <si>
    <t>Anodenstrom/mA</t>
  </si>
  <si>
    <t>U_A/V</t>
  </si>
  <si>
    <t>Heizspannung/V</t>
  </si>
  <si>
    <t>Fehler/mA</t>
  </si>
  <si>
    <t>Bereich/mA</t>
  </si>
  <si>
    <t>Fehelr/V</t>
  </si>
  <si>
    <t>I^(2/3)/mA^(2/3)</t>
  </si>
  <si>
    <t>Fehler/mA^(2/3)</t>
  </si>
  <si>
    <t>Bereinigte Anodenspannung/V</t>
  </si>
  <si>
    <t>U_K/V</t>
  </si>
  <si>
    <t>T/K</t>
  </si>
  <si>
    <t>Fehler/K</t>
  </si>
  <si>
    <t>1/T*K</t>
  </si>
  <si>
    <t>Fehler*K</t>
  </si>
  <si>
    <t>I/T^2/(mA/K^2)</t>
  </si>
  <si>
    <t>Fehler/(mA/K^2)</t>
  </si>
  <si>
    <t>1/T*10^(-4)K</t>
  </si>
  <si>
    <t>Fehler*10^(-4)K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</si>
</sst>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AD6A-04B8-405C-8EAE-36024E02E0C9}">
  <dimension ref="B2:AN64"/>
  <sheetViews>
    <sheetView tabSelected="1" topLeftCell="U1" workbookViewId="0">
      <selection activeCell="AK22" sqref="AK7:AN22"/>
    </sheetView>
  </sheetViews>
  <sheetFormatPr baseColWidth="10" defaultRowHeight="15" x14ac:dyDescent="0.25"/>
  <cols>
    <col min="2" max="2" width="18.85546875" bestFit="1" customWidth="1"/>
    <col min="5" max="5" width="17.140625" bestFit="1" customWidth="1"/>
    <col min="8" max="8" width="16.140625" bestFit="1" customWidth="1"/>
    <col min="9" max="9" width="15.85546875" bestFit="1" customWidth="1"/>
    <col min="10" max="10" width="28.85546875" bestFit="1" customWidth="1"/>
    <col min="11" max="11" width="15.85546875" customWidth="1"/>
    <col min="14" max="14" width="18.85546875" bestFit="1" customWidth="1"/>
    <col min="17" max="17" width="17.140625" bestFit="1" customWidth="1"/>
    <col min="21" max="21" width="15.85546875" bestFit="1" customWidth="1"/>
    <col min="22" max="22" width="28.85546875" bestFit="1" customWidth="1"/>
    <col min="27" max="27" width="15.5703125" bestFit="1" customWidth="1"/>
    <col min="30" max="30" width="17.140625" bestFit="1" customWidth="1"/>
    <col min="36" max="36" width="12" bestFit="1" customWidth="1"/>
    <col min="37" max="37" width="14.7109375" bestFit="1" customWidth="1"/>
    <col min="38" max="38" width="16.140625" bestFit="1" customWidth="1"/>
  </cols>
  <sheetData>
    <row r="2" spans="2:40" x14ac:dyDescent="0.25">
      <c r="B2" t="s">
        <v>2</v>
      </c>
      <c r="C2" t="s">
        <v>3</v>
      </c>
      <c r="E2">
        <v>10</v>
      </c>
      <c r="N2" t="s">
        <v>3</v>
      </c>
      <c r="O2">
        <v>10</v>
      </c>
      <c r="AA2" t="s">
        <v>3</v>
      </c>
      <c r="AB2">
        <v>1000</v>
      </c>
    </row>
    <row r="3" spans="2:40" x14ac:dyDescent="0.25">
      <c r="B3" t="s">
        <v>0</v>
      </c>
      <c r="C3">
        <v>6.5015999999999998</v>
      </c>
      <c r="I3" t="s">
        <v>14</v>
      </c>
      <c r="J3">
        <v>-3.8647191009999999</v>
      </c>
      <c r="N3" t="s">
        <v>0</v>
      </c>
      <c r="O3">
        <v>7.5016999999999996</v>
      </c>
      <c r="U3" t="s">
        <v>14</v>
      </c>
      <c r="V3">
        <v>-2.5257563369999998</v>
      </c>
      <c r="AA3" t="s">
        <v>6</v>
      </c>
      <c r="AB3">
        <v>500.26</v>
      </c>
    </row>
    <row r="4" spans="2:40" x14ac:dyDescent="0.25">
      <c r="B4" t="s">
        <v>1</v>
      </c>
      <c r="I4" t="s">
        <v>1</v>
      </c>
      <c r="J4">
        <v>0.52666559180000005</v>
      </c>
      <c r="N4" t="s">
        <v>1</v>
      </c>
      <c r="U4" t="s">
        <v>1</v>
      </c>
      <c r="V4">
        <v>0.17277806449999999</v>
      </c>
      <c r="AA4" t="s">
        <v>1</v>
      </c>
    </row>
    <row r="6" spans="2:40" x14ac:dyDescent="0.25">
      <c r="B6" t="s">
        <v>4</v>
      </c>
      <c r="C6" t="s">
        <v>3</v>
      </c>
      <c r="D6" t="s">
        <v>1</v>
      </c>
      <c r="E6" t="s">
        <v>5</v>
      </c>
      <c r="F6" t="s">
        <v>9</v>
      </c>
      <c r="G6" t="s">
        <v>8</v>
      </c>
      <c r="H6" t="s">
        <v>11</v>
      </c>
      <c r="I6" t="s">
        <v>12</v>
      </c>
      <c r="J6" t="s">
        <v>13</v>
      </c>
      <c r="K6" t="s">
        <v>1</v>
      </c>
      <c r="N6" t="s">
        <v>4</v>
      </c>
      <c r="O6" t="s">
        <v>3</v>
      </c>
      <c r="P6" t="s">
        <v>10</v>
      </c>
      <c r="Q6" t="s">
        <v>5</v>
      </c>
      <c r="R6" t="s">
        <v>9</v>
      </c>
      <c r="S6" t="s">
        <v>8</v>
      </c>
      <c r="T6" t="s">
        <v>11</v>
      </c>
      <c r="U6" t="s">
        <v>12</v>
      </c>
      <c r="V6" t="s">
        <v>13</v>
      </c>
      <c r="W6" t="s">
        <v>1</v>
      </c>
      <c r="AA6" t="s">
        <v>7</v>
      </c>
      <c r="AB6" t="s">
        <v>3</v>
      </c>
      <c r="AC6" t="s">
        <v>1</v>
      </c>
      <c r="AD6" t="s">
        <v>5</v>
      </c>
      <c r="AE6" t="s">
        <v>9</v>
      </c>
      <c r="AF6" t="s">
        <v>8</v>
      </c>
      <c r="AG6" t="s">
        <v>15</v>
      </c>
      <c r="AH6" t="s">
        <v>16</v>
      </c>
      <c r="AI6" t="s">
        <v>17</v>
      </c>
      <c r="AJ6" t="s">
        <v>18</v>
      </c>
      <c r="AK6" t="s">
        <v>21</v>
      </c>
      <c r="AL6" t="s">
        <v>22</v>
      </c>
      <c r="AM6" t="s">
        <v>19</v>
      </c>
      <c r="AN6" t="s">
        <v>20</v>
      </c>
    </row>
    <row r="7" spans="2:40" x14ac:dyDescent="0.25">
      <c r="B7">
        <v>-500</v>
      </c>
      <c r="C7">
        <v>1000</v>
      </c>
      <c r="D7">
        <f>0.025%*ABS(B7)+0.005%*C7</f>
        <v>0.17499999999999999</v>
      </c>
      <c r="E7">
        <v>-1E-4</v>
      </c>
      <c r="F7">
        <v>10</v>
      </c>
      <c r="G7">
        <f>0.05%*E7+0.015%*F7</f>
        <v>1.4999499999999999E-3</v>
      </c>
      <c r="N7">
        <v>2.0049999999999999</v>
      </c>
      <c r="O7">
        <v>100</v>
      </c>
      <c r="P7">
        <f>0.025%*N7+0.005%*O7</f>
        <v>5.5012500000000001E-3</v>
      </c>
      <c r="Q7">
        <v>2.4799999999999999E-2</v>
      </c>
      <c r="R7">
        <v>10</v>
      </c>
      <c r="S7">
        <f>0.05%*Q7+0.015%*R7</f>
        <v>1.5123999999999999E-3</v>
      </c>
      <c r="T7">
        <f t="shared" ref="T7" si="0">Q7^(2/3)</f>
        <v>8.5042193584717068E-2</v>
      </c>
      <c r="U7">
        <f t="shared" ref="U7" si="1">2/3*T7*S7/Q7</f>
        <v>3.4574681069227445E-3</v>
      </c>
      <c r="V7">
        <f>N7-$V$3</f>
        <v>4.5307563369999997</v>
      </c>
      <c r="W7">
        <f>SQRT(P7^2+$V$4^2)</f>
        <v>0.17286562215758416</v>
      </c>
      <c r="AA7">
        <v>5.0004999999999997</v>
      </c>
      <c r="AB7">
        <v>10</v>
      </c>
      <c r="AC7">
        <f>0.025%*AA7+0.005%*AB7</f>
        <v>1.7501249999999999E-3</v>
      </c>
      <c r="AD7">
        <v>0.64939999999999998</v>
      </c>
      <c r="AE7">
        <v>10</v>
      </c>
      <c r="AF7">
        <f>0.05%*AD7+0.015%*AE7</f>
        <v>1.8246999999999998E-3</v>
      </c>
      <c r="AG7">
        <f>1616+97*AA7</f>
        <v>2101.0484999999999</v>
      </c>
      <c r="AH7">
        <f>AG7*AC7/AA7</f>
        <v>0.7353459666158384</v>
      </c>
      <c r="AI7">
        <f>1/AG7</f>
        <v>4.7595283973692184E-4</v>
      </c>
      <c r="AJ7">
        <f>AI7*AH7/AG7</f>
        <v>1.6657873485543055E-7</v>
      </c>
      <c r="AK7">
        <f>AI7*10^4</f>
        <v>4.7595283973692188</v>
      </c>
      <c r="AL7">
        <f>AJ7*10^4</f>
        <v>1.6657873485543056E-3</v>
      </c>
      <c r="AM7">
        <f>AD7/AG7^2</f>
        <v>1.4710930001147383E-7</v>
      </c>
      <c r="AN7">
        <f>AM7*SQRT((AF7/AD7)^2+4*(AH7/AG7)^2)</f>
        <v>4.259845771361178E-10</v>
      </c>
    </row>
    <row r="8" spans="2:40" x14ac:dyDescent="0.25">
      <c r="B8">
        <v>-400.52</v>
      </c>
      <c r="C8">
        <v>1000</v>
      </c>
      <c r="D8">
        <f t="shared" ref="D8:D12" si="2">0.025%*ABS(B8)+0.005%*C8</f>
        <v>0.15012999999999999</v>
      </c>
      <c r="E8">
        <v>-1E-4</v>
      </c>
      <c r="F8">
        <v>10</v>
      </c>
      <c r="G8">
        <f t="shared" ref="G8:G12" si="3">0.05%*E8+0.015%*F8</f>
        <v>1.4999499999999999E-3</v>
      </c>
      <c r="N8">
        <v>10.7</v>
      </c>
      <c r="O8">
        <v>100</v>
      </c>
      <c r="P8">
        <f t="shared" ref="P8:P64" si="4">0.025%*N8+0.005%*O8</f>
        <v>7.6749999999999995E-3</v>
      </c>
      <c r="Q8">
        <v>0.188</v>
      </c>
      <c r="R8">
        <v>10</v>
      </c>
      <c r="S8">
        <f t="shared" ref="S8:S30" si="5">0.05%*Q8+0.015%*R8</f>
        <v>1.5939999999999999E-3</v>
      </c>
      <c r="T8">
        <f t="shared" ref="T8:T57" si="6">Q8^(2/3)</f>
        <v>0.32817480272024213</v>
      </c>
      <c r="U8">
        <f t="shared" ref="U8:U57" si="7">2/3*T8*S8/Q8</f>
        <v>1.8550022536739925E-3</v>
      </c>
      <c r="V8">
        <f t="shared" ref="V8:V14" si="8">N8-$V$3</f>
        <v>13.225756337</v>
      </c>
      <c r="W8">
        <f t="shared" ref="W8:W14" si="9">SQRT(P8^2+$V$4^2)</f>
        <v>0.17294844664629444</v>
      </c>
      <c r="AA8">
        <v>5.0999999999999996</v>
      </c>
      <c r="AB8">
        <v>10</v>
      </c>
      <c r="AC8">
        <f t="shared" ref="AC8:AC27" si="10">0.025%*AA8+0.005%*AB8</f>
        <v>1.7749999999999999E-3</v>
      </c>
      <c r="AD8">
        <v>0.79020000000000001</v>
      </c>
      <c r="AE8">
        <v>10</v>
      </c>
      <c r="AF8">
        <f t="shared" ref="AF8:AF25" si="11">0.05%*AD8+0.015%*AE8</f>
        <v>1.8950999999999998E-3</v>
      </c>
      <c r="AG8">
        <f t="shared" ref="AG8:AG27" si="12">1616+97*AA8</f>
        <v>2110.6999999999998</v>
      </c>
      <c r="AH8">
        <f t="shared" ref="AH8:AH27" si="13">AG8*AC8/AA8</f>
        <v>0.73460637254901962</v>
      </c>
      <c r="AI8">
        <f t="shared" ref="AI8:AI27" si="14">1/AG8</f>
        <v>4.7377647226038761E-4</v>
      </c>
      <c r="AJ8">
        <f t="shared" ref="AJ8:AJ27" si="15">AI8*AH8/AG8</f>
        <v>1.6489279181611532E-7</v>
      </c>
      <c r="AK8">
        <f t="shared" ref="AK8:AK27" si="16">AI8*10^4</f>
        <v>4.7377647226038757</v>
      </c>
      <c r="AL8">
        <f t="shared" ref="AL8:AL27" si="17">AJ8*10^4</f>
        <v>1.6489279181611531E-3</v>
      </c>
      <c r="AM8">
        <f>AD8/AG8^2</f>
        <v>1.7737156790645678E-7</v>
      </c>
      <c r="AN8">
        <f>AM8*SQRT((AF8/AD8)^2+4*(AH8/AG8)^2)</f>
        <v>4.4293716980192848E-10</v>
      </c>
    </row>
    <row r="9" spans="2:40" x14ac:dyDescent="0.25">
      <c r="B9">
        <v>-301.56</v>
      </c>
      <c r="C9">
        <v>1000</v>
      </c>
      <c r="D9">
        <f t="shared" si="2"/>
        <v>0.12539</v>
      </c>
      <c r="E9">
        <v>-1E-4</v>
      </c>
      <c r="F9">
        <v>10</v>
      </c>
      <c r="G9">
        <f t="shared" si="3"/>
        <v>1.4999499999999999E-3</v>
      </c>
      <c r="N9">
        <v>20.984999999999999</v>
      </c>
      <c r="O9">
        <v>100</v>
      </c>
      <c r="P9">
        <f t="shared" si="4"/>
        <v>1.024625E-2</v>
      </c>
      <c r="Q9">
        <v>0.439</v>
      </c>
      <c r="R9">
        <v>10</v>
      </c>
      <c r="S9">
        <f t="shared" si="5"/>
        <v>1.7194999999999999E-3</v>
      </c>
      <c r="T9">
        <f t="shared" si="6"/>
        <v>0.57762105243974959</v>
      </c>
      <c r="U9">
        <f t="shared" si="7"/>
        <v>1.5083058461201964E-3</v>
      </c>
      <c r="V9">
        <f t="shared" si="8"/>
        <v>23.510756337</v>
      </c>
      <c r="W9">
        <f t="shared" si="9"/>
        <v>0.17308161430790001</v>
      </c>
      <c r="AA9">
        <v>5.2032999999999996</v>
      </c>
      <c r="AB9">
        <v>10</v>
      </c>
      <c r="AC9">
        <f t="shared" si="10"/>
        <v>1.800825E-3</v>
      </c>
      <c r="AD9">
        <v>0.96419999999999995</v>
      </c>
      <c r="AE9">
        <v>10</v>
      </c>
      <c r="AF9">
        <f t="shared" si="11"/>
        <v>1.9820999999999997E-3</v>
      </c>
      <c r="AG9">
        <f t="shared" si="12"/>
        <v>2120.7201</v>
      </c>
      <c r="AH9">
        <f t="shared" si="13"/>
        <v>0.7339660934565565</v>
      </c>
      <c r="AI9">
        <f t="shared" si="14"/>
        <v>4.7153794600239795E-4</v>
      </c>
      <c r="AJ9">
        <f t="shared" si="15"/>
        <v>1.6319591828450568E-7</v>
      </c>
      <c r="AK9">
        <f t="shared" si="16"/>
        <v>4.7153794600239793</v>
      </c>
      <c r="AL9">
        <f t="shared" si="17"/>
        <v>1.6319591828450569E-3</v>
      </c>
      <c r="AM9">
        <f>AD9/AG9^2</f>
        <v>2.1438797488433862E-7</v>
      </c>
      <c r="AN9">
        <f>AM9*SQRT((AF9/AD9)^2+4*(AH9/AG9)^2)</f>
        <v>4.6502912602561093E-10</v>
      </c>
    </row>
    <row r="10" spans="2:40" x14ac:dyDescent="0.25">
      <c r="B10">
        <v>-200.78</v>
      </c>
      <c r="C10">
        <v>1000</v>
      </c>
      <c r="D10">
        <f t="shared" si="2"/>
        <v>0.10019500000000001</v>
      </c>
      <c r="E10">
        <v>-1E-4</v>
      </c>
      <c r="F10">
        <v>10</v>
      </c>
      <c r="G10">
        <f t="shared" si="3"/>
        <v>1.4999499999999999E-3</v>
      </c>
      <c r="N10">
        <v>30.21</v>
      </c>
      <c r="O10">
        <v>100</v>
      </c>
      <c r="P10">
        <f t="shared" si="4"/>
        <v>1.2552500000000001E-2</v>
      </c>
      <c r="Q10">
        <v>0.71760000000000002</v>
      </c>
      <c r="R10">
        <v>10</v>
      </c>
      <c r="S10">
        <f t="shared" si="5"/>
        <v>1.8587999999999999E-3</v>
      </c>
      <c r="T10">
        <f t="shared" si="6"/>
        <v>0.8015333923404061</v>
      </c>
      <c r="U10">
        <f t="shared" si="7"/>
        <v>1.3841418335956398E-3</v>
      </c>
      <c r="V10">
        <f t="shared" si="8"/>
        <v>32.735756336999998</v>
      </c>
      <c r="W10">
        <f t="shared" si="9"/>
        <v>0.17323344027241436</v>
      </c>
      <c r="AA10">
        <v>5.2988</v>
      </c>
      <c r="AB10">
        <v>10</v>
      </c>
      <c r="AC10">
        <f t="shared" si="10"/>
        <v>1.8247000000000001E-3</v>
      </c>
      <c r="AD10">
        <v>1.1573</v>
      </c>
      <c r="AE10">
        <v>10</v>
      </c>
      <c r="AF10">
        <f t="shared" si="11"/>
        <v>2.0786499999999996E-3</v>
      </c>
      <c r="AG10">
        <f t="shared" si="12"/>
        <v>2129.9836</v>
      </c>
      <c r="AH10">
        <f t="shared" si="13"/>
        <v>0.73348325562768935</v>
      </c>
      <c r="AI10">
        <f t="shared" si="14"/>
        <v>4.6948718290600923E-4</v>
      </c>
      <c r="AJ10">
        <f t="shared" si="15"/>
        <v>1.6167306987404605E-7</v>
      </c>
      <c r="AK10">
        <f t="shared" si="16"/>
        <v>4.6948718290600926</v>
      </c>
      <c r="AL10">
        <f t="shared" si="17"/>
        <v>1.6167306987404605E-3</v>
      </c>
      <c r="AM10">
        <f>AD10/AG10^2</f>
        <v>2.5509000011883866E-7</v>
      </c>
      <c r="AN10">
        <f>AM10*SQRT((AF10/AD10)^2+4*(AH10/AG10)^2)</f>
        <v>4.9070100751691487E-10</v>
      </c>
    </row>
    <row r="11" spans="2:40" x14ac:dyDescent="0.25">
      <c r="B11">
        <v>-100.6</v>
      </c>
      <c r="C11">
        <v>1000</v>
      </c>
      <c r="D11">
        <f t="shared" si="2"/>
        <v>7.5149999999999995E-2</v>
      </c>
      <c r="E11">
        <v>-1E-4</v>
      </c>
      <c r="F11">
        <v>10</v>
      </c>
      <c r="G11">
        <f t="shared" si="3"/>
        <v>1.4999499999999999E-3</v>
      </c>
      <c r="N11">
        <v>40.450000000000003</v>
      </c>
      <c r="O11">
        <v>100</v>
      </c>
      <c r="P11">
        <f t="shared" si="4"/>
        <v>1.5112500000000001E-2</v>
      </c>
      <c r="Q11">
        <v>1.0758000000000001</v>
      </c>
      <c r="R11">
        <v>10</v>
      </c>
      <c r="S11">
        <f t="shared" si="5"/>
        <v>2.0378999999999996E-3</v>
      </c>
      <c r="T11">
        <f t="shared" si="6"/>
        <v>1.0499155306198376</v>
      </c>
      <c r="U11">
        <f t="shared" si="7"/>
        <v>1.3259111729876471E-3</v>
      </c>
      <c r="V11">
        <f>N11-$V$3</f>
        <v>42.975756337</v>
      </c>
      <c r="W11">
        <f t="shared" si="9"/>
        <v>0.17343773300125945</v>
      </c>
      <c r="AA11">
        <v>5.4021999999999997</v>
      </c>
      <c r="AB11">
        <v>10</v>
      </c>
      <c r="AC11">
        <f t="shared" si="10"/>
        <v>1.8505499999999999E-3</v>
      </c>
      <c r="AD11">
        <v>1.3972</v>
      </c>
      <c r="AE11">
        <v>10</v>
      </c>
      <c r="AF11">
        <f t="shared" si="11"/>
        <v>2.1985999999999998E-3</v>
      </c>
      <c r="AG11">
        <f t="shared" si="12"/>
        <v>2140.0133999999998</v>
      </c>
      <c r="AH11">
        <f t="shared" si="13"/>
        <v>0.73307204423568173</v>
      </c>
      <c r="AI11">
        <f t="shared" si="14"/>
        <v>4.6728679362475025E-4</v>
      </c>
      <c r="AJ11">
        <f t="shared" si="15"/>
        <v>1.600713738740294E-7</v>
      </c>
      <c r="AK11">
        <f t="shared" si="16"/>
        <v>4.6728679362475027</v>
      </c>
      <c r="AL11">
        <f t="shared" si="17"/>
        <v>1.6007137387402941E-3</v>
      </c>
      <c r="AM11">
        <f>AD11/AG11^2</f>
        <v>3.0508832704155084E-7</v>
      </c>
      <c r="AN11">
        <f>AM11*SQRT((AF11/AD11)^2+4*(AH11/AG11)^2)</f>
        <v>5.2360800929001986E-10</v>
      </c>
    </row>
    <row r="12" spans="2:40" x14ac:dyDescent="0.25">
      <c r="B12">
        <v>-2.0699999999999998</v>
      </c>
      <c r="C12">
        <v>1000</v>
      </c>
      <c r="D12">
        <f t="shared" si="2"/>
        <v>5.05175E-2</v>
      </c>
      <c r="E12">
        <v>-1E-4</v>
      </c>
      <c r="F12">
        <v>10</v>
      </c>
      <c r="G12">
        <f t="shared" si="3"/>
        <v>1.4999499999999999E-3</v>
      </c>
      <c r="N12">
        <v>48.43</v>
      </c>
      <c r="O12">
        <v>100</v>
      </c>
      <c r="P12">
        <f t="shared" si="4"/>
        <v>1.7107500000000001E-2</v>
      </c>
      <c r="Q12">
        <v>1.3935999999999999</v>
      </c>
      <c r="R12">
        <v>10</v>
      </c>
      <c r="S12">
        <f t="shared" si="5"/>
        <v>2.1967999999999996E-3</v>
      </c>
      <c r="T12">
        <f t="shared" si="6"/>
        <v>1.2476480489030115</v>
      </c>
      <c r="U12">
        <f t="shared" si="7"/>
        <v>1.3111525228808531E-3</v>
      </c>
      <c r="V12">
        <f t="shared" si="8"/>
        <v>50.955756336999997</v>
      </c>
      <c r="W12">
        <f>SQRT(P12^2+$V$4^2)</f>
        <v>0.17362294240282924</v>
      </c>
      <c r="AA12">
        <v>5.5060000000000002</v>
      </c>
      <c r="AB12">
        <v>10</v>
      </c>
      <c r="AC12">
        <f t="shared" si="10"/>
        <v>1.8765000000000001E-3</v>
      </c>
      <c r="AD12">
        <v>1.68</v>
      </c>
      <c r="AE12">
        <v>10</v>
      </c>
      <c r="AF12">
        <f t="shared" si="11"/>
        <v>2.3400000000000001E-3</v>
      </c>
      <c r="AG12">
        <f t="shared" si="12"/>
        <v>2150.0819999999999</v>
      </c>
      <c r="AH12">
        <f t="shared" si="13"/>
        <v>0.73276950108972028</v>
      </c>
      <c r="AI12">
        <f t="shared" si="14"/>
        <v>4.6509854042776043E-4</v>
      </c>
      <c r="AJ12">
        <f t="shared" si="15"/>
        <v>1.5851024538915592E-7</v>
      </c>
      <c r="AK12">
        <f t="shared" si="16"/>
        <v>4.6509854042776047</v>
      </c>
      <c r="AL12">
        <f t="shared" si="17"/>
        <v>1.5851024538915592E-3</v>
      </c>
      <c r="AM12">
        <f>AD12/AG12^2</f>
        <v>3.6341197587749565E-7</v>
      </c>
      <c r="AN12">
        <f>AM12*SQRT((AF12/AD12)^2+4*(AH12/AG12)^2)</f>
        <v>5.6354136021509814E-10</v>
      </c>
    </row>
    <row r="13" spans="2:40" x14ac:dyDescent="0.25">
      <c r="N13">
        <v>59.774999999999999</v>
      </c>
      <c r="O13">
        <v>100</v>
      </c>
      <c r="P13">
        <f t="shared" si="4"/>
        <v>1.994375E-2</v>
      </c>
      <c r="Q13">
        <v>1.8805000000000001</v>
      </c>
      <c r="R13">
        <v>10</v>
      </c>
      <c r="S13">
        <f t="shared" si="5"/>
        <v>2.4402499999999997E-3</v>
      </c>
      <c r="T13">
        <f t="shared" si="6"/>
        <v>1.5235225680395832</v>
      </c>
      <c r="U13">
        <f t="shared" si="7"/>
        <v>1.318009730269819E-3</v>
      </c>
      <c r="V13">
        <f t="shared" si="8"/>
        <v>62.300756336999996</v>
      </c>
      <c r="W13">
        <f t="shared" si="9"/>
        <v>0.17392530792391503</v>
      </c>
      <c r="AA13">
        <v>5.6010999999999997</v>
      </c>
      <c r="AB13">
        <v>10</v>
      </c>
      <c r="AC13">
        <f t="shared" si="10"/>
        <v>1.9002749999999999E-3</v>
      </c>
      <c r="AD13">
        <v>1.9855</v>
      </c>
      <c r="AE13">
        <v>10</v>
      </c>
      <c r="AF13">
        <f t="shared" si="11"/>
        <v>2.4927500000000002E-3</v>
      </c>
      <c r="AG13">
        <f t="shared" si="12"/>
        <v>2159.3067000000001</v>
      </c>
      <c r="AH13">
        <f t="shared" si="13"/>
        <v>0.73258405301503271</v>
      </c>
      <c r="AI13">
        <f t="shared" si="14"/>
        <v>4.6311160892521656E-4</v>
      </c>
      <c r="AJ13">
        <f t="shared" si="15"/>
        <v>1.5711903244904856E-7</v>
      </c>
      <c r="AK13">
        <f t="shared" si="16"/>
        <v>4.6311160892521652</v>
      </c>
      <c r="AL13">
        <f t="shared" si="17"/>
        <v>1.5711903244904856E-3</v>
      </c>
      <c r="AM13">
        <f>AD13/AG13^2</f>
        <v>4.2583487538894662E-7</v>
      </c>
      <c r="AN13">
        <f>AM13*SQRT((AF13/AD13)^2+4*(AH13/AG13)^2)</f>
        <v>6.077119651095843E-10</v>
      </c>
    </row>
    <row r="14" spans="2:40" x14ac:dyDescent="0.25">
      <c r="B14">
        <v>9.83</v>
      </c>
      <c r="C14">
        <v>100</v>
      </c>
      <c r="D14">
        <f>0.025%*ABS(B14)+0.005%*C14</f>
        <v>7.4575000000000006E-3</v>
      </c>
      <c r="E14">
        <v>0.1555</v>
      </c>
      <c r="F14">
        <v>10</v>
      </c>
      <c r="G14">
        <f>0.05%*E14+0.015%*F14</f>
        <v>1.5777499999999997E-3</v>
      </c>
      <c r="H14">
        <f t="shared" ref="H14:H63" si="18">E14^(2/3)</f>
        <v>0.28917024009108339</v>
      </c>
      <c r="I14">
        <f>2/3*H14*G14/E14</f>
        <v>1.9560057719344342E-3</v>
      </c>
      <c r="J14">
        <f>B14-$J$3</f>
        <v>13.694719101</v>
      </c>
      <c r="K14">
        <f>SQRT(D14^2+$J$4^2)</f>
        <v>0.52671838765349199</v>
      </c>
      <c r="N14">
        <v>71.97</v>
      </c>
      <c r="O14">
        <v>100</v>
      </c>
      <c r="P14">
        <f t="shared" si="4"/>
        <v>2.2992500000000003E-2</v>
      </c>
      <c r="Q14">
        <v>2.4575</v>
      </c>
      <c r="R14">
        <v>10</v>
      </c>
      <c r="S14">
        <f t="shared" si="5"/>
        <v>2.7287499999999998E-3</v>
      </c>
      <c r="T14">
        <f t="shared" si="6"/>
        <v>1.8210799702679863</v>
      </c>
      <c r="U14">
        <f t="shared" si="7"/>
        <v>1.3480561461834567E-3</v>
      </c>
      <c r="V14">
        <f t="shared" si="8"/>
        <v>74.495756337000003</v>
      </c>
      <c r="W14">
        <f t="shared" si="9"/>
        <v>0.17430121809274932</v>
      </c>
      <c r="AA14">
        <v>5.7004000000000001</v>
      </c>
      <c r="AB14">
        <v>10</v>
      </c>
      <c r="AC14">
        <f t="shared" si="10"/>
        <v>1.9251000000000001E-3</v>
      </c>
      <c r="AD14">
        <v>2.343</v>
      </c>
      <c r="AE14">
        <v>10</v>
      </c>
      <c r="AF14">
        <f t="shared" si="11"/>
        <v>2.6714999999999998E-3</v>
      </c>
      <c r="AG14">
        <f t="shared" si="12"/>
        <v>2168.9387999999999</v>
      </c>
      <c r="AH14">
        <f t="shared" si="13"/>
        <v>0.73247913898673778</v>
      </c>
      <c r="AI14">
        <f t="shared" si="14"/>
        <v>4.6105496383761499E-4</v>
      </c>
      <c r="AJ14">
        <f t="shared" si="15"/>
        <v>1.5570432090446157E-7</v>
      </c>
      <c r="AK14">
        <f t="shared" si="16"/>
        <v>4.61054963837615</v>
      </c>
      <c r="AL14">
        <f t="shared" si="17"/>
        <v>1.5570432090446157E-3</v>
      </c>
      <c r="AM14">
        <f>AD14/AG14^2</f>
        <v>4.9805544548861042E-7</v>
      </c>
      <c r="AN14">
        <f>AM14*SQRT((AF14/AD14)^2+4*(AH14/AG14)^2)</f>
        <v>6.6004426613272521E-10</v>
      </c>
    </row>
    <row r="15" spans="2:40" x14ac:dyDescent="0.25">
      <c r="B15">
        <v>20.059999999999999</v>
      </c>
      <c r="C15">
        <v>100</v>
      </c>
      <c r="D15">
        <f t="shared" ref="D15:D22" si="19">0.025%*ABS(B15)+0.005%*C15</f>
        <v>1.0015E-2</v>
      </c>
      <c r="E15">
        <v>0.38219999999999998</v>
      </c>
      <c r="F15">
        <v>10</v>
      </c>
      <c r="G15">
        <f t="shared" ref="G15:G63" si="20">0.05%*E15+0.015%*F15</f>
        <v>1.6910999999999999E-3</v>
      </c>
      <c r="H15">
        <f t="shared" si="18"/>
        <v>0.5266561036888755</v>
      </c>
      <c r="I15">
        <f t="shared" ref="I15:I63" si="21">2/3*H15*G15/E15</f>
        <v>1.5535114895312353E-3</v>
      </c>
      <c r="J15">
        <f t="shared" ref="J15:J20" si="22">B15-$J$3</f>
        <v>23.924719100999997</v>
      </c>
      <c r="K15">
        <f t="shared" ref="K15:K20" si="23">SQRT(D15^2+$J$4^2)</f>
        <v>0.52676080512035472</v>
      </c>
      <c r="N15">
        <v>81.900000000000006</v>
      </c>
      <c r="O15">
        <v>100</v>
      </c>
      <c r="P15">
        <f t="shared" si="4"/>
        <v>2.5475000000000001E-2</v>
      </c>
      <c r="Q15">
        <v>2.9630000000000001</v>
      </c>
      <c r="R15">
        <v>10</v>
      </c>
      <c r="S15">
        <f t="shared" si="5"/>
        <v>2.9814999999999998E-3</v>
      </c>
      <c r="T15">
        <f t="shared" si="6"/>
        <v>2.0629455615285082</v>
      </c>
      <c r="U15">
        <f t="shared" si="7"/>
        <v>1.383883944582573E-3</v>
      </c>
      <c r="AA15">
        <v>5.798</v>
      </c>
      <c r="AB15">
        <v>10</v>
      </c>
      <c r="AC15">
        <f t="shared" si="10"/>
        <v>1.9495000000000001E-3</v>
      </c>
      <c r="AD15">
        <v>2.7509999999999999</v>
      </c>
      <c r="AE15">
        <v>10</v>
      </c>
      <c r="AF15">
        <f t="shared" si="11"/>
        <v>2.8754999999999996E-3</v>
      </c>
      <c r="AG15">
        <f t="shared" si="12"/>
        <v>2178.4059999999999</v>
      </c>
      <c r="AH15">
        <f t="shared" si="13"/>
        <v>0.73245989944808554</v>
      </c>
      <c r="AI15">
        <f t="shared" si="14"/>
        <v>4.5905125123599553E-4</v>
      </c>
      <c r="AJ15">
        <f t="shared" si="15"/>
        <v>1.5434984723776705E-7</v>
      </c>
      <c r="AK15">
        <f t="shared" si="16"/>
        <v>4.5905125123599557</v>
      </c>
      <c r="AL15">
        <f t="shared" si="17"/>
        <v>1.5434984723776705E-3</v>
      </c>
      <c r="AM15">
        <f>AD15/AG15^2</f>
        <v>5.7971286901992722E-7</v>
      </c>
      <c r="AN15">
        <f>AM15*SQRT((AF15/AD15)^2+4*(AH15/AG15)^2)</f>
        <v>7.2052059018693915E-10</v>
      </c>
    </row>
    <row r="16" spans="2:40" x14ac:dyDescent="0.25">
      <c r="B16">
        <v>29.744</v>
      </c>
      <c r="C16">
        <v>100</v>
      </c>
      <c r="D16">
        <f t="shared" si="19"/>
        <v>1.2435999999999999E-2</v>
      </c>
      <c r="E16">
        <v>0.64800000000000002</v>
      </c>
      <c r="F16">
        <v>10</v>
      </c>
      <c r="G16">
        <f t="shared" si="20"/>
        <v>1.8239999999999999E-3</v>
      </c>
      <c r="H16">
        <f t="shared" si="18"/>
        <v>0.74883017629868553</v>
      </c>
      <c r="I16">
        <f t="shared" si="21"/>
        <v>1.4052121826839529E-3</v>
      </c>
      <c r="J16">
        <f t="shared" si="22"/>
        <v>33.608719100999998</v>
      </c>
      <c r="K16">
        <f t="shared" si="23"/>
        <v>0.5268123951484478</v>
      </c>
      <c r="N16">
        <v>89.33</v>
      </c>
      <c r="O16">
        <v>100</v>
      </c>
      <c r="P16">
        <f t="shared" si="4"/>
        <v>2.7332500000000003E-2</v>
      </c>
      <c r="Q16">
        <v>3.3525999999999998</v>
      </c>
      <c r="R16">
        <v>10</v>
      </c>
      <c r="S16">
        <f t="shared" si="5"/>
        <v>3.1763E-3</v>
      </c>
      <c r="T16">
        <f t="shared" si="6"/>
        <v>2.2400333992681576</v>
      </c>
      <c r="U16">
        <f t="shared" si="7"/>
        <v>1.4148259233819423E-3</v>
      </c>
      <c r="AA16">
        <v>5.9029999999999996</v>
      </c>
      <c r="AB16">
        <v>10</v>
      </c>
      <c r="AC16">
        <f t="shared" si="10"/>
        <v>1.9757500000000001E-3</v>
      </c>
      <c r="AD16">
        <v>3.2450000000000001</v>
      </c>
      <c r="AE16">
        <v>10</v>
      </c>
      <c r="AF16">
        <f t="shared" si="11"/>
        <v>3.1224999999999998E-3</v>
      </c>
      <c r="AG16">
        <f t="shared" si="12"/>
        <v>2188.5909999999999</v>
      </c>
      <c r="AH16">
        <f t="shared" si="13"/>
        <v>0.73252730276977818</v>
      </c>
      <c r="AI16">
        <f t="shared" si="14"/>
        <v>4.5691497406322152E-4</v>
      </c>
      <c r="AJ16">
        <f t="shared" si="15"/>
        <v>1.5293067254030324E-7</v>
      </c>
      <c r="AK16">
        <f t="shared" si="16"/>
        <v>4.5691497406322155</v>
      </c>
      <c r="AL16">
        <f t="shared" si="17"/>
        <v>1.5293067254030324E-3</v>
      </c>
      <c r="AM16">
        <f>AD16/AG16^2</f>
        <v>6.7746284748276578E-7</v>
      </c>
      <c r="AN16">
        <f>AM16*SQRT((AF16/AD16)^2+4*(AH16/AG16)^2)</f>
        <v>7.9411474096065001E-10</v>
      </c>
    </row>
    <row r="17" spans="2:40" x14ac:dyDescent="0.25">
      <c r="B17">
        <v>40</v>
      </c>
      <c r="C17">
        <v>100</v>
      </c>
      <c r="D17">
        <f t="shared" si="19"/>
        <v>1.4999999999999999E-2</v>
      </c>
      <c r="E17">
        <v>0.98299999999999998</v>
      </c>
      <c r="F17">
        <v>10</v>
      </c>
      <c r="G17">
        <f t="shared" si="20"/>
        <v>1.9914999999999998E-3</v>
      </c>
      <c r="H17">
        <f t="shared" si="18"/>
        <v>0.98863431050471018</v>
      </c>
      <c r="I17">
        <f t="shared" si="21"/>
        <v>1.3352765204273514E-3</v>
      </c>
      <c r="J17">
        <f t="shared" si="22"/>
        <v>43.864719100999999</v>
      </c>
      <c r="K17">
        <f t="shared" si="23"/>
        <v>0.52687915653026574</v>
      </c>
      <c r="N17">
        <v>100.1</v>
      </c>
      <c r="O17">
        <v>1000</v>
      </c>
      <c r="P17">
        <f t="shared" si="4"/>
        <v>7.5025000000000008E-2</v>
      </c>
      <c r="Q17">
        <v>3.9392</v>
      </c>
      <c r="R17">
        <v>10</v>
      </c>
      <c r="S17">
        <f t="shared" si="5"/>
        <v>3.4695999999999998E-3</v>
      </c>
      <c r="T17">
        <f t="shared" si="6"/>
        <v>2.4942425717866596</v>
      </c>
      <c r="U17">
        <f t="shared" si="7"/>
        <v>1.4645992463902982E-3</v>
      </c>
      <c r="AA17">
        <v>6.0087000000000002</v>
      </c>
      <c r="AB17">
        <v>10</v>
      </c>
      <c r="AC17">
        <f t="shared" si="10"/>
        <v>2.0021750000000001E-3</v>
      </c>
      <c r="AD17">
        <v>3.8588</v>
      </c>
      <c r="AE17">
        <v>10</v>
      </c>
      <c r="AF17">
        <f t="shared" si="11"/>
        <v>3.4294E-3</v>
      </c>
      <c r="AG17">
        <f t="shared" si="12"/>
        <v>2198.8438999999998</v>
      </c>
      <c r="AH17">
        <f t="shared" si="13"/>
        <v>0.73268265772671293</v>
      </c>
      <c r="AI17">
        <f t="shared" si="14"/>
        <v>4.5478444377065603E-4</v>
      </c>
      <c r="AJ17">
        <f t="shared" si="15"/>
        <v>1.515399410365825E-7</v>
      </c>
      <c r="AK17">
        <f t="shared" si="16"/>
        <v>4.5478444377065603</v>
      </c>
      <c r="AL17">
        <f t="shared" si="17"/>
        <v>1.515399410365825E-3</v>
      </c>
      <c r="AM17">
        <f>AD17/AG17^2</f>
        <v>7.9811132187337527E-7</v>
      </c>
      <c r="AN17">
        <f>AM17*SQRT((AF17/AD17)^2+4*(AH17/AG17)^2)</f>
        <v>8.865681703689366E-10</v>
      </c>
    </row>
    <row r="18" spans="2:40" x14ac:dyDescent="0.25">
      <c r="B18">
        <v>50.25</v>
      </c>
      <c r="C18">
        <v>100</v>
      </c>
      <c r="D18">
        <f t="shared" si="19"/>
        <v>1.7562500000000002E-2</v>
      </c>
      <c r="E18">
        <v>1.3429</v>
      </c>
      <c r="F18">
        <v>10</v>
      </c>
      <c r="G18">
        <f t="shared" si="20"/>
        <v>2.1714499999999997E-3</v>
      </c>
      <c r="H18">
        <f t="shared" si="18"/>
        <v>1.2172014168573082</v>
      </c>
      <c r="I18">
        <f t="shared" si="21"/>
        <v>1.3121314650556266E-3</v>
      </c>
      <c r="J18">
        <f t="shared" si="22"/>
        <v>54.114719100999999</v>
      </c>
      <c r="K18">
        <f t="shared" si="23"/>
        <v>0.52695833515781332</v>
      </c>
      <c r="N18">
        <v>110.81</v>
      </c>
      <c r="O18">
        <v>1000</v>
      </c>
      <c r="P18">
        <f t="shared" si="4"/>
        <v>7.7702500000000008E-2</v>
      </c>
      <c r="Q18">
        <v>4.5358999999999998</v>
      </c>
      <c r="R18">
        <v>10</v>
      </c>
      <c r="S18">
        <f t="shared" si="5"/>
        <v>3.7679499999999999E-3</v>
      </c>
      <c r="T18">
        <f t="shared" si="6"/>
        <v>2.7401582664721613</v>
      </c>
      <c r="U18">
        <f t="shared" si="7"/>
        <v>1.5174907354150635E-3</v>
      </c>
      <c r="AA18">
        <v>6.0987999999999998</v>
      </c>
      <c r="AB18">
        <v>10</v>
      </c>
      <c r="AC18">
        <f t="shared" si="10"/>
        <v>2.0246999999999999E-3</v>
      </c>
      <c r="AD18">
        <v>4.431</v>
      </c>
      <c r="AE18">
        <v>10</v>
      </c>
      <c r="AF18">
        <f t="shared" si="11"/>
        <v>3.7155000000000001E-3</v>
      </c>
      <c r="AG18">
        <f t="shared" si="12"/>
        <v>2207.5835999999999</v>
      </c>
      <c r="AH18">
        <f t="shared" si="13"/>
        <v>0.73288097903194072</v>
      </c>
      <c r="AI18">
        <f t="shared" si="14"/>
        <v>4.5298397759432532E-4</v>
      </c>
      <c r="AJ18">
        <f t="shared" si="15"/>
        <v>1.5038313429448915E-7</v>
      </c>
      <c r="AK18">
        <f t="shared" si="16"/>
        <v>4.5298397759432536</v>
      </c>
      <c r="AL18">
        <f t="shared" si="17"/>
        <v>1.5038313429448914E-3</v>
      </c>
      <c r="AM18">
        <f>AD18/AG18^2</f>
        <v>9.0921675841424785E-7</v>
      </c>
      <c r="AN18">
        <f>AM18*SQRT((AF18/AD18)^2+4*(AH18/AG18)^2)</f>
        <v>9.7246855725736175E-10</v>
      </c>
    </row>
    <row r="19" spans="2:40" x14ac:dyDescent="0.25">
      <c r="B19">
        <v>60.88</v>
      </c>
      <c r="C19">
        <v>100</v>
      </c>
      <c r="D19">
        <f t="shared" si="19"/>
        <v>2.0220000000000002E-2</v>
      </c>
      <c r="E19">
        <v>1.726</v>
      </c>
      <c r="F19">
        <v>10</v>
      </c>
      <c r="G19">
        <f t="shared" si="20"/>
        <v>2.3629999999999996E-3</v>
      </c>
      <c r="H19">
        <f t="shared" si="18"/>
        <v>1.4388886744438549</v>
      </c>
      <c r="I19">
        <f t="shared" si="21"/>
        <v>1.3132846418350051E-3</v>
      </c>
      <c r="J19">
        <f t="shared" si="22"/>
        <v>64.744719101000001</v>
      </c>
      <c r="K19">
        <f t="shared" si="23"/>
        <v>0.52705359688180131</v>
      </c>
      <c r="N19">
        <v>120.24</v>
      </c>
      <c r="O19">
        <v>1000</v>
      </c>
      <c r="P19">
        <f t="shared" si="4"/>
        <v>8.0060000000000006E-2</v>
      </c>
      <c r="Q19">
        <v>5.0702999999999996</v>
      </c>
      <c r="R19">
        <v>10</v>
      </c>
      <c r="S19">
        <f t="shared" si="5"/>
        <v>4.0351499999999995E-3</v>
      </c>
      <c r="T19">
        <f t="shared" si="6"/>
        <v>2.9513617036284456</v>
      </c>
      <c r="U19">
        <f t="shared" si="7"/>
        <v>1.5658754154450193E-3</v>
      </c>
      <c r="AA19">
        <v>6.2015000000000002</v>
      </c>
      <c r="AB19">
        <v>10</v>
      </c>
      <c r="AC19">
        <f t="shared" si="10"/>
        <v>2.0503750000000001E-3</v>
      </c>
      <c r="AD19">
        <v>5.1768999999999998</v>
      </c>
      <c r="AE19">
        <v>10</v>
      </c>
      <c r="AF19">
        <f t="shared" si="11"/>
        <v>4.0884499999999995E-3</v>
      </c>
      <c r="AG19">
        <f t="shared" si="12"/>
        <v>2217.5455000000002</v>
      </c>
      <c r="AH19">
        <f t="shared" si="13"/>
        <v>0.73317743361485133</v>
      </c>
      <c r="AI19">
        <f t="shared" si="14"/>
        <v>4.5094903351475761E-4</v>
      </c>
      <c r="AJ19">
        <f t="shared" si="15"/>
        <v>1.4909531961506428E-7</v>
      </c>
      <c r="AK19">
        <f t="shared" si="16"/>
        <v>4.5094903351475759</v>
      </c>
      <c r="AL19">
        <f t="shared" si="17"/>
        <v>1.4909531961506428E-3</v>
      </c>
      <c r="AM19">
        <f>AD19/AG19^2</f>
        <v>1.0527486590929245E-6</v>
      </c>
      <c r="AN19">
        <f>AM19*SQRT((AF19/AD19)^2+4*(AH19/AG19)^2)</f>
        <v>1.0843598854086311E-9</v>
      </c>
    </row>
    <row r="20" spans="2:40" x14ac:dyDescent="0.25">
      <c r="B20">
        <v>69.400000000000006</v>
      </c>
      <c r="C20">
        <v>100</v>
      </c>
      <c r="D20">
        <f t="shared" si="19"/>
        <v>2.2350000000000002E-2</v>
      </c>
      <c r="E20">
        <v>2.0567000000000002</v>
      </c>
      <c r="F20">
        <v>10</v>
      </c>
      <c r="G20">
        <f t="shared" si="20"/>
        <v>2.52835E-3</v>
      </c>
      <c r="H20">
        <f t="shared" si="18"/>
        <v>1.6172629301383123</v>
      </c>
      <c r="I20">
        <f t="shared" si="21"/>
        <v>1.325426404568873E-3</v>
      </c>
      <c r="J20">
        <f t="shared" si="22"/>
        <v>73.264719101000011</v>
      </c>
      <c r="K20">
        <f t="shared" si="23"/>
        <v>0.52713960967284967</v>
      </c>
      <c r="N20">
        <v>129.69</v>
      </c>
      <c r="O20">
        <v>1000</v>
      </c>
      <c r="P20">
        <f t="shared" si="4"/>
        <v>8.242250000000001E-2</v>
      </c>
      <c r="Q20">
        <v>5.6154999999999999</v>
      </c>
      <c r="R20">
        <v>10</v>
      </c>
      <c r="S20">
        <f t="shared" si="5"/>
        <v>4.3077499999999999E-3</v>
      </c>
      <c r="T20">
        <f t="shared" si="6"/>
        <v>3.1593103315853801</v>
      </c>
      <c r="U20">
        <f t="shared" si="7"/>
        <v>1.6157087918424503E-3</v>
      </c>
      <c r="AA20">
        <v>6.3023999999999996</v>
      </c>
      <c r="AB20">
        <v>10</v>
      </c>
      <c r="AC20">
        <f t="shared" si="10"/>
        <v>2.0755999999999999E-3</v>
      </c>
      <c r="AD20">
        <v>6.0044000000000004</v>
      </c>
      <c r="AE20">
        <v>10</v>
      </c>
      <c r="AF20">
        <f t="shared" si="11"/>
        <v>4.5022000000000005E-3</v>
      </c>
      <c r="AG20">
        <f t="shared" si="12"/>
        <v>2227.3328000000001</v>
      </c>
      <c r="AH20">
        <f t="shared" si="13"/>
        <v>0.73353832820512821</v>
      </c>
      <c r="AI20">
        <f t="shared" si="14"/>
        <v>4.489674825423484E-4</v>
      </c>
      <c r="AJ20">
        <f t="shared" si="15"/>
        <v>1.4786064146434666E-7</v>
      </c>
      <c r="AK20">
        <f t="shared" si="16"/>
        <v>4.4896748254234842</v>
      </c>
      <c r="AL20">
        <f t="shared" si="17"/>
        <v>1.4786064146434666E-3</v>
      </c>
      <c r="AM20">
        <f>AD20/AG20^2</f>
        <v>1.2103177182041574E-6</v>
      </c>
      <c r="AN20">
        <f>AM20*SQRT((AF20/AD20)^2+4*(AH20/AG20)^2)</f>
        <v>1.2079377247889465E-9</v>
      </c>
    </row>
    <row r="21" spans="2:40" x14ac:dyDescent="0.25">
      <c r="B21">
        <v>80.2</v>
      </c>
      <c r="C21">
        <v>100</v>
      </c>
      <c r="D21">
        <f t="shared" si="19"/>
        <v>2.5050000000000003E-2</v>
      </c>
      <c r="E21">
        <v>2.4750000000000001</v>
      </c>
      <c r="F21">
        <v>10</v>
      </c>
      <c r="G21">
        <f t="shared" si="20"/>
        <v>2.7374999999999999E-3</v>
      </c>
      <c r="H21">
        <f t="shared" si="18"/>
        <v>1.8297150859851405</v>
      </c>
      <c r="I21">
        <f t="shared" si="21"/>
        <v>1.3491838512819721E-3</v>
      </c>
      <c r="N21">
        <v>140.05000000000001</v>
      </c>
      <c r="O21">
        <v>1000</v>
      </c>
      <c r="P21">
        <f t="shared" si="4"/>
        <v>8.5012500000000005E-2</v>
      </c>
      <c r="Q21">
        <v>6.2220000000000004</v>
      </c>
      <c r="R21">
        <v>10</v>
      </c>
      <c r="S21">
        <f t="shared" si="5"/>
        <v>4.6110000000000005E-3</v>
      </c>
      <c r="T21">
        <f t="shared" si="6"/>
        <v>3.3828806132796934</v>
      </c>
      <c r="U21">
        <f t="shared" si="7"/>
        <v>1.6713235302510091E-3</v>
      </c>
      <c r="AA21">
        <v>6.4055</v>
      </c>
      <c r="AB21">
        <v>10</v>
      </c>
      <c r="AC21">
        <f t="shared" si="10"/>
        <v>2.1013749999999999E-3</v>
      </c>
      <c r="AD21">
        <v>6.9610000000000003</v>
      </c>
      <c r="AE21">
        <v>10</v>
      </c>
      <c r="AF21">
        <f t="shared" si="11"/>
        <v>4.9804999999999997E-3</v>
      </c>
      <c r="AG21">
        <f t="shared" si="12"/>
        <v>2237.3334999999997</v>
      </c>
      <c r="AH21">
        <f t="shared" si="13"/>
        <v>0.73397497206502216</v>
      </c>
      <c r="AI21">
        <f t="shared" si="14"/>
        <v>4.4696063416562625E-4</v>
      </c>
      <c r="AJ21">
        <f t="shared" si="15"/>
        <v>1.4662897550851501E-7</v>
      </c>
      <c r="AK21">
        <f t="shared" si="16"/>
        <v>4.4696063416562621</v>
      </c>
      <c r="AL21">
        <f t="shared" si="17"/>
        <v>1.4662897550851502E-3</v>
      </c>
      <c r="AM21">
        <f>AD21/AG21^2</f>
        <v>1.3906254809249157E-6</v>
      </c>
      <c r="AN21">
        <f>AM21*SQRT((AF21/AD21)^2+4*(AH21/AG21)^2)</f>
        <v>1.3499876815530897E-9</v>
      </c>
    </row>
    <row r="22" spans="2:40" x14ac:dyDescent="0.25">
      <c r="B22">
        <v>90.9</v>
      </c>
      <c r="C22">
        <v>100</v>
      </c>
      <c r="D22">
        <f t="shared" si="19"/>
        <v>2.7725000000000003E-2</v>
      </c>
      <c r="E22">
        <v>2.8849999999999998</v>
      </c>
      <c r="F22">
        <v>10</v>
      </c>
      <c r="G22">
        <f t="shared" si="20"/>
        <v>2.9424999999999998E-3</v>
      </c>
      <c r="H22">
        <f t="shared" si="18"/>
        <v>2.0265805878481338</v>
      </c>
      <c r="I22">
        <f t="shared" si="21"/>
        <v>1.3779811391665241E-3</v>
      </c>
      <c r="N22">
        <v>151.08000000000001</v>
      </c>
      <c r="O22">
        <v>1000</v>
      </c>
      <c r="P22">
        <f t="shared" si="4"/>
        <v>8.7770000000000015E-2</v>
      </c>
      <c r="Q22">
        <v>6.87</v>
      </c>
      <c r="R22">
        <v>10</v>
      </c>
      <c r="S22">
        <f t="shared" si="5"/>
        <v>4.9350000000000002E-3</v>
      </c>
      <c r="T22">
        <f t="shared" si="6"/>
        <v>3.6138586182167671</v>
      </c>
      <c r="U22">
        <f t="shared" si="7"/>
        <v>1.7306542727704751E-3</v>
      </c>
      <c r="AA22">
        <v>6.5045000000000002</v>
      </c>
      <c r="AB22">
        <v>10</v>
      </c>
      <c r="AC22">
        <f t="shared" si="10"/>
        <v>2.1261250000000004E-3</v>
      </c>
      <c r="AD22">
        <v>7.9973000000000001</v>
      </c>
      <c r="AE22">
        <v>10</v>
      </c>
      <c r="AF22">
        <f t="shared" si="11"/>
        <v>5.4986499999999999E-3</v>
      </c>
      <c r="AG22">
        <f t="shared" si="12"/>
        <v>2246.9364999999998</v>
      </c>
      <c r="AH22">
        <f t="shared" si="13"/>
        <v>0.73445581767430235</v>
      </c>
      <c r="AI22">
        <f t="shared" si="14"/>
        <v>4.4505040529627788E-4</v>
      </c>
      <c r="AJ22">
        <f t="shared" si="15"/>
        <v>1.4547356337313381E-7</v>
      </c>
      <c r="AK22">
        <f t="shared" si="16"/>
        <v>4.4505040529627786</v>
      </c>
      <c r="AL22">
        <f t="shared" si="17"/>
        <v>1.4547356337313382E-3</v>
      </c>
      <c r="AM22">
        <f>AD22/AG22^2</f>
        <v>1.5840241174042629E-6</v>
      </c>
      <c r="AN22">
        <f>AM22*SQRT((AF22/AD22)^2+4*(AH22/AG22)^2)</f>
        <v>1.5028364971522978E-9</v>
      </c>
    </row>
    <row r="23" spans="2:40" x14ac:dyDescent="0.25">
      <c r="B23">
        <v>100.55</v>
      </c>
      <c r="C23">
        <v>1000</v>
      </c>
      <c r="D23">
        <f>0.025%*ABS(B23)+0.005%*C23</f>
        <v>7.5137499999999996E-2</v>
      </c>
      <c r="E23">
        <v>3.2473000000000001</v>
      </c>
      <c r="F23">
        <v>10</v>
      </c>
      <c r="G23">
        <f t="shared" si="20"/>
        <v>3.12365E-3</v>
      </c>
      <c r="H23">
        <f t="shared" si="18"/>
        <v>2.1928803790267204</v>
      </c>
      <c r="I23">
        <f t="shared" si="21"/>
        <v>1.4062535636676242E-3</v>
      </c>
      <c r="N23">
        <v>160.30000000000001</v>
      </c>
      <c r="O23">
        <v>1000</v>
      </c>
      <c r="P23">
        <f t="shared" si="4"/>
        <v>9.0075000000000016E-2</v>
      </c>
      <c r="Q23">
        <v>7.42</v>
      </c>
      <c r="R23">
        <v>10</v>
      </c>
      <c r="S23">
        <f t="shared" si="5"/>
        <v>5.2100000000000002E-3</v>
      </c>
      <c r="T23">
        <f t="shared" si="6"/>
        <v>3.8042519349743249</v>
      </c>
      <c r="U23">
        <f t="shared" si="7"/>
        <v>1.7807863954372174E-3</v>
      </c>
      <c r="AA23">
        <v>6.6033999999999997</v>
      </c>
      <c r="AB23">
        <v>10</v>
      </c>
      <c r="AC23">
        <f t="shared" si="10"/>
        <v>2.1508500000000002E-3</v>
      </c>
      <c r="AD23">
        <v>9.1519999999999992</v>
      </c>
      <c r="AE23">
        <v>10</v>
      </c>
      <c r="AF23">
        <f t="shared" si="11"/>
        <v>6.0759999999999989E-3</v>
      </c>
      <c r="AG23">
        <f t="shared" si="12"/>
        <v>2256.5298000000003</v>
      </c>
      <c r="AH23">
        <f t="shared" si="13"/>
        <v>0.73499365786261639</v>
      </c>
      <c r="AI23">
        <f t="shared" si="14"/>
        <v>4.4315833985440826E-4</v>
      </c>
      <c r="AJ23">
        <f t="shared" si="15"/>
        <v>1.4434490039613748E-7</v>
      </c>
      <c r="AK23">
        <f t="shared" si="16"/>
        <v>4.4315833985440829</v>
      </c>
      <c r="AL23">
        <f t="shared" si="17"/>
        <v>1.4434490039613747E-3</v>
      </c>
      <c r="AM23">
        <f>AD23/AG23^2</f>
        <v>1.7973550033983789E-6</v>
      </c>
      <c r="AN23">
        <f>AM23*SQRT((AF23/AD23)^2+4*(AH23/AG23)^2)</f>
        <v>1.6717640328279498E-9</v>
      </c>
    </row>
    <row r="24" spans="2:40" x14ac:dyDescent="0.25">
      <c r="B24">
        <v>110.45</v>
      </c>
      <c r="C24">
        <v>1000</v>
      </c>
      <c r="D24">
        <f t="shared" ref="D24:D63" si="24">0.025%*ABS(B24)+0.005%*C24</f>
        <v>7.7612500000000001E-2</v>
      </c>
      <c r="E24">
        <v>3.6198999999999999</v>
      </c>
      <c r="F24">
        <v>10</v>
      </c>
      <c r="G24">
        <f t="shared" si="20"/>
        <v>3.3099499999999999E-3</v>
      </c>
      <c r="H24">
        <f t="shared" si="18"/>
        <v>2.3575688366392615</v>
      </c>
      <c r="I24">
        <f t="shared" si="21"/>
        <v>1.4371363796116142E-3</v>
      </c>
      <c r="N24">
        <v>169.47</v>
      </c>
      <c r="O24">
        <v>1000</v>
      </c>
      <c r="P24">
        <f t="shared" si="4"/>
        <v>9.2367500000000005E-2</v>
      </c>
      <c r="Q24">
        <v>7.9659000000000004</v>
      </c>
      <c r="R24">
        <v>10</v>
      </c>
      <c r="S24">
        <f t="shared" si="5"/>
        <v>5.4829500000000003E-3</v>
      </c>
      <c r="T24">
        <f t="shared" si="6"/>
        <v>3.9886252429279727</v>
      </c>
      <c r="U24">
        <f t="shared" si="7"/>
        <v>1.8302541897933214E-3</v>
      </c>
      <c r="AA24">
        <v>6.7064000000000004</v>
      </c>
      <c r="AB24">
        <v>10</v>
      </c>
      <c r="AC24">
        <f t="shared" si="10"/>
        <v>2.1765999999999999E-3</v>
      </c>
      <c r="AD24">
        <v>10.4933</v>
      </c>
      <c r="AE24">
        <v>10</v>
      </c>
      <c r="AF24">
        <f t="shared" si="11"/>
        <v>6.7466499999999999E-3</v>
      </c>
      <c r="AG24">
        <f t="shared" si="12"/>
        <v>2266.5208000000002</v>
      </c>
      <c r="AH24">
        <f t="shared" si="13"/>
        <v>0.73561212771084339</v>
      </c>
      <c r="AI24">
        <f t="shared" si="14"/>
        <v>4.4120486341885762E-4</v>
      </c>
      <c r="AJ24">
        <f t="shared" si="15"/>
        <v>1.4319553049586746E-7</v>
      </c>
      <c r="AK24">
        <f t="shared" si="16"/>
        <v>4.4120486341885758</v>
      </c>
      <c r="AL24">
        <f t="shared" si="17"/>
        <v>1.4319553049586746E-3</v>
      </c>
      <c r="AM24">
        <f>AD24/AG24^2</f>
        <v>2.0426439471956748E-6</v>
      </c>
      <c r="AN24">
        <f>AM24*SQRT((AF24/AD24)^2+4*(AH24/AG24)^2)</f>
        <v>1.8662300555096889E-9</v>
      </c>
    </row>
    <row r="25" spans="2:40" x14ac:dyDescent="0.25">
      <c r="B25">
        <v>120.91</v>
      </c>
      <c r="C25">
        <v>1000</v>
      </c>
      <c r="D25">
        <f t="shared" si="24"/>
        <v>8.0227500000000007E-2</v>
      </c>
      <c r="E25">
        <v>3.9914000000000001</v>
      </c>
      <c r="F25">
        <v>10</v>
      </c>
      <c r="G25">
        <f t="shared" si="20"/>
        <v>3.4957E-3</v>
      </c>
      <c r="H25">
        <f t="shared" si="18"/>
        <v>2.5162290306562292</v>
      </c>
      <c r="I25">
        <f t="shared" si="21"/>
        <v>1.4691556550692287E-3</v>
      </c>
      <c r="N25">
        <v>180</v>
      </c>
      <c r="O25">
        <v>1000</v>
      </c>
      <c r="P25">
        <f t="shared" si="4"/>
        <v>9.5000000000000001E-2</v>
      </c>
      <c r="Q25">
        <v>8.5960000000000001</v>
      </c>
      <c r="R25">
        <v>10</v>
      </c>
      <c r="S25">
        <f t="shared" si="5"/>
        <v>5.7979999999999993E-3</v>
      </c>
      <c r="T25">
        <f t="shared" si="6"/>
        <v>4.1962781843815069</v>
      </c>
      <c r="U25">
        <f t="shared" si="7"/>
        <v>1.8869257726883799E-3</v>
      </c>
      <c r="AA25">
        <v>6.7991999999999999</v>
      </c>
      <c r="AB25">
        <v>10</v>
      </c>
      <c r="AC25">
        <f t="shared" si="10"/>
        <v>2.1998E-3</v>
      </c>
      <c r="AD25">
        <v>11.8233</v>
      </c>
      <c r="AE25">
        <v>10</v>
      </c>
      <c r="AF25">
        <f t="shared" si="11"/>
        <v>7.4116499999999997E-3</v>
      </c>
      <c r="AG25">
        <f t="shared" si="12"/>
        <v>2275.5223999999998</v>
      </c>
      <c r="AH25">
        <f t="shared" si="13"/>
        <v>0.7362181102953288</v>
      </c>
      <c r="AI25">
        <f t="shared" si="14"/>
        <v>4.3945952806265503E-4</v>
      </c>
      <c r="AJ25">
        <f t="shared" si="15"/>
        <v>1.4218188460881112E-7</v>
      </c>
      <c r="AK25">
        <f t="shared" si="16"/>
        <v>4.3945952806265502</v>
      </c>
      <c r="AL25">
        <f t="shared" si="17"/>
        <v>1.4218188460881113E-3</v>
      </c>
      <c r="AM25">
        <f>AD25/AG25^2</f>
        <v>2.283370991269165E-6</v>
      </c>
      <c r="AN25">
        <f>AM25*SQRT((AF25/AD25)^2+4*(AH25/AG25)^2)</f>
        <v>2.0571527450221658E-9</v>
      </c>
    </row>
    <row r="26" spans="2:40" x14ac:dyDescent="0.25">
      <c r="B26">
        <v>129.44999999999999</v>
      </c>
      <c r="C26">
        <v>1000</v>
      </c>
      <c r="D26">
        <f t="shared" si="24"/>
        <v>8.2362500000000005E-2</v>
      </c>
      <c r="E26">
        <v>4.2915000000000001</v>
      </c>
      <c r="F26">
        <v>10</v>
      </c>
      <c r="G26">
        <f t="shared" si="20"/>
        <v>3.6457499999999997E-3</v>
      </c>
      <c r="H26">
        <f t="shared" si="18"/>
        <v>2.6408237142103186</v>
      </c>
      <c r="I26">
        <f t="shared" si="21"/>
        <v>1.4956360334121351E-3</v>
      </c>
      <c r="N26">
        <v>190.89</v>
      </c>
      <c r="O26">
        <v>1000</v>
      </c>
      <c r="P26">
        <f t="shared" si="4"/>
        <v>9.7722500000000004E-2</v>
      </c>
      <c r="Q26">
        <v>9.25</v>
      </c>
      <c r="R26">
        <v>10</v>
      </c>
      <c r="S26">
        <f t="shared" si="5"/>
        <v>6.1249999999999994E-3</v>
      </c>
      <c r="T26">
        <f t="shared" si="6"/>
        <v>4.4065072448441391</v>
      </c>
      <c r="U26">
        <f t="shared" si="7"/>
        <v>1.9452149098861512E-3</v>
      </c>
      <c r="AA26">
        <v>6.9047999999999998</v>
      </c>
      <c r="AB26">
        <v>10</v>
      </c>
      <c r="AC26">
        <f t="shared" si="10"/>
        <v>2.2262000000000002E-3</v>
      </c>
      <c r="AD26">
        <v>13.504</v>
      </c>
      <c r="AE26">
        <v>100</v>
      </c>
      <c r="AF26">
        <f>0.05%*AD26+0.005%*AE26</f>
        <v>1.1752E-2</v>
      </c>
      <c r="AG26">
        <f t="shared" si="12"/>
        <v>2285.7655999999997</v>
      </c>
      <c r="AH26">
        <f t="shared" si="13"/>
        <v>0.73696144402734332</v>
      </c>
      <c r="AI26">
        <f t="shared" si="14"/>
        <v>4.3749017834549621E-4</v>
      </c>
      <c r="AJ26">
        <f t="shared" si="15"/>
        <v>1.4105269305884948E-7</v>
      </c>
      <c r="AK26">
        <f t="shared" si="16"/>
        <v>4.3749017834549617</v>
      </c>
      <c r="AL26">
        <f t="shared" si="17"/>
        <v>1.4105269305884948E-3</v>
      </c>
      <c r="AM26">
        <f>AD26/AG26^2</f>
        <v>2.584633948633045E-6</v>
      </c>
      <c r="AN26">
        <f>AM26*SQRT((AF26/AD26)^2+4*(AH26/AG26)^2)</f>
        <v>2.7994762076039363E-9</v>
      </c>
    </row>
    <row r="27" spans="2:40" x14ac:dyDescent="0.25">
      <c r="B27">
        <v>139.72</v>
      </c>
      <c r="C27">
        <v>1000</v>
      </c>
      <c r="D27">
        <f t="shared" si="24"/>
        <v>8.4930000000000005E-2</v>
      </c>
      <c r="E27">
        <v>4.6398000000000001</v>
      </c>
      <c r="F27">
        <v>10</v>
      </c>
      <c r="G27">
        <f t="shared" si="20"/>
        <v>3.8199000000000002E-3</v>
      </c>
      <c r="H27">
        <f t="shared" si="18"/>
        <v>2.7818444378936897</v>
      </c>
      <c r="I27">
        <f t="shared" si="21"/>
        <v>1.5268427616578451E-3</v>
      </c>
      <c r="N27">
        <v>199.3</v>
      </c>
      <c r="O27">
        <v>1000</v>
      </c>
      <c r="P27">
        <f t="shared" si="4"/>
        <v>9.9824999999999997E-2</v>
      </c>
      <c r="Q27">
        <v>9.7550000000000008</v>
      </c>
      <c r="R27">
        <v>10</v>
      </c>
      <c r="S27">
        <f t="shared" si="5"/>
        <v>6.3775000000000004E-3</v>
      </c>
      <c r="T27">
        <f t="shared" si="6"/>
        <v>4.5654632279787331</v>
      </c>
      <c r="U27">
        <f t="shared" si="7"/>
        <v>1.9898337082818636E-3</v>
      </c>
      <c r="AA27">
        <v>7.0041000000000002</v>
      </c>
      <c r="AB27">
        <v>10</v>
      </c>
      <c r="AC27">
        <f t="shared" si="10"/>
        <v>2.2510250000000002E-3</v>
      </c>
      <c r="AD27">
        <v>15.23</v>
      </c>
      <c r="AE27">
        <v>100</v>
      </c>
      <c r="AF27">
        <f>0.05%*AD27+0.005%*AE27</f>
        <v>1.2615000000000001E-2</v>
      </c>
      <c r="AG27">
        <f t="shared" si="12"/>
        <v>2295.3977</v>
      </c>
      <c r="AH27">
        <f t="shared" si="13"/>
        <v>0.73771042784119301</v>
      </c>
      <c r="AI27">
        <f t="shared" si="14"/>
        <v>4.3565435305611749E-4</v>
      </c>
      <c r="AJ27">
        <f t="shared" si="15"/>
        <v>1.4001354065306706E-7</v>
      </c>
      <c r="AK27">
        <f t="shared" si="16"/>
        <v>4.3565435305611748</v>
      </c>
      <c r="AL27">
        <f t="shared" si="17"/>
        <v>1.4001354065306705E-3</v>
      </c>
      <c r="AM27">
        <f>AD27/AG27^2</f>
        <v>2.8905735145786147E-6</v>
      </c>
      <c r="AN27">
        <f>AM27*SQRT((AF27/AD27)^2+4*(AH27/AG27)^2)</f>
        <v>3.0306084360511421E-9</v>
      </c>
    </row>
    <row r="28" spans="2:40" x14ac:dyDescent="0.25">
      <c r="B28">
        <v>149.65</v>
      </c>
      <c r="C28">
        <v>1000</v>
      </c>
      <c r="D28">
        <f t="shared" si="24"/>
        <v>8.7412500000000004E-2</v>
      </c>
      <c r="E28">
        <v>4.9614000000000003</v>
      </c>
      <c r="F28">
        <v>10</v>
      </c>
      <c r="G28">
        <f t="shared" si="20"/>
        <v>3.9807000000000002E-3</v>
      </c>
      <c r="H28">
        <f t="shared" si="18"/>
        <v>2.9089493638741906</v>
      </c>
      <c r="I28">
        <f t="shared" si="21"/>
        <v>1.5559660220601699E-3</v>
      </c>
      <c r="N28">
        <v>210.2</v>
      </c>
      <c r="O28">
        <v>1000</v>
      </c>
      <c r="P28">
        <f t="shared" si="4"/>
        <v>0.10255</v>
      </c>
      <c r="Q28">
        <v>10.4155</v>
      </c>
      <c r="R28">
        <v>10</v>
      </c>
      <c r="S28">
        <f t="shared" si="5"/>
        <v>6.7077499999999993E-3</v>
      </c>
      <c r="T28">
        <f t="shared" si="6"/>
        <v>4.7692865373374902</v>
      </c>
      <c r="U28">
        <f t="shared" si="7"/>
        <v>2.0476649718096777E-3</v>
      </c>
    </row>
    <row r="29" spans="2:40" x14ac:dyDescent="0.25">
      <c r="B29">
        <v>161.35</v>
      </c>
      <c r="C29">
        <v>1000</v>
      </c>
      <c r="D29">
        <f t="shared" si="24"/>
        <v>9.0337500000000001E-2</v>
      </c>
      <c r="E29">
        <v>5.3193000000000001</v>
      </c>
      <c r="F29">
        <v>10</v>
      </c>
      <c r="G29">
        <f t="shared" si="20"/>
        <v>4.15965E-3</v>
      </c>
      <c r="H29">
        <f t="shared" si="18"/>
        <v>3.0472142436121117</v>
      </c>
      <c r="I29">
        <f t="shared" si="21"/>
        <v>1.5885980897788702E-3</v>
      </c>
      <c r="N29">
        <v>221.45</v>
      </c>
      <c r="O29">
        <v>1000</v>
      </c>
      <c r="P29">
        <f t="shared" si="4"/>
        <v>0.1053625</v>
      </c>
      <c r="Q29">
        <v>11.09</v>
      </c>
      <c r="R29">
        <v>10</v>
      </c>
      <c r="S29">
        <f t="shared" si="5"/>
        <v>7.045E-3</v>
      </c>
      <c r="T29">
        <f t="shared" si="6"/>
        <v>4.9730294460933475</v>
      </c>
      <c r="U29">
        <f t="shared" si="7"/>
        <v>2.1061011390278109E-3</v>
      </c>
    </row>
    <row r="30" spans="2:40" x14ac:dyDescent="0.25">
      <c r="B30">
        <v>170.2</v>
      </c>
      <c r="C30">
        <v>1000</v>
      </c>
      <c r="D30">
        <f t="shared" si="24"/>
        <v>9.2549999999999993E-2</v>
      </c>
      <c r="E30">
        <v>5.5754999999999999</v>
      </c>
      <c r="F30">
        <v>10</v>
      </c>
      <c r="G30">
        <f t="shared" si="20"/>
        <v>4.2877499999999999E-3</v>
      </c>
      <c r="H30">
        <f t="shared" si="18"/>
        <v>3.1442896544946835</v>
      </c>
      <c r="I30">
        <f t="shared" si="21"/>
        <v>1.6120441175451622E-3</v>
      </c>
      <c r="N30">
        <v>230.35</v>
      </c>
      <c r="O30">
        <v>1000</v>
      </c>
      <c r="P30">
        <f t="shared" si="4"/>
        <v>0.1075875</v>
      </c>
      <c r="Q30">
        <v>11.635</v>
      </c>
      <c r="R30">
        <v>10</v>
      </c>
      <c r="S30">
        <f t="shared" si="5"/>
        <v>7.3174999999999994E-3</v>
      </c>
      <c r="T30">
        <f t="shared" si="6"/>
        <v>5.134650940327564</v>
      </c>
      <c r="U30">
        <f t="shared" si="7"/>
        <v>2.1528610947341036E-3</v>
      </c>
    </row>
    <row r="31" spans="2:40" x14ac:dyDescent="0.25">
      <c r="B31">
        <v>179.45</v>
      </c>
      <c r="C31">
        <v>1000</v>
      </c>
      <c r="D31">
        <f t="shared" si="24"/>
        <v>9.4862500000000002E-2</v>
      </c>
      <c r="E31">
        <v>5.8136000000000001</v>
      </c>
      <c r="F31">
        <v>10</v>
      </c>
      <c r="G31">
        <f t="shared" si="20"/>
        <v>4.4067999999999998E-3</v>
      </c>
      <c r="H31">
        <f t="shared" si="18"/>
        <v>3.2331815966865132</v>
      </c>
      <c r="I31">
        <f t="shared" si="21"/>
        <v>1.6338682469013033E-3</v>
      </c>
      <c r="N31">
        <v>241.65</v>
      </c>
      <c r="O31">
        <v>1000</v>
      </c>
      <c r="P31">
        <f t="shared" si="4"/>
        <v>0.1104125</v>
      </c>
      <c r="Q31">
        <v>12.331</v>
      </c>
      <c r="R31">
        <v>100</v>
      </c>
      <c r="S31">
        <f>0.05%*Q31+0.005%*R31</f>
        <v>1.11655E-2</v>
      </c>
      <c r="T31">
        <f t="shared" si="6"/>
        <v>5.3374300758499515</v>
      </c>
      <c r="U31">
        <f t="shared" si="7"/>
        <v>3.2219649940206331E-3</v>
      </c>
    </row>
    <row r="32" spans="2:40" x14ac:dyDescent="0.25">
      <c r="B32">
        <v>190.15</v>
      </c>
      <c r="C32">
        <v>1000</v>
      </c>
      <c r="D32">
        <f t="shared" si="24"/>
        <v>9.7537499999999999E-2</v>
      </c>
      <c r="E32">
        <v>6.07</v>
      </c>
      <c r="F32">
        <v>10</v>
      </c>
      <c r="G32">
        <f t="shared" si="20"/>
        <v>4.535E-3</v>
      </c>
      <c r="H32">
        <f t="shared" si="18"/>
        <v>3.327559225902553</v>
      </c>
      <c r="I32">
        <f t="shared" si="21"/>
        <v>1.6573839746807334E-3</v>
      </c>
      <c r="N32">
        <v>249.88</v>
      </c>
      <c r="O32">
        <v>1000</v>
      </c>
      <c r="P32">
        <f t="shared" si="4"/>
        <v>0.11247</v>
      </c>
      <c r="Q32">
        <v>12.82</v>
      </c>
      <c r="R32">
        <v>100</v>
      </c>
      <c r="S32">
        <f t="shared" ref="S32:S57" si="25">0.05%*Q32+0.005%*R32</f>
        <v>1.141E-2</v>
      </c>
      <c r="T32">
        <f t="shared" si="6"/>
        <v>5.4776214658634279</v>
      </c>
      <c r="U32">
        <f t="shared" si="7"/>
        <v>3.2501123726209934E-3</v>
      </c>
    </row>
    <row r="33" spans="2:21" x14ac:dyDescent="0.25">
      <c r="B33">
        <v>200.73</v>
      </c>
      <c r="C33">
        <v>1000</v>
      </c>
      <c r="D33">
        <f t="shared" si="24"/>
        <v>0.10018250000000001</v>
      </c>
      <c r="E33">
        <v>6.3018000000000001</v>
      </c>
      <c r="F33">
        <v>10</v>
      </c>
      <c r="G33">
        <f t="shared" si="20"/>
        <v>4.6509000000000003E-3</v>
      </c>
      <c r="H33">
        <f t="shared" si="18"/>
        <v>3.4117437966947337</v>
      </c>
      <c r="I33">
        <f t="shared" si="21"/>
        <v>1.6786398832130014E-3</v>
      </c>
      <c r="N33">
        <v>260.7</v>
      </c>
      <c r="O33">
        <v>1000</v>
      </c>
      <c r="P33">
        <f t="shared" si="4"/>
        <v>0.115175</v>
      </c>
      <c r="Q33">
        <v>13.465</v>
      </c>
      <c r="R33">
        <v>100</v>
      </c>
      <c r="S33">
        <f t="shared" si="25"/>
        <v>1.17325E-2</v>
      </c>
      <c r="T33">
        <f t="shared" si="6"/>
        <v>5.6598410993943116</v>
      </c>
      <c r="U33">
        <f t="shared" si="7"/>
        <v>3.2877378734320465E-3</v>
      </c>
    </row>
    <row r="34" spans="2:21" x14ac:dyDescent="0.25">
      <c r="B34">
        <v>210.56</v>
      </c>
      <c r="C34">
        <v>1000</v>
      </c>
      <c r="D34">
        <f t="shared" si="24"/>
        <v>0.10264000000000001</v>
      </c>
      <c r="E34">
        <v>6.4943</v>
      </c>
      <c r="F34">
        <v>10</v>
      </c>
      <c r="G34">
        <f t="shared" si="20"/>
        <v>4.7471499999999995E-3</v>
      </c>
      <c r="H34">
        <f t="shared" si="18"/>
        <v>3.480873423530872</v>
      </c>
      <c r="I34">
        <f t="shared" si="21"/>
        <v>1.6962801505437666E-3</v>
      </c>
      <c r="N34">
        <v>270.8</v>
      </c>
      <c r="O34">
        <v>1000</v>
      </c>
      <c r="P34">
        <f t="shared" si="4"/>
        <v>0.11770000000000001</v>
      </c>
      <c r="Q34">
        <v>14.07</v>
      </c>
      <c r="R34">
        <v>100</v>
      </c>
      <c r="S34">
        <f t="shared" si="25"/>
        <v>1.2035000000000001E-2</v>
      </c>
      <c r="T34">
        <f t="shared" si="6"/>
        <v>5.8281322529121242</v>
      </c>
      <c r="U34">
        <f t="shared" si="7"/>
        <v>3.323457553366378E-3</v>
      </c>
    </row>
    <row r="35" spans="2:21" x14ac:dyDescent="0.25">
      <c r="B35">
        <v>220.79</v>
      </c>
      <c r="C35">
        <v>1000</v>
      </c>
      <c r="D35">
        <f t="shared" si="24"/>
        <v>0.1051975</v>
      </c>
      <c r="E35">
        <v>6.6733000000000002</v>
      </c>
      <c r="F35">
        <v>10</v>
      </c>
      <c r="G35">
        <f t="shared" si="20"/>
        <v>4.8366499999999996E-3</v>
      </c>
      <c r="H35">
        <f t="shared" si="18"/>
        <v>3.5445444972992384</v>
      </c>
      <c r="I35">
        <f t="shared" si="21"/>
        <v>1.7126680096166671E-3</v>
      </c>
      <c r="N35">
        <v>280.14999999999998</v>
      </c>
      <c r="O35">
        <v>1000</v>
      </c>
      <c r="P35">
        <f t="shared" si="4"/>
        <v>0.12003750000000001</v>
      </c>
      <c r="Q35">
        <v>14.62</v>
      </c>
      <c r="R35">
        <v>100</v>
      </c>
      <c r="S35">
        <f t="shared" si="25"/>
        <v>1.231E-2</v>
      </c>
      <c r="T35">
        <f t="shared" si="6"/>
        <v>5.9790416916066551</v>
      </c>
      <c r="U35">
        <f t="shared" si="7"/>
        <v>3.3562244972037357E-3</v>
      </c>
    </row>
    <row r="36" spans="2:21" x14ac:dyDescent="0.25">
      <c r="B36">
        <v>230.25</v>
      </c>
      <c r="C36">
        <v>1000</v>
      </c>
      <c r="D36">
        <f t="shared" si="24"/>
        <v>0.10756250000000001</v>
      </c>
      <c r="E36">
        <v>6.8150000000000004</v>
      </c>
      <c r="F36">
        <v>10</v>
      </c>
      <c r="G36">
        <f t="shared" si="20"/>
        <v>4.9075000000000004E-3</v>
      </c>
      <c r="H36">
        <f t="shared" si="18"/>
        <v>3.5945448500204717</v>
      </c>
      <c r="I36">
        <f t="shared" si="21"/>
        <v>1.7256276695011459E-3</v>
      </c>
      <c r="N36">
        <v>290.88</v>
      </c>
      <c r="O36">
        <v>1000</v>
      </c>
      <c r="P36">
        <f t="shared" si="4"/>
        <v>0.12272000000000001</v>
      </c>
      <c r="Q36">
        <v>15.266</v>
      </c>
      <c r="R36">
        <v>100</v>
      </c>
      <c r="S36">
        <f t="shared" si="25"/>
        <v>1.2633E-2</v>
      </c>
      <c r="T36">
        <f t="shared" si="6"/>
        <v>6.1538962773641757</v>
      </c>
      <c r="U36">
        <f t="shared" si="7"/>
        <v>3.3950029115656414E-3</v>
      </c>
    </row>
    <row r="37" spans="2:21" x14ac:dyDescent="0.25">
      <c r="B37">
        <v>240.6</v>
      </c>
      <c r="C37">
        <v>1000</v>
      </c>
      <c r="D37">
        <f t="shared" si="24"/>
        <v>0.11015</v>
      </c>
      <c r="E37">
        <v>6.9546000000000001</v>
      </c>
      <c r="F37">
        <v>10</v>
      </c>
      <c r="G37">
        <f t="shared" si="20"/>
        <v>4.9772999999999996E-3</v>
      </c>
      <c r="H37">
        <f t="shared" si="18"/>
        <v>3.6434664166752384</v>
      </c>
      <c r="I37">
        <f t="shared" si="21"/>
        <v>1.7383818284030389E-3</v>
      </c>
      <c r="N37">
        <v>300.06</v>
      </c>
      <c r="O37">
        <v>1000</v>
      </c>
      <c r="P37">
        <f t="shared" si="4"/>
        <v>0.12501499999999999</v>
      </c>
      <c r="Q37">
        <v>15.773</v>
      </c>
      <c r="R37">
        <v>100</v>
      </c>
      <c r="S37">
        <f t="shared" si="25"/>
        <v>1.2886499999999999E-2</v>
      </c>
      <c r="T37">
        <f t="shared" si="6"/>
        <v>6.2894046228043994</v>
      </c>
      <c r="U37">
        <f t="shared" si="7"/>
        <v>3.4256181521912506E-3</v>
      </c>
    </row>
    <row r="38" spans="2:21" x14ac:dyDescent="0.25">
      <c r="B38">
        <v>250.4</v>
      </c>
      <c r="C38">
        <v>1000</v>
      </c>
      <c r="D38">
        <f t="shared" si="24"/>
        <v>0.11260000000000001</v>
      </c>
      <c r="E38">
        <v>7.0708000000000002</v>
      </c>
      <c r="F38">
        <v>10</v>
      </c>
      <c r="G38">
        <f t="shared" si="20"/>
        <v>5.0353999999999998E-3</v>
      </c>
      <c r="H38">
        <f t="shared" si="18"/>
        <v>3.6839384779347495</v>
      </c>
      <c r="I38">
        <f t="shared" si="21"/>
        <v>1.7489868012853459E-3</v>
      </c>
      <c r="N38">
        <v>310.5</v>
      </c>
      <c r="O38">
        <v>1000</v>
      </c>
      <c r="P38">
        <f t="shared" si="4"/>
        <v>0.12762499999999999</v>
      </c>
      <c r="Q38">
        <v>16.382999999999999</v>
      </c>
      <c r="R38">
        <v>100</v>
      </c>
      <c r="S38">
        <f t="shared" si="25"/>
        <v>1.3191499999999998E-2</v>
      </c>
      <c r="T38">
        <f t="shared" si="6"/>
        <v>6.4505332892394955</v>
      </c>
      <c r="U38">
        <f t="shared" si="7"/>
        <v>3.4626222256812058E-3</v>
      </c>
    </row>
    <row r="39" spans="2:21" x14ac:dyDescent="0.25">
      <c r="B39">
        <v>260.39</v>
      </c>
      <c r="C39">
        <v>1000</v>
      </c>
      <c r="D39">
        <f t="shared" si="24"/>
        <v>0.11509750000000001</v>
      </c>
      <c r="E39">
        <v>7.1717000000000004</v>
      </c>
      <c r="F39">
        <v>10</v>
      </c>
      <c r="G39">
        <f t="shared" si="20"/>
        <v>5.0858500000000003E-3</v>
      </c>
      <c r="H39">
        <f t="shared" si="18"/>
        <v>3.7189020753514241</v>
      </c>
      <c r="I39">
        <f t="shared" si="21"/>
        <v>1.7581864011718318E-3</v>
      </c>
      <c r="N39">
        <v>320.01</v>
      </c>
      <c r="O39">
        <v>1000</v>
      </c>
      <c r="P39">
        <f t="shared" si="4"/>
        <v>0.13000250000000002</v>
      </c>
      <c r="Q39">
        <v>16.914999999999999</v>
      </c>
      <c r="R39">
        <v>100</v>
      </c>
      <c r="S39">
        <f t="shared" si="25"/>
        <v>1.3457500000000001E-2</v>
      </c>
      <c r="T39">
        <f t="shared" si="6"/>
        <v>6.5894323155513845</v>
      </c>
      <c r="U39">
        <f t="shared" si="7"/>
        <v>3.4950156818024541E-3</v>
      </c>
    </row>
    <row r="40" spans="2:21" x14ac:dyDescent="0.25">
      <c r="B40">
        <v>270.05</v>
      </c>
      <c r="C40">
        <v>1000</v>
      </c>
      <c r="D40">
        <f t="shared" si="24"/>
        <v>0.11751250000000001</v>
      </c>
      <c r="E40">
        <v>7.2594000000000003</v>
      </c>
      <c r="F40">
        <v>10</v>
      </c>
      <c r="G40">
        <f t="shared" si="20"/>
        <v>5.1297000000000001E-3</v>
      </c>
      <c r="H40">
        <f t="shared" si="18"/>
        <v>3.7491586464472371</v>
      </c>
      <c r="I40">
        <f t="shared" si="21"/>
        <v>1.7661752678072927E-3</v>
      </c>
      <c r="N40">
        <v>329.74</v>
      </c>
      <c r="O40">
        <v>1000</v>
      </c>
      <c r="P40">
        <f t="shared" si="4"/>
        <v>0.13243500000000002</v>
      </c>
      <c r="Q40">
        <v>17.457000000000001</v>
      </c>
      <c r="R40">
        <v>100</v>
      </c>
      <c r="S40">
        <f t="shared" si="25"/>
        <v>1.3728500000000001E-2</v>
      </c>
      <c r="T40">
        <f t="shared" si="6"/>
        <v>6.7294526438011566</v>
      </c>
      <c r="U40">
        <f t="shared" si="7"/>
        <v>3.5281087097983302E-3</v>
      </c>
    </row>
    <row r="41" spans="2:21" x14ac:dyDescent="0.25">
      <c r="B41">
        <v>279.92</v>
      </c>
      <c r="C41">
        <v>1000</v>
      </c>
      <c r="D41">
        <f t="shared" si="24"/>
        <v>0.11998</v>
      </c>
      <c r="E41">
        <v>7.3384999999999998</v>
      </c>
      <c r="F41">
        <v>10</v>
      </c>
      <c r="G41">
        <f t="shared" si="20"/>
        <v>5.1692499999999994E-3</v>
      </c>
      <c r="H41">
        <f t="shared" si="18"/>
        <v>3.7763438573199655</v>
      </c>
      <c r="I41">
        <f t="shared" si="21"/>
        <v>1.7733747118576667E-3</v>
      </c>
      <c r="N41">
        <v>340.03</v>
      </c>
      <c r="O41">
        <v>1000</v>
      </c>
      <c r="P41">
        <f t="shared" si="4"/>
        <v>0.1350075</v>
      </c>
      <c r="Q41">
        <v>18.016999999999999</v>
      </c>
      <c r="R41">
        <v>100</v>
      </c>
      <c r="S41">
        <f t="shared" si="25"/>
        <v>1.40085E-2</v>
      </c>
      <c r="T41">
        <f t="shared" si="6"/>
        <v>6.8726092509284245</v>
      </c>
      <c r="U41">
        <f t="shared" si="7"/>
        <v>3.5623743017383891E-3</v>
      </c>
    </row>
    <row r="42" spans="2:21" x14ac:dyDescent="0.25">
      <c r="B42">
        <v>291.45</v>
      </c>
      <c r="C42">
        <v>1000</v>
      </c>
      <c r="D42">
        <f t="shared" si="24"/>
        <v>0.1228625</v>
      </c>
      <c r="E42">
        <v>7.4222999999999999</v>
      </c>
      <c r="F42">
        <v>10</v>
      </c>
      <c r="G42">
        <f t="shared" si="20"/>
        <v>5.2111499999999995E-3</v>
      </c>
      <c r="H42">
        <f t="shared" si="18"/>
        <v>3.8050380380722655</v>
      </c>
      <c r="I42">
        <f t="shared" si="21"/>
        <v>1.7809954661044225E-3</v>
      </c>
      <c r="N42">
        <v>350.76</v>
      </c>
      <c r="O42">
        <v>1000</v>
      </c>
      <c r="P42">
        <f t="shared" si="4"/>
        <v>0.13769000000000001</v>
      </c>
      <c r="Q42">
        <v>18.582000000000001</v>
      </c>
      <c r="R42">
        <v>100</v>
      </c>
      <c r="S42">
        <f t="shared" si="25"/>
        <v>1.4291000000000002E-2</v>
      </c>
      <c r="T42">
        <f t="shared" si="6"/>
        <v>7.0155485939235236</v>
      </c>
      <c r="U42">
        <f t="shared" si="7"/>
        <v>3.5970008594611654E-3</v>
      </c>
    </row>
    <row r="43" spans="2:21" x14ac:dyDescent="0.25">
      <c r="B43">
        <v>300.54000000000002</v>
      </c>
      <c r="C43">
        <v>1000</v>
      </c>
      <c r="D43">
        <f t="shared" si="24"/>
        <v>0.125135</v>
      </c>
      <c r="E43">
        <v>7.4705000000000004</v>
      </c>
      <c r="F43">
        <v>10</v>
      </c>
      <c r="G43">
        <f t="shared" si="20"/>
        <v>5.2352500000000003E-3</v>
      </c>
      <c r="H43">
        <f t="shared" si="18"/>
        <v>3.8214933958366606</v>
      </c>
      <c r="I43">
        <f t="shared" si="21"/>
        <v>1.7853756598669324E-3</v>
      </c>
      <c r="N43">
        <v>361.05</v>
      </c>
      <c r="O43">
        <v>1000</v>
      </c>
      <c r="P43">
        <f t="shared" si="4"/>
        <v>0.14026250000000001</v>
      </c>
      <c r="Q43">
        <v>19.116</v>
      </c>
      <c r="R43">
        <v>100</v>
      </c>
      <c r="S43">
        <f t="shared" si="25"/>
        <v>1.4558000000000001E-2</v>
      </c>
      <c r="T43">
        <f t="shared" si="6"/>
        <v>7.1493190933892157</v>
      </c>
      <c r="U43">
        <f t="shared" si="7"/>
        <v>3.629761713104562E-3</v>
      </c>
    </row>
    <row r="44" spans="2:21" x14ac:dyDescent="0.25">
      <c r="B44">
        <v>310.8</v>
      </c>
      <c r="C44">
        <v>1000</v>
      </c>
      <c r="D44">
        <f t="shared" si="24"/>
        <v>0.12770000000000001</v>
      </c>
      <c r="E44">
        <v>7.524</v>
      </c>
      <c r="F44">
        <v>10</v>
      </c>
      <c r="G44">
        <f t="shared" si="20"/>
        <v>5.2620000000000002E-3</v>
      </c>
      <c r="H44">
        <f t="shared" si="18"/>
        <v>3.8397167759859712</v>
      </c>
      <c r="I44">
        <f t="shared" si="21"/>
        <v>1.7902347754065373E-3</v>
      </c>
      <c r="N44">
        <v>370.54</v>
      </c>
      <c r="O44">
        <v>1000</v>
      </c>
      <c r="P44">
        <f t="shared" si="4"/>
        <v>0.14263500000000001</v>
      </c>
      <c r="Q44">
        <v>19.59</v>
      </c>
      <c r="R44">
        <v>100</v>
      </c>
      <c r="S44">
        <f t="shared" si="25"/>
        <v>1.4794999999999999E-2</v>
      </c>
      <c r="T44">
        <f t="shared" si="6"/>
        <v>7.2670189160483938</v>
      </c>
      <c r="U44">
        <f t="shared" si="7"/>
        <v>3.6588580861982639E-3</v>
      </c>
    </row>
    <row r="45" spans="2:21" x14ac:dyDescent="0.25">
      <c r="B45">
        <v>319.60000000000002</v>
      </c>
      <c r="C45">
        <v>1000</v>
      </c>
      <c r="D45">
        <f t="shared" si="24"/>
        <v>0.12990000000000002</v>
      </c>
      <c r="E45">
        <v>7.5605000000000002</v>
      </c>
      <c r="F45">
        <v>10</v>
      </c>
      <c r="G45">
        <f t="shared" si="20"/>
        <v>5.2802500000000002E-3</v>
      </c>
      <c r="H45">
        <f t="shared" si="18"/>
        <v>3.8521247674448444</v>
      </c>
      <c r="I45">
        <f t="shared" si="21"/>
        <v>1.7935482047748731E-3</v>
      </c>
      <c r="N45">
        <v>380.48</v>
      </c>
      <c r="O45">
        <v>1000</v>
      </c>
      <c r="P45">
        <f t="shared" si="4"/>
        <v>0.14512000000000003</v>
      </c>
      <c r="Q45">
        <v>20.077000000000002</v>
      </c>
      <c r="R45">
        <v>100</v>
      </c>
      <c r="S45">
        <f t="shared" si="25"/>
        <v>1.50385E-2</v>
      </c>
      <c r="T45">
        <f t="shared" si="6"/>
        <v>7.386962244900837</v>
      </c>
      <c r="U45">
        <f t="shared" si="7"/>
        <v>3.6887593338958747E-3</v>
      </c>
    </row>
    <row r="46" spans="2:21" x14ac:dyDescent="0.25">
      <c r="B46">
        <v>329.8</v>
      </c>
      <c r="C46">
        <v>1000</v>
      </c>
      <c r="D46">
        <f t="shared" si="24"/>
        <v>0.13245000000000001</v>
      </c>
      <c r="E46">
        <v>7.6032000000000002</v>
      </c>
      <c r="F46">
        <v>10</v>
      </c>
      <c r="G46">
        <f t="shared" si="20"/>
        <v>5.3016000000000001E-3</v>
      </c>
      <c r="H46">
        <f t="shared" si="18"/>
        <v>3.8666151040818626</v>
      </c>
      <c r="I46">
        <f t="shared" si="21"/>
        <v>1.7974227198899061E-3</v>
      </c>
      <c r="N46">
        <v>390.22</v>
      </c>
      <c r="O46">
        <v>1000</v>
      </c>
      <c r="P46">
        <f t="shared" si="4"/>
        <v>0.14755499999999999</v>
      </c>
      <c r="Q46">
        <v>20.54</v>
      </c>
      <c r="R46">
        <v>100</v>
      </c>
      <c r="S46">
        <f t="shared" si="25"/>
        <v>1.5269999999999999E-2</v>
      </c>
      <c r="T46">
        <f t="shared" si="6"/>
        <v>7.5000983690801659</v>
      </c>
      <c r="U46">
        <f t="shared" si="7"/>
        <v>3.7171860466035092E-3</v>
      </c>
    </row>
    <row r="47" spans="2:21" x14ac:dyDescent="0.25">
      <c r="B47">
        <v>340.49</v>
      </c>
      <c r="C47">
        <v>1000</v>
      </c>
      <c r="D47">
        <f t="shared" si="24"/>
        <v>0.13512250000000001</v>
      </c>
      <c r="E47">
        <v>7.6420000000000003</v>
      </c>
      <c r="F47">
        <v>10</v>
      </c>
      <c r="G47">
        <f t="shared" si="20"/>
        <v>5.3210000000000002E-3</v>
      </c>
      <c r="H47">
        <f t="shared" si="18"/>
        <v>3.8797584608912392</v>
      </c>
      <c r="I47">
        <f t="shared" si="21"/>
        <v>1.8009417055223139E-3</v>
      </c>
      <c r="N47">
        <v>400.07</v>
      </c>
      <c r="O47">
        <v>1000</v>
      </c>
      <c r="P47">
        <f t="shared" si="4"/>
        <v>0.1500175</v>
      </c>
      <c r="Q47">
        <v>20.994</v>
      </c>
      <c r="R47">
        <v>100</v>
      </c>
      <c r="S47">
        <f t="shared" si="25"/>
        <v>1.5497E-2</v>
      </c>
      <c r="T47">
        <f t="shared" si="6"/>
        <v>7.610212701474115</v>
      </c>
      <c r="U47">
        <f t="shared" si="7"/>
        <v>3.7450530702341734E-3</v>
      </c>
    </row>
    <row r="48" spans="2:21" x14ac:dyDescent="0.25">
      <c r="B48">
        <v>352.14</v>
      </c>
      <c r="C48">
        <v>1000</v>
      </c>
      <c r="D48">
        <f t="shared" si="24"/>
        <v>0.13803500000000002</v>
      </c>
      <c r="E48">
        <v>7.6742999999999997</v>
      </c>
      <c r="F48">
        <v>10</v>
      </c>
      <c r="G48">
        <f t="shared" si="20"/>
        <v>5.3371499999999997E-3</v>
      </c>
      <c r="H48">
        <f t="shared" si="18"/>
        <v>3.8906830082104453</v>
      </c>
      <c r="I48">
        <f t="shared" si="21"/>
        <v>1.8038699570662581E-3</v>
      </c>
      <c r="N48">
        <v>410.91</v>
      </c>
      <c r="O48">
        <v>1000</v>
      </c>
      <c r="P48">
        <f t="shared" si="4"/>
        <v>0.15272750000000002</v>
      </c>
      <c r="Q48">
        <v>21.478999999999999</v>
      </c>
      <c r="R48">
        <v>100</v>
      </c>
      <c r="S48">
        <f t="shared" si="25"/>
        <v>1.57395E-2</v>
      </c>
      <c r="T48">
        <f t="shared" si="6"/>
        <v>7.726972595959543</v>
      </c>
      <c r="U48">
        <f t="shared" si="7"/>
        <v>3.7748090436893469E-3</v>
      </c>
    </row>
    <row r="49" spans="2:21" x14ac:dyDescent="0.25">
      <c r="B49">
        <v>360.22</v>
      </c>
      <c r="C49">
        <v>1000</v>
      </c>
      <c r="D49">
        <f t="shared" si="24"/>
        <v>0.14005500000000001</v>
      </c>
      <c r="E49">
        <v>7.6928000000000001</v>
      </c>
      <c r="F49">
        <v>10</v>
      </c>
      <c r="G49">
        <f t="shared" si="20"/>
        <v>5.3464000000000003E-3</v>
      </c>
      <c r="H49">
        <f t="shared" si="18"/>
        <v>3.8969331980525128</v>
      </c>
      <c r="I49">
        <f t="shared" si="21"/>
        <v>1.8055466280216962E-3</v>
      </c>
      <c r="N49">
        <v>420.91</v>
      </c>
      <c r="O49">
        <v>1000</v>
      </c>
      <c r="P49">
        <f t="shared" si="4"/>
        <v>0.15522750000000002</v>
      </c>
      <c r="Q49">
        <v>21.908999999999999</v>
      </c>
      <c r="R49">
        <v>100</v>
      </c>
      <c r="S49">
        <f t="shared" si="25"/>
        <v>1.59545E-2</v>
      </c>
      <c r="T49">
        <f t="shared" si="6"/>
        <v>7.8297585594190418</v>
      </c>
      <c r="U49">
        <f t="shared" si="7"/>
        <v>3.8011740361267392E-3</v>
      </c>
    </row>
    <row r="50" spans="2:21" x14ac:dyDescent="0.25">
      <c r="B50">
        <v>370.4</v>
      </c>
      <c r="C50">
        <v>1000</v>
      </c>
      <c r="D50">
        <f t="shared" si="24"/>
        <v>0.1426</v>
      </c>
      <c r="E50">
        <v>7.7168000000000001</v>
      </c>
      <c r="F50">
        <v>10</v>
      </c>
      <c r="G50">
        <f t="shared" si="20"/>
        <v>5.3584000000000001E-3</v>
      </c>
      <c r="H50">
        <f t="shared" si="18"/>
        <v>3.9050340918273827</v>
      </c>
      <c r="I50">
        <f t="shared" si="21"/>
        <v>1.8077212210283924E-3</v>
      </c>
      <c r="N50">
        <v>430.64</v>
      </c>
      <c r="O50">
        <v>1000</v>
      </c>
      <c r="P50">
        <f t="shared" si="4"/>
        <v>0.15766000000000002</v>
      </c>
      <c r="Q50">
        <v>22.305</v>
      </c>
      <c r="R50">
        <v>100</v>
      </c>
      <c r="S50">
        <f t="shared" si="25"/>
        <v>1.61525E-2</v>
      </c>
      <c r="T50">
        <f t="shared" si="6"/>
        <v>7.9238239588097876</v>
      </c>
      <c r="U50">
        <f t="shared" si="7"/>
        <v>3.8254372411170912E-3</v>
      </c>
    </row>
    <row r="51" spans="2:21" x14ac:dyDescent="0.25">
      <c r="B51">
        <v>380.12</v>
      </c>
      <c r="C51">
        <v>1000</v>
      </c>
      <c r="D51">
        <f t="shared" si="24"/>
        <v>0.14502999999999999</v>
      </c>
      <c r="E51">
        <v>7.7367999999999997</v>
      </c>
      <c r="F51">
        <v>10</v>
      </c>
      <c r="G51">
        <f t="shared" si="20"/>
        <v>5.3683999999999997E-3</v>
      </c>
      <c r="H51">
        <f t="shared" si="18"/>
        <v>3.9117784231931934</v>
      </c>
      <c r="I51">
        <f t="shared" si="21"/>
        <v>1.8095329065479558E-3</v>
      </c>
      <c r="N51">
        <v>440.1</v>
      </c>
      <c r="O51">
        <v>1000</v>
      </c>
      <c r="P51">
        <f t="shared" si="4"/>
        <v>0.16002500000000003</v>
      </c>
      <c r="Q51">
        <v>22.677</v>
      </c>
      <c r="R51">
        <v>100</v>
      </c>
      <c r="S51">
        <f t="shared" si="25"/>
        <v>1.6338499999999999E-2</v>
      </c>
      <c r="T51">
        <f t="shared" si="6"/>
        <v>8.0116825616230827</v>
      </c>
      <c r="U51">
        <f t="shared" si="7"/>
        <v>3.8482125952309597E-3</v>
      </c>
    </row>
    <row r="52" spans="2:21" x14ac:dyDescent="0.25">
      <c r="B52">
        <v>390.92</v>
      </c>
      <c r="C52">
        <v>1000</v>
      </c>
      <c r="D52">
        <f t="shared" si="24"/>
        <v>0.14773000000000003</v>
      </c>
      <c r="E52">
        <v>7.7598000000000003</v>
      </c>
      <c r="F52">
        <v>10</v>
      </c>
      <c r="G52">
        <f t="shared" si="20"/>
        <v>5.3799E-3</v>
      </c>
      <c r="H52">
        <f t="shared" si="18"/>
        <v>3.9195272241502179</v>
      </c>
      <c r="I52">
        <f t="shared" si="21"/>
        <v>1.8116158073838461E-3</v>
      </c>
      <c r="N52">
        <v>450.2</v>
      </c>
      <c r="O52">
        <v>1000</v>
      </c>
      <c r="P52">
        <f t="shared" si="4"/>
        <v>0.16255</v>
      </c>
      <c r="Q52">
        <v>23.053000000000001</v>
      </c>
      <c r="R52">
        <v>100</v>
      </c>
      <c r="S52">
        <f t="shared" si="25"/>
        <v>1.65265E-2</v>
      </c>
      <c r="T52">
        <f t="shared" si="6"/>
        <v>8.0999990296193527</v>
      </c>
      <c r="U52">
        <f t="shared" si="7"/>
        <v>3.8712136949060638E-3</v>
      </c>
    </row>
    <row r="53" spans="2:21" x14ac:dyDescent="0.25">
      <c r="B53">
        <v>400.88</v>
      </c>
      <c r="C53">
        <v>1000</v>
      </c>
      <c r="D53">
        <f t="shared" si="24"/>
        <v>0.15022000000000002</v>
      </c>
      <c r="E53">
        <v>7.7819000000000003</v>
      </c>
      <c r="F53">
        <v>10</v>
      </c>
      <c r="G53">
        <f t="shared" si="20"/>
        <v>5.3909500000000003E-3</v>
      </c>
      <c r="H53">
        <f t="shared" si="18"/>
        <v>3.9269656020364296</v>
      </c>
      <c r="I53">
        <f t="shared" si="21"/>
        <v>1.8136166585108427E-3</v>
      </c>
      <c r="N53">
        <v>460.1</v>
      </c>
      <c r="O53">
        <v>1000</v>
      </c>
      <c r="P53">
        <f t="shared" si="4"/>
        <v>0.16502500000000001</v>
      </c>
      <c r="Q53">
        <v>23.402000000000001</v>
      </c>
      <c r="R53">
        <v>100</v>
      </c>
      <c r="S53">
        <f t="shared" si="25"/>
        <v>1.6701000000000001E-2</v>
      </c>
      <c r="T53">
        <f t="shared" si="6"/>
        <v>8.1815448727409201</v>
      </c>
      <c r="U53">
        <f t="shared" si="7"/>
        <v>3.8925442531876505E-3</v>
      </c>
    </row>
    <row r="54" spans="2:21" x14ac:dyDescent="0.25">
      <c r="B54">
        <v>409.43</v>
      </c>
      <c r="C54">
        <v>1000</v>
      </c>
      <c r="D54">
        <f t="shared" si="24"/>
        <v>0.15235750000000001</v>
      </c>
      <c r="E54">
        <v>7.8022999999999998</v>
      </c>
      <c r="F54">
        <v>10</v>
      </c>
      <c r="G54">
        <f t="shared" si="20"/>
        <v>5.4011499999999995E-3</v>
      </c>
      <c r="H54">
        <f t="shared" si="18"/>
        <v>3.9338255495207313</v>
      </c>
      <c r="I54">
        <f t="shared" si="21"/>
        <v>1.8154631212842277E-3</v>
      </c>
      <c r="N54">
        <v>470.33</v>
      </c>
      <c r="O54">
        <v>1000</v>
      </c>
      <c r="P54">
        <f t="shared" si="4"/>
        <v>0.1675825</v>
      </c>
      <c r="Q54">
        <v>23.756</v>
      </c>
      <c r="R54">
        <v>100</v>
      </c>
      <c r="S54">
        <f t="shared" si="25"/>
        <v>1.6878000000000001E-2</v>
      </c>
      <c r="T54">
        <f t="shared" si="6"/>
        <v>8.2638459187575961</v>
      </c>
      <c r="U54">
        <f t="shared" si="7"/>
        <v>3.914160392231877E-3</v>
      </c>
    </row>
    <row r="55" spans="2:21" x14ac:dyDescent="0.25">
      <c r="B55">
        <v>420.15</v>
      </c>
      <c r="C55">
        <v>1000</v>
      </c>
      <c r="D55">
        <f t="shared" si="24"/>
        <v>0.15503749999999999</v>
      </c>
      <c r="E55">
        <v>7.8224</v>
      </c>
      <c r="F55">
        <v>10</v>
      </c>
      <c r="G55">
        <f t="shared" si="20"/>
        <v>5.4111999999999997E-3</v>
      </c>
      <c r="H55">
        <f t="shared" si="18"/>
        <v>3.9405787703968915</v>
      </c>
      <c r="I55">
        <f t="shared" si="21"/>
        <v>1.8172819801571265E-3</v>
      </c>
      <c r="N55">
        <v>480.2</v>
      </c>
      <c r="O55">
        <v>1000</v>
      </c>
      <c r="P55">
        <f t="shared" si="4"/>
        <v>0.17005000000000001</v>
      </c>
      <c r="Q55">
        <v>24.074999999999999</v>
      </c>
      <c r="R55">
        <v>100</v>
      </c>
      <c r="S55">
        <f t="shared" si="25"/>
        <v>1.7037500000000001E-2</v>
      </c>
      <c r="T55">
        <f t="shared" si="6"/>
        <v>8.3376603084410625</v>
      </c>
      <c r="U55">
        <f t="shared" si="7"/>
        <v>3.9336209762565483E-3</v>
      </c>
    </row>
    <row r="56" spans="2:21" x14ac:dyDescent="0.25">
      <c r="B56">
        <v>429.27</v>
      </c>
      <c r="C56">
        <v>1000</v>
      </c>
      <c r="D56">
        <f t="shared" si="24"/>
        <v>0.1573175</v>
      </c>
      <c r="E56">
        <v>7.8404999999999996</v>
      </c>
      <c r="F56">
        <v>10</v>
      </c>
      <c r="G56">
        <f t="shared" si="20"/>
        <v>5.4202499999999997E-3</v>
      </c>
      <c r="H56">
        <f t="shared" si="18"/>
        <v>3.9466550809998315</v>
      </c>
      <c r="I56">
        <f t="shared" si="21"/>
        <v>1.818919473910196E-3</v>
      </c>
      <c r="N56">
        <v>490.4</v>
      </c>
      <c r="O56">
        <v>1000</v>
      </c>
      <c r="P56">
        <f t="shared" si="4"/>
        <v>0.1726</v>
      </c>
      <c r="Q56">
        <v>24.387</v>
      </c>
      <c r="R56">
        <v>100</v>
      </c>
      <c r="S56">
        <f t="shared" si="25"/>
        <v>1.71935E-2</v>
      </c>
      <c r="T56">
        <f t="shared" si="6"/>
        <v>8.4095402236009793</v>
      </c>
      <c r="U56">
        <f t="shared" si="7"/>
        <v>3.9526367828346641E-3</v>
      </c>
    </row>
    <row r="57" spans="2:21" x14ac:dyDescent="0.25">
      <c r="B57">
        <v>439.38</v>
      </c>
      <c r="C57">
        <v>1000</v>
      </c>
      <c r="D57">
        <f t="shared" si="24"/>
        <v>0.15984500000000001</v>
      </c>
      <c r="E57">
        <v>7.8594999999999997</v>
      </c>
      <c r="F57">
        <v>10</v>
      </c>
      <c r="G57">
        <f t="shared" si="20"/>
        <v>5.4297499999999997E-3</v>
      </c>
      <c r="H57">
        <f t="shared" si="18"/>
        <v>3.9530285004799128</v>
      </c>
      <c r="I57">
        <f t="shared" si="21"/>
        <v>1.8206379965206273E-3</v>
      </c>
      <c r="N57">
        <v>500.25</v>
      </c>
      <c r="O57">
        <v>1000</v>
      </c>
      <c r="P57">
        <f t="shared" si="4"/>
        <v>0.17506250000000001</v>
      </c>
      <c r="Q57">
        <v>24.681000000000001</v>
      </c>
      <c r="R57">
        <v>100</v>
      </c>
      <c r="S57">
        <f t="shared" si="25"/>
        <v>1.7340500000000002E-2</v>
      </c>
      <c r="T57">
        <f t="shared" si="6"/>
        <v>8.4769931981455233</v>
      </c>
      <c r="U57">
        <f t="shared" si="7"/>
        <v>3.9705387559240569E-3</v>
      </c>
    </row>
    <row r="58" spans="2:21" x14ac:dyDescent="0.25">
      <c r="B58">
        <v>449.03</v>
      </c>
      <c r="C58">
        <v>1000</v>
      </c>
      <c r="D58">
        <f t="shared" si="24"/>
        <v>0.1622575</v>
      </c>
      <c r="E58">
        <v>7.8856000000000002</v>
      </c>
      <c r="F58">
        <v>10</v>
      </c>
      <c r="G58">
        <f t="shared" si="20"/>
        <v>5.4427999999999994E-3</v>
      </c>
      <c r="H58">
        <f t="shared" si="18"/>
        <v>3.9617751997363491</v>
      </c>
      <c r="I58">
        <f t="shared" si="21"/>
        <v>1.822998043448395E-3</v>
      </c>
    </row>
    <row r="59" spans="2:21" x14ac:dyDescent="0.25">
      <c r="B59">
        <v>461.36</v>
      </c>
      <c r="C59">
        <v>1000</v>
      </c>
      <c r="D59">
        <f t="shared" si="24"/>
        <v>0.16534000000000001</v>
      </c>
      <c r="E59">
        <v>7.9090999999999996</v>
      </c>
      <c r="F59">
        <v>10</v>
      </c>
      <c r="G59">
        <f t="shared" si="20"/>
        <v>5.4545499999999998E-3</v>
      </c>
      <c r="H59">
        <f t="shared" si="18"/>
        <v>3.9696423276675286</v>
      </c>
      <c r="I59">
        <f t="shared" si="21"/>
        <v>1.825122332366423E-3</v>
      </c>
      <c r="N59">
        <v>-2.09</v>
      </c>
      <c r="O59">
        <v>1000</v>
      </c>
      <c r="P59">
        <f>0.025%*N59+0.005%*O59</f>
        <v>4.9477500000000001E-2</v>
      </c>
      <c r="Q59">
        <v>0</v>
      </c>
      <c r="R59">
        <v>100</v>
      </c>
      <c r="S59">
        <f t="shared" ref="S59:S64" si="26">0.05%*Q59+0.005%*R59</f>
        <v>5.0000000000000001E-3</v>
      </c>
    </row>
    <row r="60" spans="2:21" x14ac:dyDescent="0.25">
      <c r="B60">
        <v>470</v>
      </c>
      <c r="C60">
        <v>1000</v>
      </c>
      <c r="D60">
        <f t="shared" si="24"/>
        <v>0.16750000000000001</v>
      </c>
      <c r="E60">
        <v>7.9212999999999996</v>
      </c>
      <c r="F60">
        <v>10</v>
      </c>
      <c r="G60">
        <f t="shared" si="20"/>
        <v>5.4606499999999992E-3</v>
      </c>
      <c r="H60">
        <f t="shared" si="18"/>
        <v>3.9737234657873861</v>
      </c>
      <c r="I60">
        <f t="shared" si="21"/>
        <v>1.8262249078183199E-3</v>
      </c>
      <c r="N60">
        <v>-100.99</v>
      </c>
      <c r="O60">
        <v>1000</v>
      </c>
      <c r="P60">
        <f t="shared" si="4"/>
        <v>2.4752500000000004E-2</v>
      </c>
      <c r="Q60">
        <v>0</v>
      </c>
      <c r="R60">
        <v>100</v>
      </c>
      <c r="S60">
        <f t="shared" si="26"/>
        <v>5.0000000000000001E-3</v>
      </c>
    </row>
    <row r="61" spans="2:21" x14ac:dyDescent="0.25">
      <c r="B61">
        <v>480.05</v>
      </c>
      <c r="C61">
        <v>1000</v>
      </c>
      <c r="D61">
        <f t="shared" si="24"/>
        <v>0.17001250000000001</v>
      </c>
      <c r="E61">
        <v>7.9382000000000001</v>
      </c>
      <c r="F61">
        <v>10</v>
      </c>
      <c r="G61">
        <f t="shared" si="20"/>
        <v>5.4691000000000002E-3</v>
      </c>
      <c r="H61">
        <f t="shared" si="18"/>
        <v>3.9793733860269489</v>
      </c>
      <c r="I61">
        <f t="shared" si="21"/>
        <v>1.8277519660645138E-3</v>
      </c>
      <c r="N61">
        <v>-200.55</v>
      </c>
      <c r="O61">
        <v>1000</v>
      </c>
      <c r="P61">
        <f t="shared" si="4"/>
        <v>-1.3749999999999873E-4</v>
      </c>
      <c r="Q61">
        <v>0</v>
      </c>
      <c r="R61">
        <v>100</v>
      </c>
      <c r="S61">
        <f t="shared" si="26"/>
        <v>5.0000000000000001E-3</v>
      </c>
    </row>
    <row r="62" spans="2:21" x14ac:dyDescent="0.25">
      <c r="B62">
        <v>489.88</v>
      </c>
      <c r="C62">
        <v>1000</v>
      </c>
      <c r="D62">
        <f t="shared" si="24"/>
        <v>0.17247000000000001</v>
      </c>
      <c r="E62">
        <v>7.9534000000000002</v>
      </c>
      <c r="F62">
        <v>10</v>
      </c>
      <c r="G62">
        <f t="shared" si="20"/>
        <v>5.4767000000000001E-3</v>
      </c>
      <c r="H62">
        <f t="shared" si="18"/>
        <v>3.9844515472145488</v>
      </c>
      <c r="I62">
        <f t="shared" si="21"/>
        <v>1.8291251363048017E-3</v>
      </c>
      <c r="N62">
        <v>-302.66000000000003</v>
      </c>
      <c r="O62">
        <v>1000</v>
      </c>
      <c r="P62">
        <f t="shared" si="4"/>
        <v>-2.5665000000000007E-2</v>
      </c>
      <c r="Q62">
        <v>0</v>
      </c>
      <c r="R62">
        <v>100</v>
      </c>
      <c r="S62">
        <f t="shared" si="26"/>
        <v>5.0000000000000001E-3</v>
      </c>
    </row>
    <row r="63" spans="2:21" x14ac:dyDescent="0.25">
      <c r="B63">
        <v>500.65</v>
      </c>
      <c r="C63">
        <v>1000</v>
      </c>
      <c r="D63">
        <f t="shared" si="24"/>
        <v>0.1751625</v>
      </c>
      <c r="E63">
        <v>7.9640000000000004</v>
      </c>
      <c r="F63">
        <v>10</v>
      </c>
      <c r="G63">
        <f t="shared" si="20"/>
        <v>5.4819999999999999E-3</v>
      </c>
      <c r="H63">
        <f t="shared" si="18"/>
        <v>3.9879909819526076</v>
      </c>
      <c r="I63">
        <f t="shared" si="21"/>
        <v>1.8300825852221826E-3</v>
      </c>
      <c r="N63">
        <v>-401.03</v>
      </c>
      <c r="O63">
        <v>1000</v>
      </c>
      <c r="P63">
        <f t="shared" si="4"/>
        <v>-5.0257499999999997E-2</v>
      </c>
      <c r="Q63">
        <v>0</v>
      </c>
      <c r="R63">
        <v>100</v>
      </c>
      <c r="S63">
        <f t="shared" si="26"/>
        <v>5.0000000000000001E-3</v>
      </c>
    </row>
    <row r="64" spans="2:21" x14ac:dyDescent="0.25">
      <c r="N64">
        <v>-500.05</v>
      </c>
      <c r="O64">
        <v>1000</v>
      </c>
      <c r="P64">
        <f t="shared" si="4"/>
        <v>-7.5012499999999996E-2</v>
      </c>
      <c r="Q64">
        <v>0</v>
      </c>
      <c r="R64">
        <v>100</v>
      </c>
      <c r="S64">
        <f t="shared" si="26"/>
        <v>5.0000000000000001E-3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Vakuumdiode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2023-03-17T07:47:46Z</dcterms:created>
  <dcterms:modified xsi:type="dcterms:W3CDTF">2023-03-20T15:09:53Z</dcterms:modified>
</cp:coreProperties>
</file>