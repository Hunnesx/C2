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9\Jonas und Jonathan\Messdaten\"/>
    </mc:Choice>
  </mc:AlternateContent>
  <xr:revisionPtr revIDLastSave="0" documentId="13_ncr:1_{3B67928D-3ED8-48B2-B4C4-44868AB4AB35}" xr6:coauthVersionLast="47" xr6:coauthVersionMax="47" xr10:uidLastSave="{00000000-0000-0000-0000-000000000000}"/>
  <bookViews>
    <workbookView xWindow="-110" yWindow="-110" windowWidth="19420" windowHeight="10420" xr2:uid="{E07D4743-2702-427D-A31A-02D2DB752B54}"/>
  </bookViews>
  <sheets>
    <sheet name="Diodenkennlini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6" i="1" l="1"/>
  <c r="R146" i="1"/>
  <c r="Q147" i="1"/>
  <c r="R147" i="1"/>
  <c r="Q149" i="1"/>
  <c r="R149" i="1"/>
  <c r="BM8" i="1"/>
  <c r="BN8" i="1"/>
  <c r="BM9" i="1"/>
  <c r="BN9" i="1"/>
  <c r="BM10" i="1"/>
  <c r="BN10" i="1"/>
  <c r="BM11" i="1"/>
  <c r="BN11" i="1"/>
  <c r="BM12" i="1"/>
  <c r="BN12" i="1"/>
  <c r="BM13" i="1"/>
  <c r="BN13" i="1"/>
  <c r="BM14" i="1"/>
  <c r="BN14" i="1"/>
  <c r="BM15" i="1"/>
  <c r="BN15" i="1"/>
  <c r="BM16" i="1"/>
  <c r="BN16" i="1"/>
  <c r="BM17" i="1"/>
  <c r="BN17" i="1"/>
  <c r="BM18" i="1"/>
  <c r="BN18" i="1"/>
  <c r="BM19" i="1"/>
  <c r="BN19" i="1"/>
  <c r="BM20" i="1"/>
  <c r="BN20" i="1"/>
  <c r="BM21" i="1"/>
  <c r="BN21" i="1"/>
  <c r="BM22" i="1"/>
  <c r="BN22" i="1"/>
  <c r="BM23" i="1"/>
  <c r="BN23" i="1"/>
  <c r="BM24" i="1"/>
  <c r="BN24" i="1"/>
  <c r="BM25" i="1"/>
  <c r="BN25" i="1"/>
  <c r="BM26" i="1"/>
  <c r="BN26" i="1"/>
  <c r="BM27" i="1"/>
  <c r="BN27" i="1"/>
  <c r="BM28" i="1"/>
  <c r="BN28" i="1"/>
  <c r="BM29" i="1"/>
  <c r="BN29" i="1"/>
  <c r="BM30" i="1"/>
  <c r="BN30" i="1"/>
  <c r="BM31" i="1"/>
  <c r="BN31" i="1"/>
  <c r="BM32" i="1"/>
  <c r="BN32" i="1"/>
  <c r="BM33" i="1"/>
  <c r="BN33" i="1"/>
  <c r="BM34" i="1"/>
  <c r="BN34" i="1"/>
  <c r="BM35" i="1"/>
  <c r="BN35" i="1"/>
  <c r="BM36" i="1"/>
  <c r="BN36" i="1"/>
  <c r="BM37" i="1"/>
  <c r="BN37" i="1"/>
  <c r="BM38" i="1"/>
  <c r="BN38" i="1"/>
  <c r="BM39" i="1"/>
  <c r="BN39" i="1"/>
  <c r="BM40" i="1"/>
  <c r="BN40" i="1"/>
  <c r="BM41" i="1"/>
  <c r="BN41" i="1"/>
  <c r="BM42" i="1"/>
  <c r="BN42" i="1"/>
  <c r="BM43" i="1"/>
  <c r="BN43" i="1"/>
  <c r="BM44" i="1"/>
  <c r="BN44" i="1"/>
  <c r="BM45" i="1"/>
  <c r="BN45" i="1"/>
  <c r="BM46" i="1"/>
  <c r="BN46" i="1"/>
  <c r="BM47" i="1"/>
  <c r="BN47" i="1"/>
  <c r="BM48" i="1"/>
  <c r="BN48" i="1"/>
  <c r="BM49" i="1"/>
  <c r="BN49" i="1"/>
  <c r="BM50" i="1"/>
  <c r="BN50" i="1"/>
  <c r="BM51" i="1"/>
  <c r="BN51" i="1"/>
  <c r="BM52" i="1"/>
  <c r="BN52" i="1"/>
  <c r="BM53" i="1"/>
  <c r="BN53" i="1"/>
  <c r="BM54" i="1"/>
  <c r="BN54" i="1"/>
  <c r="BM55" i="1"/>
  <c r="BN55" i="1"/>
  <c r="BM56" i="1"/>
  <c r="BN56" i="1"/>
  <c r="BM57" i="1"/>
  <c r="BN57" i="1"/>
  <c r="BM58" i="1"/>
  <c r="BN58" i="1"/>
  <c r="BM59" i="1"/>
  <c r="BN59" i="1"/>
  <c r="BM60" i="1"/>
  <c r="BN60" i="1"/>
  <c r="BM61" i="1"/>
  <c r="BN61" i="1"/>
  <c r="BM62" i="1"/>
  <c r="BN62" i="1"/>
  <c r="BN7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7" i="1"/>
  <c r="K182" i="1"/>
  <c r="J182" i="1"/>
  <c r="H182" i="1"/>
  <c r="C182" i="1"/>
  <c r="D188" i="1" s="1"/>
  <c r="C188" i="1"/>
  <c r="C189" i="1"/>
  <c r="C190" i="1"/>
  <c r="C191" i="1"/>
  <c r="C187" i="1"/>
  <c r="G182" i="1"/>
  <c r="B182" i="1"/>
  <c r="D164" i="1"/>
  <c r="C164" i="1"/>
  <c r="K149" i="1"/>
  <c r="L149" i="1"/>
  <c r="L147" i="1"/>
  <c r="L146" i="1"/>
  <c r="K147" i="1"/>
  <c r="K146" i="1"/>
  <c r="D160" i="1"/>
  <c r="C160" i="1"/>
  <c r="D158" i="1"/>
  <c r="D157" i="1"/>
  <c r="D156" i="1"/>
  <c r="D154" i="1"/>
  <c r="C157" i="1"/>
  <c r="D153" i="1"/>
  <c r="D152" i="1"/>
  <c r="C158" i="1"/>
  <c r="C156" i="1"/>
  <c r="C152" i="1"/>
  <c r="C154" i="1"/>
  <c r="C153" i="1"/>
  <c r="D150" i="1"/>
  <c r="C150" i="1"/>
  <c r="AS7" i="1"/>
  <c r="N79" i="1"/>
  <c r="F79" i="1"/>
  <c r="M79" i="1"/>
  <c r="K79" i="1"/>
  <c r="J79" i="1"/>
  <c r="F95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F88" i="1"/>
  <c r="F80" i="1"/>
  <c r="F81" i="1"/>
  <c r="F82" i="1"/>
  <c r="F83" i="1"/>
  <c r="F84" i="1"/>
  <c r="F85" i="1"/>
  <c r="F86" i="1"/>
  <c r="F87" i="1"/>
  <c r="F89" i="1"/>
  <c r="F90" i="1"/>
  <c r="F91" i="1"/>
  <c r="F92" i="1"/>
  <c r="F93" i="1"/>
  <c r="F94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79" i="1"/>
  <c r="B132" i="1"/>
  <c r="B133" i="1"/>
  <c r="B134" i="1"/>
  <c r="B127" i="1"/>
  <c r="B128" i="1"/>
  <c r="B129" i="1"/>
  <c r="B130" i="1"/>
  <c r="B131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79" i="1"/>
  <c r="AS8" i="1"/>
  <c r="AS9" i="1"/>
  <c r="AS10" i="1"/>
  <c r="AS11" i="1"/>
  <c r="BA11" i="1" s="1"/>
  <c r="AS12" i="1"/>
  <c r="BA12" i="1" s="1"/>
  <c r="AS13" i="1"/>
  <c r="BA13" i="1" s="1"/>
  <c r="AS14" i="1"/>
  <c r="AW14" i="1" s="1"/>
  <c r="AS15" i="1"/>
  <c r="AW15" i="1" s="1"/>
  <c r="AS16" i="1"/>
  <c r="AS17" i="1"/>
  <c r="AS18" i="1"/>
  <c r="AS19" i="1"/>
  <c r="BA19" i="1" s="1"/>
  <c r="AS20" i="1"/>
  <c r="BA20" i="1" s="1"/>
  <c r="AS21" i="1"/>
  <c r="BA21" i="1" s="1"/>
  <c r="AS22" i="1"/>
  <c r="AW22" i="1" s="1"/>
  <c r="AS23" i="1"/>
  <c r="AW23" i="1" s="1"/>
  <c r="AS24" i="1"/>
  <c r="AS25" i="1"/>
  <c r="AS26" i="1"/>
  <c r="AS27" i="1"/>
  <c r="BA27" i="1" s="1"/>
  <c r="AW7" i="1"/>
  <c r="AR7" i="1"/>
  <c r="BA8" i="1"/>
  <c r="BA9" i="1"/>
  <c r="BA10" i="1"/>
  <c r="BA16" i="1"/>
  <c r="BA17" i="1"/>
  <c r="BA18" i="1"/>
  <c r="BA24" i="1"/>
  <c r="BA25" i="1"/>
  <c r="BA26" i="1"/>
  <c r="AW8" i="1"/>
  <c r="AW9" i="1"/>
  <c r="AW10" i="1"/>
  <c r="AW11" i="1"/>
  <c r="AW12" i="1"/>
  <c r="AW13" i="1"/>
  <c r="AW16" i="1"/>
  <c r="AW17" i="1"/>
  <c r="AW18" i="1"/>
  <c r="AW19" i="1"/>
  <c r="AW20" i="1"/>
  <c r="AW21" i="1"/>
  <c r="AW24" i="1"/>
  <c r="AW25" i="1"/>
  <c r="AW26" i="1"/>
  <c r="AW27" i="1"/>
  <c r="AZ7" i="1"/>
  <c r="D7" i="1"/>
  <c r="D8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V2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P26" i="1"/>
  <c r="AP27" i="1"/>
  <c r="AP25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7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36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7" i="1"/>
  <c r="D1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187" i="1" l="1"/>
  <c r="D191" i="1"/>
  <c r="D190" i="1"/>
  <c r="D189" i="1"/>
  <c r="BA15" i="1"/>
  <c r="BA22" i="1"/>
  <c r="BA14" i="1"/>
  <c r="BA23" i="1"/>
  <c r="BA7" i="1"/>
  <c r="C195" i="1" l="1"/>
  <c r="B195" i="1"/>
</calcChain>
</file>

<file path=xl/sharedStrings.xml><?xml version="1.0" encoding="utf-8"?>
<sst xmlns="http://schemas.openxmlformats.org/spreadsheetml/2006/main" count="109" uniqueCount="79">
  <si>
    <t>Messung von Diodenkennlinien</t>
  </si>
  <si>
    <t>Spannung[V]:</t>
  </si>
  <si>
    <t>Spannungsfehler[V]:</t>
  </si>
  <si>
    <t>Messgeräte:</t>
  </si>
  <si>
    <t>Heizspannung[V]</t>
  </si>
  <si>
    <t>Spannungsfehler[V]</t>
  </si>
  <si>
    <t>Heizspannung: 6,4902V</t>
  </si>
  <si>
    <t>Strom [mA]</t>
  </si>
  <si>
    <t>Stromfehler [mA]</t>
  </si>
  <si>
    <t>range [mA]</t>
  </si>
  <si>
    <t>range [V]</t>
  </si>
  <si>
    <t>range[mA]</t>
  </si>
  <si>
    <t>Heizspannung Ende:</t>
  </si>
  <si>
    <t>6,5125 V</t>
  </si>
  <si>
    <t>Heizspannung: 7,5034V</t>
  </si>
  <si>
    <t>7,5062V</t>
  </si>
  <si>
    <t>Sättigungsstrom [mA]</t>
  </si>
  <si>
    <t>Fehler Sättigungsstrom [mA]</t>
  </si>
  <si>
    <t>Anodenspannung: 499,93V</t>
  </si>
  <si>
    <t>Anodenspannung: 500,04V</t>
  </si>
  <si>
    <t>Fehler [V]:0,03</t>
  </si>
  <si>
    <t>agilent 34405a</t>
  </si>
  <si>
    <t>Berechneter Spannungsfehler [V]:</t>
  </si>
  <si>
    <t>Stromfehler berechnet [mA]</t>
  </si>
  <si>
    <t>Fehler [V]:0,27V</t>
  </si>
  <si>
    <t>Fehler: 0,0028V</t>
  </si>
  <si>
    <t>Fehler: 0,0029V</t>
  </si>
  <si>
    <t>Spannungsfehler berechnet [V]:</t>
  </si>
  <si>
    <t>Stromfehler berechnet [mA]:</t>
  </si>
  <si>
    <t>(I/T^2)[mA/K^2]</t>
  </si>
  <si>
    <t>Temperatur[K]</t>
  </si>
  <si>
    <t>1/T [10^(-4)1/K]</t>
  </si>
  <si>
    <t>Fehler (I/T^2) [mA/K^2]</t>
  </si>
  <si>
    <t>Temperaturfehler[K]</t>
  </si>
  <si>
    <t>Fehler 1/T [10^(-4) 1/K]</t>
  </si>
  <si>
    <t>U_H = 6,5V</t>
  </si>
  <si>
    <t>Ermittlung Kontaktspannung:</t>
  </si>
  <si>
    <t>Spannung:</t>
  </si>
  <si>
    <t>Spannungsfehler:</t>
  </si>
  <si>
    <t>I^(2/3):</t>
  </si>
  <si>
    <t>Fehler I^(2/3)</t>
  </si>
  <si>
    <t>U_H=7,5V</t>
  </si>
  <si>
    <t>Regressionen Kontaktspannung:</t>
  </si>
  <si>
    <t>6,5 V</t>
  </si>
  <si>
    <t>7,5V</t>
  </si>
  <si>
    <t>a</t>
  </si>
  <si>
    <t>Fehler a</t>
  </si>
  <si>
    <t>b</t>
  </si>
  <si>
    <t>Fehler b</t>
  </si>
  <si>
    <t>U_K [V]</t>
  </si>
  <si>
    <t>bereinigte Daten 6,5V Kennlinie:</t>
  </si>
  <si>
    <t>bereinigte Daten 7,5V Kennlinie:</t>
  </si>
  <si>
    <t>Fehler</t>
  </si>
  <si>
    <t>b_max:</t>
  </si>
  <si>
    <t>a_max:</t>
  </si>
  <si>
    <t>U_K_min:</t>
  </si>
  <si>
    <t>b_min:</t>
  </si>
  <si>
    <t>a_min:</t>
  </si>
  <si>
    <t>U_K_max:</t>
  </si>
  <si>
    <t>Fehler U_K</t>
  </si>
  <si>
    <t>Exponenten:</t>
  </si>
  <si>
    <t>6,5V</t>
  </si>
  <si>
    <t>b:</t>
  </si>
  <si>
    <t>b_max</t>
  </si>
  <si>
    <t>b_min</t>
  </si>
  <si>
    <t>ber. Exponenten:</t>
  </si>
  <si>
    <t>gew. Mittelwert</t>
  </si>
  <si>
    <t>Quecksilber:</t>
  </si>
  <si>
    <t>n</t>
  </si>
  <si>
    <t>Spannung</t>
  </si>
  <si>
    <t>Anregungsenergie [eV]</t>
  </si>
  <si>
    <t>Fehler [eV]</t>
  </si>
  <si>
    <t>Neon:</t>
  </si>
  <si>
    <t>n:</t>
  </si>
  <si>
    <t>U_K:</t>
  </si>
  <si>
    <t>U_K</t>
  </si>
  <si>
    <t>Saugspannung:</t>
  </si>
  <si>
    <t>Fehler U_K [V]</t>
  </si>
  <si>
    <t>3p-&gt;3s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</si>
</sst>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"/>
    <numFmt numFmtId="167" formatCode="0.0000E+00"/>
    <numFmt numFmtId="168" formatCode="0.000E+00"/>
    <numFmt numFmtId="169" formatCode="0.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Fill="1"/>
    <xf numFmtId="165" fontId="0" fillId="0" borderId="0" xfId="0" applyNumberFormat="1" applyFill="1"/>
    <xf numFmtId="2" fontId="0" fillId="0" borderId="0" xfId="0" applyNumberFormat="1" applyFill="1"/>
    <xf numFmtId="166" fontId="0" fillId="0" borderId="0" xfId="0" applyNumberFormat="1" applyFill="1"/>
    <xf numFmtId="164" fontId="0" fillId="0" borderId="0" xfId="0" applyNumberForma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FC33-9743-44D6-ADDF-3899BCA61A25}">
  <dimension ref="A2:BN195"/>
  <sheetViews>
    <sheetView tabSelected="1" topLeftCell="A155" zoomScale="59" workbookViewId="0">
      <selection activeCell="E182" sqref="E182"/>
    </sheetView>
  </sheetViews>
  <sheetFormatPr baseColWidth="10" defaultRowHeight="14.5" x14ac:dyDescent="0.35"/>
  <cols>
    <col min="1" max="1" width="15.36328125" bestFit="1" customWidth="1"/>
    <col min="2" max="2" width="28.54296875" bestFit="1" customWidth="1"/>
    <col min="3" max="3" width="25" bestFit="1" customWidth="1"/>
    <col min="4" max="4" width="29.1796875" bestFit="1" customWidth="1"/>
    <col min="5" max="5" width="20.08984375" bestFit="1" customWidth="1"/>
    <col min="6" max="6" width="12.453125" bestFit="1" customWidth="1"/>
    <col min="7" max="7" width="13.6328125" bestFit="1" customWidth="1"/>
    <col min="10" max="11" width="24.54296875" bestFit="1" customWidth="1"/>
    <col min="14" max="14" width="12.453125" bestFit="1" customWidth="1"/>
    <col min="15" max="15" width="13.6328125" bestFit="1" customWidth="1"/>
    <col min="16" max="17" width="20.1796875" bestFit="1" customWidth="1"/>
    <col min="18" max="18" width="17.81640625" bestFit="1" customWidth="1"/>
    <col min="19" max="19" width="29.1796875" bestFit="1" customWidth="1"/>
    <col min="20" max="20" width="17.1796875" bestFit="1" customWidth="1"/>
    <col min="22" max="22" width="17.1796875" bestFit="1" customWidth="1"/>
    <col min="23" max="23" width="22.90625" bestFit="1" customWidth="1"/>
    <col min="24" max="24" width="24.6328125" bestFit="1" customWidth="1"/>
    <col min="34" max="34" width="23.1796875" bestFit="1" customWidth="1"/>
    <col min="35" max="35" width="18.81640625" bestFit="1" customWidth="1"/>
    <col min="36" max="36" width="27.36328125" bestFit="1" customWidth="1"/>
    <col min="40" max="40" width="19" bestFit="1" customWidth="1"/>
    <col min="41" max="42" width="24.6328125" bestFit="1" customWidth="1"/>
    <col min="43" max="43" width="25.08984375" bestFit="1" customWidth="1"/>
    <col min="44" max="44" width="17" bestFit="1" customWidth="1"/>
    <col min="45" max="45" width="19" bestFit="1" customWidth="1"/>
    <col min="46" max="46" width="15.36328125" bestFit="1" customWidth="1"/>
    <col min="47" max="47" width="21.6328125" bestFit="1" customWidth="1"/>
    <col min="48" max="48" width="15" bestFit="1" customWidth="1"/>
    <col min="49" max="49" width="21.6328125" bestFit="1" customWidth="1"/>
    <col min="50" max="50" width="15" bestFit="1" customWidth="1"/>
    <col min="52" max="52" width="15" bestFit="1" customWidth="1"/>
    <col min="53" max="53" width="21.54296875" bestFit="1" customWidth="1"/>
    <col min="63" max="63" width="30.90625" bestFit="1" customWidth="1"/>
    <col min="65" max="65" width="30.90625" bestFit="1" customWidth="1"/>
  </cols>
  <sheetData>
    <row r="2" spans="1:66" x14ac:dyDescent="0.35">
      <c r="B2" t="s">
        <v>0</v>
      </c>
    </row>
    <row r="3" spans="1:66" x14ac:dyDescent="0.35">
      <c r="H3" t="s">
        <v>3</v>
      </c>
      <c r="I3" t="s">
        <v>21</v>
      </c>
    </row>
    <row r="4" spans="1:66" x14ac:dyDescent="0.35">
      <c r="B4" t="s">
        <v>6</v>
      </c>
      <c r="C4" t="s">
        <v>25</v>
      </c>
      <c r="P4" t="s">
        <v>14</v>
      </c>
      <c r="Q4" t="s">
        <v>26</v>
      </c>
      <c r="AH4" t="s">
        <v>18</v>
      </c>
      <c r="AI4" t="s">
        <v>24</v>
      </c>
    </row>
    <row r="6" spans="1:66" s="5" customFormat="1" x14ac:dyDescent="0.35">
      <c r="A6" s="5" t="s">
        <v>10</v>
      </c>
      <c r="B6" s="5" t="s">
        <v>1</v>
      </c>
      <c r="C6" s="5" t="s">
        <v>2</v>
      </c>
      <c r="D6" s="5" t="s">
        <v>22</v>
      </c>
      <c r="G6" s="5" t="s">
        <v>9</v>
      </c>
      <c r="H6" s="5" t="s">
        <v>7</v>
      </c>
      <c r="I6" s="5" t="s">
        <v>8</v>
      </c>
      <c r="J6" s="5" t="s">
        <v>23</v>
      </c>
      <c r="P6" s="5" t="s">
        <v>10</v>
      </c>
      <c r="Q6" s="5" t="s">
        <v>1</v>
      </c>
      <c r="R6" s="5" t="s">
        <v>2</v>
      </c>
      <c r="S6" s="5" t="s">
        <v>22</v>
      </c>
      <c r="U6" s="5" t="s">
        <v>11</v>
      </c>
      <c r="V6" s="5" t="s">
        <v>7</v>
      </c>
      <c r="W6" s="5" t="s">
        <v>8</v>
      </c>
      <c r="X6" s="5" t="s">
        <v>23</v>
      </c>
      <c r="AG6" s="5" t="s">
        <v>10</v>
      </c>
      <c r="AH6" s="5" t="s">
        <v>4</v>
      </c>
      <c r="AI6" s="5" t="s">
        <v>5</v>
      </c>
      <c r="AJ6" s="5" t="s">
        <v>27</v>
      </c>
      <c r="AM6" s="5" t="s">
        <v>11</v>
      </c>
      <c r="AN6" s="5" t="s">
        <v>16</v>
      </c>
      <c r="AO6" s="5" t="s">
        <v>17</v>
      </c>
      <c r="AP6" s="5" t="s">
        <v>28</v>
      </c>
      <c r="AR6" s="5" t="s">
        <v>30</v>
      </c>
      <c r="AS6" s="5" t="s">
        <v>33</v>
      </c>
      <c r="AV6" s="5" t="s">
        <v>29</v>
      </c>
      <c r="AW6" s="5" t="s">
        <v>32</v>
      </c>
      <c r="AZ6" s="5" t="s">
        <v>31</v>
      </c>
      <c r="BA6" s="5" t="s">
        <v>34</v>
      </c>
      <c r="BK6" t="s">
        <v>50</v>
      </c>
      <c r="BL6" s="5" t="s">
        <v>52</v>
      </c>
      <c r="BM6" t="s">
        <v>51</v>
      </c>
      <c r="BN6" s="5" t="s">
        <v>52</v>
      </c>
    </row>
    <row r="7" spans="1:66" x14ac:dyDescent="0.35">
      <c r="A7">
        <v>1000</v>
      </c>
      <c r="B7">
        <v>-500.44</v>
      </c>
      <c r="C7">
        <v>0.03</v>
      </c>
      <c r="D7" s="2">
        <f>0.00025*A7+0.00005*ABS(B7)</f>
        <v>0.27502199999999999</v>
      </c>
      <c r="G7">
        <v>10</v>
      </c>
      <c r="H7">
        <v>1.4E-3</v>
      </c>
      <c r="I7">
        <v>2.0000000000000001E-4</v>
      </c>
      <c r="J7" s="3">
        <f>0.0005*10+0.00015*H7</f>
        <v>5.0002099999999997E-3</v>
      </c>
      <c r="P7">
        <v>1000</v>
      </c>
      <c r="Q7">
        <v>-499.3</v>
      </c>
      <c r="R7">
        <v>0.03</v>
      </c>
      <c r="S7" s="2">
        <f>0.00025*P7+0.00005*ABS(Q7)</f>
        <v>0.27496500000000001</v>
      </c>
      <c r="U7">
        <v>10</v>
      </c>
      <c r="V7">
        <v>1.4E-3</v>
      </c>
      <c r="W7">
        <v>1E-4</v>
      </c>
      <c r="X7" s="3">
        <f>0.0005*10+0.00015*V7</f>
        <v>5.0002099999999997E-3</v>
      </c>
      <c r="AG7">
        <v>10</v>
      </c>
      <c r="AH7">
        <v>4.9989999999999997</v>
      </c>
      <c r="AI7">
        <v>5.0000000000000001E-4</v>
      </c>
      <c r="AJ7" s="3">
        <f>0.00025*AG7+0.00005*AH7</f>
        <v>2.7499500000000001E-3</v>
      </c>
      <c r="AM7">
        <v>10</v>
      </c>
      <c r="AN7">
        <v>0.69420000000000004</v>
      </c>
      <c r="AO7">
        <v>5.9999999999999995E-4</v>
      </c>
      <c r="AP7" s="3">
        <f>0.0005*AM7+0.00015*AN7</f>
        <v>5.1041300000000001E-3</v>
      </c>
      <c r="AR7" s="7">
        <f>(1616+97*AH7)</f>
        <v>2100.9029999999998</v>
      </c>
      <c r="AS7" s="7">
        <f>0.02*AR7</f>
        <v>42.018059999999998</v>
      </c>
      <c r="AV7" s="9">
        <f t="shared" ref="AV7:AV27" si="0">AN7/(AR7^2)</f>
        <v>1.5727967638369248E-7</v>
      </c>
      <c r="AW7" s="10">
        <f>AV7*SQRT((AP7^2/AN7^2)+4*(AS7^2/AR7^2))</f>
        <v>6.3965854669150547E-9</v>
      </c>
      <c r="AZ7" s="6">
        <f t="shared" ref="AZ7:AZ27" si="1">10000/AR7</f>
        <v>4.7598580229548917</v>
      </c>
      <c r="BA7" s="6">
        <f>AZ7*(AS7/AR7)</f>
        <v>9.5197160459097832E-2</v>
      </c>
      <c r="BK7">
        <f>B7-$C$164</f>
        <v>-497.61839039367374</v>
      </c>
      <c r="BL7">
        <f>SQRT(D7^2+$D$164^2)</f>
        <v>1.0117164016289046</v>
      </c>
      <c r="BM7">
        <f>Q7-$C$164</f>
        <v>-496.47839039367375</v>
      </c>
      <c r="BN7">
        <f>SQRT(R7^2+$D$164^2)</f>
        <v>0.97408058026065736</v>
      </c>
    </row>
    <row r="8" spans="1:66" x14ac:dyDescent="0.35">
      <c r="A8">
        <v>1000</v>
      </c>
      <c r="B8">
        <v>-400.86</v>
      </c>
      <c r="C8">
        <v>0.03</v>
      </c>
      <c r="D8" s="2">
        <f>0.00025*A8+0.00005*ABS(B8)</f>
        <v>0.27004299999999998</v>
      </c>
      <c r="G8">
        <v>10</v>
      </c>
      <c r="H8">
        <v>1.1999999999999999E-3</v>
      </c>
      <c r="I8">
        <v>5.0000000000000001E-4</v>
      </c>
      <c r="J8" s="3">
        <f t="shared" ref="J8:J62" si="2">0.0005*10+0.00015*H8</f>
        <v>5.0001799999999999E-3</v>
      </c>
      <c r="P8">
        <v>1000</v>
      </c>
      <c r="Q8">
        <v>-400.8</v>
      </c>
      <c r="R8">
        <v>0.05</v>
      </c>
      <c r="S8" s="2">
        <f t="shared" ref="S8:S62" si="3">0.00025*P8+0.00005*ABS(Q8)</f>
        <v>0.27004</v>
      </c>
      <c r="U8">
        <v>10</v>
      </c>
      <c r="V8">
        <v>1.1000000000000001E-3</v>
      </c>
      <c r="W8">
        <v>2.0000000000000001E-4</v>
      </c>
      <c r="X8" s="3">
        <f t="shared" ref="X8:X35" si="4">0.0005*10+0.00015*V8</f>
        <v>5.000165E-3</v>
      </c>
      <c r="AG8">
        <v>10</v>
      </c>
      <c r="AH8">
        <v>5.1025</v>
      </c>
      <c r="AI8">
        <v>5.0000000000000001E-4</v>
      </c>
      <c r="AJ8" s="3">
        <f t="shared" ref="AJ8:AJ27" si="5">0.00025*AG8+0.00005*AH8</f>
        <v>2.7551250000000002E-3</v>
      </c>
      <c r="AM8">
        <v>10</v>
      </c>
      <c r="AN8">
        <v>0.85450000000000004</v>
      </c>
      <c r="AO8">
        <v>5.0000000000000001E-4</v>
      </c>
      <c r="AP8" s="3">
        <f t="shared" ref="AP8:AP24" si="6">0.0005*AM8+0.00015*AN8</f>
        <v>5.1281750000000004E-3</v>
      </c>
      <c r="AR8" s="7">
        <f t="shared" ref="AR8:AR27" si="7">(1616+97*AH8)</f>
        <v>2110.9425000000001</v>
      </c>
      <c r="AS8" s="7">
        <f t="shared" ref="AS8:AS27" si="8">0.02*AR8</f>
        <v>42.218850000000003</v>
      </c>
      <c r="AV8" s="9">
        <f t="shared" si="0"/>
        <v>1.917605468984751E-7</v>
      </c>
      <c r="AW8" s="10">
        <f t="shared" ref="AW8:AW27" si="9">AV8*SQRT((AP8^2/AN8^2)+4*(AS8^2/AR8^2))</f>
        <v>7.7562732327416428E-9</v>
      </c>
      <c r="AZ8" s="6">
        <f t="shared" si="1"/>
        <v>4.7372204595814429</v>
      </c>
      <c r="BA8" s="6">
        <f t="shared" ref="BA8:BA27" si="10">AZ8*(AS8/AR8)</f>
        <v>9.4744409191628853E-2</v>
      </c>
      <c r="BK8">
        <f t="shared" ref="BK8:BK62" si="11">B8-$C$164</f>
        <v>-398.03839039367375</v>
      </c>
      <c r="BL8">
        <f t="shared" ref="BL8:BL62" si="12">SQRT(D8^2+$D$164^2)</f>
        <v>1.010374286435447</v>
      </c>
      <c r="BM8">
        <f t="shared" ref="BM8:BM62" si="13">Q8-$C$164</f>
        <v>-397.97839039367375</v>
      </c>
      <c r="BN8">
        <f t="shared" ref="BN8:BN62" si="14">SQRT(R8^2+$D$164^2)</f>
        <v>0.97490152161176713</v>
      </c>
    </row>
    <row r="9" spans="1:66" x14ac:dyDescent="0.35">
      <c r="A9">
        <v>1000</v>
      </c>
      <c r="B9">
        <v>-301.36</v>
      </c>
      <c r="C9">
        <v>0.05</v>
      </c>
      <c r="D9" s="2">
        <f t="shared" ref="D9:D62" si="15">0.00025*A9+0.00005*ABS(B9)</f>
        <v>0.26506800000000003</v>
      </c>
      <c r="G9">
        <v>10</v>
      </c>
      <c r="H9">
        <v>1E-3</v>
      </c>
      <c r="I9">
        <v>1E-4</v>
      </c>
      <c r="J9" s="3">
        <f t="shared" si="2"/>
        <v>5.0001500000000001E-3</v>
      </c>
      <c r="P9">
        <v>1000</v>
      </c>
      <c r="Q9">
        <v>-300.8</v>
      </c>
      <c r="R9">
        <v>0.1</v>
      </c>
      <c r="S9" s="2">
        <f t="shared" si="3"/>
        <v>0.26504</v>
      </c>
      <c r="U9">
        <v>10</v>
      </c>
      <c r="V9">
        <v>1E-3</v>
      </c>
      <c r="W9">
        <v>1E-4</v>
      </c>
      <c r="X9" s="3">
        <f t="shared" si="4"/>
        <v>5.0001500000000001E-3</v>
      </c>
      <c r="AG9">
        <v>10</v>
      </c>
      <c r="AH9">
        <v>5.2009999999999996</v>
      </c>
      <c r="AI9">
        <v>4.0000000000000002E-4</v>
      </c>
      <c r="AJ9" s="3">
        <f t="shared" si="5"/>
        <v>2.76005E-3</v>
      </c>
      <c r="AM9">
        <v>10</v>
      </c>
      <c r="AN9">
        <v>1.034</v>
      </c>
      <c r="AO9">
        <v>4.0000000000000002E-4</v>
      </c>
      <c r="AP9" s="3">
        <f t="shared" si="6"/>
        <v>5.1551000000000001E-3</v>
      </c>
      <c r="AR9" s="7">
        <f t="shared" si="7"/>
        <v>2120.4969999999998</v>
      </c>
      <c r="AS9" s="7">
        <f t="shared" si="8"/>
        <v>42.409939999999999</v>
      </c>
      <c r="AV9" s="9">
        <f t="shared" si="0"/>
        <v>2.299562479967201E-7</v>
      </c>
      <c r="AW9" s="10">
        <f t="shared" si="9"/>
        <v>9.269422282314239E-9</v>
      </c>
      <c r="AZ9" s="6">
        <f t="shared" si="1"/>
        <v>4.7158755706798932</v>
      </c>
      <c r="BA9" s="6">
        <f t="shared" si="10"/>
        <v>9.4317511413597871E-2</v>
      </c>
      <c r="BK9">
        <f t="shared" si="11"/>
        <v>-298.53839039367375</v>
      </c>
      <c r="BL9">
        <f t="shared" si="12"/>
        <v>1.0090560051181199</v>
      </c>
      <c r="BM9">
        <f t="shared" si="13"/>
        <v>-297.97839039367375</v>
      </c>
      <c r="BN9">
        <f t="shared" si="14"/>
        <v>0.97874050536438861</v>
      </c>
    </row>
    <row r="10" spans="1:66" x14ac:dyDescent="0.35">
      <c r="A10">
        <v>1000</v>
      </c>
      <c r="B10">
        <v>-200.78</v>
      </c>
      <c r="C10">
        <v>0.03</v>
      </c>
      <c r="D10" s="2">
        <f t="shared" si="15"/>
        <v>0.26003900000000002</v>
      </c>
      <c r="G10">
        <v>10</v>
      </c>
      <c r="H10">
        <v>6.9999999999999999E-4</v>
      </c>
      <c r="I10">
        <v>1E-4</v>
      </c>
      <c r="J10" s="3">
        <f t="shared" si="2"/>
        <v>5.0001050000000003E-3</v>
      </c>
      <c r="P10">
        <v>1000</v>
      </c>
      <c r="Q10">
        <v>-200.3</v>
      </c>
      <c r="R10">
        <v>0.06</v>
      </c>
      <c r="S10" s="2">
        <f t="shared" si="3"/>
        <v>0.260015</v>
      </c>
      <c r="U10">
        <v>10</v>
      </c>
      <c r="V10">
        <v>6.9999999999999999E-4</v>
      </c>
      <c r="W10">
        <v>1E-4</v>
      </c>
      <c r="X10" s="3">
        <f t="shared" si="4"/>
        <v>5.0001050000000003E-3</v>
      </c>
      <c r="AG10">
        <v>10</v>
      </c>
      <c r="AH10">
        <v>5.2990000000000004</v>
      </c>
      <c r="AI10">
        <v>6.9999999999999999E-4</v>
      </c>
      <c r="AJ10" s="3">
        <f t="shared" si="5"/>
        <v>2.76495E-3</v>
      </c>
      <c r="AM10">
        <v>10</v>
      </c>
      <c r="AN10">
        <v>1.242</v>
      </c>
      <c r="AO10">
        <v>4.0000000000000002E-4</v>
      </c>
      <c r="AP10" s="3">
        <f t="shared" si="6"/>
        <v>5.1863000000000005E-3</v>
      </c>
      <c r="AR10" s="7">
        <f t="shared" si="7"/>
        <v>2130.0030000000002</v>
      </c>
      <c r="AS10" s="7">
        <f t="shared" si="8"/>
        <v>42.600060000000006</v>
      </c>
      <c r="AV10" s="9">
        <f t="shared" si="0"/>
        <v>2.7375443616033897E-7</v>
      </c>
      <c r="AW10" s="10">
        <f t="shared" si="9"/>
        <v>1.1009684002090983E-8</v>
      </c>
      <c r="AZ10" s="6">
        <f t="shared" si="1"/>
        <v>4.6948290683158662</v>
      </c>
      <c r="BA10" s="6">
        <f t="shared" si="10"/>
        <v>9.389658136631733E-2</v>
      </c>
      <c r="BK10">
        <f t="shared" si="11"/>
        <v>-197.95839039367377</v>
      </c>
      <c r="BL10">
        <f t="shared" si="12"/>
        <v>1.0077466240885846</v>
      </c>
      <c r="BM10">
        <f t="shared" si="13"/>
        <v>-197.47839039367378</v>
      </c>
      <c r="BN10">
        <f t="shared" si="14"/>
        <v>0.97546551801739201</v>
      </c>
    </row>
    <row r="11" spans="1:66" x14ac:dyDescent="0.35">
      <c r="A11">
        <v>1000</v>
      </c>
      <c r="B11">
        <v>-100.92</v>
      </c>
      <c r="C11">
        <v>0.05</v>
      </c>
      <c r="D11" s="2">
        <f t="shared" si="15"/>
        <v>0.25504599999999999</v>
      </c>
      <c r="G11">
        <v>10</v>
      </c>
      <c r="H11">
        <v>6.9999999999999999E-4</v>
      </c>
      <c r="I11">
        <v>1E-4</v>
      </c>
      <c r="J11" s="3">
        <f t="shared" si="2"/>
        <v>5.0001050000000003E-3</v>
      </c>
      <c r="P11">
        <v>1000</v>
      </c>
      <c r="Q11">
        <v>-99.8</v>
      </c>
      <c r="R11">
        <v>0.1</v>
      </c>
      <c r="S11" s="2">
        <f t="shared" si="3"/>
        <v>0.25498999999999999</v>
      </c>
      <c r="U11">
        <v>10</v>
      </c>
      <c r="V11">
        <v>5.0000000000000001E-4</v>
      </c>
      <c r="W11">
        <v>1E-4</v>
      </c>
      <c r="X11" s="3">
        <f t="shared" si="4"/>
        <v>5.0000750000000005E-3</v>
      </c>
      <c r="AG11">
        <v>10</v>
      </c>
      <c r="AH11">
        <v>5.4023000000000003</v>
      </c>
      <c r="AI11">
        <v>4.0000000000000002E-4</v>
      </c>
      <c r="AJ11" s="3">
        <f t="shared" si="5"/>
        <v>2.7701150000000001E-3</v>
      </c>
      <c r="AM11">
        <v>10</v>
      </c>
      <c r="AN11">
        <v>1.5025999999999999</v>
      </c>
      <c r="AO11">
        <v>2.9999999999999997E-4</v>
      </c>
      <c r="AP11" s="3">
        <f t="shared" si="6"/>
        <v>5.2253899999999999E-3</v>
      </c>
      <c r="AR11" s="7">
        <f t="shared" si="7"/>
        <v>2140.0230999999999</v>
      </c>
      <c r="AS11" s="7">
        <f t="shared" si="8"/>
        <v>42.800461999999996</v>
      </c>
      <c r="AV11" s="9">
        <f t="shared" si="0"/>
        <v>3.2810017495345123E-7</v>
      </c>
      <c r="AW11" s="10">
        <f t="shared" si="9"/>
        <v>1.3173511967669217E-8</v>
      </c>
      <c r="AZ11" s="6">
        <f t="shared" si="1"/>
        <v>4.6728467557195996</v>
      </c>
      <c r="BA11" s="6">
        <f t="shared" si="10"/>
        <v>9.3456935114392001E-2</v>
      </c>
      <c r="BK11">
        <f t="shared" si="11"/>
        <v>-98.098390393673753</v>
      </c>
      <c r="BL11">
        <f t="shared" si="12"/>
        <v>1.0064697903846587</v>
      </c>
      <c r="BM11">
        <f t="shared" si="13"/>
        <v>-96.978390393673749</v>
      </c>
      <c r="BN11">
        <f t="shared" si="14"/>
        <v>0.97874050536438861</v>
      </c>
    </row>
    <row r="12" spans="1:66" x14ac:dyDescent="0.35">
      <c r="A12">
        <v>100</v>
      </c>
      <c r="B12">
        <v>1.9750000000000001</v>
      </c>
      <c r="C12">
        <v>3.0000000000000001E-3</v>
      </c>
      <c r="D12" s="1">
        <f t="shared" si="15"/>
        <v>2.5098750000000003E-2</v>
      </c>
      <c r="G12">
        <v>10</v>
      </c>
      <c r="H12">
        <v>2.1700000000000001E-2</v>
      </c>
      <c r="J12" s="3">
        <f t="shared" si="2"/>
        <v>5.0032549999999999E-3</v>
      </c>
      <c r="P12">
        <v>100</v>
      </c>
      <c r="Q12">
        <v>1.97</v>
      </c>
      <c r="R12">
        <v>0.02</v>
      </c>
      <c r="S12" s="1">
        <f t="shared" si="3"/>
        <v>2.5098500000000003E-2</v>
      </c>
      <c r="U12">
        <v>10</v>
      </c>
      <c r="V12">
        <v>2.6200000000000001E-2</v>
      </c>
      <c r="W12">
        <v>1E-4</v>
      </c>
      <c r="X12" s="3">
        <f t="shared" si="4"/>
        <v>5.0039300000000002E-3</v>
      </c>
      <c r="AG12">
        <v>10</v>
      </c>
      <c r="AH12">
        <v>5.5</v>
      </c>
      <c r="AI12">
        <v>5.0000000000000001E-4</v>
      </c>
      <c r="AJ12" s="3">
        <f t="shared" si="5"/>
        <v>2.7750000000000001E-3</v>
      </c>
      <c r="AM12">
        <v>10</v>
      </c>
      <c r="AN12">
        <v>1.7856000000000001</v>
      </c>
      <c r="AO12">
        <v>5.0000000000000001E-4</v>
      </c>
      <c r="AP12" s="3">
        <f t="shared" si="6"/>
        <v>5.2678400000000002E-3</v>
      </c>
      <c r="AR12" s="7">
        <f t="shared" si="7"/>
        <v>2149.5</v>
      </c>
      <c r="AS12" s="7">
        <f t="shared" si="8"/>
        <v>42.99</v>
      </c>
      <c r="AV12" s="9">
        <f t="shared" si="0"/>
        <v>3.864642079894268E-7</v>
      </c>
      <c r="AW12" s="10">
        <f t="shared" si="9"/>
        <v>1.5500556463666244E-8</v>
      </c>
      <c r="AZ12" s="6">
        <f t="shared" si="1"/>
        <v>4.6522447080716445</v>
      </c>
      <c r="BA12" s="6">
        <f t="shared" si="10"/>
        <v>9.3044894161432898E-2</v>
      </c>
      <c r="BK12">
        <f t="shared" si="11"/>
        <v>4.7966096063262444</v>
      </c>
      <c r="BL12">
        <f t="shared" si="12"/>
        <v>0.97394195108974613</v>
      </c>
      <c r="BM12">
        <f t="shared" si="13"/>
        <v>4.7916096063262437</v>
      </c>
      <c r="BN12">
        <f t="shared" si="14"/>
        <v>0.97382389416204962</v>
      </c>
    </row>
    <row r="13" spans="1:66" x14ac:dyDescent="0.35">
      <c r="A13">
        <v>100</v>
      </c>
      <c r="B13">
        <v>10.35</v>
      </c>
      <c r="C13">
        <v>0.02</v>
      </c>
      <c r="D13" s="1">
        <f t="shared" si="15"/>
        <v>2.5517500000000002E-2</v>
      </c>
      <c r="G13">
        <v>10</v>
      </c>
      <c r="H13">
        <v>0.16819999999999999</v>
      </c>
      <c r="I13">
        <v>2.9999999999999997E-4</v>
      </c>
      <c r="J13" s="3">
        <f t="shared" si="2"/>
        <v>5.0252300000000003E-3</v>
      </c>
      <c r="P13">
        <v>100</v>
      </c>
      <c r="Q13">
        <v>9.5</v>
      </c>
      <c r="R13">
        <v>0.03</v>
      </c>
      <c r="S13" s="1">
        <f t="shared" si="3"/>
        <v>2.5475000000000001E-2</v>
      </c>
      <c r="U13">
        <v>10</v>
      </c>
      <c r="V13">
        <v>0.16400000000000001</v>
      </c>
      <c r="W13">
        <v>1E-3</v>
      </c>
      <c r="X13" s="3">
        <f t="shared" si="4"/>
        <v>5.0245999999999997E-3</v>
      </c>
      <c r="AG13">
        <v>10</v>
      </c>
      <c r="AH13">
        <v>5.6013000000000002</v>
      </c>
      <c r="AI13">
        <v>5.0000000000000001E-4</v>
      </c>
      <c r="AJ13" s="3">
        <f t="shared" si="5"/>
        <v>2.780065E-3</v>
      </c>
      <c r="AM13">
        <v>10</v>
      </c>
      <c r="AN13">
        <v>2.1294</v>
      </c>
      <c r="AO13">
        <v>5.0000000000000001E-4</v>
      </c>
      <c r="AP13" s="3">
        <f t="shared" si="6"/>
        <v>5.3194100000000001E-3</v>
      </c>
      <c r="AR13" s="7">
        <f t="shared" si="7"/>
        <v>2159.3261000000002</v>
      </c>
      <c r="AS13" s="7">
        <f t="shared" si="8"/>
        <v>43.186522000000004</v>
      </c>
      <c r="AV13" s="9">
        <f t="shared" si="0"/>
        <v>4.5668924216423752E-7</v>
      </c>
      <c r="AW13" s="10">
        <f t="shared" si="9"/>
        <v>1.8303159063065292E-8</v>
      </c>
      <c r="AZ13" s="6">
        <f t="shared" si="1"/>
        <v>4.6310744819876897</v>
      </c>
      <c r="BA13" s="6">
        <f t="shared" si="10"/>
        <v>9.2621489639753793E-2</v>
      </c>
      <c r="BK13">
        <f t="shared" si="11"/>
        <v>13.171609606326243</v>
      </c>
      <c r="BL13">
        <f t="shared" si="12"/>
        <v>0.97395283235236241</v>
      </c>
      <c r="BM13">
        <f t="shared" si="13"/>
        <v>12.321609606326245</v>
      </c>
      <c r="BN13">
        <f t="shared" si="14"/>
        <v>0.97408058026065736</v>
      </c>
    </row>
    <row r="14" spans="1:66" x14ac:dyDescent="0.35">
      <c r="A14">
        <v>100</v>
      </c>
      <c r="B14">
        <v>20.399999999999999</v>
      </c>
      <c r="C14">
        <v>0.1</v>
      </c>
      <c r="D14" s="1">
        <f t="shared" si="15"/>
        <v>2.6020000000000001E-2</v>
      </c>
      <c r="G14">
        <v>10</v>
      </c>
      <c r="H14">
        <v>0.39129999999999998</v>
      </c>
      <c r="I14">
        <v>5.9999999999999995E-4</v>
      </c>
      <c r="J14" s="3">
        <f t="shared" si="2"/>
        <v>5.0586950000000002E-3</v>
      </c>
      <c r="P14">
        <v>100</v>
      </c>
      <c r="Q14">
        <v>19.32</v>
      </c>
      <c r="R14">
        <v>0.03</v>
      </c>
      <c r="S14" s="1">
        <f t="shared" si="3"/>
        <v>2.5966000000000003E-2</v>
      </c>
      <c r="U14">
        <v>10</v>
      </c>
      <c r="V14">
        <v>0.39300000000000002</v>
      </c>
      <c r="W14">
        <v>5.0000000000000001E-4</v>
      </c>
      <c r="X14" s="3">
        <f t="shared" si="4"/>
        <v>5.0589500000000004E-3</v>
      </c>
      <c r="AG14">
        <v>10</v>
      </c>
      <c r="AH14">
        <v>5.7009999999999996</v>
      </c>
      <c r="AI14">
        <v>5.0000000000000001E-4</v>
      </c>
      <c r="AJ14" s="3">
        <f t="shared" si="5"/>
        <v>2.7850499999999999E-3</v>
      </c>
      <c r="AM14">
        <v>10</v>
      </c>
      <c r="AN14">
        <v>2.5205000000000002</v>
      </c>
      <c r="AO14">
        <v>5.0000000000000001E-4</v>
      </c>
      <c r="AP14" s="3">
        <f t="shared" si="6"/>
        <v>5.3780750000000004E-3</v>
      </c>
      <c r="AR14" s="7">
        <f t="shared" si="7"/>
        <v>2168.9969999999998</v>
      </c>
      <c r="AS14" s="7">
        <f t="shared" si="8"/>
        <v>43.379939999999998</v>
      </c>
      <c r="AV14" s="9">
        <f t="shared" si="0"/>
        <v>5.357581658207746E-7</v>
      </c>
      <c r="AW14" s="10">
        <f t="shared" si="9"/>
        <v>2.1460795092498513E-8</v>
      </c>
      <c r="AZ14" s="6">
        <f t="shared" si="1"/>
        <v>4.6104259249782276</v>
      </c>
      <c r="BA14" s="6">
        <f t="shared" si="10"/>
        <v>9.220851849956456E-2</v>
      </c>
      <c r="BK14">
        <f t="shared" si="11"/>
        <v>23.221609606326243</v>
      </c>
      <c r="BL14">
        <f t="shared" si="12"/>
        <v>0.97396612735810217</v>
      </c>
      <c r="BM14">
        <f t="shared" si="13"/>
        <v>22.141609606326245</v>
      </c>
      <c r="BN14">
        <f t="shared" si="14"/>
        <v>0.97408058026065736</v>
      </c>
    </row>
    <row r="15" spans="1:66" x14ac:dyDescent="0.35">
      <c r="A15">
        <v>100</v>
      </c>
      <c r="B15">
        <v>30.87</v>
      </c>
      <c r="C15">
        <v>0.01</v>
      </c>
      <c r="D15" s="1">
        <f t="shared" si="15"/>
        <v>2.6543500000000001E-2</v>
      </c>
      <c r="G15">
        <v>10</v>
      </c>
      <c r="H15">
        <v>0.6875</v>
      </c>
      <c r="I15">
        <v>2.9999999999999997E-4</v>
      </c>
      <c r="J15" s="3">
        <f t="shared" si="2"/>
        <v>5.103125E-3</v>
      </c>
      <c r="P15">
        <v>100</v>
      </c>
      <c r="Q15">
        <v>30.23</v>
      </c>
      <c r="R15">
        <v>0.04</v>
      </c>
      <c r="S15" s="1">
        <f t="shared" si="3"/>
        <v>2.65115E-2</v>
      </c>
      <c r="U15">
        <v>10</v>
      </c>
      <c r="V15">
        <v>0.71250000000000002</v>
      </c>
      <c r="W15">
        <v>5.0000000000000001E-4</v>
      </c>
      <c r="X15" s="3">
        <f t="shared" si="4"/>
        <v>5.1068750000000003E-3</v>
      </c>
      <c r="AG15">
        <v>10</v>
      </c>
      <c r="AH15">
        <v>5.8005000000000004</v>
      </c>
      <c r="AI15">
        <v>5.0000000000000001E-4</v>
      </c>
      <c r="AJ15" s="3">
        <f t="shared" si="5"/>
        <v>2.7900250000000002E-3</v>
      </c>
      <c r="AM15">
        <v>10</v>
      </c>
      <c r="AN15">
        <v>2.968</v>
      </c>
      <c r="AO15">
        <v>3.0000000000000001E-3</v>
      </c>
      <c r="AP15" s="3">
        <f t="shared" si="6"/>
        <v>5.4451999999999999E-3</v>
      </c>
      <c r="AR15" s="7">
        <f t="shared" si="7"/>
        <v>2178.6485000000002</v>
      </c>
      <c r="AS15" s="7">
        <f t="shared" si="8"/>
        <v>43.572970000000005</v>
      </c>
      <c r="AV15" s="9">
        <f t="shared" si="0"/>
        <v>6.2530163132913261E-7</v>
      </c>
      <c r="AW15" s="10">
        <f t="shared" si="9"/>
        <v>2.5038360135326405E-8</v>
      </c>
      <c r="AZ15" s="6">
        <f t="shared" si="1"/>
        <v>4.590001553715525</v>
      </c>
      <c r="BA15" s="6">
        <f t="shared" si="10"/>
        <v>9.1800031074310506E-2</v>
      </c>
      <c r="BK15">
        <f t="shared" si="11"/>
        <v>33.691609606326246</v>
      </c>
      <c r="BL15">
        <f t="shared" si="12"/>
        <v>0.9739802535129698</v>
      </c>
      <c r="BM15">
        <f t="shared" si="13"/>
        <v>33.051609606326245</v>
      </c>
      <c r="BN15">
        <f t="shared" si="14"/>
        <v>0.9744398272037833</v>
      </c>
    </row>
    <row r="16" spans="1:66" x14ac:dyDescent="0.35">
      <c r="A16">
        <v>100</v>
      </c>
      <c r="B16">
        <v>40.43</v>
      </c>
      <c r="C16">
        <v>7.0000000000000007E-2</v>
      </c>
      <c r="D16" s="1">
        <f t="shared" si="15"/>
        <v>2.70215E-2</v>
      </c>
      <c r="G16">
        <v>10</v>
      </c>
      <c r="H16">
        <v>1.0026999999999999</v>
      </c>
      <c r="I16">
        <v>5.0000000000000001E-4</v>
      </c>
      <c r="J16" s="3">
        <f t="shared" si="2"/>
        <v>5.1504050000000003E-3</v>
      </c>
      <c r="P16">
        <v>100</v>
      </c>
      <c r="Q16">
        <v>39.15</v>
      </c>
      <c r="R16">
        <v>0.05</v>
      </c>
      <c r="S16" s="1">
        <f t="shared" si="3"/>
        <v>2.6957500000000002E-2</v>
      </c>
      <c r="U16">
        <v>10</v>
      </c>
      <c r="V16">
        <v>1.0209999999999999</v>
      </c>
      <c r="W16">
        <v>5.0000000000000001E-4</v>
      </c>
      <c r="X16" s="3">
        <f t="shared" si="4"/>
        <v>5.1531500000000004E-3</v>
      </c>
      <c r="AG16">
        <v>10</v>
      </c>
      <c r="AH16">
        <v>5.9051</v>
      </c>
      <c r="AI16">
        <v>5.0000000000000001E-4</v>
      </c>
      <c r="AJ16" s="3">
        <f t="shared" si="5"/>
        <v>2.795255E-3</v>
      </c>
      <c r="AM16">
        <v>10</v>
      </c>
      <c r="AN16">
        <v>3.5114999999999998</v>
      </c>
      <c r="AO16">
        <v>8.9999999999999998E-4</v>
      </c>
      <c r="AP16" s="3">
        <f t="shared" si="6"/>
        <v>5.5267249999999997E-3</v>
      </c>
      <c r="AR16" s="7">
        <f t="shared" si="7"/>
        <v>2188.7946999999999</v>
      </c>
      <c r="AS16" s="7">
        <f t="shared" si="8"/>
        <v>43.775894000000001</v>
      </c>
      <c r="AV16" s="9">
        <f t="shared" si="0"/>
        <v>7.3296395169894788E-7</v>
      </c>
      <c r="AW16" s="10">
        <f t="shared" si="9"/>
        <v>2.9341244959598881E-8</v>
      </c>
      <c r="AZ16" s="6">
        <f t="shared" si="1"/>
        <v>4.5687245130847582</v>
      </c>
      <c r="BA16" s="6">
        <f t="shared" si="10"/>
        <v>9.1374490261695168E-2</v>
      </c>
      <c r="BK16">
        <f t="shared" si="11"/>
        <v>43.251609606326241</v>
      </c>
      <c r="BL16">
        <f t="shared" si="12"/>
        <v>0.97399339746385805</v>
      </c>
      <c r="BM16">
        <f t="shared" si="13"/>
        <v>41.97160960632624</v>
      </c>
      <c r="BN16">
        <f t="shared" si="14"/>
        <v>0.97490152161176713</v>
      </c>
    </row>
    <row r="17" spans="1:66" x14ac:dyDescent="0.35">
      <c r="A17">
        <v>100</v>
      </c>
      <c r="B17">
        <v>50.5</v>
      </c>
      <c r="C17">
        <v>0.1</v>
      </c>
      <c r="D17" s="1">
        <f t="shared" si="15"/>
        <v>2.7525000000000001E-2</v>
      </c>
      <c r="G17">
        <v>10</v>
      </c>
      <c r="H17">
        <v>1.3520000000000001</v>
      </c>
      <c r="I17">
        <v>1E-3</v>
      </c>
      <c r="J17" s="3">
        <f t="shared" si="2"/>
        <v>5.2028000000000005E-3</v>
      </c>
      <c r="P17">
        <v>100</v>
      </c>
      <c r="Q17">
        <v>50.75</v>
      </c>
      <c r="R17">
        <v>0.05</v>
      </c>
      <c r="S17" s="1">
        <f t="shared" si="3"/>
        <v>2.7537500000000003E-2</v>
      </c>
      <c r="U17">
        <v>10</v>
      </c>
      <c r="V17">
        <v>1.476</v>
      </c>
      <c r="W17">
        <v>5.0000000000000001E-4</v>
      </c>
      <c r="X17" s="3">
        <f t="shared" si="4"/>
        <v>5.2214000000000002E-3</v>
      </c>
      <c r="AG17">
        <v>10</v>
      </c>
      <c r="AH17">
        <v>5.9984999999999999</v>
      </c>
      <c r="AI17">
        <v>5.0000000000000001E-4</v>
      </c>
      <c r="AJ17" s="3">
        <f t="shared" si="5"/>
        <v>2.799925E-3</v>
      </c>
      <c r="AM17">
        <v>10</v>
      </c>
      <c r="AN17">
        <v>4.0579999999999998</v>
      </c>
      <c r="AO17">
        <v>2E-3</v>
      </c>
      <c r="AP17" s="3">
        <f t="shared" si="6"/>
        <v>5.6087000000000003E-3</v>
      </c>
      <c r="AR17" s="7">
        <f t="shared" si="7"/>
        <v>2197.8544999999999</v>
      </c>
      <c r="AS17" s="7">
        <f t="shared" si="8"/>
        <v>43.957090000000001</v>
      </c>
      <c r="AV17" s="9">
        <f t="shared" si="0"/>
        <v>8.4006746651318354E-7</v>
      </c>
      <c r="AW17" s="10">
        <f t="shared" si="9"/>
        <v>3.3622752380386664E-8</v>
      </c>
      <c r="AZ17" s="6">
        <f t="shared" si="1"/>
        <v>4.5498917239516992</v>
      </c>
      <c r="BA17" s="6">
        <f t="shared" si="10"/>
        <v>9.0997834479033979E-2</v>
      </c>
      <c r="BK17">
        <f t="shared" si="11"/>
        <v>53.321609606326241</v>
      </c>
      <c r="BL17">
        <f t="shared" si="12"/>
        <v>0.97400749610356641</v>
      </c>
      <c r="BM17">
        <f t="shared" si="13"/>
        <v>53.571609606326241</v>
      </c>
      <c r="BN17">
        <f t="shared" si="14"/>
        <v>0.97490152161176713</v>
      </c>
    </row>
    <row r="18" spans="1:66" x14ac:dyDescent="0.35">
      <c r="A18">
        <v>100</v>
      </c>
      <c r="B18">
        <v>60.18</v>
      </c>
      <c r="C18">
        <v>0.05</v>
      </c>
      <c r="D18" s="1">
        <f>0.00025*A18+0.00005*ABS(B18)</f>
        <v>2.8009000000000003E-2</v>
      </c>
      <c r="G18">
        <v>10</v>
      </c>
      <c r="H18">
        <v>1.7130000000000001</v>
      </c>
      <c r="I18">
        <v>1E-3</v>
      </c>
      <c r="J18" s="3">
        <f t="shared" si="2"/>
        <v>5.2569499999999998E-3</v>
      </c>
      <c r="P18">
        <v>100</v>
      </c>
      <c r="Q18">
        <v>59.49</v>
      </c>
      <c r="R18">
        <v>0.03</v>
      </c>
      <c r="S18" s="1">
        <f t="shared" si="3"/>
        <v>2.7974500000000003E-2</v>
      </c>
      <c r="U18">
        <v>10</v>
      </c>
      <c r="V18">
        <v>1.8545</v>
      </c>
      <c r="W18">
        <v>5.9999999999999995E-4</v>
      </c>
      <c r="X18" s="3">
        <f t="shared" si="4"/>
        <v>5.2781750000000004E-3</v>
      </c>
      <c r="AG18">
        <v>10</v>
      </c>
      <c r="AH18">
        <v>6.1020000000000003</v>
      </c>
      <c r="AI18">
        <v>7.0000000000000001E-3</v>
      </c>
      <c r="AJ18" s="3">
        <f t="shared" si="5"/>
        <v>2.8051E-3</v>
      </c>
      <c r="AM18">
        <v>10</v>
      </c>
      <c r="AN18">
        <v>4.7619999999999996</v>
      </c>
      <c r="AO18">
        <v>3.0000000000000001E-3</v>
      </c>
      <c r="AP18" s="3">
        <f t="shared" si="6"/>
        <v>5.7143000000000003E-3</v>
      </c>
      <c r="AR18" s="7">
        <f t="shared" si="7"/>
        <v>2207.8940000000002</v>
      </c>
      <c r="AS18" s="7">
        <f t="shared" si="8"/>
        <v>44.157880000000006</v>
      </c>
      <c r="AV18" s="9">
        <f t="shared" si="0"/>
        <v>9.7686140769843075E-7</v>
      </c>
      <c r="AW18" s="10">
        <f t="shared" si="9"/>
        <v>3.9092035243638179E-8</v>
      </c>
      <c r="AZ18" s="6">
        <f t="shared" si="1"/>
        <v>4.5292029418078945</v>
      </c>
      <c r="BA18" s="6">
        <f t="shared" si="10"/>
        <v>9.0584058836157888E-2</v>
      </c>
      <c r="BK18">
        <f t="shared" si="11"/>
        <v>63.001609606326241</v>
      </c>
      <c r="BL18">
        <f t="shared" si="12"/>
        <v>0.97402129387500502</v>
      </c>
      <c r="BM18">
        <f t="shared" si="13"/>
        <v>62.311609606326243</v>
      </c>
      <c r="BN18">
        <f t="shared" si="14"/>
        <v>0.97408058026065736</v>
      </c>
    </row>
    <row r="19" spans="1:66" x14ac:dyDescent="0.35">
      <c r="A19">
        <v>100</v>
      </c>
      <c r="B19">
        <v>70.94</v>
      </c>
      <c r="C19">
        <v>0.03</v>
      </c>
      <c r="D19" s="1">
        <f t="shared" si="15"/>
        <v>2.8547000000000003E-2</v>
      </c>
      <c r="G19">
        <v>10</v>
      </c>
      <c r="H19">
        <v>2.1265000000000001</v>
      </c>
      <c r="I19">
        <v>5.0000000000000001E-4</v>
      </c>
      <c r="J19" s="3">
        <f t="shared" si="2"/>
        <v>5.3189750000000001E-3</v>
      </c>
      <c r="P19">
        <v>100</v>
      </c>
      <c r="Q19">
        <v>69.53</v>
      </c>
      <c r="R19">
        <v>0.04</v>
      </c>
      <c r="S19" s="1">
        <f t="shared" si="3"/>
        <v>2.8476500000000002E-2</v>
      </c>
      <c r="U19">
        <v>10</v>
      </c>
      <c r="V19">
        <v>2.3199999999999998</v>
      </c>
      <c r="W19">
        <v>1E-3</v>
      </c>
      <c r="X19" s="3">
        <f t="shared" si="4"/>
        <v>5.3480000000000003E-3</v>
      </c>
      <c r="AG19">
        <v>10</v>
      </c>
      <c r="AH19">
        <v>6.2001999999999997</v>
      </c>
      <c r="AI19">
        <v>5.0000000000000001E-4</v>
      </c>
      <c r="AJ19" s="3">
        <f t="shared" si="5"/>
        <v>2.8100099999999999E-3</v>
      </c>
      <c r="AM19">
        <v>10</v>
      </c>
      <c r="AN19">
        <v>5.5190000000000001</v>
      </c>
      <c r="AO19">
        <v>1E-3</v>
      </c>
      <c r="AP19" s="3">
        <f t="shared" si="6"/>
        <v>5.8278499999999999E-3</v>
      </c>
      <c r="AR19" s="7">
        <f t="shared" si="7"/>
        <v>2217.4193999999998</v>
      </c>
      <c r="AS19" s="7">
        <f t="shared" si="8"/>
        <v>44.348387999999993</v>
      </c>
      <c r="AV19" s="8">
        <f t="shared" si="0"/>
        <v>1.1224440663394921E-6</v>
      </c>
      <c r="AW19" s="10">
        <f t="shared" si="9"/>
        <v>4.4913404752120592E-8</v>
      </c>
      <c r="AZ19" s="6">
        <f t="shared" si="1"/>
        <v>4.5097467804241278</v>
      </c>
      <c r="BA19" s="6">
        <f t="shared" si="10"/>
        <v>9.019493560848256E-2</v>
      </c>
      <c r="BK19">
        <f t="shared" si="11"/>
        <v>73.761609606326246</v>
      </c>
      <c r="BL19">
        <f t="shared" si="12"/>
        <v>0.97403691308386198</v>
      </c>
      <c r="BM19">
        <f t="shared" si="13"/>
        <v>72.351609606326249</v>
      </c>
      <c r="BN19">
        <f t="shared" si="14"/>
        <v>0.9744398272037833</v>
      </c>
    </row>
    <row r="20" spans="1:66" x14ac:dyDescent="0.35">
      <c r="A20">
        <v>100</v>
      </c>
      <c r="B20">
        <v>80.63</v>
      </c>
      <c r="C20">
        <v>0.05</v>
      </c>
      <c r="D20" s="1">
        <f t="shared" si="15"/>
        <v>2.9031500000000002E-2</v>
      </c>
      <c r="G20">
        <v>10</v>
      </c>
      <c r="H20">
        <v>2.5019999999999998</v>
      </c>
      <c r="I20">
        <v>1E-3</v>
      </c>
      <c r="J20" s="3">
        <f t="shared" si="2"/>
        <v>5.3753000000000004E-3</v>
      </c>
      <c r="P20">
        <v>100</v>
      </c>
      <c r="Q20">
        <v>81.02</v>
      </c>
      <c r="R20">
        <v>0.02</v>
      </c>
      <c r="S20" s="1">
        <f t="shared" si="3"/>
        <v>2.9051E-2</v>
      </c>
      <c r="U20">
        <v>10</v>
      </c>
      <c r="V20">
        <v>2.903</v>
      </c>
      <c r="W20">
        <v>1E-3</v>
      </c>
      <c r="X20" s="3">
        <f t="shared" si="4"/>
        <v>5.4354499999999997E-3</v>
      </c>
      <c r="AG20">
        <v>10</v>
      </c>
      <c r="AH20">
        <v>6.3006000000000002</v>
      </c>
      <c r="AI20">
        <v>4.0000000000000002E-4</v>
      </c>
      <c r="AJ20" s="3">
        <f t="shared" si="5"/>
        <v>2.81503E-3</v>
      </c>
      <c r="AM20">
        <v>10</v>
      </c>
      <c r="AN20">
        <v>6.3920000000000003</v>
      </c>
      <c r="AO20">
        <v>1E-3</v>
      </c>
      <c r="AP20" s="3">
        <f t="shared" si="6"/>
        <v>5.9588000000000002E-3</v>
      </c>
      <c r="AR20" s="7">
        <f t="shared" si="7"/>
        <v>2227.1581999999999</v>
      </c>
      <c r="AS20" s="7">
        <f t="shared" si="8"/>
        <v>44.543163999999997</v>
      </c>
      <c r="AV20" s="8">
        <f t="shared" si="0"/>
        <v>1.28864897378371E-6</v>
      </c>
      <c r="AW20" s="10">
        <f t="shared" si="9"/>
        <v>5.1559955784011163E-8</v>
      </c>
      <c r="AZ20" s="6">
        <f t="shared" si="1"/>
        <v>4.490026797377932</v>
      </c>
      <c r="BA20" s="6">
        <f t="shared" si="10"/>
        <v>8.9800535947558643E-2</v>
      </c>
      <c r="BK20">
        <f t="shared" si="11"/>
        <v>83.451609606326244</v>
      </c>
      <c r="BL20">
        <f t="shared" si="12"/>
        <v>0.97405123316650488</v>
      </c>
      <c r="BM20">
        <f t="shared" si="13"/>
        <v>83.841609606326244</v>
      </c>
      <c r="BN20">
        <f t="shared" si="14"/>
        <v>0.97382389416204962</v>
      </c>
    </row>
    <row r="21" spans="1:66" x14ac:dyDescent="0.35">
      <c r="A21">
        <v>100</v>
      </c>
      <c r="B21">
        <v>90.88</v>
      </c>
      <c r="C21">
        <v>0.03</v>
      </c>
      <c r="D21" s="1">
        <f t="shared" si="15"/>
        <v>2.9544000000000001E-2</v>
      </c>
      <c r="G21">
        <v>10</v>
      </c>
      <c r="H21">
        <v>2.9049999999999998</v>
      </c>
      <c r="I21">
        <v>1E-3</v>
      </c>
      <c r="J21" s="3">
        <f t="shared" si="2"/>
        <v>5.4357499999999996E-3</v>
      </c>
      <c r="P21">
        <v>100</v>
      </c>
      <c r="Q21">
        <v>89.85</v>
      </c>
      <c r="R21">
        <v>0.03</v>
      </c>
      <c r="S21" s="1">
        <f t="shared" si="3"/>
        <v>2.9492500000000001E-2</v>
      </c>
      <c r="U21">
        <v>10</v>
      </c>
      <c r="V21">
        <v>3.3650000000000002</v>
      </c>
      <c r="W21">
        <v>2E-3</v>
      </c>
      <c r="X21" s="3">
        <f t="shared" si="4"/>
        <v>5.5047500000000001E-3</v>
      </c>
      <c r="AG21">
        <v>10</v>
      </c>
      <c r="AH21">
        <v>6.4016999999999999</v>
      </c>
      <c r="AI21">
        <v>5.0000000000000001E-4</v>
      </c>
      <c r="AJ21" s="3">
        <f t="shared" si="5"/>
        <v>2.820085E-3</v>
      </c>
      <c r="AM21">
        <v>10</v>
      </c>
      <c r="AN21">
        <v>7.3849999999999998</v>
      </c>
      <c r="AO21">
        <v>1E-3</v>
      </c>
      <c r="AP21" s="3">
        <f t="shared" si="6"/>
        <v>6.1077500000000003E-3</v>
      </c>
      <c r="AR21" s="7">
        <f t="shared" si="7"/>
        <v>2236.9648999999999</v>
      </c>
      <c r="AS21" s="7">
        <f t="shared" si="8"/>
        <v>44.739297999999998</v>
      </c>
      <c r="AV21" s="8">
        <f t="shared" si="0"/>
        <v>1.4758158160646482E-6</v>
      </c>
      <c r="AW21" s="10">
        <f t="shared" si="9"/>
        <v>5.9045249676499275E-8</v>
      </c>
      <c r="AZ21" s="6">
        <f t="shared" si="1"/>
        <v>4.4703428292504723</v>
      </c>
      <c r="BA21" s="6">
        <f t="shared" si="10"/>
        <v>8.940685658500945E-2</v>
      </c>
      <c r="BK21">
        <f t="shared" si="11"/>
        <v>93.701609606326244</v>
      </c>
      <c r="BL21">
        <f t="shared" si="12"/>
        <v>0.97406664288278488</v>
      </c>
      <c r="BM21">
        <f t="shared" si="13"/>
        <v>92.671609606326243</v>
      </c>
      <c r="BN21">
        <f t="shared" si="14"/>
        <v>0.97408058026065736</v>
      </c>
    </row>
    <row r="22" spans="1:66" x14ac:dyDescent="0.35">
      <c r="A22">
        <v>100</v>
      </c>
      <c r="B22">
        <v>101.46</v>
      </c>
      <c r="C22">
        <v>0.02</v>
      </c>
      <c r="D22" s="1">
        <f t="shared" si="15"/>
        <v>3.0073000000000003E-2</v>
      </c>
      <c r="G22">
        <v>10</v>
      </c>
      <c r="H22">
        <v>3.3180000000000001</v>
      </c>
      <c r="I22">
        <v>1E-3</v>
      </c>
      <c r="J22" s="3">
        <f t="shared" si="2"/>
        <v>5.4977000000000003E-3</v>
      </c>
      <c r="P22">
        <v>100</v>
      </c>
      <c r="Q22">
        <v>99.53</v>
      </c>
      <c r="R22">
        <v>0.04</v>
      </c>
      <c r="S22" s="1">
        <f t="shared" si="3"/>
        <v>2.9976500000000003E-2</v>
      </c>
      <c r="U22">
        <v>10</v>
      </c>
      <c r="V22">
        <v>3.8929999999999998</v>
      </c>
      <c r="W22">
        <v>3.0000000000000001E-3</v>
      </c>
      <c r="X22" s="3">
        <f t="shared" si="4"/>
        <v>5.5839499999999999E-3</v>
      </c>
      <c r="AG22">
        <v>10</v>
      </c>
      <c r="AH22">
        <v>6.4965000000000002</v>
      </c>
      <c r="AI22">
        <v>5.9999999999999995E-4</v>
      </c>
      <c r="AJ22" s="3">
        <f t="shared" si="5"/>
        <v>2.824825E-3</v>
      </c>
      <c r="AM22">
        <v>10</v>
      </c>
      <c r="AN22">
        <v>8.4290000000000003</v>
      </c>
      <c r="AO22">
        <v>1E-3</v>
      </c>
      <c r="AP22" s="3">
        <f t="shared" si="6"/>
        <v>6.2643500000000001E-3</v>
      </c>
      <c r="AR22" s="7">
        <f t="shared" si="7"/>
        <v>2246.1605</v>
      </c>
      <c r="AS22" s="7">
        <f t="shared" si="8"/>
        <v>44.923209999999997</v>
      </c>
      <c r="AV22" s="8">
        <f t="shared" si="0"/>
        <v>1.6706846504467529E-6</v>
      </c>
      <c r="AW22" s="10">
        <f t="shared" si="9"/>
        <v>6.6838919672467879E-8</v>
      </c>
      <c r="AZ22" s="6">
        <f t="shared" si="1"/>
        <v>4.452041606109626</v>
      </c>
      <c r="BA22" s="6">
        <f t="shared" si="10"/>
        <v>8.904083212219252E-2</v>
      </c>
      <c r="BK22">
        <f t="shared" si="11"/>
        <v>104.28160960632624</v>
      </c>
      <c r="BL22">
        <f t="shared" si="12"/>
        <v>0.97408283126741269</v>
      </c>
      <c r="BM22">
        <f t="shared" si="13"/>
        <v>102.35160960632625</v>
      </c>
      <c r="BN22">
        <f t="shared" si="14"/>
        <v>0.9744398272037833</v>
      </c>
    </row>
    <row r="23" spans="1:66" x14ac:dyDescent="0.35">
      <c r="A23">
        <v>100</v>
      </c>
      <c r="B23">
        <v>110.82</v>
      </c>
      <c r="C23">
        <v>0.02</v>
      </c>
      <c r="D23" s="1">
        <f t="shared" si="15"/>
        <v>3.0541000000000002E-2</v>
      </c>
      <c r="G23">
        <v>10</v>
      </c>
      <c r="H23">
        <v>3.6760000000000002</v>
      </c>
      <c r="I23">
        <v>1E-3</v>
      </c>
      <c r="J23" s="3">
        <f t="shared" si="2"/>
        <v>5.5513999999999997E-3</v>
      </c>
      <c r="P23">
        <v>100</v>
      </c>
      <c r="Q23">
        <v>110.63</v>
      </c>
      <c r="R23">
        <v>7.0000000000000007E-2</v>
      </c>
      <c r="S23" s="1">
        <f t="shared" si="3"/>
        <v>3.0531500000000003E-2</v>
      </c>
      <c r="U23">
        <v>10</v>
      </c>
      <c r="V23">
        <v>4.5110000000000001</v>
      </c>
      <c r="W23">
        <v>2E-3</v>
      </c>
      <c r="X23" s="3">
        <f t="shared" si="4"/>
        <v>5.6766500000000001E-3</v>
      </c>
      <c r="AG23">
        <v>10</v>
      </c>
      <c r="AH23">
        <v>6.5972</v>
      </c>
      <c r="AI23">
        <v>5.0000000000000001E-4</v>
      </c>
      <c r="AJ23" s="3">
        <f t="shared" si="5"/>
        <v>2.82986E-3</v>
      </c>
      <c r="AM23">
        <v>10</v>
      </c>
      <c r="AN23">
        <v>9.6609999999999996</v>
      </c>
      <c r="AO23">
        <v>1E-3</v>
      </c>
      <c r="AP23" s="3">
        <f t="shared" si="6"/>
        <v>6.4491499999999998E-3</v>
      </c>
      <c r="AR23" s="7">
        <f t="shared" si="7"/>
        <v>2255.9283999999998</v>
      </c>
      <c r="AS23" s="7">
        <f t="shared" si="8"/>
        <v>45.118567999999996</v>
      </c>
      <c r="AV23" s="8">
        <f t="shared" si="0"/>
        <v>1.8983288973460483E-6</v>
      </c>
      <c r="AW23" s="10">
        <f t="shared" si="9"/>
        <v>7.5943729229720382E-8</v>
      </c>
      <c r="AZ23" s="6">
        <f t="shared" si="1"/>
        <v>4.4327647987409531</v>
      </c>
      <c r="BA23" s="6">
        <f t="shared" si="10"/>
        <v>8.8655295974819068E-2</v>
      </c>
      <c r="BK23">
        <f t="shared" si="11"/>
        <v>113.64160960632624</v>
      </c>
      <c r="BL23">
        <f t="shared" si="12"/>
        <v>0.97409739221596259</v>
      </c>
      <c r="BM23">
        <f t="shared" si="13"/>
        <v>113.45160960632624</v>
      </c>
      <c r="BN23">
        <f t="shared" si="14"/>
        <v>0.97613163909430722</v>
      </c>
    </row>
    <row r="24" spans="1:66" x14ac:dyDescent="0.35">
      <c r="A24">
        <v>1000</v>
      </c>
      <c r="B24">
        <v>120.1</v>
      </c>
      <c r="C24">
        <v>0.05</v>
      </c>
      <c r="D24" s="2">
        <f t="shared" si="15"/>
        <v>0.25600499999999998</v>
      </c>
      <c r="G24">
        <v>10</v>
      </c>
      <c r="H24">
        <v>4.0179999999999998</v>
      </c>
      <c r="I24">
        <v>1E-3</v>
      </c>
      <c r="J24" s="3">
        <f t="shared" si="2"/>
        <v>5.6027000000000004E-3</v>
      </c>
      <c r="P24">
        <v>1000</v>
      </c>
      <c r="Q24">
        <v>120.1</v>
      </c>
      <c r="R24">
        <v>0.06</v>
      </c>
      <c r="S24" s="2">
        <f t="shared" si="3"/>
        <v>0.25600499999999998</v>
      </c>
      <c r="U24">
        <v>10</v>
      </c>
      <c r="V24">
        <v>5.0629999999999997</v>
      </c>
      <c r="W24">
        <v>2E-3</v>
      </c>
      <c r="X24" s="3">
        <f t="shared" si="4"/>
        <v>5.7594500000000002E-3</v>
      </c>
      <c r="AG24">
        <v>10</v>
      </c>
      <c r="AH24">
        <v>6.6980000000000004</v>
      </c>
      <c r="AI24">
        <v>4.0000000000000002E-4</v>
      </c>
      <c r="AJ24" s="3">
        <f t="shared" si="5"/>
        <v>2.8349E-3</v>
      </c>
      <c r="AM24">
        <v>10</v>
      </c>
      <c r="AN24">
        <v>11.032999999999999</v>
      </c>
      <c r="AO24">
        <v>2E-3</v>
      </c>
      <c r="AP24" s="3">
        <f t="shared" si="6"/>
        <v>6.6549499999999998E-3</v>
      </c>
      <c r="AR24" s="7">
        <f t="shared" si="7"/>
        <v>2265.7060000000001</v>
      </c>
      <c r="AS24" s="7">
        <f t="shared" si="8"/>
        <v>45.314120000000003</v>
      </c>
      <c r="AV24" s="8">
        <f t="shared" si="0"/>
        <v>2.1492478881777047E-6</v>
      </c>
      <c r="AW24" s="10">
        <f t="shared" si="9"/>
        <v>8.597968956890812E-8</v>
      </c>
      <c r="AZ24" s="6">
        <f t="shared" si="1"/>
        <v>4.4136353083762847</v>
      </c>
      <c r="BA24" s="6">
        <f t="shared" si="10"/>
        <v>8.8272706167525694E-2</v>
      </c>
      <c r="BK24">
        <f t="shared" si="11"/>
        <v>122.92160960632624</v>
      </c>
      <c r="BL24">
        <f t="shared" si="12"/>
        <v>1.0067132346730814</v>
      </c>
      <c r="BM24">
        <f t="shared" si="13"/>
        <v>122.92160960632624</v>
      </c>
      <c r="BN24">
        <f t="shared" si="14"/>
        <v>0.97546551801739201</v>
      </c>
    </row>
    <row r="25" spans="1:66" x14ac:dyDescent="0.35">
      <c r="A25">
        <v>1000</v>
      </c>
      <c r="B25">
        <v>130.18</v>
      </c>
      <c r="C25">
        <v>0.04</v>
      </c>
      <c r="D25" s="2">
        <f t="shared" si="15"/>
        <v>0.25650899999999999</v>
      </c>
      <c r="G25">
        <v>10</v>
      </c>
      <c r="H25">
        <v>4.391</v>
      </c>
      <c r="I25">
        <v>1E-3</v>
      </c>
      <c r="J25" s="3">
        <f t="shared" si="2"/>
        <v>5.6586500000000003E-3</v>
      </c>
      <c r="P25">
        <v>1000</v>
      </c>
      <c r="Q25">
        <v>131</v>
      </c>
      <c r="R25">
        <v>0.06</v>
      </c>
      <c r="S25" s="2">
        <f t="shared" si="3"/>
        <v>0.25655</v>
      </c>
      <c r="U25">
        <v>10</v>
      </c>
      <c r="V25">
        <v>5.7060000000000004</v>
      </c>
      <c r="W25">
        <v>1E-3</v>
      </c>
      <c r="X25" s="3">
        <f t="shared" si="4"/>
        <v>5.8558999999999998E-3</v>
      </c>
      <c r="AG25">
        <v>10</v>
      </c>
      <c r="AH25">
        <v>6.7969999999999997</v>
      </c>
      <c r="AI25">
        <v>4.0000000000000002E-4</v>
      </c>
      <c r="AJ25" s="3">
        <f t="shared" si="5"/>
        <v>2.8398500000000001E-3</v>
      </c>
      <c r="AM25">
        <v>100</v>
      </c>
      <c r="AN25">
        <v>12.537000000000001</v>
      </c>
      <c r="AO25">
        <v>2E-3</v>
      </c>
      <c r="AP25" s="3">
        <f>0.0005*AM25+0.00005*AN25</f>
        <v>5.0626850000000001E-2</v>
      </c>
      <c r="AR25" s="7">
        <f t="shared" si="7"/>
        <v>2275.3090000000002</v>
      </c>
      <c r="AS25" s="7">
        <f t="shared" si="8"/>
        <v>45.506180000000008</v>
      </c>
      <c r="AV25" s="8">
        <f t="shared" si="0"/>
        <v>2.4216582612428936E-6</v>
      </c>
      <c r="AW25" s="10">
        <f t="shared" si="9"/>
        <v>9.7358704397979903E-8</v>
      </c>
      <c r="AZ25" s="6">
        <f t="shared" si="1"/>
        <v>4.3950074473401193</v>
      </c>
      <c r="BA25" s="6">
        <f t="shared" si="10"/>
        <v>8.7900148946802384E-2</v>
      </c>
      <c r="BK25">
        <f t="shared" si="11"/>
        <v>133.00160960632624</v>
      </c>
      <c r="BL25">
        <f t="shared" si="12"/>
        <v>1.0068415187714197</v>
      </c>
      <c r="BM25">
        <f t="shared" si="13"/>
        <v>133.82160960632623</v>
      </c>
      <c r="BN25">
        <f t="shared" si="14"/>
        <v>0.97546551801739201</v>
      </c>
    </row>
    <row r="26" spans="1:66" x14ac:dyDescent="0.35">
      <c r="A26">
        <v>1000</v>
      </c>
      <c r="B26">
        <v>140.03</v>
      </c>
      <c r="C26">
        <v>0.03</v>
      </c>
      <c r="D26" s="2">
        <f t="shared" si="15"/>
        <v>0.25700149999999999</v>
      </c>
      <c r="G26">
        <v>10</v>
      </c>
      <c r="H26">
        <v>4.7309999999999999</v>
      </c>
      <c r="I26">
        <v>1E-3</v>
      </c>
      <c r="J26" s="3">
        <f t="shared" si="2"/>
        <v>5.7096500000000001E-3</v>
      </c>
      <c r="P26">
        <v>1000</v>
      </c>
      <c r="Q26">
        <v>140.35</v>
      </c>
      <c r="R26">
        <v>0.06</v>
      </c>
      <c r="S26" s="2">
        <f t="shared" si="3"/>
        <v>0.25701750000000001</v>
      </c>
      <c r="U26">
        <v>10</v>
      </c>
      <c r="V26">
        <v>6.26</v>
      </c>
      <c r="W26">
        <v>1E-3</v>
      </c>
      <c r="X26" s="3">
        <f t="shared" si="4"/>
        <v>5.9389999999999998E-3</v>
      </c>
      <c r="AG26">
        <v>10</v>
      </c>
      <c r="AH26">
        <v>6.8982999999999999</v>
      </c>
      <c r="AI26">
        <v>5.0000000000000001E-4</v>
      </c>
      <c r="AJ26" s="3">
        <f t="shared" si="5"/>
        <v>2.8449149999999999E-3</v>
      </c>
      <c r="AM26">
        <v>100</v>
      </c>
      <c r="AN26">
        <v>14.225</v>
      </c>
      <c r="AO26">
        <v>3.0000000000000001E-3</v>
      </c>
      <c r="AP26" s="3">
        <f t="shared" ref="AP26:AP27" si="16">0.0005*AM26+0.00005*AN26</f>
        <v>5.0711249999999999E-2</v>
      </c>
      <c r="AR26" s="7">
        <f t="shared" si="7"/>
        <v>2285.1351</v>
      </c>
      <c r="AS26" s="7">
        <f t="shared" si="8"/>
        <v>45.702702000000002</v>
      </c>
      <c r="AV26" s="8">
        <f t="shared" si="0"/>
        <v>2.7241342885434713E-6</v>
      </c>
      <c r="AW26" s="10">
        <f t="shared" si="9"/>
        <v>1.0939727110533606E-7</v>
      </c>
      <c r="AZ26" s="6">
        <f t="shared" si="1"/>
        <v>4.3761088786391671</v>
      </c>
      <c r="BA26" s="6">
        <f t="shared" si="10"/>
        <v>8.7522177572783341E-2</v>
      </c>
      <c r="BK26">
        <f t="shared" si="11"/>
        <v>142.85160960632624</v>
      </c>
      <c r="BL26">
        <f t="shared" si="12"/>
        <v>1.0069671036549253</v>
      </c>
      <c r="BM26">
        <f t="shared" si="13"/>
        <v>143.17160960632623</v>
      </c>
      <c r="BN26">
        <f t="shared" si="14"/>
        <v>0.97546551801739201</v>
      </c>
    </row>
    <row r="27" spans="1:66" x14ac:dyDescent="0.35">
      <c r="A27">
        <v>1000</v>
      </c>
      <c r="B27">
        <v>149.01</v>
      </c>
      <c r="C27">
        <v>0.03</v>
      </c>
      <c r="D27" s="2">
        <f t="shared" si="15"/>
        <v>0.25745050000000003</v>
      </c>
      <c r="G27">
        <v>10</v>
      </c>
      <c r="H27">
        <v>5.0430000000000001</v>
      </c>
      <c r="I27">
        <v>1E-3</v>
      </c>
      <c r="J27" s="3">
        <f t="shared" si="2"/>
        <v>5.7564499999999998E-3</v>
      </c>
      <c r="P27">
        <v>1000</v>
      </c>
      <c r="Q27">
        <v>150.9</v>
      </c>
      <c r="R27">
        <v>0.06</v>
      </c>
      <c r="S27" s="2">
        <f t="shared" si="3"/>
        <v>0.25754500000000002</v>
      </c>
      <c r="U27">
        <v>10</v>
      </c>
      <c r="V27">
        <v>6.8869999999999996</v>
      </c>
      <c r="W27">
        <v>3.0000000000000001E-3</v>
      </c>
      <c r="X27" s="3">
        <f t="shared" si="4"/>
        <v>6.0330499999999999E-3</v>
      </c>
      <c r="AG27">
        <v>10</v>
      </c>
      <c r="AH27">
        <v>6.9962999999999997</v>
      </c>
      <c r="AI27">
        <v>5.0000000000000001E-4</v>
      </c>
      <c r="AJ27" s="3">
        <f t="shared" si="5"/>
        <v>2.8498149999999999E-3</v>
      </c>
      <c r="AM27">
        <v>100</v>
      </c>
      <c r="AN27">
        <v>14.972</v>
      </c>
      <c r="AO27">
        <v>3.0000000000000001E-3</v>
      </c>
      <c r="AP27" s="3">
        <f t="shared" si="16"/>
        <v>5.0748600000000005E-2</v>
      </c>
      <c r="AR27" s="7">
        <f t="shared" si="7"/>
        <v>2294.6410999999998</v>
      </c>
      <c r="AS27" s="7">
        <f t="shared" si="8"/>
        <v>45.892821999999995</v>
      </c>
      <c r="AV27" s="8">
        <f t="shared" si="0"/>
        <v>2.8434806830193808E-6</v>
      </c>
      <c r="AW27" s="10">
        <f t="shared" si="9"/>
        <v>1.1414686211197177E-7</v>
      </c>
      <c r="AZ27" s="6">
        <f t="shared" si="1"/>
        <v>4.3579799908578298</v>
      </c>
      <c r="BA27" s="6">
        <f t="shared" si="10"/>
        <v>8.7159599817156597E-2</v>
      </c>
      <c r="BK27">
        <f t="shared" si="11"/>
        <v>151.83160960632623</v>
      </c>
      <c r="BL27">
        <f t="shared" si="12"/>
        <v>1.0070817925030662</v>
      </c>
      <c r="BM27">
        <f t="shared" si="13"/>
        <v>153.72160960632624</v>
      </c>
      <c r="BN27">
        <f t="shared" si="14"/>
        <v>0.97546551801739201</v>
      </c>
    </row>
    <row r="28" spans="1:66" x14ac:dyDescent="0.35">
      <c r="A28">
        <v>1000</v>
      </c>
      <c r="B28">
        <v>159.5</v>
      </c>
      <c r="C28">
        <v>0.04</v>
      </c>
      <c r="D28" s="2">
        <f t="shared" si="15"/>
        <v>0.25797500000000001</v>
      </c>
      <c r="G28">
        <v>10</v>
      </c>
      <c r="H28">
        <v>5.3890000000000002</v>
      </c>
      <c r="I28">
        <v>1E-3</v>
      </c>
      <c r="J28" s="3">
        <f t="shared" si="2"/>
        <v>5.8083500000000003E-3</v>
      </c>
      <c r="P28">
        <v>1000</v>
      </c>
      <c r="Q28">
        <v>160.57</v>
      </c>
      <c r="R28">
        <v>0.05</v>
      </c>
      <c r="S28" s="2">
        <f t="shared" si="3"/>
        <v>0.25802849999999999</v>
      </c>
      <c r="U28">
        <v>10</v>
      </c>
      <c r="V28">
        <v>7.4729999999999999</v>
      </c>
      <c r="W28">
        <v>1E-3</v>
      </c>
      <c r="X28" s="3">
        <f t="shared" si="4"/>
        <v>6.12095E-3</v>
      </c>
      <c r="BK28">
        <f t="shared" si="11"/>
        <v>162.32160960632623</v>
      </c>
      <c r="BL28">
        <f t="shared" si="12"/>
        <v>1.0072160033805753</v>
      </c>
      <c r="BM28">
        <f t="shared" si="13"/>
        <v>163.39160960632623</v>
      </c>
      <c r="BN28">
        <f t="shared" si="14"/>
        <v>0.97490152161176713</v>
      </c>
    </row>
    <row r="29" spans="1:66" x14ac:dyDescent="0.35">
      <c r="A29">
        <v>1000</v>
      </c>
      <c r="B29">
        <v>170.63</v>
      </c>
      <c r="C29">
        <v>0.05</v>
      </c>
      <c r="D29" s="2">
        <f t="shared" si="15"/>
        <v>0.25853150000000003</v>
      </c>
      <c r="G29">
        <v>10</v>
      </c>
      <c r="H29">
        <v>5.726</v>
      </c>
      <c r="I29">
        <v>1E-3</v>
      </c>
      <c r="J29" s="3">
        <f t="shared" si="2"/>
        <v>5.8589000000000002E-3</v>
      </c>
      <c r="P29">
        <v>1000</v>
      </c>
      <c r="Q29">
        <v>170.03</v>
      </c>
      <c r="R29">
        <v>0.05</v>
      </c>
      <c r="S29" s="2">
        <f t="shared" si="3"/>
        <v>0.2585015</v>
      </c>
      <c r="U29">
        <v>10</v>
      </c>
      <c r="V29">
        <v>8.0429999999999993</v>
      </c>
      <c r="W29">
        <v>2E-3</v>
      </c>
      <c r="X29" s="3">
        <f t="shared" si="4"/>
        <v>6.2064499999999996E-3</v>
      </c>
      <c r="BK29">
        <f t="shared" si="11"/>
        <v>173.45160960632623</v>
      </c>
      <c r="BL29">
        <f t="shared" si="12"/>
        <v>1.0073586815693747</v>
      </c>
      <c r="BM29">
        <f t="shared" si="13"/>
        <v>172.85160960632624</v>
      </c>
      <c r="BN29">
        <f t="shared" si="14"/>
        <v>0.97490152161176713</v>
      </c>
    </row>
    <row r="30" spans="1:66" x14ac:dyDescent="0.35">
      <c r="A30">
        <v>1000</v>
      </c>
      <c r="B30">
        <v>181.83</v>
      </c>
      <c r="C30">
        <v>0.05</v>
      </c>
      <c r="D30" s="2">
        <f t="shared" si="15"/>
        <v>0.25909149999999997</v>
      </c>
      <c r="G30">
        <v>10</v>
      </c>
      <c r="H30">
        <v>6.0449999999999999</v>
      </c>
      <c r="I30">
        <v>1E-3</v>
      </c>
      <c r="J30" s="3">
        <f t="shared" si="2"/>
        <v>5.9067499999999997E-3</v>
      </c>
      <c r="P30">
        <v>1000</v>
      </c>
      <c r="Q30">
        <v>180.38</v>
      </c>
      <c r="R30">
        <v>0.05</v>
      </c>
      <c r="S30" s="2">
        <f t="shared" si="3"/>
        <v>0.259019</v>
      </c>
      <c r="U30">
        <v>10</v>
      </c>
      <c r="V30">
        <v>8.6760000000000002</v>
      </c>
      <c r="W30">
        <v>2E-3</v>
      </c>
      <c r="X30" s="3">
        <f t="shared" si="4"/>
        <v>6.3014000000000004E-3</v>
      </c>
      <c r="AH30" t="s">
        <v>19</v>
      </c>
      <c r="AI30" t="s">
        <v>20</v>
      </c>
      <c r="BK30">
        <f t="shared" si="11"/>
        <v>184.65160960632625</v>
      </c>
      <c r="BL30">
        <f t="shared" si="12"/>
        <v>1.0075025470008445</v>
      </c>
      <c r="BM30">
        <f t="shared" si="13"/>
        <v>183.20160960632623</v>
      </c>
      <c r="BN30">
        <f t="shared" si="14"/>
        <v>0.97490152161176713</v>
      </c>
    </row>
    <row r="31" spans="1:66" x14ac:dyDescent="0.35">
      <c r="A31">
        <v>1000</v>
      </c>
      <c r="B31">
        <v>190.13</v>
      </c>
      <c r="C31">
        <v>0.04</v>
      </c>
      <c r="D31" s="2">
        <f t="shared" si="15"/>
        <v>0.25950649999999997</v>
      </c>
      <c r="G31">
        <v>10</v>
      </c>
      <c r="H31">
        <v>6.2649999999999997</v>
      </c>
      <c r="I31">
        <v>1E-3</v>
      </c>
      <c r="J31" s="3">
        <f t="shared" si="2"/>
        <v>5.9397499999999997E-3</v>
      </c>
      <c r="P31">
        <v>1000</v>
      </c>
      <c r="Q31">
        <v>189.52</v>
      </c>
      <c r="R31">
        <v>0.06</v>
      </c>
      <c r="S31" s="2">
        <f t="shared" si="3"/>
        <v>0.25947599999999998</v>
      </c>
      <c r="U31">
        <v>10</v>
      </c>
      <c r="V31">
        <v>9.2319999999999993</v>
      </c>
      <c r="W31">
        <v>5.0000000000000001E-3</v>
      </c>
      <c r="X31" s="3">
        <f t="shared" si="4"/>
        <v>6.3847999999999995E-3</v>
      </c>
      <c r="BK31">
        <f t="shared" si="11"/>
        <v>192.95160960632623</v>
      </c>
      <c r="BL31">
        <f t="shared" si="12"/>
        <v>1.0076093490947715</v>
      </c>
      <c r="BM31">
        <f t="shared" si="13"/>
        <v>192.34160960632624</v>
      </c>
      <c r="BN31">
        <f t="shared" si="14"/>
        <v>0.97546551801739201</v>
      </c>
    </row>
    <row r="32" spans="1:66" x14ac:dyDescent="0.35">
      <c r="A32">
        <v>1000</v>
      </c>
      <c r="B32">
        <v>201.09</v>
      </c>
      <c r="C32">
        <v>0.03</v>
      </c>
      <c r="D32" s="2">
        <f t="shared" si="15"/>
        <v>0.26005450000000002</v>
      </c>
      <c r="G32">
        <v>10</v>
      </c>
      <c r="H32">
        <v>6.5309999999999997</v>
      </c>
      <c r="I32">
        <v>1E-3</v>
      </c>
      <c r="J32" s="3">
        <f t="shared" si="2"/>
        <v>5.9796499999999995E-3</v>
      </c>
      <c r="P32">
        <v>1000</v>
      </c>
      <c r="Q32">
        <v>200.73</v>
      </c>
      <c r="R32">
        <v>0.04</v>
      </c>
      <c r="S32" s="2">
        <f t="shared" si="3"/>
        <v>0.2600365</v>
      </c>
      <c r="U32">
        <v>10</v>
      </c>
      <c r="V32">
        <v>9.9269999999999996</v>
      </c>
      <c r="W32">
        <v>3.0000000000000001E-3</v>
      </c>
      <c r="X32" s="3">
        <f t="shared" si="4"/>
        <v>6.4890499999999997E-3</v>
      </c>
      <c r="BK32">
        <f t="shared" si="11"/>
        <v>203.91160960632624</v>
      </c>
      <c r="BL32">
        <f t="shared" si="12"/>
        <v>1.0077506238207887</v>
      </c>
      <c r="BM32">
        <f t="shared" si="13"/>
        <v>203.55160960632622</v>
      </c>
      <c r="BN32">
        <f t="shared" si="14"/>
        <v>0.9744398272037833</v>
      </c>
    </row>
    <row r="33" spans="1:66" x14ac:dyDescent="0.35">
      <c r="A33">
        <v>1000</v>
      </c>
      <c r="B33">
        <v>211.46</v>
      </c>
      <c r="C33">
        <v>0.05</v>
      </c>
      <c r="D33" s="2">
        <f t="shared" si="15"/>
        <v>0.260573</v>
      </c>
      <c r="G33">
        <v>10</v>
      </c>
      <c r="H33">
        <v>6.7560000000000002</v>
      </c>
      <c r="I33">
        <v>1E-3</v>
      </c>
      <c r="J33" s="3">
        <f t="shared" si="2"/>
        <v>6.0134000000000003E-3</v>
      </c>
      <c r="P33">
        <v>1000</v>
      </c>
      <c r="Q33">
        <v>210.8</v>
      </c>
      <c r="R33">
        <v>0.03</v>
      </c>
      <c r="S33" s="2">
        <f t="shared" si="3"/>
        <v>0.26053999999999999</v>
      </c>
      <c r="U33">
        <v>10</v>
      </c>
      <c r="V33">
        <v>10.545</v>
      </c>
      <c r="W33">
        <v>1E-3</v>
      </c>
      <c r="X33" s="3">
        <f t="shared" si="4"/>
        <v>6.5817499999999999E-3</v>
      </c>
      <c r="BK33">
        <f t="shared" si="11"/>
        <v>214.28160960632624</v>
      </c>
      <c r="BL33">
        <f t="shared" si="12"/>
        <v>1.0078845495243682</v>
      </c>
      <c r="BM33">
        <f t="shared" si="13"/>
        <v>213.62160960632625</v>
      </c>
      <c r="BN33">
        <f t="shared" si="14"/>
        <v>0.97408058026065736</v>
      </c>
    </row>
    <row r="34" spans="1:66" x14ac:dyDescent="0.35">
      <c r="A34">
        <v>1000</v>
      </c>
      <c r="B34">
        <v>220.85</v>
      </c>
      <c r="C34">
        <v>0.05</v>
      </c>
      <c r="D34" s="2">
        <f t="shared" si="15"/>
        <v>0.26104250000000001</v>
      </c>
      <c r="G34">
        <v>10</v>
      </c>
      <c r="H34">
        <v>6.9409999999999998</v>
      </c>
      <c r="I34">
        <v>1E-3</v>
      </c>
      <c r="J34" s="3">
        <f t="shared" si="2"/>
        <v>6.0411500000000003E-3</v>
      </c>
      <c r="P34">
        <v>1000</v>
      </c>
      <c r="Q34">
        <v>218.67</v>
      </c>
      <c r="R34">
        <v>0.05</v>
      </c>
      <c r="S34" s="2">
        <f t="shared" si="3"/>
        <v>0.26093349999999998</v>
      </c>
      <c r="U34">
        <v>10</v>
      </c>
      <c r="V34">
        <v>11.035</v>
      </c>
      <c r="W34">
        <v>2E-3</v>
      </c>
      <c r="X34" s="3">
        <f t="shared" si="4"/>
        <v>6.6552499999999997E-3</v>
      </c>
      <c r="BK34">
        <f t="shared" si="11"/>
        <v>223.67160960632623</v>
      </c>
      <c r="BL34">
        <f t="shared" si="12"/>
        <v>1.0080060335370959</v>
      </c>
      <c r="BM34">
        <f t="shared" si="13"/>
        <v>221.49160960632622</v>
      </c>
      <c r="BN34">
        <f t="shared" si="14"/>
        <v>0.97490152161176713</v>
      </c>
    </row>
    <row r="35" spans="1:66" x14ac:dyDescent="0.35">
      <c r="A35">
        <v>1000</v>
      </c>
      <c r="B35">
        <v>231.85</v>
      </c>
      <c r="C35">
        <v>0.05</v>
      </c>
      <c r="D35" s="2">
        <f t="shared" si="15"/>
        <v>0.26159250000000001</v>
      </c>
      <c r="G35">
        <v>10</v>
      </c>
      <c r="H35">
        <v>7.1280000000000001</v>
      </c>
      <c r="I35">
        <v>1E-3</v>
      </c>
      <c r="J35" s="3">
        <f t="shared" si="2"/>
        <v>6.0692000000000003E-3</v>
      </c>
      <c r="P35">
        <v>1000</v>
      </c>
      <c r="Q35">
        <v>230.29</v>
      </c>
      <c r="R35">
        <v>0.05</v>
      </c>
      <c r="S35" s="2">
        <f t="shared" si="3"/>
        <v>0.26151449999999998</v>
      </c>
      <c r="U35">
        <v>10</v>
      </c>
      <c r="V35">
        <v>11.746</v>
      </c>
      <c r="W35">
        <v>2E-3</v>
      </c>
      <c r="X35" s="3">
        <f t="shared" si="4"/>
        <v>6.7618999999999995E-3</v>
      </c>
      <c r="BK35">
        <f t="shared" si="11"/>
        <v>234.67160960632623</v>
      </c>
      <c r="BL35">
        <f t="shared" si="12"/>
        <v>1.0081486065542069</v>
      </c>
      <c r="BM35">
        <f t="shared" si="13"/>
        <v>233.11160960632623</v>
      </c>
      <c r="BN35">
        <f t="shared" si="14"/>
        <v>0.97490152161176713</v>
      </c>
    </row>
    <row r="36" spans="1:66" x14ac:dyDescent="0.35">
      <c r="A36">
        <v>1000</v>
      </c>
      <c r="B36">
        <v>239.02</v>
      </c>
      <c r="C36">
        <v>0.06</v>
      </c>
      <c r="D36" s="2">
        <f t="shared" si="15"/>
        <v>0.26195099999999999</v>
      </c>
      <c r="G36">
        <v>10</v>
      </c>
      <c r="H36">
        <v>7.25</v>
      </c>
      <c r="I36">
        <v>1E-3</v>
      </c>
      <c r="J36" s="3">
        <f t="shared" si="2"/>
        <v>6.0875E-3</v>
      </c>
      <c r="P36">
        <v>1000</v>
      </c>
      <c r="Q36">
        <v>240.4</v>
      </c>
      <c r="R36">
        <v>0.05</v>
      </c>
      <c r="S36" s="2">
        <f t="shared" si="3"/>
        <v>0.26201999999999998</v>
      </c>
      <c r="U36">
        <v>100</v>
      </c>
      <c r="V36">
        <v>12.39</v>
      </c>
      <c r="W36">
        <v>3.0000000000000001E-3</v>
      </c>
      <c r="X36" s="4">
        <f>0.0005*100+0.00005*V36</f>
        <v>5.0619500000000005E-2</v>
      </c>
      <c r="BK36">
        <f t="shared" si="11"/>
        <v>241.84160960632624</v>
      </c>
      <c r="BL36">
        <f t="shared" si="12"/>
        <v>1.0082416889029826</v>
      </c>
      <c r="BM36">
        <f t="shared" si="13"/>
        <v>243.22160960632624</v>
      </c>
      <c r="BN36">
        <f t="shared" si="14"/>
        <v>0.97490152161176713</v>
      </c>
    </row>
    <row r="37" spans="1:66" x14ac:dyDescent="0.35">
      <c r="A37">
        <v>1000</v>
      </c>
      <c r="B37">
        <v>250.5</v>
      </c>
      <c r="C37">
        <v>0.1</v>
      </c>
      <c r="D37" s="2">
        <f t="shared" si="15"/>
        <v>0.26252500000000001</v>
      </c>
      <c r="G37">
        <v>10</v>
      </c>
      <c r="H37">
        <v>7.4249999999999998</v>
      </c>
      <c r="I37">
        <v>1E-3</v>
      </c>
      <c r="J37" s="3">
        <f t="shared" si="2"/>
        <v>6.1137500000000003E-3</v>
      </c>
      <c r="P37">
        <v>1000</v>
      </c>
      <c r="Q37">
        <v>250.4</v>
      </c>
      <c r="R37">
        <v>0.05</v>
      </c>
      <c r="S37" s="2">
        <f t="shared" si="3"/>
        <v>0.26251999999999998</v>
      </c>
      <c r="U37">
        <v>100</v>
      </c>
      <c r="V37">
        <v>13</v>
      </c>
      <c r="W37">
        <v>3.0000000000000001E-3</v>
      </c>
      <c r="X37" s="4">
        <f t="shared" ref="X37:X62" si="17">0.0005*100+0.00005*V37</f>
        <v>5.0650000000000001E-2</v>
      </c>
      <c r="BK37">
        <f t="shared" si="11"/>
        <v>253.32160960632623</v>
      </c>
      <c r="BL37">
        <f t="shared" si="12"/>
        <v>1.0083909720271889</v>
      </c>
      <c r="BM37">
        <f t="shared" si="13"/>
        <v>253.22160960632624</v>
      </c>
      <c r="BN37">
        <f t="shared" si="14"/>
        <v>0.97490152161176713</v>
      </c>
    </row>
    <row r="38" spans="1:66" x14ac:dyDescent="0.35">
      <c r="A38">
        <v>1000</v>
      </c>
      <c r="B38">
        <v>260.39</v>
      </c>
      <c r="C38">
        <v>0.05</v>
      </c>
      <c r="D38" s="2">
        <f t="shared" si="15"/>
        <v>0.26301950000000002</v>
      </c>
      <c r="G38">
        <v>10</v>
      </c>
      <c r="H38">
        <v>7.59</v>
      </c>
      <c r="I38">
        <v>1E-3</v>
      </c>
      <c r="J38" s="3">
        <f t="shared" si="2"/>
        <v>6.1384999999999999E-3</v>
      </c>
      <c r="P38">
        <v>1000</v>
      </c>
      <c r="Q38">
        <v>259.98</v>
      </c>
      <c r="R38">
        <v>0.05</v>
      </c>
      <c r="S38" s="2">
        <f t="shared" si="3"/>
        <v>0.26299899999999998</v>
      </c>
      <c r="U38">
        <v>100</v>
      </c>
      <c r="V38">
        <v>13.595000000000001</v>
      </c>
      <c r="W38">
        <v>2E-3</v>
      </c>
      <c r="X38" s="4">
        <f t="shared" si="17"/>
        <v>5.0679750000000003E-2</v>
      </c>
      <c r="BK38">
        <f t="shared" si="11"/>
        <v>263.21160960632625</v>
      </c>
      <c r="BL38">
        <f t="shared" si="12"/>
        <v>1.0085198234150823</v>
      </c>
      <c r="BM38">
        <f t="shared" si="13"/>
        <v>262.80160960632628</v>
      </c>
      <c r="BN38">
        <f t="shared" si="14"/>
        <v>0.97490152161176713</v>
      </c>
    </row>
    <row r="39" spans="1:66" x14ac:dyDescent="0.35">
      <c r="A39">
        <v>1000</v>
      </c>
      <c r="B39">
        <v>271.16000000000003</v>
      </c>
      <c r="C39">
        <v>0.05</v>
      </c>
      <c r="D39" s="2">
        <f t="shared" si="15"/>
        <v>0.26355800000000001</v>
      </c>
      <c r="G39">
        <v>10</v>
      </c>
      <c r="H39">
        <v>7.907</v>
      </c>
      <c r="I39">
        <v>1E-3</v>
      </c>
      <c r="J39" s="3">
        <f t="shared" si="2"/>
        <v>6.1860500000000002E-3</v>
      </c>
      <c r="P39">
        <v>1000</v>
      </c>
      <c r="Q39">
        <v>270.39999999999998</v>
      </c>
      <c r="R39">
        <v>0.04</v>
      </c>
      <c r="S39" s="2">
        <f t="shared" si="3"/>
        <v>0.26351999999999998</v>
      </c>
      <c r="U39">
        <v>100</v>
      </c>
      <c r="V39">
        <v>14.231999999999999</v>
      </c>
      <c r="W39">
        <v>3.0000000000000001E-3</v>
      </c>
      <c r="X39" s="4">
        <f t="shared" si="17"/>
        <v>5.0711600000000003E-2</v>
      </c>
      <c r="BK39">
        <f t="shared" si="11"/>
        <v>273.98160960632629</v>
      </c>
      <c r="BL39">
        <f t="shared" si="12"/>
        <v>1.0086603968655352</v>
      </c>
      <c r="BM39">
        <f t="shared" si="13"/>
        <v>273.22160960632624</v>
      </c>
      <c r="BN39">
        <f t="shared" si="14"/>
        <v>0.9744398272037833</v>
      </c>
    </row>
    <row r="40" spans="1:66" x14ac:dyDescent="0.35">
      <c r="A40">
        <v>1000</v>
      </c>
      <c r="B40">
        <v>280.62</v>
      </c>
      <c r="C40">
        <v>0.05</v>
      </c>
      <c r="D40" s="2">
        <f t="shared" si="15"/>
        <v>0.26403100000000002</v>
      </c>
      <c r="G40">
        <v>10</v>
      </c>
      <c r="H40">
        <v>8.0020000000000007</v>
      </c>
      <c r="I40">
        <v>1E-3</v>
      </c>
      <c r="J40" s="3">
        <f t="shared" si="2"/>
        <v>6.2003000000000006E-3</v>
      </c>
      <c r="P40">
        <v>1000</v>
      </c>
      <c r="Q40">
        <v>279.33</v>
      </c>
      <c r="R40">
        <v>0.04</v>
      </c>
      <c r="S40" s="2">
        <f t="shared" si="3"/>
        <v>0.26396649999999999</v>
      </c>
      <c r="U40">
        <v>100</v>
      </c>
      <c r="V40">
        <v>14.772</v>
      </c>
      <c r="W40">
        <v>2E-3</v>
      </c>
      <c r="X40" s="4">
        <f t="shared" si="17"/>
        <v>5.0738600000000002E-2</v>
      </c>
      <c r="BK40">
        <f t="shared" si="11"/>
        <v>283.44160960632627</v>
      </c>
      <c r="BL40">
        <f t="shared" si="12"/>
        <v>1.0087840927581773</v>
      </c>
      <c r="BM40">
        <f t="shared" si="13"/>
        <v>282.15160960632625</v>
      </c>
      <c r="BN40">
        <f t="shared" si="14"/>
        <v>0.9744398272037833</v>
      </c>
    </row>
    <row r="41" spans="1:66" x14ac:dyDescent="0.35">
      <c r="A41">
        <v>1000</v>
      </c>
      <c r="B41">
        <v>291.43</v>
      </c>
      <c r="C41">
        <v>0.05</v>
      </c>
      <c r="D41" s="2">
        <f t="shared" si="15"/>
        <v>0.26457150000000001</v>
      </c>
      <c r="G41">
        <v>10</v>
      </c>
      <c r="H41">
        <v>8.1</v>
      </c>
      <c r="I41">
        <v>3.0000000000000001E-3</v>
      </c>
      <c r="J41" s="3">
        <f t="shared" si="2"/>
        <v>6.215E-3</v>
      </c>
      <c r="P41">
        <v>1000</v>
      </c>
      <c r="Q41">
        <v>290.85000000000002</v>
      </c>
      <c r="R41">
        <v>0.05</v>
      </c>
      <c r="S41" s="2">
        <f t="shared" si="3"/>
        <v>0.26454250000000001</v>
      </c>
      <c r="U41">
        <v>100</v>
      </c>
      <c r="V41">
        <v>15.474</v>
      </c>
      <c r="W41">
        <v>2E-3</v>
      </c>
      <c r="X41" s="4">
        <f t="shared" si="17"/>
        <v>5.0773700000000005E-2</v>
      </c>
      <c r="BK41">
        <f t="shared" si="11"/>
        <v>294.25160960632627</v>
      </c>
      <c r="BL41">
        <f t="shared" si="12"/>
        <v>1.0089256937223816</v>
      </c>
      <c r="BM41">
        <f t="shared" si="13"/>
        <v>293.67160960632629</v>
      </c>
      <c r="BN41">
        <f t="shared" si="14"/>
        <v>0.97490152161176713</v>
      </c>
    </row>
    <row r="42" spans="1:66" x14ac:dyDescent="0.35">
      <c r="A42">
        <v>1000</v>
      </c>
      <c r="B42">
        <v>300.55</v>
      </c>
      <c r="C42">
        <v>0.05</v>
      </c>
      <c r="D42" s="2">
        <f t="shared" si="15"/>
        <v>0.26502750000000003</v>
      </c>
      <c r="G42">
        <v>10</v>
      </c>
      <c r="H42">
        <v>8.1430000000000007</v>
      </c>
      <c r="I42">
        <v>1E-3</v>
      </c>
      <c r="J42" s="3">
        <f t="shared" si="2"/>
        <v>6.2214499999999999E-3</v>
      </c>
      <c r="P42">
        <v>1000</v>
      </c>
      <c r="Q42">
        <v>299.8</v>
      </c>
      <c r="R42">
        <v>0.05</v>
      </c>
      <c r="S42" s="2">
        <f t="shared" si="3"/>
        <v>0.26499</v>
      </c>
      <c r="U42">
        <v>100</v>
      </c>
      <c r="V42">
        <v>16.013000000000002</v>
      </c>
      <c r="W42">
        <v>2E-3</v>
      </c>
      <c r="X42" s="4">
        <f t="shared" si="17"/>
        <v>5.0800650000000003E-2</v>
      </c>
      <c r="BK42">
        <f t="shared" si="11"/>
        <v>303.37160960632627</v>
      </c>
      <c r="BL42">
        <f t="shared" si="12"/>
        <v>1.0090453669668122</v>
      </c>
      <c r="BM42">
        <f t="shared" si="13"/>
        <v>302.62160960632627</v>
      </c>
      <c r="BN42">
        <f t="shared" si="14"/>
        <v>0.97490152161176713</v>
      </c>
    </row>
    <row r="43" spans="1:66" x14ac:dyDescent="0.35">
      <c r="A43">
        <v>1000</v>
      </c>
      <c r="B43">
        <v>310.81</v>
      </c>
      <c r="C43">
        <v>0.05</v>
      </c>
      <c r="D43" s="2">
        <f t="shared" si="15"/>
        <v>0.26554050000000001</v>
      </c>
      <c r="G43">
        <v>10</v>
      </c>
      <c r="H43">
        <v>8.2279999999999998</v>
      </c>
      <c r="I43">
        <v>1E-3</v>
      </c>
      <c r="J43" s="3">
        <f t="shared" si="2"/>
        <v>6.2341999999999996E-3</v>
      </c>
      <c r="P43">
        <v>1000</v>
      </c>
      <c r="Q43">
        <v>310.52999999999997</v>
      </c>
      <c r="R43">
        <v>0.05</v>
      </c>
      <c r="S43" s="2">
        <f t="shared" si="3"/>
        <v>0.2655265</v>
      </c>
      <c r="U43">
        <v>100</v>
      </c>
      <c r="V43">
        <v>16.649999999999999</v>
      </c>
      <c r="W43">
        <v>2E-3</v>
      </c>
      <c r="X43" s="4">
        <f t="shared" si="17"/>
        <v>5.0832500000000003E-2</v>
      </c>
      <c r="BK43">
        <f t="shared" si="11"/>
        <v>313.63160960632626</v>
      </c>
      <c r="BL43">
        <f t="shared" si="12"/>
        <v>1.0091802286911833</v>
      </c>
      <c r="BM43">
        <f t="shared" si="13"/>
        <v>313.35160960632624</v>
      </c>
      <c r="BN43">
        <f t="shared" si="14"/>
        <v>0.97490152161176713</v>
      </c>
    </row>
    <row r="44" spans="1:66" x14ac:dyDescent="0.35">
      <c r="A44">
        <v>1000</v>
      </c>
      <c r="B44">
        <v>321.39</v>
      </c>
      <c r="C44">
        <v>0.05</v>
      </c>
      <c r="D44" s="2">
        <f t="shared" si="15"/>
        <v>0.26606950000000001</v>
      </c>
      <c r="G44">
        <v>10</v>
      </c>
      <c r="H44">
        <v>8.2799999999999994</v>
      </c>
      <c r="I44">
        <v>1E-3</v>
      </c>
      <c r="J44" s="3">
        <f t="shared" si="2"/>
        <v>6.2420000000000002E-3</v>
      </c>
      <c r="P44">
        <v>1000</v>
      </c>
      <c r="Q44">
        <v>320.47000000000003</v>
      </c>
      <c r="R44">
        <v>0.04</v>
      </c>
      <c r="S44" s="2">
        <f t="shared" si="3"/>
        <v>0.26602350000000002</v>
      </c>
      <c r="U44">
        <v>100</v>
      </c>
      <c r="V44">
        <v>17.234999999999999</v>
      </c>
      <c r="W44">
        <v>2E-3</v>
      </c>
      <c r="X44" s="4">
        <f t="shared" si="17"/>
        <v>5.0861750000000004E-2</v>
      </c>
      <c r="BK44">
        <f t="shared" si="11"/>
        <v>324.21160960632625</v>
      </c>
      <c r="BL44">
        <f t="shared" si="12"/>
        <v>1.009319550821834</v>
      </c>
      <c r="BM44">
        <f t="shared" si="13"/>
        <v>323.29160960632629</v>
      </c>
      <c r="BN44">
        <f t="shared" si="14"/>
        <v>0.9744398272037833</v>
      </c>
    </row>
    <row r="45" spans="1:66" x14ac:dyDescent="0.35">
      <c r="A45">
        <v>1000</v>
      </c>
      <c r="B45">
        <v>331.85</v>
      </c>
      <c r="C45">
        <v>0.06</v>
      </c>
      <c r="D45" s="2">
        <f t="shared" si="15"/>
        <v>0.26659250000000001</v>
      </c>
      <c r="G45">
        <v>10</v>
      </c>
      <c r="H45">
        <v>8.3420000000000005</v>
      </c>
      <c r="I45">
        <v>1E-3</v>
      </c>
      <c r="J45" s="3">
        <f t="shared" si="2"/>
        <v>6.2512999999999996E-3</v>
      </c>
      <c r="P45">
        <v>1000</v>
      </c>
      <c r="Q45">
        <v>330.2</v>
      </c>
      <c r="R45">
        <v>0.03</v>
      </c>
      <c r="S45" s="2">
        <f t="shared" si="3"/>
        <v>0.26651000000000002</v>
      </c>
      <c r="U45">
        <v>100</v>
      </c>
      <c r="V45">
        <v>17.798999999999999</v>
      </c>
      <c r="W45">
        <v>2E-3</v>
      </c>
      <c r="X45" s="4">
        <f t="shared" si="17"/>
        <v>5.0889950000000003E-2</v>
      </c>
      <c r="BK45">
        <f t="shared" si="11"/>
        <v>334.67160960632629</v>
      </c>
      <c r="BL45">
        <f t="shared" si="12"/>
        <v>1.0094575463570465</v>
      </c>
      <c r="BM45">
        <f t="shared" si="13"/>
        <v>333.02160960632625</v>
      </c>
      <c r="BN45">
        <f t="shared" si="14"/>
        <v>0.97408058026065736</v>
      </c>
    </row>
    <row r="46" spans="1:66" x14ac:dyDescent="0.35">
      <c r="A46">
        <v>1000</v>
      </c>
      <c r="B46">
        <v>341.01</v>
      </c>
      <c r="C46">
        <v>0.03</v>
      </c>
      <c r="D46" s="2">
        <f t="shared" si="15"/>
        <v>0.26705050000000002</v>
      </c>
      <c r="G46">
        <v>10</v>
      </c>
      <c r="H46">
        <v>8.3849999999999998</v>
      </c>
      <c r="I46">
        <v>1E-3</v>
      </c>
      <c r="J46" s="3">
        <f t="shared" si="2"/>
        <v>6.2577499999999994E-3</v>
      </c>
      <c r="P46">
        <v>1000</v>
      </c>
      <c r="Q46">
        <v>339.88</v>
      </c>
      <c r="R46">
        <v>0.04</v>
      </c>
      <c r="S46" s="2">
        <f t="shared" si="3"/>
        <v>0.26699400000000001</v>
      </c>
      <c r="U46">
        <v>100</v>
      </c>
      <c r="V46">
        <v>18.353000000000002</v>
      </c>
      <c r="W46">
        <v>1E-3</v>
      </c>
      <c r="X46" s="4">
        <f t="shared" si="17"/>
        <v>5.0917650000000002E-2</v>
      </c>
      <c r="BK46">
        <f t="shared" si="11"/>
        <v>343.83160960632625</v>
      </c>
      <c r="BL46">
        <f t="shared" si="12"/>
        <v>1.009578598421732</v>
      </c>
      <c r="BM46">
        <f t="shared" si="13"/>
        <v>342.70160960632626</v>
      </c>
      <c r="BN46">
        <f t="shared" si="14"/>
        <v>0.9744398272037833</v>
      </c>
    </row>
    <row r="47" spans="1:66" x14ac:dyDescent="0.35">
      <c r="A47">
        <v>1000</v>
      </c>
      <c r="B47">
        <v>350.76</v>
      </c>
      <c r="C47">
        <v>0.05</v>
      </c>
      <c r="D47" s="2">
        <f t="shared" si="15"/>
        <v>0.267538</v>
      </c>
      <c r="G47">
        <v>10</v>
      </c>
      <c r="H47">
        <v>8.4220000000000006</v>
      </c>
      <c r="I47">
        <v>1E-3</v>
      </c>
      <c r="J47" s="3">
        <f t="shared" si="2"/>
        <v>6.2633000000000003E-3</v>
      </c>
      <c r="P47">
        <v>1000</v>
      </c>
      <c r="Q47">
        <v>350.4</v>
      </c>
      <c r="R47">
        <v>0.02</v>
      </c>
      <c r="S47" s="2">
        <f t="shared" si="3"/>
        <v>0.26751999999999998</v>
      </c>
      <c r="U47">
        <v>100</v>
      </c>
      <c r="V47">
        <v>18.943999999999999</v>
      </c>
      <c r="W47">
        <v>3.0000000000000001E-3</v>
      </c>
      <c r="X47" s="4">
        <f t="shared" si="17"/>
        <v>5.0947200000000005E-2</v>
      </c>
      <c r="BK47">
        <f t="shared" si="11"/>
        <v>353.58160960632625</v>
      </c>
      <c r="BL47">
        <f t="shared" si="12"/>
        <v>1.0097076598129475</v>
      </c>
      <c r="BM47">
        <f t="shared" si="13"/>
        <v>353.22160960632624</v>
      </c>
      <c r="BN47">
        <f t="shared" si="14"/>
        <v>0.97382389416204962</v>
      </c>
    </row>
    <row r="48" spans="1:66" x14ac:dyDescent="0.35">
      <c r="A48">
        <v>1000</v>
      </c>
      <c r="B48">
        <v>360.23</v>
      </c>
      <c r="C48">
        <v>0.05</v>
      </c>
      <c r="D48" s="2">
        <f t="shared" si="15"/>
        <v>0.26801150000000001</v>
      </c>
      <c r="G48">
        <v>10</v>
      </c>
      <c r="H48">
        <v>8.4450000000000003</v>
      </c>
      <c r="I48">
        <v>1E-3</v>
      </c>
      <c r="J48" s="3">
        <f t="shared" si="2"/>
        <v>6.2667499999999998E-3</v>
      </c>
      <c r="P48">
        <v>1000</v>
      </c>
      <c r="Q48">
        <v>359.63</v>
      </c>
      <c r="R48">
        <v>0.04</v>
      </c>
      <c r="S48" s="2">
        <f t="shared" si="3"/>
        <v>0.26798149999999998</v>
      </c>
      <c r="U48">
        <v>100</v>
      </c>
      <c r="V48">
        <v>19.452000000000002</v>
      </c>
      <c r="W48">
        <v>3.0000000000000001E-3</v>
      </c>
      <c r="X48" s="4">
        <f t="shared" si="17"/>
        <v>5.09726E-2</v>
      </c>
      <c r="BK48">
        <f t="shared" si="11"/>
        <v>363.05160960632628</v>
      </c>
      <c r="BL48">
        <f t="shared" si="12"/>
        <v>1.0098332243361716</v>
      </c>
      <c r="BM48">
        <f t="shared" si="13"/>
        <v>362.45160960632626</v>
      </c>
      <c r="BN48">
        <f t="shared" si="14"/>
        <v>0.9744398272037833</v>
      </c>
    </row>
    <row r="49" spans="1:66" x14ac:dyDescent="0.35">
      <c r="A49">
        <v>1000</v>
      </c>
      <c r="B49">
        <v>370.69</v>
      </c>
      <c r="C49">
        <v>0.05</v>
      </c>
      <c r="D49" s="2">
        <f t="shared" si="15"/>
        <v>0.26853450000000001</v>
      </c>
      <c r="G49">
        <v>10</v>
      </c>
      <c r="H49">
        <v>8.4719999999999995</v>
      </c>
      <c r="I49">
        <v>1E-3</v>
      </c>
      <c r="J49" s="3">
        <f t="shared" si="2"/>
        <v>6.2708E-3</v>
      </c>
      <c r="P49">
        <v>1000</v>
      </c>
      <c r="Q49">
        <v>370.37</v>
      </c>
      <c r="R49">
        <v>0.04</v>
      </c>
      <c r="S49" s="2">
        <f t="shared" si="3"/>
        <v>0.26851849999999999</v>
      </c>
      <c r="U49">
        <v>100</v>
      </c>
      <c r="V49">
        <v>20.032</v>
      </c>
      <c r="W49">
        <v>2E-3</v>
      </c>
      <c r="X49" s="4">
        <f t="shared" si="17"/>
        <v>5.1001600000000001E-2</v>
      </c>
      <c r="BK49">
        <f t="shared" si="11"/>
        <v>373.51160960632626</v>
      </c>
      <c r="BL49">
        <f t="shared" si="12"/>
        <v>1.0099721553246845</v>
      </c>
      <c r="BM49">
        <f t="shared" si="13"/>
        <v>373.19160960632627</v>
      </c>
      <c r="BN49">
        <f t="shared" si="14"/>
        <v>0.9744398272037833</v>
      </c>
    </row>
    <row r="50" spans="1:66" x14ac:dyDescent="0.35">
      <c r="A50">
        <v>1000</v>
      </c>
      <c r="B50">
        <v>380.34</v>
      </c>
      <c r="C50">
        <v>0.05</v>
      </c>
      <c r="D50" s="2">
        <f t="shared" si="15"/>
        <v>0.26901700000000001</v>
      </c>
      <c r="G50">
        <v>10</v>
      </c>
      <c r="H50">
        <v>8.5139999999999993</v>
      </c>
      <c r="I50">
        <v>1E-3</v>
      </c>
      <c r="J50" s="3">
        <f t="shared" si="2"/>
        <v>6.2770999999999999E-3</v>
      </c>
      <c r="P50">
        <v>1000</v>
      </c>
      <c r="Q50">
        <v>379.54</v>
      </c>
      <c r="R50">
        <v>0.03</v>
      </c>
      <c r="S50" s="2">
        <f t="shared" si="3"/>
        <v>0.26897700000000002</v>
      </c>
      <c r="U50">
        <v>100</v>
      </c>
      <c r="V50">
        <v>20.510999999999999</v>
      </c>
      <c r="W50">
        <v>2E-3</v>
      </c>
      <c r="X50" s="4">
        <f t="shared" si="17"/>
        <v>5.1025550000000003E-2</v>
      </c>
      <c r="BK50">
        <f t="shared" si="11"/>
        <v>383.16160960632624</v>
      </c>
      <c r="BL50">
        <f t="shared" si="12"/>
        <v>1.0101005509997205</v>
      </c>
      <c r="BM50">
        <f t="shared" si="13"/>
        <v>382.36160960632628</v>
      </c>
      <c r="BN50">
        <f t="shared" si="14"/>
        <v>0.97408058026065736</v>
      </c>
    </row>
    <row r="51" spans="1:66" x14ac:dyDescent="0.35">
      <c r="A51">
        <v>1000</v>
      </c>
      <c r="B51">
        <v>390.74</v>
      </c>
      <c r="C51">
        <v>0.05</v>
      </c>
      <c r="D51" s="2">
        <f t="shared" si="15"/>
        <v>0.26953700000000003</v>
      </c>
      <c r="G51">
        <v>10</v>
      </c>
      <c r="H51">
        <v>8.5350000000000001</v>
      </c>
      <c r="I51">
        <v>1E-3</v>
      </c>
      <c r="J51" s="3">
        <f t="shared" si="2"/>
        <v>6.2802500000000002E-3</v>
      </c>
      <c r="P51">
        <v>1000</v>
      </c>
      <c r="Q51">
        <v>390.47</v>
      </c>
      <c r="R51">
        <v>0.04</v>
      </c>
      <c r="S51" s="2">
        <f t="shared" si="3"/>
        <v>0.26952350000000003</v>
      </c>
      <c r="U51">
        <v>100</v>
      </c>
      <c r="V51">
        <v>21.065000000000001</v>
      </c>
      <c r="W51">
        <v>1E-3</v>
      </c>
      <c r="X51" s="4">
        <f t="shared" si="17"/>
        <v>5.1053250000000001E-2</v>
      </c>
      <c r="BK51">
        <f t="shared" si="11"/>
        <v>393.56160960632627</v>
      </c>
      <c r="BL51">
        <f t="shared" si="12"/>
        <v>1.0102391653514227</v>
      </c>
      <c r="BM51">
        <f t="shared" si="13"/>
        <v>393.29160960632629</v>
      </c>
      <c r="BN51">
        <f t="shared" si="14"/>
        <v>0.9744398272037833</v>
      </c>
    </row>
    <row r="52" spans="1:66" x14ac:dyDescent="0.35">
      <c r="A52">
        <v>1000</v>
      </c>
      <c r="B52">
        <v>400.63</v>
      </c>
      <c r="C52">
        <v>0.03</v>
      </c>
      <c r="D52" s="2">
        <f t="shared" si="15"/>
        <v>0.27003149999999998</v>
      </c>
      <c r="G52">
        <v>10</v>
      </c>
      <c r="H52">
        <v>8.5649999999999995</v>
      </c>
      <c r="I52">
        <v>1E-3</v>
      </c>
      <c r="J52" s="3">
        <f t="shared" si="2"/>
        <v>6.2847500000000004E-3</v>
      </c>
      <c r="P52">
        <v>1000</v>
      </c>
      <c r="Q52">
        <v>400.29</v>
      </c>
      <c r="R52">
        <v>0.03</v>
      </c>
      <c r="S52" s="2">
        <f t="shared" si="3"/>
        <v>0.27001449999999999</v>
      </c>
      <c r="U52">
        <v>100</v>
      </c>
      <c r="V52">
        <v>21.555</v>
      </c>
      <c r="W52">
        <v>3.0000000000000001E-3</v>
      </c>
      <c r="X52" s="4">
        <f t="shared" si="17"/>
        <v>5.1077750000000005E-2</v>
      </c>
      <c r="BK52">
        <f t="shared" si="11"/>
        <v>403.45160960632626</v>
      </c>
      <c r="BL52">
        <f t="shared" si="12"/>
        <v>1.0103712128882083</v>
      </c>
      <c r="BM52">
        <f t="shared" si="13"/>
        <v>403.11160960632628</v>
      </c>
      <c r="BN52">
        <f t="shared" si="14"/>
        <v>0.97408058026065736</v>
      </c>
    </row>
    <row r="53" spans="1:66" x14ac:dyDescent="0.35">
      <c r="A53">
        <v>1000</v>
      </c>
      <c r="B53">
        <v>410.76</v>
      </c>
      <c r="C53">
        <v>0.05</v>
      </c>
      <c r="D53" s="2">
        <f t="shared" si="15"/>
        <v>0.270538</v>
      </c>
      <c r="G53">
        <v>10</v>
      </c>
      <c r="H53">
        <v>8.58</v>
      </c>
      <c r="I53">
        <v>1E-3</v>
      </c>
      <c r="J53" s="3">
        <f t="shared" si="2"/>
        <v>6.2870000000000001E-3</v>
      </c>
      <c r="P53">
        <v>1000</v>
      </c>
      <c r="Q53">
        <v>409.97</v>
      </c>
      <c r="R53">
        <v>0.04</v>
      </c>
      <c r="S53" s="2">
        <f t="shared" si="3"/>
        <v>0.27049849999999998</v>
      </c>
      <c r="U53">
        <v>100</v>
      </c>
      <c r="V53">
        <v>22.024000000000001</v>
      </c>
      <c r="W53">
        <v>2E-3</v>
      </c>
      <c r="X53" s="4">
        <f t="shared" si="17"/>
        <v>5.1101199999999999E-2</v>
      </c>
      <c r="BK53">
        <f t="shared" si="11"/>
        <v>413.58160960632625</v>
      </c>
      <c r="BL53">
        <f t="shared" si="12"/>
        <v>1.0105066977932105</v>
      </c>
      <c r="BM53">
        <f t="shared" si="13"/>
        <v>412.79160960632629</v>
      </c>
      <c r="BN53">
        <f t="shared" si="14"/>
        <v>0.9744398272037833</v>
      </c>
    </row>
    <row r="54" spans="1:66" x14ac:dyDescent="0.35">
      <c r="A54">
        <v>1000</v>
      </c>
      <c r="B54">
        <v>421.17</v>
      </c>
      <c r="C54">
        <v>0.05</v>
      </c>
      <c r="D54" s="2">
        <f t="shared" si="15"/>
        <v>0.27105849999999998</v>
      </c>
      <c r="G54">
        <v>10</v>
      </c>
      <c r="H54">
        <v>8.6069999999999993</v>
      </c>
      <c r="I54">
        <v>1E-3</v>
      </c>
      <c r="J54" s="3">
        <f t="shared" si="2"/>
        <v>6.2910499999999994E-3</v>
      </c>
      <c r="P54">
        <v>1000</v>
      </c>
      <c r="Q54">
        <v>419.99</v>
      </c>
      <c r="R54">
        <v>0.03</v>
      </c>
      <c r="S54" s="2">
        <f t="shared" si="3"/>
        <v>0.2709995</v>
      </c>
      <c r="U54">
        <v>100</v>
      </c>
      <c r="V54">
        <v>22.492999999999999</v>
      </c>
      <c r="W54">
        <v>2E-3</v>
      </c>
      <c r="X54" s="4">
        <f t="shared" si="17"/>
        <v>5.1124650000000001E-2</v>
      </c>
      <c r="BK54">
        <f t="shared" si="11"/>
        <v>423.99160960632628</v>
      </c>
      <c r="BL54">
        <f t="shared" si="12"/>
        <v>1.0106461731304328</v>
      </c>
      <c r="BM54">
        <f t="shared" si="13"/>
        <v>422.81160960632627</v>
      </c>
      <c r="BN54">
        <f t="shared" si="14"/>
        <v>0.97408058026065736</v>
      </c>
    </row>
    <row r="55" spans="1:66" x14ac:dyDescent="0.35">
      <c r="A55">
        <v>1000</v>
      </c>
      <c r="B55">
        <v>431.09</v>
      </c>
      <c r="C55">
        <v>0.05</v>
      </c>
      <c r="D55" s="2">
        <f t="shared" si="15"/>
        <v>0.27155449999999998</v>
      </c>
      <c r="G55">
        <v>10</v>
      </c>
      <c r="H55">
        <v>8.6270000000000007</v>
      </c>
      <c r="I55">
        <v>1E-3</v>
      </c>
      <c r="J55" s="3">
        <f t="shared" si="2"/>
        <v>6.2940499999999998E-3</v>
      </c>
      <c r="P55">
        <v>1000</v>
      </c>
      <c r="Q55">
        <v>430.25</v>
      </c>
      <c r="R55">
        <v>0.03</v>
      </c>
      <c r="S55" s="2">
        <f t="shared" si="3"/>
        <v>0.27151249999999999</v>
      </c>
      <c r="U55">
        <v>100</v>
      </c>
      <c r="V55">
        <v>22.957999999999998</v>
      </c>
      <c r="W55">
        <v>3.0000000000000001E-3</v>
      </c>
      <c r="X55" s="4">
        <f t="shared" si="17"/>
        <v>5.1147900000000003E-2</v>
      </c>
      <c r="BK55">
        <f t="shared" si="11"/>
        <v>433.91160960632624</v>
      </c>
      <c r="BL55">
        <f t="shared" si="12"/>
        <v>1.0107793148413697</v>
      </c>
      <c r="BM55">
        <f t="shared" si="13"/>
        <v>433.07160960632626</v>
      </c>
      <c r="BN55">
        <f t="shared" si="14"/>
        <v>0.97408058026065736</v>
      </c>
    </row>
    <row r="56" spans="1:66" x14ac:dyDescent="0.35">
      <c r="A56">
        <v>1000</v>
      </c>
      <c r="B56">
        <v>440.94</v>
      </c>
      <c r="C56">
        <v>0.05</v>
      </c>
      <c r="D56" s="2">
        <f t="shared" si="15"/>
        <v>0.27204699999999998</v>
      </c>
      <c r="G56">
        <v>10</v>
      </c>
      <c r="H56">
        <v>8.6470000000000002</v>
      </c>
      <c r="I56">
        <v>1E-3</v>
      </c>
      <c r="J56" s="3">
        <f t="shared" si="2"/>
        <v>6.2970500000000002E-3</v>
      </c>
      <c r="P56">
        <v>1000</v>
      </c>
      <c r="Q56">
        <v>440.23</v>
      </c>
      <c r="R56">
        <v>0.05</v>
      </c>
      <c r="S56" s="2">
        <f t="shared" si="3"/>
        <v>0.27201150000000002</v>
      </c>
      <c r="U56">
        <v>100</v>
      </c>
      <c r="V56">
        <v>23.391999999999999</v>
      </c>
      <c r="W56">
        <v>4.0000000000000001E-3</v>
      </c>
      <c r="X56" s="4">
        <f t="shared" si="17"/>
        <v>5.1169600000000003E-2</v>
      </c>
      <c r="BK56">
        <f t="shared" si="11"/>
        <v>443.76160960632626</v>
      </c>
      <c r="BL56">
        <f t="shared" si="12"/>
        <v>1.0109117404847661</v>
      </c>
      <c r="BM56">
        <f t="shared" si="13"/>
        <v>443.05160960632628</v>
      </c>
      <c r="BN56">
        <f t="shared" si="14"/>
        <v>0.97490152161176713</v>
      </c>
    </row>
    <row r="57" spans="1:66" x14ac:dyDescent="0.35">
      <c r="A57">
        <v>1000</v>
      </c>
      <c r="B57">
        <v>450.85</v>
      </c>
      <c r="C57">
        <v>0.05</v>
      </c>
      <c r="D57" s="2">
        <f t="shared" si="15"/>
        <v>0.27254250000000002</v>
      </c>
      <c r="G57">
        <v>10</v>
      </c>
      <c r="H57">
        <v>8.6720000000000006</v>
      </c>
      <c r="I57">
        <v>1E-3</v>
      </c>
      <c r="J57" s="3">
        <f t="shared" si="2"/>
        <v>6.3008000000000005E-3</v>
      </c>
      <c r="P57">
        <v>1000</v>
      </c>
      <c r="Q57">
        <v>450.45</v>
      </c>
      <c r="R57">
        <v>0.06</v>
      </c>
      <c r="S57" s="2">
        <f t="shared" si="3"/>
        <v>0.2725225</v>
      </c>
      <c r="U57">
        <v>100</v>
      </c>
      <c r="V57">
        <v>23.814</v>
      </c>
      <c r="W57">
        <v>3.0000000000000001E-3</v>
      </c>
      <c r="X57" s="4">
        <f t="shared" si="17"/>
        <v>5.1190700000000006E-2</v>
      </c>
      <c r="BK57">
        <f t="shared" si="11"/>
        <v>453.67160960632629</v>
      </c>
      <c r="BL57">
        <f t="shared" si="12"/>
        <v>1.0110451973810017</v>
      </c>
      <c r="BM57">
        <f t="shared" si="13"/>
        <v>453.27160960632625</v>
      </c>
      <c r="BN57">
        <f t="shared" si="14"/>
        <v>0.97546551801739201</v>
      </c>
    </row>
    <row r="58" spans="1:66" x14ac:dyDescent="0.35">
      <c r="A58">
        <v>1000</v>
      </c>
      <c r="B58">
        <v>460.76</v>
      </c>
      <c r="C58">
        <v>0.05</v>
      </c>
      <c r="D58" s="2">
        <f t="shared" si="15"/>
        <v>0.273038</v>
      </c>
      <c r="G58">
        <v>10</v>
      </c>
      <c r="H58">
        <v>8.69</v>
      </c>
      <c r="I58">
        <v>1E-3</v>
      </c>
      <c r="J58" s="3">
        <f t="shared" si="2"/>
        <v>6.3035000000000001E-3</v>
      </c>
      <c r="P58">
        <v>1000</v>
      </c>
      <c r="Q58">
        <v>460.12</v>
      </c>
      <c r="R58">
        <v>0.03</v>
      </c>
      <c r="S58" s="2">
        <f t="shared" si="3"/>
        <v>0.27300600000000003</v>
      </c>
      <c r="U58">
        <v>100</v>
      </c>
      <c r="V58">
        <v>24.196000000000002</v>
      </c>
      <c r="W58">
        <v>3.0000000000000001E-3</v>
      </c>
      <c r="X58" s="4">
        <f t="shared" si="17"/>
        <v>5.12098E-2</v>
      </c>
      <c r="BK58">
        <f t="shared" si="11"/>
        <v>463.58160960632625</v>
      </c>
      <c r="BL58">
        <f t="shared" si="12"/>
        <v>1.0111788794693741</v>
      </c>
      <c r="BM58">
        <f t="shared" si="13"/>
        <v>462.94160960632627</v>
      </c>
      <c r="BN58">
        <f t="shared" si="14"/>
        <v>0.97408058026065736</v>
      </c>
    </row>
    <row r="59" spans="1:66" x14ac:dyDescent="0.35">
      <c r="A59">
        <v>1000</v>
      </c>
      <c r="B59">
        <v>470.25</v>
      </c>
      <c r="C59">
        <v>0.05</v>
      </c>
      <c r="D59" s="2">
        <f t="shared" si="15"/>
        <v>0.27351249999999999</v>
      </c>
      <c r="G59">
        <v>10</v>
      </c>
      <c r="H59">
        <v>8.6950000000000003</v>
      </c>
      <c r="I59">
        <v>1E-3</v>
      </c>
      <c r="J59" s="3">
        <f t="shared" si="2"/>
        <v>6.30425E-3</v>
      </c>
      <c r="P59">
        <v>1000</v>
      </c>
      <c r="Q59">
        <v>470.3</v>
      </c>
      <c r="R59">
        <v>0.03</v>
      </c>
      <c r="S59" s="2">
        <f t="shared" si="3"/>
        <v>0.27351500000000001</v>
      </c>
      <c r="U59">
        <v>100</v>
      </c>
      <c r="V59">
        <v>24.594999999999999</v>
      </c>
      <c r="W59">
        <v>3.0000000000000001E-3</v>
      </c>
      <c r="X59" s="4">
        <f t="shared" si="17"/>
        <v>5.1229750000000004E-2</v>
      </c>
      <c r="BK59">
        <f t="shared" si="11"/>
        <v>473.07160960632626</v>
      </c>
      <c r="BL59">
        <f t="shared" si="12"/>
        <v>1.0113071069151987</v>
      </c>
      <c r="BM59">
        <f t="shared" si="13"/>
        <v>473.12160960632627</v>
      </c>
      <c r="BN59">
        <f t="shared" si="14"/>
        <v>0.97408058026065736</v>
      </c>
    </row>
    <row r="60" spans="1:66" x14ac:dyDescent="0.35">
      <c r="A60">
        <v>1000</v>
      </c>
      <c r="B60">
        <v>479.81</v>
      </c>
      <c r="C60">
        <v>0.05</v>
      </c>
      <c r="D60" s="2">
        <f t="shared" si="15"/>
        <v>0.27399050000000003</v>
      </c>
      <c r="G60">
        <v>10</v>
      </c>
      <c r="H60">
        <v>8.6809999999999992</v>
      </c>
      <c r="I60">
        <v>1E-3</v>
      </c>
      <c r="J60" s="3">
        <f t="shared" si="2"/>
        <v>6.3021499999999994E-3</v>
      </c>
      <c r="P60">
        <v>1000</v>
      </c>
      <c r="Q60">
        <v>479.81</v>
      </c>
      <c r="R60">
        <v>0.05</v>
      </c>
      <c r="S60" s="2">
        <f t="shared" si="3"/>
        <v>0.27399050000000003</v>
      </c>
      <c r="U60">
        <v>100</v>
      </c>
      <c r="V60">
        <v>24.94</v>
      </c>
      <c r="W60">
        <v>3.0000000000000001E-3</v>
      </c>
      <c r="X60" s="4">
        <f t="shared" si="17"/>
        <v>5.1247000000000001E-2</v>
      </c>
      <c r="BK60">
        <f t="shared" si="11"/>
        <v>482.63160960632626</v>
      </c>
      <c r="BL60">
        <f t="shared" si="12"/>
        <v>1.0114364888272467</v>
      </c>
      <c r="BM60">
        <f t="shared" si="13"/>
        <v>482.63160960632626</v>
      </c>
      <c r="BN60">
        <f t="shared" si="14"/>
        <v>0.97490152161176713</v>
      </c>
    </row>
    <row r="61" spans="1:66" x14ac:dyDescent="0.35">
      <c r="A61">
        <v>1000</v>
      </c>
      <c r="B61">
        <v>490.13</v>
      </c>
      <c r="C61">
        <v>0.05</v>
      </c>
      <c r="D61" s="2">
        <f t="shared" si="15"/>
        <v>0.27450649999999999</v>
      </c>
      <c r="G61">
        <v>10</v>
      </c>
      <c r="H61">
        <v>8.6880000000000006</v>
      </c>
      <c r="I61">
        <v>1E-3</v>
      </c>
      <c r="J61" s="3">
        <f t="shared" si="2"/>
        <v>6.3032000000000001E-3</v>
      </c>
      <c r="P61">
        <v>1000</v>
      </c>
      <c r="Q61">
        <v>489.99</v>
      </c>
      <c r="R61">
        <v>0.03</v>
      </c>
      <c r="S61" s="2">
        <f t="shared" si="3"/>
        <v>0.27449950000000001</v>
      </c>
      <c r="U61">
        <v>100</v>
      </c>
      <c r="V61">
        <v>25.295999999999999</v>
      </c>
      <c r="W61">
        <v>3.0000000000000001E-3</v>
      </c>
      <c r="X61" s="4">
        <f t="shared" si="17"/>
        <v>5.1264799999999999E-2</v>
      </c>
      <c r="BK61">
        <f t="shared" si="11"/>
        <v>492.95160960632626</v>
      </c>
      <c r="BL61">
        <f t="shared" si="12"/>
        <v>1.0115763912741287</v>
      </c>
      <c r="BM61">
        <f t="shared" si="13"/>
        <v>492.81160960632627</v>
      </c>
      <c r="BN61">
        <f t="shared" si="14"/>
        <v>0.97408058026065736</v>
      </c>
    </row>
    <row r="62" spans="1:66" x14ac:dyDescent="0.35">
      <c r="A62">
        <v>1000</v>
      </c>
      <c r="B62">
        <v>500.11</v>
      </c>
      <c r="C62">
        <v>0.05</v>
      </c>
      <c r="D62" s="2">
        <f t="shared" si="15"/>
        <v>0.27500550000000001</v>
      </c>
      <c r="G62">
        <v>10</v>
      </c>
      <c r="H62">
        <v>8.6969999999999992</v>
      </c>
      <c r="I62">
        <v>1E-3</v>
      </c>
      <c r="J62" s="3">
        <f t="shared" si="2"/>
        <v>6.3045499999999999E-3</v>
      </c>
      <c r="P62">
        <v>1000</v>
      </c>
      <c r="Q62">
        <v>499.93</v>
      </c>
      <c r="R62">
        <v>0.04</v>
      </c>
      <c r="S62" s="2">
        <f t="shared" si="3"/>
        <v>0.27499649999999998</v>
      </c>
      <c r="U62">
        <v>100</v>
      </c>
      <c r="V62">
        <v>25.626999999999999</v>
      </c>
      <c r="W62">
        <v>3.0000000000000001E-3</v>
      </c>
      <c r="X62" s="4">
        <f t="shared" si="17"/>
        <v>5.1281350000000003E-2</v>
      </c>
      <c r="BK62">
        <f t="shared" si="11"/>
        <v>502.93160960632628</v>
      </c>
      <c r="BL62">
        <f t="shared" si="12"/>
        <v>1.0117119164422197</v>
      </c>
      <c r="BM62">
        <f t="shared" si="13"/>
        <v>502.75160960632627</v>
      </c>
      <c r="BN62">
        <f t="shared" si="14"/>
        <v>0.9744398272037833</v>
      </c>
    </row>
    <row r="63" spans="1:66" x14ac:dyDescent="0.35">
      <c r="D63" s="2"/>
    </row>
    <row r="65" spans="2:20" x14ac:dyDescent="0.35">
      <c r="B65" t="s">
        <v>12</v>
      </c>
      <c r="P65" t="s">
        <v>12</v>
      </c>
    </row>
    <row r="66" spans="2:20" x14ac:dyDescent="0.35">
      <c r="B66" t="s">
        <v>13</v>
      </c>
      <c r="P66" t="s">
        <v>15</v>
      </c>
    </row>
    <row r="74" spans="2:20" x14ac:dyDescent="0.35">
      <c r="B74" t="s">
        <v>36</v>
      </c>
    </row>
    <row r="76" spans="2:20" x14ac:dyDescent="0.35">
      <c r="B76" t="s">
        <v>35</v>
      </c>
      <c r="J76" t="s">
        <v>41</v>
      </c>
    </row>
    <row r="77" spans="2:20" x14ac:dyDescent="0.3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2:20" x14ac:dyDescent="0.35">
      <c r="B78" t="s">
        <v>37</v>
      </c>
      <c r="C78" s="12" t="s">
        <v>38</v>
      </c>
      <c r="D78" s="11"/>
      <c r="E78" s="11" t="s">
        <v>39</v>
      </c>
      <c r="F78" s="11" t="s">
        <v>40</v>
      </c>
      <c r="G78" s="11"/>
      <c r="H78" s="11"/>
      <c r="I78" s="11"/>
      <c r="J78" s="11" t="s">
        <v>37</v>
      </c>
      <c r="K78" s="11" t="s">
        <v>38</v>
      </c>
      <c r="L78" s="11"/>
      <c r="M78" s="11" t="s">
        <v>39</v>
      </c>
      <c r="N78" s="11" t="s">
        <v>40</v>
      </c>
      <c r="O78" s="11"/>
      <c r="P78" s="11"/>
      <c r="Q78" s="11"/>
      <c r="R78" s="12"/>
      <c r="S78" s="11"/>
      <c r="T78" s="11"/>
    </row>
    <row r="79" spans="2:20" x14ac:dyDescent="0.35">
      <c r="B79" s="11">
        <f>B7</f>
        <v>-500.44</v>
      </c>
      <c r="C79" s="12">
        <f>D7</f>
        <v>0.27502199999999999</v>
      </c>
      <c r="D79" s="11"/>
      <c r="E79" s="12">
        <f>H7^(2/3)</f>
        <v>1.2514649491351953E-2</v>
      </c>
      <c r="F79" s="12">
        <f>J7*2/3*H7^(-1/3)</f>
        <v>2.9798035968168043E-2</v>
      </c>
      <c r="G79" s="11"/>
      <c r="H79" s="11"/>
      <c r="I79" s="11"/>
      <c r="J79" s="11">
        <f>Q7</f>
        <v>-499.3</v>
      </c>
      <c r="K79" s="13">
        <f>S7</f>
        <v>0.27496500000000001</v>
      </c>
      <c r="L79" s="11"/>
      <c r="M79" s="11">
        <f>V7^(2/3)</f>
        <v>1.2514649491351953E-2</v>
      </c>
      <c r="N79" s="14">
        <f>X7*2/3*V7^(-1/3)</f>
        <v>2.9798035968168043E-2</v>
      </c>
      <c r="O79" s="11"/>
      <c r="P79" s="11"/>
      <c r="Q79" s="11"/>
      <c r="R79" s="12"/>
      <c r="S79" s="11"/>
      <c r="T79" s="11"/>
    </row>
    <row r="80" spans="2:20" x14ac:dyDescent="0.35">
      <c r="B80" s="11">
        <f t="shared" ref="B80:B134" si="18">B8</f>
        <v>-400.86</v>
      </c>
      <c r="C80" s="12">
        <f t="shared" ref="C80:C134" si="19">D8</f>
        <v>0.27004299999999998</v>
      </c>
      <c r="D80" s="11"/>
      <c r="E80" s="12">
        <f t="shared" ref="E80:E134" si="20">H8^(2/3)</f>
        <v>1.1292432346572345E-2</v>
      </c>
      <c r="F80" s="12">
        <f t="shared" ref="F80:F134" si="21">J8*2/3*H8^(-1/3)</f>
        <v>3.1368996872602264E-2</v>
      </c>
      <c r="G80" s="11"/>
      <c r="H80" s="11"/>
      <c r="I80" s="11"/>
      <c r="J80" s="11">
        <f t="shared" ref="J80:J134" si="22">Q8</f>
        <v>-400.8</v>
      </c>
      <c r="K80" s="13">
        <f t="shared" ref="K80:K134" si="23">S8</f>
        <v>0.27004</v>
      </c>
      <c r="L80" s="11"/>
      <c r="M80" s="11">
        <f t="shared" ref="M80:M134" si="24">V8^(2/3)</f>
        <v>1.0656022367666109E-2</v>
      </c>
      <c r="N80" s="14">
        <f t="shared" ref="N80:N134" si="25">X8*2/3*V8^(-1/3)</f>
        <v>3.2292042473952245E-2</v>
      </c>
      <c r="O80" s="11"/>
      <c r="P80" s="11"/>
      <c r="Q80" s="11"/>
      <c r="R80" s="12"/>
      <c r="S80" s="11"/>
      <c r="T80" s="11"/>
    </row>
    <row r="81" spans="2:20" x14ac:dyDescent="0.35">
      <c r="B81" s="11">
        <f t="shared" si="18"/>
        <v>-301.36</v>
      </c>
      <c r="C81" s="12">
        <f t="shared" si="19"/>
        <v>0.26506800000000003</v>
      </c>
      <c r="D81" s="11"/>
      <c r="E81" s="12">
        <f t="shared" si="20"/>
        <v>1.0000000000000004E-2</v>
      </c>
      <c r="F81" s="12">
        <f t="shared" si="21"/>
        <v>3.3334333333333327E-2</v>
      </c>
      <c r="G81" s="11"/>
      <c r="H81" s="11"/>
      <c r="I81" s="11"/>
      <c r="J81" s="11">
        <f t="shared" si="22"/>
        <v>-300.8</v>
      </c>
      <c r="K81" s="13">
        <f t="shared" si="23"/>
        <v>0.26504</v>
      </c>
      <c r="L81" s="11"/>
      <c r="M81" s="11">
        <f t="shared" si="24"/>
        <v>1.0000000000000004E-2</v>
      </c>
      <c r="N81" s="14">
        <f t="shared" si="25"/>
        <v>3.3334333333333327E-2</v>
      </c>
      <c r="O81" s="11"/>
      <c r="P81" s="11"/>
      <c r="Q81" s="11"/>
      <c r="R81" s="12"/>
      <c r="S81" s="11"/>
      <c r="T81" s="11"/>
    </row>
    <row r="82" spans="2:20" x14ac:dyDescent="0.35">
      <c r="B82" s="11">
        <f t="shared" si="18"/>
        <v>-200.78</v>
      </c>
      <c r="C82" s="12">
        <f t="shared" si="19"/>
        <v>0.26003900000000002</v>
      </c>
      <c r="D82" s="11"/>
      <c r="E82" s="12">
        <f t="shared" si="20"/>
        <v>7.8837351631052439E-3</v>
      </c>
      <c r="F82" s="12">
        <f t="shared" si="21"/>
        <v>3.7542384388303179E-2</v>
      </c>
      <c r="G82" s="11"/>
      <c r="H82" s="11"/>
      <c r="I82" s="11"/>
      <c r="J82" s="11">
        <f t="shared" si="22"/>
        <v>-200.3</v>
      </c>
      <c r="K82" s="13">
        <f t="shared" si="23"/>
        <v>0.260015</v>
      </c>
      <c r="L82" s="11"/>
      <c r="M82" s="11">
        <f t="shared" si="24"/>
        <v>7.8837351631052439E-3</v>
      </c>
      <c r="N82" s="14">
        <f t="shared" si="25"/>
        <v>3.7542384388303179E-2</v>
      </c>
      <c r="O82" s="11"/>
      <c r="P82" s="11"/>
      <c r="Q82" s="11"/>
      <c r="R82" s="12"/>
      <c r="S82" s="11"/>
      <c r="T82" s="11"/>
    </row>
    <row r="83" spans="2:20" x14ac:dyDescent="0.35">
      <c r="B83" s="11">
        <f t="shared" si="18"/>
        <v>-100.92</v>
      </c>
      <c r="C83" s="12">
        <f t="shared" si="19"/>
        <v>0.25504599999999999</v>
      </c>
      <c r="D83" s="11"/>
      <c r="E83" s="12">
        <f t="shared" si="20"/>
        <v>7.8837351631052439E-3</v>
      </c>
      <c r="F83" s="12">
        <f t="shared" si="21"/>
        <v>3.7542384388303179E-2</v>
      </c>
      <c r="G83" s="11"/>
      <c r="H83" s="11"/>
      <c r="I83" s="11"/>
      <c r="J83" s="11">
        <f t="shared" si="22"/>
        <v>-99.8</v>
      </c>
      <c r="K83" s="13">
        <f t="shared" si="23"/>
        <v>0.25498999999999999</v>
      </c>
      <c r="L83" s="11"/>
      <c r="M83" s="11">
        <f t="shared" si="24"/>
        <v>6.2996052494743663E-3</v>
      </c>
      <c r="N83" s="14">
        <f t="shared" si="25"/>
        <v>4.1997998290354062E-2</v>
      </c>
      <c r="O83" s="11"/>
      <c r="P83" s="11"/>
      <c r="Q83" s="11"/>
      <c r="R83" s="12"/>
      <c r="S83" s="11"/>
      <c r="T83" s="11"/>
    </row>
    <row r="84" spans="2:20" x14ac:dyDescent="0.35">
      <c r="B84" s="11">
        <f t="shared" si="18"/>
        <v>1.9750000000000001</v>
      </c>
      <c r="C84" s="12">
        <f t="shared" si="19"/>
        <v>2.5098750000000003E-2</v>
      </c>
      <c r="D84" s="11"/>
      <c r="E84" s="14">
        <f t="shared" si="20"/>
        <v>7.779884614435853E-2</v>
      </c>
      <c r="F84" s="12">
        <f t="shared" si="21"/>
        <v>1.195844749511497E-2</v>
      </c>
      <c r="G84" s="11"/>
      <c r="H84" s="11"/>
      <c r="I84" s="11"/>
      <c r="J84" s="11">
        <f t="shared" si="22"/>
        <v>1.97</v>
      </c>
      <c r="K84" s="13">
        <f t="shared" si="23"/>
        <v>2.5098500000000003E-2</v>
      </c>
      <c r="L84" s="11"/>
      <c r="M84" s="11">
        <f t="shared" si="24"/>
        <v>8.8213325423967121E-2</v>
      </c>
      <c r="N84" s="14">
        <f t="shared" si="25"/>
        <v>1.1231890724904627E-2</v>
      </c>
      <c r="O84" s="11"/>
      <c r="P84" s="11"/>
      <c r="Q84" s="11"/>
      <c r="R84" s="12"/>
      <c r="S84" s="11"/>
      <c r="T84" s="11"/>
    </row>
    <row r="85" spans="2:20" x14ac:dyDescent="0.35">
      <c r="B85" s="11">
        <f t="shared" si="18"/>
        <v>10.35</v>
      </c>
      <c r="C85" s="12">
        <f t="shared" si="19"/>
        <v>2.5517500000000002E-2</v>
      </c>
      <c r="D85" s="11"/>
      <c r="E85" s="15">
        <f t="shared" si="20"/>
        <v>0.30470809660458831</v>
      </c>
      <c r="F85" s="15">
        <f t="shared" si="21"/>
        <v>6.0690775596523002E-3</v>
      </c>
      <c r="G85" s="11"/>
      <c r="H85" s="11"/>
      <c r="I85" s="11"/>
      <c r="J85" s="11">
        <f t="shared" si="22"/>
        <v>9.5</v>
      </c>
      <c r="K85" s="13">
        <f t="shared" si="23"/>
        <v>2.5475000000000001E-2</v>
      </c>
      <c r="L85" s="11"/>
      <c r="M85" s="11">
        <f t="shared" si="24"/>
        <v>0.29961431919501819</v>
      </c>
      <c r="N85" s="14">
        <f t="shared" si="25"/>
        <v>6.1196833667775943E-3</v>
      </c>
      <c r="O85" s="11"/>
      <c r="P85" s="11"/>
      <c r="Q85" s="11"/>
      <c r="R85" s="12"/>
      <c r="S85" s="11"/>
      <c r="T85" s="11"/>
    </row>
    <row r="86" spans="2:20" x14ac:dyDescent="0.35">
      <c r="B86" s="11">
        <f t="shared" si="18"/>
        <v>20.399999999999999</v>
      </c>
      <c r="C86" s="12">
        <f t="shared" si="19"/>
        <v>2.6020000000000001E-2</v>
      </c>
      <c r="D86" s="11"/>
      <c r="E86" s="15">
        <f t="shared" si="20"/>
        <v>0.53498289752298711</v>
      </c>
      <c r="F86" s="15">
        <f t="shared" si="21"/>
        <v>4.6108106461965198E-3</v>
      </c>
      <c r="G86" s="11"/>
      <c r="H86" s="11"/>
      <c r="I86" s="11"/>
      <c r="J86" s="11">
        <f t="shared" si="22"/>
        <v>19.32</v>
      </c>
      <c r="K86" s="13">
        <f t="shared" si="23"/>
        <v>2.5966000000000003E-2</v>
      </c>
      <c r="L86" s="11"/>
      <c r="M86" s="11">
        <f t="shared" si="24"/>
        <v>0.53653126392981865</v>
      </c>
      <c r="N86" s="14">
        <f t="shared" si="25"/>
        <v>4.6043847967052682E-3</v>
      </c>
      <c r="O86" s="11"/>
      <c r="P86" s="11"/>
      <c r="Q86" s="11"/>
      <c r="R86" s="12"/>
      <c r="S86" s="11"/>
      <c r="T86" s="11"/>
    </row>
    <row r="87" spans="2:20" x14ac:dyDescent="0.35">
      <c r="B87" s="11">
        <f t="shared" si="18"/>
        <v>30.87</v>
      </c>
      <c r="C87" s="12">
        <f t="shared" si="19"/>
        <v>2.6543500000000001E-2</v>
      </c>
      <c r="D87" s="11"/>
      <c r="E87" s="15">
        <f t="shared" si="20"/>
        <v>0.77895996054621897</v>
      </c>
      <c r="F87" s="15">
        <f t="shared" si="21"/>
        <v>3.8546715623393201E-3</v>
      </c>
      <c r="G87" s="11"/>
      <c r="H87" s="11"/>
      <c r="I87" s="11"/>
      <c r="J87" s="11">
        <f t="shared" si="22"/>
        <v>30.23</v>
      </c>
      <c r="K87" s="13">
        <f t="shared" si="23"/>
        <v>2.65115E-2</v>
      </c>
      <c r="L87" s="11"/>
      <c r="M87" s="11">
        <f t="shared" si="24"/>
        <v>0.79773120198535241</v>
      </c>
      <c r="N87" s="14">
        <f t="shared" si="25"/>
        <v>3.8118489189604182E-3</v>
      </c>
      <c r="O87" s="11"/>
      <c r="P87" s="11"/>
      <c r="Q87" s="11"/>
      <c r="R87" s="12"/>
      <c r="S87" s="11"/>
      <c r="T87" s="11"/>
    </row>
    <row r="88" spans="2:20" x14ac:dyDescent="0.35">
      <c r="B88" s="11">
        <f t="shared" si="18"/>
        <v>40.43</v>
      </c>
      <c r="C88" s="12">
        <f t="shared" si="19"/>
        <v>2.70215E-2</v>
      </c>
      <c r="D88" s="11"/>
      <c r="E88" s="15">
        <f t="shared" si="20"/>
        <v>1.0017991909704718</v>
      </c>
      <c r="F88" s="15">
        <f>J16*2/3*H16^(-1/3)</f>
        <v>3.4305186411158358E-3</v>
      </c>
      <c r="G88" s="11"/>
      <c r="H88" s="11"/>
      <c r="I88" s="11"/>
      <c r="J88" s="11">
        <f t="shared" si="22"/>
        <v>39.15</v>
      </c>
      <c r="K88" s="13">
        <f t="shared" si="23"/>
        <v>2.6957500000000002E-2</v>
      </c>
      <c r="L88" s="11"/>
      <c r="M88" s="11">
        <f t="shared" si="24"/>
        <v>1.0139514518082617</v>
      </c>
      <c r="N88" s="14">
        <f t="shared" si="25"/>
        <v>3.4117165679959159E-3</v>
      </c>
      <c r="O88" s="11"/>
      <c r="P88" s="11"/>
      <c r="Q88" s="11"/>
      <c r="R88" s="12"/>
      <c r="S88" s="11"/>
      <c r="T88" s="11"/>
    </row>
    <row r="89" spans="2:20" x14ac:dyDescent="0.35">
      <c r="B89" s="11">
        <f t="shared" si="18"/>
        <v>50.5</v>
      </c>
      <c r="C89" s="12">
        <f t="shared" si="19"/>
        <v>2.7525000000000001E-2</v>
      </c>
      <c r="D89" s="11"/>
      <c r="E89" s="15">
        <f t="shared" si="20"/>
        <v>1.2226940376147939</v>
      </c>
      <c r="F89" s="15">
        <f t="shared" si="21"/>
        <v>3.1368010546855281E-3</v>
      </c>
      <c r="G89" s="11"/>
      <c r="H89" s="11"/>
      <c r="I89" s="11"/>
      <c r="J89" s="11">
        <f t="shared" si="22"/>
        <v>50.75</v>
      </c>
      <c r="K89" s="13">
        <f t="shared" si="23"/>
        <v>2.7537500000000003E-2</v>
      </c>
      <c r="L89" s="11"/>
      <c r="M89" s="11">
        <f t="shared" si="24"/>
        <v>1.2963558693508848</v>
      </c>
      <c r="N89" s="14">
        <f t="shared" si="25"/>
        <v>3.057268534881983E-3</v>
      </c>
      <c r="O89" s="11"/>
      <c r="P89" s="11"/>
      <c r="Q89" s="11"/>
      <c r="R89" s="12"/>
      <c r="S89" s="11"/>
      <c r="T89" s="11"/>
    </row>
    <row r="90" spans="2:20" x14ac:dyDescent="0.35">
      <c r="B90" s="11">
        <f t="shared" si="18"/>
        <v>60.18</v>
      </c>
      <c r="C90" s="12">
        <f t="shared" si="19"/>
        <v>2.8009000000000003E-2</v>
      </c>
      <c r="D90" s="11"/>
      <c r="E90" s="15">
        <f t="shared" si="20"/>
        <v>1.4316545635889977</v>
      </c>
      <c r="F90" s="15">
        <f t="shared" si="21"/>
        <v>2.9290276155124273E-3</v>
      </c>
      <c r="G90" s="11"/>
      <c r="H90" s="11"/>
      <c r="I90" s="11"/>
      <c r="J90" s="11">
        <f t="shared" si="22"/>
        <v>59.49</v>
      </c>
      <c r="K90" s="13">
        <f t="shared" si="23"/>
        <v>2.7974500000000003E-2</v>
      </c>
      <c r="L90" s="11"/>
      <c r="M90" s="11">
        <f t="shared" si="24"/>
        <v>1.5094470805751115</v>
      </c>
      <c r="N90" s="14">
        <f t="shared" si="25"/>
        <v>2.8640696843765761E-3</v>
      </c>
      <c r="O90" s="11"/>
      <c r="P90" s="11"/>
      <c r="Q90" s="11"/>
      <c r="R90" s="13"/>
      <c r="S90" s="11"/>
      <c r="T90" s="11"/>
    </row>
    <row r="91" spans="2:20" x14ac:dyDescent="0.35">
      <c r="B91" s="11">
        <f t="shared" si="18"/>
        <v>70.94</v>
      </c>
      <c r="C91" s="12">
        <f t="shared" si="19"/>
        <v>2.8547000000000003E-2</v>
      </c>
      <c r="D91" s="11"/>
      <c r="E91" s="15">
        <f t="shared" si="20"/>
        <v>1.65364998537215</v>
      </c>
      <c r="F91" s="15">
        <f t="shared" si="21"/>
        <v>2.7574960203604775E-3</v>
      </c>
      <c r="G91" s="11"/>
      <c r="H91" s="11"/>
      <c r="I91" s="11"/>
      <c r="J91" s="11">
        <f t="shared" si="22"/>
        <v>69.53</v>
      </c>
      <c r="K91" s="13">
        <f t="shared" si="23"/>
        <v>2.8476500000000002E-2</v>
      </c>
      <c r="L91" s="11"/>
      <c r="M91" s="11">
        <f t="shared" si="24"/>
        <v>1.7525025420478482</v>
      </c>
      <c r="N91" s="14">
        <f t="shared" si="25"/>
        <v>2.6932136766873258E-3</v>
      </c>
      <c r="O91" s="11"/>
      <c r="P91" s="11"/>
      <c r="Q91" s="11"/>
      <c r="R91" s="13"/>
      <c r="S91" s="11"/>
      <c r="T91" s="11"/>
    </row>
    <row r="92" spans="2:20" x14ac:dyDescent="0.35">
      <c r="B92" s="11">
        <f t="shared" si="18"/>
        <v>80.63</v>
      </c>
      <c r="C92" s="12">
        <f t="shared" si="19"/>
        <v>2.9031500000000002E-2</v>
      </c>
      <c r="D92" s="11"/>
      <c r="E92" s="15">
        <f t="shared" si="20"/>
        <v>1.8429980267785955</v>
      </c>
      <c r="F92" s="15">
        <f t="shared" si="21"/>
        <v>2.6396662119219255E-3</v>
      </c>
      <c r="G92" s="11"/>
      <c r="H92" s="11"/>
      <c r="I92" s="11"/>
      <c r="J92" s="11">
        <f t="shared" si="22"/>
        <v>81.02</v>
      </c>
      <c r="K92" s="13">
        <f t="shared" si="23"/>
        <v>2.9051E-2</v>
      </c>
      <c r="L92" s="11"/>
      <c r="M92" s="11">
        <f t="shared" si="24"/>
        <v>2.0350012979243028</v>
      </c>
      <c r="N92" s="14">
        <f t="shared" si="25"/>
        <v>2.540164842072029E-3</v>
      </c>
      <c r="O92" s="11"/>
      <c r="P92" s="11"/>
      <c r="Q92" s="11"/>
      <c r="R92" s="13"/>
      <c r="S92" s="11"/>
      <c r="T92" s="11"/>
    </row>
    <row r="93" spans="2:20" x14ac:dyDescent="0.35">
      <c r="B93" s="11">
        <f t="shared" si="18"/>
        <v>90.88</v>
      </c>
      <c r="C93" s="12">
        <f t="shared" si="19"/>
        <v>2.9544000000000001E-2</v>
      </c>
      <c r="D93" s="11"/>
      <c r="E93" s="15">
        <f t="shared" si="20"/>
        <v>2.0359358565202252</v>
      </c>
      <c r="F93" s="15">
        <f t="shared" si="21"/>
        <v>2.5397219350728204E-3</v>
      </c>
      <c r="G93" s="11"/>
      <c r="H93" s="11"/>
      <c r="I93" s="11"/>
      <c r="J93" s="11">
        <f t="shared" si="22"/>
        <v>89.85</v>
      </c>
      <c r="K93" s="13">
        <f t="shared" si="23"/>
        <v>2.9492500000000001E-2</v>
      </c>
      <c r="L93" s="11"/>
      <c r="M93" s="11">
        <f t="shared" si="24"/>
        <v>2.245553357872915</v>
      </c>
      <c r="N93" s="14">
        <f t="shared" si="25"/>
        <v>2.4489766907877029E-3</v>
      </c>
      <c r="O93" s="11"/>
      <c r="P93" s="11"/>
      <c r="Q93" s="11"/>
      <c r="R93" s="13"/>
      <c r="S93" s="11"/>
      <c r="T93" s="11"/>
    </row>
    <row r="94" spans="2:20" x14ac:dyDescent="0.35">
      <c r="B94" s="11">
        <f t="shared" si="18"/>
        <v>101.46</v>
      </c>
      <c r="C94" s="12">
        <f t="shared" si="19"/>
        <v>3.0073000000000003E-2</v>
      </c>
      <c r="D94" s="11"/>
      <c r="E94" s="15">
        <f t="shared" si="20"/>
        <v>2.2245948174363401</v>
      </c>
      <c r="F94" s="15">
        <f t="shared" si="21"/>
        <v>2.4573347253003352E-3</v>
      </c>
      <c r="G94" s="11"/>
      <c r="H94" s="11"/>
      <c r="I94" s="11"/>
      <c r="J94" s="11">
        <f t="shared" si="22"/>
        <v>99.53</v>
      </c>
      <c r="K94" s="13">
        <f t="shared" si="23"/>
        <v>2.9976500000000003E-2</v>
      </c>
      <c r="L94" s="11"/>
      <c r="M94" s="11">
        <f t="shared" si="24"/>
        <v>2.4747021510090703</v>
      </c>
      <c r="N94" s="14">
        <f t="shared" si="25"/>
        <v>2.3664034722368525E-3</v>
      </c>
      <c r="O94" s="11"/>
      <c r="P94" s="11"/>
      <c r="Q94" s="11"/>
      <c r="R94" s="13"/>
      <c r="S94" s="11"/>
      <c r="T94" s="11"/>
    </row>
    <row r="95" spans="2:20" x14ac:dyDescent="0.35">
      <c r="B95" s="11">
        <f t="shared" si="18"/>
        <v>110.82</v>
      </c>
      <c r="C95" s="12">
        <f t="shared" si="19"/>
        <v>3.0541000000000002E-2</v>
      </c>
      <c r="D95" s="11"/>
      <c r="E95" s="15">
        <f t="shared" si="20"/>
        <v>2.3818642268425774</v>
      </c>
      <c r="F95" s="15">
        <f>J23*2/3*H23^(-1/3)</f>
        <v>2.3980197803579765E-3</v>
      </c>
      <c r="G95" s="11"/>
      <c r="H95" s="11"/>
      <c r="I95" s="11"/>
      <c r="J95" s="11">
        <f t="shared" si="22"/>
        <v>110.63</v>
      </c>
      <c r="K95" s="13">
        <f t="shared" si="23"/>
        <v>3.0531500000000003E-2</v>
      </c>
      <c r="L95" s="11"/>
      <c r="M95" s="11">
        <f t="shared" si="24"/>
        <v>2.7301209319067459</v>
      </c>
      <c r="N95" s="14">
        <f t="shared" si="25"/>
        <v>2.2903925202258819E-3</v>
      </c>
      <c r="O95" s="11"/>
      <c r="P95" s="11"/>
      <c r="Q95" s="11"/>
      <c r="R95" s="13"/>
      <c r="S95" s="11"/>
      <c r="T95" s="11"/>
    </row>
    <row r="96" spans="2:20" x14ac:dyDescent="0.35">
      <c r="B96" s="11">
        <f t="shared" si="18"/>
        <v>120.1</v>
      </c>
      <c r="C96" s="12">
        <f t="shared" si="19"/>
        <v>0.25600499999999998</v>
      </c>
      <c r="D96" s="11"/>
      <c r="E96" s="15">
        <f t="shared" si="20"/>
        <v>2.5273959677540034</v>
      </c>
      <c r="F96" s="15">
        <f t="shared" si="21"/>
        <v>2.3494676271006072E-3</v>
      </c>
      <c r="G96" s="11"/>
      <c r="H96" s="11"/>
      <c r="I96" s="11"/>
      <c r="J96" s="11">
        <f t="shared" si="22"/>
        <v>120.1</v>
      </c>
      <c r="K96" s="13">
        <f t="shared" si="23"/>
        <v>0.25600499999999998</v>
      </c>
      <c r="L96" s="11"/>
      <c r="M96" s="11">
        <f t="shared" si="24"/>
        <v>2.9485281942817734</v>
      </c>
      <c r="N96" s="14">
        <f t="shared" si="25"/>
        <v>2.2360788344928779E-3</v>
      </c>
      <c r="O96" s="11"/>
      <c r="P96" s="11"/>
      <c r="Q96" s="11"/>
      <c r="R96" s="13"/>
      <c r="S96" s="11"/>
      <c r="T96" s="11"/>
    </row>
    <row r="97" spans="2:20" x14ac:dyDescent="0.35">
      <c r="B97" s="11">
        <f t="shared" si="18"/>
        <v>130.18</v>
      </c>
      <c r="C97" s="12">
        <f t="shared" si="19"/>
        <v>0.25650899999999999</v>
      </c>
      <c r="D97" s="11"/>
      <c r="E97" s="15">
        <f t="shared" si="20"/>
        <v>2.6814865611034855</v>
      </c>
      <c r="F97" s="15">
        <f t="shared" si="21"/>
        <v>2.3037415818702258E-3</v>
      </c>
      <c r="G97" s="11"/>
      <c r="H97" s="11"/>
      <c r="I97" s="11"/>
      <c r="J97" s="11">
        <f t="shared" si="22"/>
        <v>131</v>
      </c>
      <c r="K97" s="13">
        <f t="shared" si="23"/>
        <v>0.25655</v>
      </c>
      <c r="L97" s="11"/>
      <c r="M97" s="11">
        <f t="shared" si="24"/>
        <v>3.1931636607542591</v>
      </c>
      <c r="N97" s="14">
        <f t="shared" si="25"/>
        <v>2.1846999744141687E-3</v>
      </c>
      <c r="O97" s="11"/>
      <c r="P97" s="11"/>
      <c r="Q97" s="11"/>
      <c r="R97" s="13"/>
      <c r="S97" s="11"/>
      <c r="T97" s="11"/>
    </row>
    <row r="98" spans="2:20" x14ac:dyDescent="0.35">
      <c r="B98" s="11">
        <f t="shared" si="18"/>
        <v>140.03</v>
      </c>
      <c r="C98" s="12">
        <f t="shared" si="19"/>
        <v>0.25700149999999999</v>
      </c>
      <c r="D98" s="11"/>
      <c r="E98" s="15">
        <f t="shared" si="20"/>
        <v>2.8181793741031367</v>
      </c>
      <c r="F98" s="15">
        <f t="shared" si="21"/>
        <v>2.2674301223628516E-3</v>
      </c>
      <c r="G98" s="11"/>
      <c r="H98" s="11"/>
      <c r="I98" s="11"/>
      <c r="J98" s="11">
        <f t="shared" si="22"/>
        <v>140.35</v>
      </c>
      <c r="K98" s="13">
        <f t="shared" si="23"/>
        <v>0.25701750000000001</v>
      </c>
      <c r="L98" s="11"/>
      <c r="M98" s="11">
        <f t="shared" si="24"/>
        <v>3.3966402797918347</v>
      </c>
      <c r="N98" s="14">
        <f t="shared" si="25"/>
        <v>2.1483116743007142E-3</v>
      </c>
      <c r="O98" s="11"/>
      <c r="P98" s="11"/>
      <c r="Q98" s="11"/>
      <c r="R98" s="13"/>
      <c r="S98" s="11"/>
      <c r="T98" s="11"/>
    </row>
    <row r="99" spans="2:20" x14ac:dyDescent="0.35">
      <c r="B99" s="11">
        <f t="shared" si="18"/>
        <v>149.01</v>
      </c>
      <c r="C99" s="12">
        <f t="shared" si="19"/>
        <v>0.25745050000000003</v>
      </c>
      <c r="D99" s="11"/>
      <c r="E99" s="15">
        <f t="shared" si="20"/>
        <v>2.940758169036406</v>
      </c>
      <c r="F99" s="15">
        <f t="shared" si="21"/>
        <v>2.2378646787163227E-3</v>
      </c>
      <c r="G99" s="11"/>
      <c r="H99" s="11"/>
      <c r="I99" s="11"/>
      <c r="J99" s="11">
        <f t="shared" si="22"/>
        <v>150.9</v>
      </c>
      <c r="K99" s="13">
        <f t="shared" si="23"/>
        <v>0.25754500000000002</v>
      </c>
      <c r="L99" s="11"/>
      <c r="M99" s="11">
        <f t="shared" si="24"/>
        <v>3.6198178891527806</v>
      </c>
      <c r="N99" s="14">
        <f t="shared" si="25"/>
        <v>2.1139869625045431E-3</v>
      </c>
      <c r="O99" s="11"/>
      <c r="P99" s="11"/>
      <c r="Q99" s="11"/>
      <c r="R99" s="12"/>
      <c r="S99" s="11"/>
      <c r="T99" s="11"/>
    </row>
    <row r="100" spans="2:20" x14ac:dyDescent="0.35">
      <c r="B100" s="11">
        <f t="shared" si="18"/>
        <v>159.5</v>
      </c>
      <c r="C100" s="12">
        <f t="shared" si="19"/>
        <v>0.25797500000000001</v>
      </c>
      <c r="D100" s="11"/>
      <c r="E100" s="15">
        <f t="shared" si="20"/>
        <v>3.0737753424129015</v>
      </c>
      <c r="F100" s="15">
        <f t="shared" si="21"/>
        <v>2.2086426684114527E-3</v>
      </c>
      <c r="G100" s="11"/>
      <c r="H100" s="11"/>
      <c r="I100" s="11"/>
      <c r="J100" s="11">
        <f t="shared" si="22"/>
        <v>160.57</v>
      </c>
      <c r="K100" s="13">
        <f t="shared" si="23"/>
        <v>0.25802849999999999</v>
      </c>
      <c r="L100" s="11"/>
      <c r="M100" s="11">
        <f t="shared" si="24"/>
        <v>3.8223459225046619</v>
      </c>
      <c r="N100" s="14">
        <f t="shared" si="25"/>
        <v>2.0871928519875919E-3</v>
      </c>
      <c r="O100" s="11"/>
      <c r="P100" s="11"/>
      <c r="Q100" s="11"/>
      <c r="R100" s="12"/>
      <c r="S100" s="11"/>
      <c r="T100" s="11"/>
    </row>
    <row r="101" spans="2:20" x14ac:dyDescent="0.35">
      <c r="B101" s="11">
        <f t="shared" si="18"/>
        <v>170.63</v>
      </c>
      <c r="C101" s="12">
        <f t="shared" si="19"/>
        <v>0.25853150000000003</v>
      </c>
      <c r="D101" s="11"/>
      <c r="E101" s="15">
        <f t="shared" si="20"/>
        <v>3.20062084308196</v>
      </c>
      <c r="F101" s="15">
        <f t="shared" si="21"/>
        <v>2.1832713304846779E-3</v>
      </c>
      <c r="G101" s="11"/>
      <c r="H101" s="11"/>
      <c r="I101" s="11"/>
      <c r="J101" s="11">
        <f t="shared" si="22"/>
        <v>170.03</v>
      </c>
      <c r="K101" s="13">
        <f t="shared" si="23"/>
        <v>0.2585015</v>
      </c>
      <c r="L101" s="11"/>
      <c r="M101" s="11">
        <f t="shared" si="24"/>
        <v>4.0143205236337201</v>
      </c>
      <c r="N101" s="14">
        <f t="shared" si="25"/>
        <v>2.0651232636169341E-3</v>
      </c>
      <c r="O101" s="11"/>
      <c r="P101" s="11"/>
      <c r="Q101" s="11"/>
      <c r="R101" s="12"/>
      <c r="S101" s="11"/>
      <c r="T101" s="11"/>
    </row>
    <row r="102" spans="2:20" x14ac:dyDescent="0.35">
      <c r="B102" s="11">
        <f t="shared" si="18"/>
        <v>181.83</v>
      </c>
      <c r="C102" s="12">
        <f t="shared" si="19"/>
        <v>0.25909149999999997</v>
      </c>
      <c r="D102" s="11"/>
      <c r="E102" s="15">
        <f t="shared" si="20"/>
        <v>3.3184163165844853</v>
      </c>
      <c r="F102" s="15">
        <f t="shared" si="21"/>
        <v>2.1616824458765269E-3</v>
      </c>
      <c r="G102" s="11"/>
      <c r="H102" s="11"/>
      <c r="I102" s="11"/>
      <c r="J102" s="11">
        <f t="shared" si="22"/>
        <v>180.38</v>
      </c>
      <c r="K102" s="13">
        <f t="shared" si="23"/>
        <v>0.259019</v>
      </c>
      <c r="L102" s="11"/>
      <c r="M102" s="11">
        <f t="shared" si="24"/>
        <v>4.2222735067126687</v>
      </c>
      <c r="N102" s="14">
        <f t="shared" si="25"/>
        <v>2.0444317100967589E-3</v>
      </c>
      <c r="O102" s="11"/>
      <c r="P102" s="11"/>
      <c r="Q102" s="11"/>
      <c r="R102" s="12"/>
      <c r="S102" s="11"/>
      <c r="T102" s="11"/>
    </row>
    <row r="103" spans="2:20" x14ac:dyDescent="0.35">
      <c r="B103" s="11">
        <f t="shared" si="18"/>
        <v>190.13</v>
      </c>
      <c r="C103" s="12">
        <f t="shared" si="19"/>
        <v>0.25950649999999997</v>
      </c>
      <c r="D103" s="11"/>
      <c r="E103" s="15">
        <f t="shared" si="20"/>
        <v>3.398448686755795</v>
      </c>
      <c r="F103" s="15">
        <f t="shared" si="21"/>
        <v>2.1480112356645634E-3</v>
      </c>
      <c r="G103" s="11"/>
      <c r="H103" s="11"/>
      <c r="I103" s="11"/>
      <c r="J103" s="11">
        <f t="shared" si="22"/>
        <v>189.52</v>
      </c>
      <c r="K103" s="13">
        <f t="shared" si="23"/>
        <v>0.25947599999999998</v>
      </c>
      <c r="L103" s="11"/>
      <c r="M103" s="11">
        <f t="shared" si="24"/>
        <v>4.4007888392833889</v>
      </c>
      <c r="N103" s="14">
        <f t="shared" si="25"/>
        <v>2.0290407698625493E-3</v>
      </c>
      <c r="O103" s="11"/>
      <c r="P103" s="11"/>
      <c r="Q103" s="11"/>
      <c r="R103" s="12"/>
      <c r="S103" s="11"/>
      <c r="T103" s="11"/>
    </row>
    <row r="104" spans="2:20" x14ac:dyDescent="0.35">
      <c r="B104" s="11">
        <f t="shared" si="18"/>
        <v>201.09</v>
      </c>
      <c r="C104" s="12">
        <f t="shared" si="19"/>
        <v>0.26005450000000002</v>
      </c>
      <c r="D104" s="11"/>
      <c r="E104" s="15">
        <f t="shared" si="20"/>
        <v>3.4939749675659475</v>
      </c>
      <c r="F104" s="15">
        <f t="shared" si="21"/>
        <v>2.1326746710361574E-3</v>
      </c>
      <c r="G104" s="11"/>
      <c r="H104" s="11"/>
      <c r="I104" s="11"/>
      <c r="J104" s="11">
        <f t="shared" si="22"/>
        <v>200.73</v>
      </c>
      <c r="K104" s="13">
        <f t="shared" si="23"/>
        <v>0.2600365</v>
      </c>
      <c r="L104" s="11"/>
      <c r="M104" s="11">
        <f t="shared" si="24"/>
        <v>4.6189721950428364</v>
      </c>
      <c r="N104" s="14">
        <f t="shared" si="25"/>
        <v>2.0128767685600028E-3</v>
      </c>
      <c r="O104" s="11"/>
      <c r="P104" s="11"/>
      <c r="Q104" s="11"/>
      <c r="R104" s="12"/>
      <c r="S104" s="11"/>
      <c r="T104" s="11"/>
    </row>
    <row r="105" spans="2:20" x14ac:dyDescent="0.35">
      <c r="B105" s="11">
        <f t="shared" si="18"/>
        <v>211.46</v>
      </c>
      <c r="C105" s="12">
        <f t="shared" si="19"/>
        <v>0.260573</v>
      </c>
      <c r="D105" s="11"/>
      <c r="E105" s="15">
        <f t="shared" si="20"/>
        <v>3.5737685882275163</v>
      </c>
      <c r="F105" s="15">
        <f t="shared" si="21"/>
        <v>2.1206335137603461E-3</v>
      </c>
      <c r="G105" s="11"/>
      <c r="H105" s="11"/>
      <c r="I105" s="11"/>
      <c r="J105" s="11">
        <f t="shared" si="22"/>
        <v>210.8</v>
      </c>
      <c r="K105" s="13">
        <f t="shared" si="23"/>
        <v>0.26053999999999999</v>
      </c>
      <c r="L105" s="11"/>
      <c r="M105" s="11">
        <f t="shared" si="24"/>
        <v>4.8087373411559984</v>
      </c>
      <c r="N105" s="14">
        <f t="shared" si="25"/>
        <v>2.0009424368676145E-3</v>
      </c>
      <c r="O105" s="11"/>
      <c r="P105" s="11"/>
      <c r="Q105" s="11"/>
      <c r="R105" s="12"/>
      <c r="S105" s="11"/>
      <c r="T105" s="11"/>
    </row>
    <row r="106" spans="2:20" x14ac:dyDescent="0.35">
      <c r="B106" s="11">
        <f t="shared" si="18"/>
        <v>220.85</v>
      </c>
      <c r="C106" s="12">
        <f t="shared" si="19"/>
        <v>0.26104250000000001</v>
      </c>
      <c r="D106" s="11"/>
      <c r="E106" s="15">
        <f t="shared" si="20"/>
        <v>3.6387149037969775</v>
      </c>
      <c r="F106" s="15">
        <f t="shared" si="21"/>
        <v>2.1113213793471754E-3</v>
      </c>
      <c r="G106" s="11"/>
      <c r="H106" s="11"/>
      <c r="I106" s="11"/>
      <c r="J106" s="11">
        <f t="shared" si="22"/>
        <v>218.67</v>
      </c>
      <c r="K106" s="13">
        <f t="shared" si="23"/>
        <v>0.26093349999999998</v>
      </c>
      <c r="L106" s="11"/>
      <c r="M106" s="11">
        <f t="shared" si="24"/>
        <v>4.956573587958653</v>
      </c>
      <c r="N106" s="14">
        <f t="shared" si="25"/>
        <v>1.9928854475917139E-3</v>
      </c>
      <c r="O106" s="11"/>
      <c r="P106" s="11"/>
      <c r="Q106" s="11"/>
      <c r="R106" s="12"/>
      <c r="S106" s="11"/>
      <c r="T106" s="11"/>
    </row>
    <row r="107" spans="2:20" x14ac:dyDescent="0.35">
      <c r="B107" s="11">
        <f t="shared" si="18"/>
        <v>231.85</v>
      </c>
      <c r="C107" s="12">
        <f t="shared" si="19"/>
        <v>0.26159250000000001</v>
      </c>
      <c r="D107" s="11"/>
      <c r="E107" s="15">
        <f t="shared" si="20"/>
        <v>3.7037795321166387</v>
      </c>
      <c r="F107" s="15">
        <f t="shared" si="21"/>
        <v>2.1024110303331754E-3</v>
      </c>
      <c r="G107" s="11"/>
      <c r="H107" s="11"/>
      <c r="I107" s="11"/>
      <c r="J107" s="11">
        <f t="shared" si="22"/>
        <v>230.29</v>
      </c>
      <c r="K107" s="13">
        <f t="shared" si="23"/>
        <v>0.26151449999999998</v>
      </c>
      <c r="L107" s="11"/>
      <c r="M107" s="11">
        <f t="shared" si="24"/>
        <v>5.1672562314854638</v>
      </c>
      <c r="N107" s="14">
        <f t="shared" si="25"/>
        <v>1.983113111509254E-3</v>
      </c>
      <c r="O107" s="11"/>
      <c r="P107" s="11"/>
      <c r="Q107" s="11"/>
      <c r="R107" s="12"/>
      <c r="S107" s="11"/>
      <c r="T107" s="11"/>
    </row>
    <row r="108" spans="2:20" x14ac:dyDescent="0.35">
      <c r="B108" s="11">
        <f t="shared" si="18"/>
        <v>239.02</v>
      </c>
      <c r="C108" s="12">
        <f t="shared" si="19"/>
        <v>0.26195099999999999</v>
      </c>
      <c r="D108" s="11"/>
      <c r="E108" s="15">
        <f t="shared" si="20"/>
        <v>3.7459214917394843</v>
      </c>
      <c r="F108" s="15">
        <f t="shared" si="21"/>
        <v>2.0968549039966995E-3</v>
      </c>
      <c r="G108" s="11"/>
      <c r="H108" s="11"/>
      <c r="I108" s="11"/>
      <c r="J108" s="11">
        <f t="shared" si="22"/>
        <v>240.4</v>
      </c>
      <c r="K108" s="13">
        <f t="shared" si="23"/>
        <v>0.26201999999999998</v>
      </c>
      <c r="L108" s="11"/>
      <c r="M108" s="11">
        <f t="shared" si="24"/>
        <v>5.3544418231483153</v>
      </c>
      <c r="N108" s="14">
        <f t="shared" si="25"/>
        <v>1.4583759368676686E-2</v>
      </c>
      <c r="O108" s="11"/>
      <c r="P108" s="11"/>
      <c r="Q108" s="11"/>
      <c r="R108" s="12"/>
      <c r="S108" s="11"/>
      <c r="T108" s="11"/>
    </row>
    <row r="109" spans="2:20" x14ac:dyDescent="0.35">
      <c r="B109" s="11">
        <f t="shared" si="18"/>
        <v>250.5</v>
      </c>
      <c r="C109" s="12">
        <f t="shared" si="19"/>
        <v>0.26252500000000001</v>
      </c>
      <c r="D109" s="11"/>
      <c r="E109" s="15">
        <f t="shared" si="20"/>
        <v>3.8059607511517135</v>
      </c>
      <c r="F109" s="15">
        <f t="shared" si="21"/>
        <v>2.0892204302899032E-3</v>
      </c>
      <c r="G109" s="11"/>
      <c r="H109" s="11"/>
      <c r="I109" s="11"/>
      <c r="J109" s="11">
        <f t="shared" si="22"/>
        <v>250.4</v>
      </c>
      <c r="K109" s="13">
        <f t="shared" si="23"/>
        <v>0.26251999999999998</v>
      </c>
      <c r="L109" s="11"/>
      <c r="M109" s="11">
        <f t="shared" si="24"/>
        <v>5.5287748136788712</v>
      </c>
      <c r="N109" s="14">
        <f t="shared" si="25"/>
        <v>1.4360638169888969E-2</v>
      </c>
      <c r="O109" s="11"/>
      <c r="P109" s="11"/>
      <c r="Q109" s="11"/>
      <c r="R109" s="12"/>
      <c r="S109" s="11"/>
      <c r="T109" s="11"/>
    </row>
    <row r="110" spans="2:20" x14ac:dyDescent="0.35">
      <c r="B110" s="11">
        <f t="shared" si="18"/>
        <v>260.39</v>
      </c>
      <c r="C110" s="12">
        <f t="shared" si="19"/>
        <v>0.26301950000000002</v>
      </c>
      <c r="D110" s="11"/>
      <c r="E110" s="15">
        <f t="shared" si="20"/>
        <v>3.862138559197049</v>
      </c>
      <c r="F110" s="15">
        <f t="shared" si="21"/>
        <v>2.0823660558305737E-3</v>
      </c>
      <c r="G110" s="11"/>
      <c r="H110" s="11"/>
      <c r="I110" s="11"/>
      <c r="J110" s="11">
        <f t="shared" si="22"/>
        <v>259.98</v>
      </c>
      <c r="K110" s="13">
        <f t="shared" si="23"/>
        <v>0.26299899999999998</v>
      </c>
      <c r="L110" s="11"/>
      <c r="M110" s="11">
        <f t="shared" si="24"/>
        <v>5.6962119593941996</v>
      </c>
      <c r="N110" s="14">
        <f t="shared" si="25"/>
        <v>1.4156312274076656E-2</v>
      </c>
      <c r="O110" s="11"/>
      <c r="P110" s="11"/>
      <c r="Q110" s="11"/>
      <c r="R110" s="12"/>
      <c r="S110" s="11"/>
      <c r="T110" s="11"/>
    </row>
    <row r="111" spans="2:20" x14ac:dyDescent="0.35">
      <c r="B111" s="11">
        <f t="shared" si="18"/>
        <v>271.16000000000003</v>
      </c>
      <c r="C111" s="12">
        <f t="shared" si="19"/>
        <v>0.26355800000000001</v>
      </c>
      <c r="D111" s="11"/>
      <c r="E111" s="15">
        <f t="shared" si="20"/>
        <v>3.9689396250562585</v>
      </c>
      <c r="F111" s="15">
        <f t="shared" si="21"/>
        <v>2.0700694715719637E-3</v>
      </c>
      <c r="G111" s="11"/>
      <c r="H111" s="11"/>
      <c r="I111" s="11"/>
      <c r="J111" s="11">
        <f t="shared" si="22"/>
        <v>270.39999999999998</v>
      </c>
      <c r="K111" s="13">
        <f t="shared" si="23"/>
        <v>0.26351999999999998</v>
      </c>
      <c r="L111" s="11"/>
      <c r="M111" s="11">
        <f t="shared" si="24"/>
        <v>5.8727830379759913</v>
      </c>
      <c r="N111" s="14">
        <f t="shared" si="25"/>
        <v>1.3950638200703734E-2</v>
      </c>
      <c r="O111" s="11"/>
      <c r="P111" s="11"/>
      <c r="Q111" s="11"/>
      <c r="R111" s="13"/>
      <c r="S111" s="11"/>
      <c r="T111" s="11"/>
    </row>
    <row r="112" spans="2:20" x14ac:dyDescent="0.35">
      <c r="B112" s="11">
        <f t="shared" si="18"/>
        <v>280.62</v>
      </c>
      <c r="C112" s="12">
        <f t="shared" si="19"/>
        <v>0.26403100000000002</v>
      </c>
      <c r="D112" s="11"/>
      <c r="E112" s="15">
        <f t="shared" si="20"/>
        <v>4.0006666388919756</v>
      </c>
      <c r="F112" s="15">
        <f t="shared" si="21"/>
        <v>2.0665944648106237E-3</v>
      </c>
      <c r="G112" s="11"/>
      <c r="H112" s="11"/>
      <c r="I112" s="11"/>
      <c r="J112" s="11">
        <f t="shared" si="22"/>
        <v>279.33</v>
      </c>
      <c r="K112" s="13">
        <f t="shared" si="23"/>
        <v>0.26396649999999999</v>
      </c>
      <c r="L112" s="11"/>
      <c r="M112" s="11">
        <f t="shared" si="24"/>
        <v>6.0204118142286642</v>
      </c>
      <c r="N112" s="14">
        <f t="shared" si="25"/>
        <v>1.3785868168490952E-2</v>
      </c>
      <c r="O112" s="11"/>
      <c r="P112" s="11"/>
      <c r="Q112" s="11"/>
      <c r="R112" s="13"/>
      <c r="S112" s="11"/>
      <c r="T112" s="11"/>
    </row>
    <row r="113" spans="2:20" x14ac:dyDescent="0.35">
      <c r="B113" s="11">
        <f t="shared" si="18"/>
        <v>291.43</v>
      </c>
      <c r="C113" s="12">
        <f t="shared" si="19"/>
        <v>0.26457150000000001</v>
      </c>
      <c r="D113" s="11"/>
      <c r="E113" s="15">
        <f t="shared" si="20"/>
        <v>4.033264271901448</v>
      </c>
      <c r="F113" s="15">
        <f t="shared" si="21"/>
        <v>2.0631059629520575E-3</v>
      </c>
      <c r="G113" s="11"/>
      <c r="H113" s="11"/>
      <c r="I113" s="11"/>
      <c r="J113" s="11">
        <f t="shared" si="22"/>
        <v>290.85000000000002</v>
      </c>
      <c r="K113" s="13">
        <f t="shared" si="23"/>
        <v>0.26454250000000001</v>
      </c>
      <c r="L113" s="11"/>
      <c r="M113" s="11">
        <f t="shared" si="24"/>
        <v>6.2096681970105152</v>
      </c>
      <c r="N113" s="14">
        <f t="shared" si="25"/>
        <v>1.3583552200876868E-2</v>
      </c>
      <c r="O113" s="11"/>
      <c r="P113" s="11"/>
      <c r="Q113" s="11"/>
      <c r="R113" s="13"/>
      <c r="S113" s="11"/>
      <c r="T113" s="11"/>
    </row>
    <row r="114" spans="2:20" x14ac:dyDescent="0.35">
      <c r="B114" s="11">
        <f t="shared" si="18"/>
        <v>300.55</v>
      </c>
      <c r="C114" s="12">
        <f t="shared" si="19"/>
        <v>0.26502750000000003</v>
      </c>
      <c r="D114" s="11"/>
      <c r="E114" s="15">
        <f t="shared" si="20"/>
        <v>4.0475257762634147</v>
      </c>
      <c r="F114" s="15">
        <f t="shared" si="21"/>
        <v>2.0616054067488666E-3</v>
      </c>
      <c r="G114" s="11"/>
      <c r="H114" s="11"/>
      <c r="I114" s="11"/>
      <c r="J114" s="11">
        <f t="shared" si="22"/>
        <v>299.8</v>
      </c>
      <c r="K114" s="13">
        <f t="shared" si="23"/>
        <v>0.26499</v>
      </c>
      <c r="L114" s="11"/>
      <c r="M114" s="11">
        <f t="shared" si="24"/>
        <v>6.3530431112389589</v>
      </c>
      <c r="N114" s="14">
        <f t="shared" si="25"/>
        <v>1.3436529466848243E-2</v>
      </c>
      <c r="O114" s="11"/>
      <c r="P114" s="11"/>
      <c r="Q114" s="11"/>
      <c r="R114" s="13"/>
      <c r="S114" s="11"/>
      <c r="T114" s="11"/>
    </row>
    <row r="115" spans="2:20" x14ac:dyDescent="0.35">
      <c r="B115" s="11">
        <f t="shared" si="18"/>
        <v>310.81</v>
      </c>
      <c r="C115" s="12">
        <f t="shared" si="19"/>
        <v>0.26554050000000001</v>
      </c>
      <c r="D115" s="11"/>
      <c r="E115" s="15">
        <f t="shared" si="20"/>
        <v>4.0756434980613747</v>
      </c>
      <c r="F115" s="15">
        <f t="shared" si="21"/>
        <v>2.0586920025615161E-3</v>
      </c>
      <c r="G115" s="11"/>
      <c r="H115" s="11"/>
      <c r="I115" s="11"/>
      <c r="J115" s="11">
        <f t="shared" si="22"/>
        <v>310.52999999999997</v>
      </c>
      <c r="K115" s="13">
        <f t="shared" si="23"/>
        <v>0.2655265</v>
      </c>
      <c r="L115" s="11"/>
      <c r="M115" s="11">
        <f t="shared" si="24"/>
        <v>6.5204288237155836</v>
      </c>
      <c r="N115" s="14">
        <f t="shared" si="25"/>
        <v>1.3271259186447349E-2</v>
      </c>
      <c r="O115" s="11"/>
      <c r="P115" s="11"/>
      <c r="Q115" s="11"/>
      <c r="R115" s="13"/>
      <c r="S115" s="11"/>
      <c r="T115" s="11"/>
    </row>
    <row r="116" spans="2:20" x14ac:dyDescent="0.35">
      <c r="B116" s="11">
        <f t="shared" si="18"/>
        <v>321.39</v>
      </c>
      <c r="C116" s="12">
        <f t="shared" si="19"/>
        <v>0.26606950000000001</v>
      </c>
      <c r="D116" s="11"/>
      <c r="E116" s="15">
        <f t="shared" si="20"/>
        <v>4.0927971890484303</v>
      </c>
      <c r="F116" s="15">
        <f t="shared" si="21"/>
        <v>2.0569436436425372E-3</v>
      </c>
      <c r="G116" s="11"/>
      <c r="H116" s="11"/>
      <c r="I116" s="11"/>
      <c r="J116" s="11">
        <f t="shared" si="22"/>
        <v>320.47000000000003</v>
      </c>
      <c r="K116" s="13">
        <f t="shared" si="23"/>
        <v>0.26602350000000002</v>
      </c>
      <c r="L116" s="11"/>
      <c r="M116" s="11">
        <f t="shared" si="24"/>
        <v>6.6722789060340597</v>
      </c>
      <c r="N116" s="14">
        <f t="shared" si="25"/>
        <v>1.3126923185339059E-2</v>
      </c>
      <c r="O116" s="11"/>
      <c r="P116" s="11"/>
      <c r="Q116" s="11"/>
      <c r="R116" s="13"/>
      <c r="S116" s="11"/>
      <c r="T116" s="11"/>
    </row>
    <row r="117" spans="2:20" x14ac:dyDescent="0.35">
      <c r="B117" s="11">
        <f t="shared" si="18"/>
        <v>331.85</v>
      </c>
      <c r="C117" s="12">
        <f t="shared" si="19"/>
        <v>0.26659250000000001</v>
      </c>
      <c r="D117" s="11"/>
      <c r="E117" s="15">
        <f t="shared" si="20"/>
        <v>4.1132028085361645</v>
      </c>
      <c r="F117" s="15">
        <f t="shared" si="21"/>
        <v>2.0548920895869988E-3</v>
      </c>
      <c r="G117" s="11"/>
      <c r="H117" s="11"/>
      <c r="I117" s="11"/>
      <c r="J117" s="11">
        <f t="shared" si="22"/>
        <v>330.2</v>
      </c>
      <c r="K117" s="13">
        <f t="shared" si="23"/>
        <v>0.26651000000000002</v>
      </c>
      <c r="L117" s="11"/>
      <c r="M117" s="11">
        <f t="shared" si="24"/>
        <v>6.8170592507749088</v>
      </c>
      <c r="N117" s="14">
        <f t="shared" si="25"/>
        <v>1.299398110077243E-2</v>
      </c>
      <c r="O117" s="11"/>
      <c r="P117" s="11"/>
      <c r="Q117" s="11"/>
      <c r="R117" s="13"/>
      <c r="S117" s="11"/>
      <c r="T117" s="11"/>
    </row>
    <row r="118" spans="2:20" x14ac:dyDescent="0.35">
      <c r="B118" s="11">
        <f t="shared" si="18"/>
        <v>341.01</v>
      </c>
      <c r="C118" s="12">
        <f t="shared" si="19"/>
        <v>0.26705050000000002</v>
      </c>
      <c r="D118" s="11"/>
      <c r="E118" s="15">
        <f t="shared" si="20"/>
        <v>4.1273254105993029</v>
      </c>
      <c r="F118" s="15">
        <f t="shared" si="21"/>
        <v>2.0534900089984333E-3</v>
      </c>
      <c r="G118" s="11"/>
      <c r="H118" s="11"/>
      <c r="I118" s="11"/>
      <c r="J118" s="11">
        <f t="shared" si="22"/>
        <v>339.88</v>
      </c>
      <c r="K118" s="13">
        <f t="shared" si="23"/>
        <v>0.26699400000000001</v>
      </c>
      <c r="L118" s="11"/>
      <c r="M118" s="11">
        <f t="shared" si="24"/>
        <v>6.9577909559757138</v>
      </c>
      <c r="N118" s="14">
        <f t="shared" si="25"/>
        <v>1.2868899350498076E-2</v>
      </c>
      <c r="O118" s="11"/>
      <c r="P118" s="11"/>
      <c r="Q118" s="11"/>
      <c r="R118" s="13"/>
      <c r="S118" s="11"/>
      <c r="T118" s="11"/>
    </row>
    <row r="119" spans="2:20" x14ac:dyDescent="0.35">
      <c r="B119" s="11">
        <f t="shared" si="18"/>
        <v>350.76</v>
      </c>
      <c r="C119" s="12">
        <f t="shared" si="19"/>
        <v>0.267538</v>
      </c>
      <c r="D119" s="11"/>
      <c r="E119" s="15">
        <f t="shared" si="20"/>
        <v>4.139458103903805</v>
      </c>
      <c r="F119" s="15">
        <f t="shared" si="21"/>
        <v>2.0522969953439964E-3</v>
      </c>
      <c r="G119" s="11"/>
      <c r="H119" s="11"/>
      <c r="I119" s="11"/>
      <c r="J119" s="11">
        <f t="shared" si="22"/>
        <v>350.4</v>
      </c>
      <c r="K119" s="13">
        <f t="shared" si="23"/>
        <v>0.26751999999999998</v>
      </c>
      <c r="L119" s="11"/>
      <c r="M119" s="11">
        <f t="shared" si="24"/>
        <v>7.1063695798955422</v>
      </c>
      <c r="N119" s="14">
        <f t="shared" si="25"/>
        <v>1.2741048432603258E-2</v>
      </c>
      <c r="O119" s="11"/>
      <c r="P119" s="11"/>
      <c r="Q119" s="11"/>
      <c r="R119" s="13"/>
      <c r="S119" s="11"/>
      <c r="T119" s="11"/>
    </row>
    <row r="120" spans="2:20" x14ac:dyDescent="0.35">
      <c r="B120" s="11">
        <f t="shared" si="18"/>
        <v>360.23</v>
      </c>
      <c r="C120" s="12">
        <f t="shared" si="19"/>
        <v>0.26801150000000001</v>
      </c>
      <c r="D120" s="11"/>
      <c r="E120" s="15">
        <f t="shared" si="20"/>
        <v>4.1469910932582357</v>
      </c>
      <c r="F120" s="15">
        <f t="shared" si="21"/>
        <v>2.0515615893961755E-3</v>
      </c>
      <c r="G120" s="11"/>
      <c r="H120" s="11"/>
      <c r="I120" s="11"/>
      <c r="J120" s="11">
        <f t="shared" si="22"/>
        <v>359.63</v>
      </c>
      <c r="K120" s="13">
        <f t="shared" si="23"/>
        <v>0.26798149999999998</v>
      </c>
      <c r="L120" s="11"/>
      <c r="M120" s="11">
        <f t="shared" si="24"/>
        <v>7.2328508124308408</v>
      </c>
      <c r="N120" s="14">
        <f t="shared" si="25"/>
        <v>1.2635451755490862E-2</v>
      </c>
      <c r="O120" s="11"/>
      <c r="P120" s="11"/>
      <c r="Q120" s="11"/>
      <c r="R120" s="12"/>
      <c r="S120" s="11"/>
      <c r="T120" s="11"/>
    </row>
    <row r="121" spans="2:20" x14ac:dyDescent="0.35">
      <c r="B121" s="11">
        <f t="shared" si="18"/>
        <v>370.69</v>
      </c>
      <c r="C121" s="12">
        <f t="shared" si="19"/>
        <v>0.26853450000000001</v>
      </c>
      <c r="D121" s="11"/>
      <c r="E121" s="15">
        <f t="shared" si="20"/>
        <v>4.1558254473535508</v>
      </c>
      <c r="F121" s="15">
        <f t="shared" si="21"/>
        <v>2.0507042977073215E-3</v>
      </c>
      <c r="G121" s="11"/>
      <c r="H121" s="11"/>
      <c r="I121" s="11"/>
      <c r="J121" s="11">
        <f t="shared" si="22"/>
        <v>370.37</v>
      </c>
      <c r="K121" s="13">
        <f t="shared" si="23"/>
        <v>0.26851849999999999</v>
      </c>
      <c r="L121" s="11"/>
      <c r="M121" s="11">
        <f t="shared" si="24"/>
        <v>7.3759201701622477</v>
      </c>
      <c r="N121" s="14">
        <f t="shared" si="25"/>
        <v>1.2519426589142268E-2</v>
      </c>
      <c r="O121" s="11"/>
      <c r="P121" s="11"/>
      <c r="Q121" s="11"/>
      <c r="R121" s="12"/>
      <c r="S121" s="11"/>
      <c r="T121" s="11"/>
    </row>
    <row r="122" spans="2:20" x14ac:dyDescent="0.35">
      <c r="B122" s="11">
        <f t="shared" si="18"/>
        <v>380.34</v>
      </c>
      <c r="C122" s="12">
        <f t="shared" si="19"/>
        <v>0.26901700000000001</v>
      </c>
      <c r="D122" s="11"/>
      <c r="E122" s="15">
        <f t="shared" si="20"/>
        <v>4.1695491464324395</v>
      </c>
      <c r="F122" s="15">
        <f t="shared" si="21"/>
        <v>2.0493835210297611E-3</v>
      </c>
      <c r="G122" s="11"/>
      <c r="H122" s="11"/>
      <c r="I122" s="11"/>
      <c r="J122" s="11">
        <f t="shared" si="22"/>
        <v>379.54</v>
      </c>
      <c r="K122" s="13">
        <f t="shared" si="23"/>
        <v>0.26897700000000002</v>
      </c>
      <c r="L122" s="11"/>
      <c r="M122" s="11">
        <f t="shared" si="24"/>
        <v>7.4930372179558358</v>
      </c>
      <c r="N122" s="14">
        <f t="shared" si="25"/>
        <v>1.2427034118819708E-2</v>
      </c>
      <c r="O122" s="11"/>
      <c r="P122" s="11"/>
      <c r="Q122" s="11"/>
      <c r="R122" s="12"/>
      <c r="S122" s="11"/>
      <c r="T122" s="11"/>
    </row>
    <row r="123" spans="2:20" x14ac:dyDescent="0.35">
      <c r="B123" s="11">
        <f t="shared" si="18"/>
        <v>390.74</v>
      </c>
      <c r="C123" s="12">
        <f t="shared" si="19"/>
        <v>0.26953700000000003</v>
      </c>
      <c r="D123" s="11"/>
      <c r="E123" s="15">
        <f t="shared" si="20"/>
        <v>4.1764025311655564</v>
      </c>
      <c r="F123" s="15">
        <f t="shared" si="21"/>
        <v>2.0487289198478803E-3</v>
      </c>
      <c r="G123" s="11"/>
      <c r="H123" s="11"/>
      <c r="I123" s="11"/>
      <c r="J123" s="11">
        <f t="shared" si="22"/>
        <v>390.47</v>
      </c>
      <c r="K123" s="13">
        <f t="shared" si="23"/>
        <v>0.26952350000000003</v>
      </c>
      <c r="L123" s="11"/>
      <c r="M123" s="11">
        <f t="shared" si="24"/>
        <v>7.6273611249205429</v>
      </c>
      <c r="N123" s="14">
        <f t="shared" si="25"/>
        <v>1.2323809616294002E-2</v>
      </c>
      <c r="O123" s="11"/>
      <c r="P123" s="11"/>
      <c r="Q123" s="11"/>
      <c r="R123" s="12"/>
      <c r="S123" s="11"/>
      <c r="T123" s="11"/>
    </row>
    <row r="124" spans="2:20" x14ac:dyDescent="0.35">
      <c r="B124" s="11">
        <f t="shared" si="18"/>
        <v>400.63</v>
      </c>
      <c r="C124" s="12">
        <f t="shared" si="19"/>
        <v>0.27003149999999998</v>
      </c>
      <c r="D124" s="11"/>
      <c r="E124" s="15">
        <f t="shared" si="20"/>
        <v>4.1861833389276288</v>
      </c>
      <c r="F124" s="15">
        <f t="shared" si="21"/>
        <v>2.0478004078089448E-3</v>
      </c>
      <c r="G124" s="11"/>
      <c r="H124" s="11"/>
      <c r="I124" s="11"/>
      <c r="J124" s="11">
        <f t="shared" si="22"/>
        <v>400.29</v>
      </c>
      <c r="K124" s="13">
        <f t="shared" si="23"/>
        <v>0.27001449999999999</v>
      </c>
      <c r="L124" s="11"/>
      <c r="M124" s="11">
        <f t="shared" si="24"/>
        <v>7.7451889668591258</v>
      </c>
      <c r="N124" s="14">
        <f t="shared" si="25"/>
        <v>1.2235578002071874E-2</v>
      </c>
      <c r="O124" s="11"/>
      <c r="P124" s="11"/>
      <c r="Q124" s="11"/>
      <c r="R124" s="12"/>
      <c r="S124" s="11"/>
      <c r="T124" s="11"/>
    </row>
    <row r="125" spans="2:20" x14ac:dyDescent="0.35">
      <c r="B125" s="11">
        <f t="shared" si="18"/>
        <v>410.76</v>
      </c>
      <c r="C125" s="12">
        <f t="shared" si="19"/>
        <v>0.270538</v>
      </c>
      <c r="D125" s="11"/>
      <c r="E125" s="15">
        <f t="shared" si="20"/>
        <v>4.1910694596543898</v>
      </c>
      <c r="F125" s="15">
        <f t="shared" si="21"/>
        <v>2.0473390592732829E-3</v>
      </c>
      <c r="G125" s="11"/>
      <c r="H125" s="11"/>
      <c r="I125" s="11"/>
      <c r="J125" s="11">
        <f t="shared" si="22"/>
        <v>409.97</v>
      </c>
      <c r="K125" s="13">
        <f t="shared" si="23"/>
        <v>0.27049849999999998</v>
      </c>
      <c r="L125" s="11"/>
      <c r="M125" s="11">
        <f t="shared" si="24"/>
        <v>7.8571334996818907</v>
      </c>
      <c r="N125" s="14">
        <f t="shared" si="25"/>
        <v>1.2153679331454901E-2</v>
      </c>
      <c r="O125" s="11"/>
      <c r="P125" s="11"/>
      <c r="Q125" s="11"/>
      <c r="R125" s="12"/>
      <c r="S125" s="11"/>
      <c r="T125" s="11"/>
    </row>
    <row r="126" spans="2:20" x14ac:dyDescent="0.35">
      <c r="B126" s="11">
        <f t="shared" si="18"/>
        <v>421.17</v>
      </c>
      <c r="C126" s="12">
        <f t="shared" si="19"/>
        <v>0.27105849999999998</v>
      </c>
      <c r="D126" s="11"/>
      <c r="E126" s="15">
        <f t="shared" si="20"/>
        <v>4.1998573080773705</v>
      </c>
      <c r="F126" s="15">
        <f t="shared" si="21"/>
        <v>2.0465134826676079E-3</v>
      </c>
      <c r="G126" s="11"/>
      <c r="H126" s="11"/>
      <c r="I126" s="11"/>
      <c r="J126" s="11">
        <f t="shared" si="22"/>
        <v>419.99</v>
      </c>
      <c r="K126" s="13">
        <f t="shared" si="23"/>
        <v>0.2709995</v>
      </c>
      <c r="L126" s="11"/>
      <c r="M126" s="11">
        <f t="shared" si="24"/>
        <v>7.9682861587043972</v>
      </c>
      <c r="N126" s="14">
        <f t="shared" si="25"/>
        <v>1.2074151690558751E-2</v>
      </c>
      <c r="O126" s="11"/>
      <c r="P126" s="11"/>
      <c r="Q126" s="11"/>
      <c r="R126" s="12"/>
      <c r="S126" s="11"/>
      <c r="T126" s="11"/>
    </row>
    <row r="127" spans="2:20" x14ac:dyDescent="0.35">
      <c r="B127" s="11">
        <f>B55</f>
        <v>431.09</v>
      </c>
      <c r="C127" s="12">
        <f t="shared" si="19"/>
        <v>0.27155449999999998</v>
      </c>
      <c r="D127" s="11"/>
      <c r="E127" s="15">
        <f t="shared" si="20"/>
        <v>4.2063609019859731</v>
      </c>
      <c r="F127" s="15">
        <f t="shared" si="21"/>
        <v>2.0459059414354016E-3</v>
      </c>
      <c r="G127" s="11"/>
      <c r="H127" s="11"/>
      <c r="I127" s="11"/>
      <c r="J127" s="11">
        <f t="shared" si="22"/>
        <v>430.25</v>
      </c>
      <c r="K127" s="13">
        <f t="shared" si="23"/>
        <v>0.27151249999999999</v>
      </c>
      <c r="L127" s="11"/>
      <c r="M127" s="11">
        <f t="shared" si="24"/>
        <v>8.0777306512895724</v>
      </c>
      <c r="N127" s="14">
        <f t="shared" si="25"/>
        <v>1.1997530550834684E-2</v>
      </c>
      <c r="O127" s="11"/>
      <c r="P127" s="11"/>
      <c r="Q127" s="11"/>
      <c r="R127" s="12"/>
      <c r="S127" s="11"/>
      <c r="T127" s="11"/>
    </row>
    <row r="128" spans="2:20" x14ac:dyDescent="0.35">
      <c r="B128" s="11">
        <f t="shared" si="18"/>
        <v>440.94</v>
      </c>
      <c r="C128" s="12">
        <f t="shared" si="19"/>
        <v>0.27204699999999998</v>
      </c>
      <c r="D128" s="11"/>
      <c r="E128" s="15">
        <f t="shared" si="20"/>
        <v>4.2128594720636077</v>
      </c>
      <c r="F128" s="15">
        <f t="shared" si="21"/>
        <v>2.0453017800823522E-3</v>
      </c>
      <c r="G128" s="11"/>
      <c r="H128" s="11"/>
      <c r="I128" s="11"/>
      <c r="J128" s="11">
        <f t="shared" si="22"/>
        <v>440.23</v>
      </c>
      <c r="K128" s="13">
        <f t="shared" si="23"/>
        <v>0.27201150000000002</v>
      </c>
      <c r="L128" s="11"/>
      <c r="M128" s="11">
        <f t="shared" si="24"/>
        <v>8.1792139814596201</v>
      </c>
      <c r="N128" s="14">
        <f t="shared" si="25"/>
        <v>1.192792714733517E-2</v>
      </c>
      <c r="O128" s="11"/>
      <c r="P128" s="11"/>
      <c r="Q128" s="11"/>
      <c r="R128" s="12"/>
      <c r="S128" s="11"/>
      <c r="T128" s="11"/>
    </row>
    <row r="129" spans="2:20" x14ac:dyDescent="0.35">
      <c r="B129" s="11">
        <f t="shared" si="18"/>
        <v>450.85</v>
      </c>
      <c r="C129" s="12">
        <f t="shared" si="19"/>
        <v>0.27254250000000002</v>
      </c>
      <c r="D129" s="11"/>
      <c r="E129" s="15">
        <f t="shared" si="20"/>
        <v>4.2209756434841204</v>
      </c>
      <c r="F129" s="15">
        <f t="shared" si="21"/>
        <v>2.0445513018499963E-3</v>
      </c>
      <c r="G129" s="11"/>
      <c r="H129" s="11"/>
      <c r="I129" s="11"/>
      <c r="J129" s="11">
        <f t="shared" si="22"/>
        <v>450.45</v>
      </c>
      <c r="K129" s="13">
        <f t="shared" si="23"/>
        <v>0.2725225</v>
      </c>
      <c r="L129" s="11"/>
      <c r="M129" s="11">
        <f t="shared" si="24"/>
        <v>8.2772911743881075</v>
      </c>
      <c r="N129" s="14">
        <f t="shared" si="25"/>
        <v>1.1861939176415823E-2</v>
      </c>
      <c r="O129" s="11"/>
      <c r="P129" s="11"/>
      <c r="Q129" s="11"/>
      <c r="R129" s="11"/>
      <c r="S129" s="11"/>
      <c r="T129" s="11"/>
    </row>
    <row r="130" spans="2:20" x14ac:dyDescent="0.35">
      <c r="B130" s="11">
        <f t="shared" si="18"/>
        <v>460.76</v>
      </c>
      <c r="C130" s="12">
        <f t="shared" si="19"/>
        <v>0.273038</v>
      </c>
      <c r="E130" s="15">
        <f t="shared" si="20"/>
        <v>4.2268144582173512</v>
      </c>
      <c r="F130" s="15">
        <f t="shared" si="21"/>
        <v>2.0440141877539749E-3</v>
      </c>
      <c r="J130" s="11">
        <f t="shared" si="22"/>
        <v>460.12</v>
      </c>
      <c r="K130" s="13">
        <f t="shared" si="23"/>
        <v>0.27300600000000003</v>
      </c>
      <c r="M130" s="11">
        <f t="shared" si="24"/>
        <v>8.3655734604064591</v>
      </c>
      <c r="N130" s="14">
        <f t="shared" si="25"/>
        <v>1.1803585821147369E-2</v>
      </c>
    </row>
    <row r="131" spans="2:20" x14ac:dyDescent="0.35">
      <c r="B131" s="11">
        <f t="shared" si="18"/>
        <v>470.25</v>
      </c>
      <c r="C131" s="12">
        <f t="shared" si="19"/>
        <v>0.27351249999999999</v>
      </c>
      <c r="E131" s="15">
        <f t="shared" si="20"/>
        <v>4.2284356355202464</v>
      </c>
      <c r="F131" s="15">
        <f t="shared" si="21"/>
        <v>2.0438654671442224E-3</v>
      </c>
      <c r="J131" s="11">
        <f t="shared" si="22"/>
        <v>470.3</v>
      </c>
      <c r="K131" s="13">
        <f t="shared" si="23"/>
        <v>0.27351500000000001</v>
      </c>
      <c r="M131" s="11">
        <f t="shared" si="24"/>
        <v>8.457289905556836</v>
      </c>
      <c r="N131" s="14">
        <f t="shared" si="25"/>
        <v>1.1743981772425298E-2</v>
      </c>
    </row>
    <row r="132" spans="2:20" x14ac:dyDescent="0.35">
      <c r="B132" s="11">
        <f>B60</f>
        <v>479.81</v>
      </c>
      <c r="C132" s="12">
        <f t="shared" si="19"/>
        <v>0.27399050000000003</v>
      </c>
      <c r="E132" s="15">
        <f t="shared" si="20"/>
        <v>4.2238955552986015</v>
      </c>
      <c r="F132" s="15">
        <f t="shared" si="21"/>
        <v>2.044282407850484E-3</v>
      </c>
      <c r="J132" s="11">
        <f t="shared" si="22"/>
        <v>479.81</v>
      </c>
      <c r="K132" s="13">
        <f t="shared" si="23"/>
        <v>0.27399050000000003</v>
      </c>
      <c r="M132" s="11">
        <f t="shared" si="24"/>
        <v>8.5361944480421403</v>
      </c>
      <c r="N132" s="14">
        <f t="shared" si="25"/>
        <v>1.1693513950249012E-2</v>
      </c>
    </row>
    <row r="133" spans="2:20" x14ac:dyDescent="0.35">
      <c r="B133" s="11">
        <f t="shared" si="18"/>
        <v>490.13</v>
      </c>
      <c r="C133" s="12">
        <f t="shared" si="19"/>
        <v>0.27450649999999999</v>
      </c>
      <c r="E133" s="15">
        <f t="shared" si="20"/>
        <v>4.2261659002414271</v>
      </c>
      <c r="F133" s="15">
        <f t="shared" si="21"/>
        <v>2.0440737340701172E-3</v>
      </c>
      <c r="J133" s="11">
        <f t="shared" si="22"/>
        <v>489.99</v>
      </c>
      <c r="K133" s="13">
        <f t="shared" si="23"/>
        <v>0.27449950000000001</v>
      </c>
      <c r="M133" s="11">
        <f t="shared" si="24"/>
        <v>8.6172343056235512</v>
      </c>
      <c r="N133" s="14">
        <f t="shared" si="25"/>
        <v>1.1642441314329812E-2</v>
      </c>
    </row>
    <row r="134" spans="2:20" x14ac:dyDescent="0.35">
      <c r="B134" s="11">
        <f t="shared" si="18"/>
        <v>500.11</v>
      </c>
      <c r="C134" s="12">
        <f t="shared" si="19"/>
        <v>0.27500550000000001</v>
      </c>
      <c r="E134" s="15">
        <f t="shared" si="20"/>
        <v>4.2290840194266899</v>
      </c>
      <c r="F134" s="15">
        <f t="shared" si="21"/>
        <v>2.043806036922812E-3</v>
      </c>
      <c r="J134" s="11">
        <f t="shared" si="22"/>
        <v>499.93</v>
      </c>
      <c r="K134" s="13">
        <f t="shared" si="23"/>
        <v>0.27499649999999998</v>
      </c>
      <c r="M134" s="11">
        <f t="shared" si="24"/>
        <v>8.6922427396705917</v>
      </c>
      <c r="N134" s="14">
        <f t="shared" si="25"/>
        <v>1.1595841422926516E-2</v>
      </c>
    </row>
    <row r="135" spans="2:20" x14ac:dyDescent="0.35">
      <c r="J135" s="11"/>
    </row>
    <row r="136" spans="2:20" x14ac:dyDescent="0.35">
      <c r="J136" s="11"/>
    </row>
    <row r="137" spans="2:20" x14ac:dyDescent="0.35">
      <c r="J137" s="11"/>
    </row>
    <row r="138" spans="2:20" x14ac:dyDescent="0.35">
      <c r="J138" s="11"/>
    </row>
    <row r="139" spans="2:20" x14ac:dyDescent="0.35">
      <c r="J139" s="11"/>
    </row>
    <row r="140" spans="2:20" x14ac:dyDescent="0.35">
      <c r="J140" s="11"/>
    </row>
    <row r="141" spans="2:20" x14ac:dyDescent="0.35">
      <c r="J141" s="11"/>
    </row>
    <row r="142" spans="2:20" x14ac:dyDescent="0.35">
      <c r="J142" s="11"/>
    </row>
    <row r="143" spans="2:20" x14ac:dyDescent="0.35">
      <c r="J143" s="11"/>
    </row>
    <row r="144" spans="2:20" x14ac:dyDescent="0.35">
      <c r="B144" t="s">
        <v>42</v>
      </c>
      <c r="C144" t="s">
        <v>43</v>
      </c>
      <c r="D144" t="s">
        <v>44</v>
      </c>
      <c r="J144" s="11" t="s">
        <v>60</v>
      </c>
      <c r="K144" t="s">
        <v>61</v>
      </c>
      <c r="L144" t="s">
        <v>44</v>
      </c>
      <c r="P144" t="s">
        <v>65</v>
      </c>
      <c r="Q144" t="s">
        <v>61</v>
      </c>
      <c r="R144" t="s">
        <v>44</v>
      </c>
    </row>
    <row r="145" spans="2:18" x14ac:dyDescent="0.35">
      <c r="B145" t="s">
        <v>45</v>
      </c>
      <c r="C145">
        <v>8.9380000000000001E-2</v>
      </c>
      <c r="D145">
        <v>6.3880000000000006E-2</v>
      </c>
      <c r="J145" s="11" t="s">
        <v>62</v>
      </c>
      <c r="K145" s="16">
        <v>1.34673</v>
      </c>
      <c r="L145" s="16">
        <v>1.40493</v>
      </c>
      <c r="P145" t="s">
        <v>62</v>
      </c>
      <c r="Q145" s="16">
        <v>1.4437800000000001</v>
      </c>
      <c r="R145" s="16">
        <v>1.50589</v>
      </c>
    </row>
    <row r="146" spans="2:18" x14ac:dyDescent="0.35">
      <c r="B146" t="s">
        <v>46</v>
      </c>
      <c r="C146">
        <v>1.355E-2</v>
      </c>
      <c r="D146">
        <v>3.5000000000000001E-3</v>
      </c>
      <c r="J146" s="11" t="s">
        <v>63</v>
      </c>
      <c r="K146">
        <f>(LOG(H19+J19)-LOG(H12-J12))/(LOG(B19)-LOG(B12))</f>
        <v>1.3541348265803304</v>
      </c>
      <c r="L146">
        <f>(LOG(V19+X19)-LOG(V12-X12))/(LOG(Q19)-LOG(Q12))</f>
        <v>1.3182300818677264</v>
      </c>
      <c r="P146" t="s">
        <v>63</v>
      </c>
      <c r="Q146">
        <f>(LOG(H19+J19)-LOG(H12-J12))/(LOG(BK19-BL19)-LOG(BK12+BL12))</f>
        <v>1.9131923611317228</v>
      </c>
      <c r="R146">
        <f>(LOG(V19+X19)-LOG(V12-X12))/(LOG(BM19-BN19)-LOG(BM12+BN12))</f>
        <v>1.8671012487749705</v>
      </c>
    </row>
    <row r="147" spans="2:18" x14ac:dyDescent="0.35">
      <c r="B147" t="s">
        <v>47</v>
      </c>
      <c r="C147">
        <v>2.2239999999999999E-2</v>
      </c>
      <c r="D147">
        <v>2.4289999999999999E-2</v>
      </c>
      <c r="J147" s="11" t="s">
        <v>64</v>
      </c>
      <c r="K147">
        <f>(LOG(H19-J19)-LOG(H12+J12))/(LOG(B19)-LOG(B12))</f>
        <v>1.2216190501999293</v>
      </c>
      <c r="L147">
        <f>(LOG(V19-X19)-LOG(V12+X12))/(LOG(Q19)-LOG(Q12))</f>
        <v>1.208418399039376</v>
      </c>
      <c r="P147" t="s">
        <v>64</v>
      </c>
      <c r="Q147">
        <f>(LOG(H19-J19)-LOG(H12+J12))/(LOG(BK19+BL19)-LOG(BK12-BL12))</f>
        <v>1.471554017443419</v>
      </c>
      <c r="R147">
        <f>(LOG(V19-X19)-LOG(V12+X12))/(LOG(BM19+BN19)-LOG(BM12-BN12))</f>
        <v>1.4572294695355081</v>
      </c>
    </row>
    <row r="148" spans="2:18" x14ac:dyDescent="0.35">
      <c r="B148" t="s">
        <v>48</v>
      </c>
      <c r="C148">
        <v>2.6119799999999997E-4</v>
      </c>
      <c r="D148">
        <v>6.8255099999999996E-5</v>
      </c>
      <c r="J148" s="11"/>
    </row>
    <row r="149" spans="2:18" x14ac:dyDescent="0.35">
      <c r="J149" s="11" t="s">
        <v>48</v>
      </c>
      <c r="K149" s="16">
        <f>MAX(ABS(K145-K146),ABS(K145-K147))</f>
        <v>0.12511094980007065</v>
      </c>
      <c r="L149" s="16">
        <f>MAX(ABS(L145-L146),ABS(L145-L147))</f>
        <v>0.19651160096062403</v>
      </c>
      <c r="P149" t="s">
        <v>48</v>
      </c>
      <c r="Q149" s="16">
        <f>MAX(ABS(Q145-Q146),ABS(Q145-Q147))</f>
        <v>0.46941236113172269</v>
      </c>
      <c r="R149" s="16">
        <f>MAX(ABS(R145-R146),ABS(R145-R147))</f>
        <v>0.36121124877497057</v>
      </c>
    </row>
    <row r="150" spans="2:18" x14ac:dyDescent="0.35">
      <c r="B150" t="s">
        <v>49</v>
      </c>
      <c r="C150" s="16">
        <f>-C145/C147</f>
        <v>-4.0188848920863309</v>
      </c>
      <c r="D150" s="16">
        <f>-D145/D147</f>
        <v>-2.6298888431453276</v>
      </c>
      <c r="J150" s="11"/>
    </row>
    <row r="151" spans="2:18" x14ac:dyDescent="0.35">
      <c r="J151" s="11"/>
    </row>
    <row r="152" spans="2:18" x14ac:dyDescent="0.35">
      <c r="B152" t="s">
        <v>53</v>
      </c>
      <c r="C152">
        <f>((E91+F91)-(E84-F84))/(B91-B84)</f>
        <v>2.3063395675244933E-2</v>
      </c>
      <c r="D152">
        <f>((M91+N91)-(M84-N84))/(J91-J84)</f>
        <v>2.4840354070832932E-2</v>
      </c>
      <c r="J152" s="11"/>
    </row>
    <row r="153" spans="2:18" x14ac:dyDescent="0.35">
      <c r="B153" t="s">
        <v>54</v>
      </c>
      <c r="C153">
        <f>E84-B84*C152</f>
        <v>3.2248639685749786E-2</v>
      </c>
      <c r="D153">
        <f>M84-J84*D152</f>
        <v>3.9277827904426243E-2</v>
      </c>
      <c r="J153" s="11"/>
    </row>
    <row r="154" spans="2:18" x14ac:dyDescent="0.35">
      <c r="B154" t="s">
        <v>55</v>
      </c>
      <c r="C154">
        <f>-C153/C152</f>
        <v>-1.398260695859449</v>
      </c>
      <c r="D154">
        <f>-D153/D152</f>
        <v>-1.5812104687567847</v>
      </c>
      <c r="J154" s="11"/>
    </row>
    <row r="155" spans="2:18" x14ac:dyDescent="0.35">
      <c r="J155" s="11"/>
    </row>
    <row r="156" spans="2:18" x14ac:dyDescent="0.35">
      <c r="B156" t="s">
        <v>56</v>
      </c>
      <c r="C156">
        <f>((E91-F91)-(E84+F84))/(B91-B84)</f>
        <v>2.2636630112554425E-2</v>
      </c>
      <c r="D156">
        <f>((M91-N91)-(M84+N84))/(J91-J84)</f>
        <v>2.4428124810868698E-2</v>
      </c>
      <c r="J156" s="11"/>
    </row>
    <row r="157" spans="2:18" x14ac:dyDescent="0.35">
      <c r="B157" t="s">
        <v>57</v>
      </c>
      <c r="C157">
        <f>E84-B84*C156</f>
        <v>3.3091501672063539E-2</v>
      </c>
      <c r="D157">
        <f>M84-J84*D156</f>
        <v>4.0089919546555788E-2</v>
      </c>
      <c r="J157" s="11"/>
    </row>
    <row r="158" spans="2:18" x14ac:dyDescent="0.35">
      <c r="B158" t="s">
        <v>58</v>
      </c>
      <c r="C158">
        <f>-C157/C156</f>
        <v>-1.4618563588098201</v>
      </c>
      <c r="D158">
        <f>-D157/D156</f>
        <v>-1.6411378219550752</v>
      </c>
      <c r="J158" s="11"/>
    </row>
    <row r="159" spans="2:18" x14ac:dyDescent="0.35">
      <c r="J159" s="11"/>
    </row>
    <row r="160" spans="2:18" x14ac:dyDescent="0.35">
      <c r="B160" t="s">
        <v>59</v>
      </c>
      <c r="C160" s="16">
        <f>MAX(ABS(C150-C154),(C150-C158))</f>
        <v>2.6206241962268821</v>
      </c>
      <c r="D160" s="16">
        <f>MAX(ABS(D150-D154),(D150-D158))</f>
        <v>1.0486783743885428</v>
      </c>
    </row>
    <row r="164" spans="1:10" x14ac:dyDescent="0.35">
      <c r="B164" t="s">
        <v>66</v>
      </c>
      <c r="C164" s="16">
        <f>(C150/C160^2+D150/D160^2)/(1/C160^2+1/D160^2)</f>
        <v>-2.8216096063262439</v>
      </c>
      <c r="D164" s="16">
        <f>SQRT(1/(1/C160^2+1/D160^2))</f>
        <v>0.97361849655855393</v>
      </c>
    </row>
    <row r="169" spans="1:10" x14ac:dyDescent="0.35">
      <c r="B169" t="s">
        <v>76</v>
      </c>
    </row>
    <row r="170" spans="1:10" x14ac:dyDescent="0.35">
      <c r="B170">
        <v>3.96</v>
      </c>
    </row>
    <row r="172" spans="1:10" x14ac:dyDescent="0.35">
      <c r="A172" t="s">
        <v>38</v>
      </c>
      <c r="B172" t="s">
        <v>67</v>
      </c>
      <c r="G172" t="s">
        <v>72</v>
      </c>
      <c r="J172" t="s">
        <v>78</v>
      </c>
    </row>
    <row r="173" spans="1:10" x14ac:dyDescent="0.35">
      <c r="A173">
        <v>0.3</v>
      </c>
      <c r="B173" t="s">
        <v>68</v>
      </c>
      <c r="C173" t="s">
        <v>69</v>
      </c>
      <c r="G173" t="s">
        <v>73</v>
      </c>
      <c r="H173" t="s">
        <v>69</v>
      </c>
    </row>
    <row r="174" spans="1:10" x14ac:dyDescent="0.35">
      <c r="B174">
        <v>3</v>
      </c>
      <c r="C174">
        <v>7.99</v>
      </c>
      <c r="G174">
        <v>1</v>
      </c>
      <c r="H174">
        <v>19.09</v>
      </c>
    </row>
    <row r="175" spans="1:10" x14ac:dyDescent="0.35">
      <c r="B175">
        <v>4</v>
      </c>
      <c r="C175">
        <v>12.53</v>
      </c>
      <c r="G175">
        <v>2</v>
      </c>
      <c r="H175">
        <v>36.869999999999997</v>
      </c>
    </row>
    <row r="176" spans="1:10" x14ac:dyDescent="0.35">
      <c r="B176">
        <v>5</v>
      </c>
      <c r="C176">
        <v>17.260000000000002</v>
      </c>
      <c r="G176">
        <v>3</v>
      </c>
      <c r="H176">
        <v>57.35</v>
      </c>
    </row>
    <row r="177" spans="2:11" x14ac:dyDescent="0.35">
      <c r="B177">
        <v>6</v>
      </c>
      <c r="C177">
        <v>22.14</v>
      </c>
    </row>
    <row r="178" spans="2:11" x14ac:dyDescent="0.35">
      <c r="B178">
        <v>7</v>
      </c>
      <c r="C178">
        <v>27.12</v>
      </c>
    </row>
    <row r="181" spans="2:11" x14ac:dyDescent="0.35">
      <c r="B181" t="s">
        <v>70</v>
      </c>
      <c r="C181" t="s">
        <v>71</v>
      </c>
      <c r="G181" t="s">
        <v>70</v>
      </c>
      <c r="H181" t="s">
        <v>71</v>
      </c>
    </row>
    <row r="182" spans="2:11" x14ac:dyDescent="0.35">
      <c r="B182" s="16">
        <f>(C178-C174)/4</f>
        <v>4.7825000000000006</v>
      </c>
      <c r="C182" s="16">
        <f>A173*SQRT(2)*SQRT(4)/4</f>
        <v>0.21213203435596426</v>
      </c>
      <c r="G182" s="16">
        <f>(H176-H174)/2</f>
        <v>19.130000000000003</v>
      </c>
      <c r="H182" s="16">
        <f>0.5*SQRT(2)*SQRT(2)/2</f>
        <v>0.50000000000000011</v>
      </c>
      <c r="J182" s="16">
        <f>63.42-61.2</f>
        <v>2.2199999999999989</v>
      </c>
      <c r="K182" s="16">
        <f>SQRT(2)*0.5</f>
        <v>0.70710678118654757</v>
      </c>
    </row>
    <row r="185" spans="2:11" x14ac:dyDescent="0.35">
      <c r="B185" t="s">
        <v>74</v>
      </c>
    </row>
    <row r="186" spans="2:11" x14ac:dyDescent="0.35">
      <c r="B186" t="s">
        <v>68</v>
      </c>
      <c r="C186" t="s">
        <v>75</v>
      </c>
      <c r="D186" t="s">
        <v>59</v>
      </c>
    </row>
    <row r="187" spans="2:11" x14ac:dyDescent="0.35">
      <c r="B187">
        <v>3</v>
      </c>
      <c r="C187">
        <f>$B$170+C174-B187*$B$182</f>
        <v>-2.3975000000000026</v>
      </c>
      <c r="D187">
        <f>SQRT($A$173^2+(B187*$C$182)^2)</f>
        <v>0.70356236397351446</v>
      </c>
    </row>
    <row r="188" spans="2:11" x14ac:dyDescent="0.35">
      <c r="B188">
        <v>4</v>
      </c>
      <c r="C188">
        <f t="shared" ref="C188:C191" si="26">$B$170+C175-B188*$B$182</f>
        <v>-2.6400000000000041</v>
      </c>
      <c r="D188">
        <f t="shared" ref="D188:D191" si="27">SQRT($A$173^2+(B188*$C$182)^2)</f>
        <v>0.9</v>
      </c>
    </row>
    <row r="189" spans="2:11" x14ac:dyDescent="0.35">
      <c r="B189">
        <v>5</v>
      </c>
      <c r="C189">
        <f t="shared" si="26"/>
        <v>-2.692499999999999</v>
      </c>
      <c r="D189">
        <f t="shared" si="27"/>
        <v>1.1022703842524302</v>
      </c>
    </row>
    <row r="190" spans="2:11" x14ac:dyDescent="0.35">
      <c r="B190">
        <v>6</v>
      </c>
      <c r="C190">
        <f t="shared" si="26"/>
        <v>-2.5950000000000024</v>
      </c>
      <c r="D190">
        <f t="shared" si="27"/>
        <v>1.3076696830622021</v>
      </c>
    </row>
    <row r="191" spans="2:11" x14ac:dyDescent="0.35">
      <c r="B191">
        <v>7</v>
      </c>
      <c r="C191">
        <f t="shared" si="26"/>
        <v>-2.3975000000000044</v>
      </c>
      <c r="D191">
        <f t="shared" si="27"/>
        <v>1.5149257407543117</v>
      </c>
    </row>
    <row r="194" spans="2:3" x14ac:dyDescent="0.35">
      <c r="B194" t="s">
        <v>49</v>
      </c>
      <c r="C194" t="s">
        <v>77</v>
      </c>
    </row>
    <row r="195" spans="2:3" x14ac:dyDescent="0.35">
      <c r="B195" s="16">
        <f>(C187/D187^2+C188/D188^2+C189/D189^2+C190/D190^2+C191/D191^2)/(1/D187^2+1/D188^2+1/D189^2+1/D190^2+1/D191^2)</f>
        <v>-2.5264984778954092</v>
      </c>
      <c r="C195" s="16">
        <f>SQRT(1/(1/D187^2+1/D188^2+1/D189^2+1/D190^2+1/D191^2))</f>
        <v>0.44287950955598726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Diodenkennlinien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2021-09-15T05:01:28Z</dcterms:created>
  <dcterms:modified xsi:type="dcterms:W3CDTF">2021-10-04T20:14:18Z</dcterms:modified>
</cp:coreProperties>
</file>