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ke\OneDrive\Dokumente\Uni\Next Cloud\Physik\Experimentalphysik\Physikalisches Praktikum\C\C46\Helke und Maria\"/>
    </mc:Choice>
  </mc:AlternateContent>
  <xr:revisionPtr revIDLastSave="0" documentId="13_ncr:1_{9C00248D-6D5B-4590-BB99-C00CCEAD2ED3}" xr6:coauthVersionLast="47" xr6:coauthVersionMax="47" xr10:uidLastSave="{00000000-0000-0000-0000-000000000000}"/>
  <bookViews>
    <workbookView xWindow="-110" yWindow="-110" windowWidth="19420" windowHeight="10560" xr2:uid="{127E3593-4E3D-41E3-B701-B5623DF3845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  <c r="B23" i="1"/>
  <c r="B38" i="1"/>
  <c r="D34" i="1"/>
  <c r="B34" i="1"/>
  <c r="C30" i="1" l="1"/>
  <c r="B19" i="1"/>
  <c r="C13" i="1" l="1"/>
  <c r="B30" i="1"/>
  <c r="C10" i="1"/>
  <c r="C6" i="1"/>
  <c r="C5" i="1"/>
  <c r="C4" i="1"/>
  <c r="C12" i="1"/>
  <c r="C3" i="1"/>
  <c r="C14" i="1"/>
  <c r="C11" i="1"/>
  <c r="C2" i="1"/>
  <c r="C16" i="1"/>
  <c r="C8" i="1"/>
  <c r="C15" i="1"/>
  <c r="C7" i="1"/>
  <c r="C9" i="1"/>
  <c r="B21" i="1" l="1"/>
  <c r="D26" i="1" s="1"/>
</calcChain>
</file>

<file path=xl/sharedStrings.xml><?xml version="1.0" encoding="utf-8"?>
<sst xmlns="http://schemas.openxmlformats.org/spreadsheetml/2006/main" count="12" uniqueCount="11">
  <si>
    <t>Mittel</t>
  </si>
  <si>
    <t>fehler</t>
  </si>
  <si>
    <t>zeit</t>
  </si>
  <si>
    <t>H0</t>
  </si>
  <si>
    <t>pm</t>
  </si>
  <si>
    <t>Dosisleistung</t>
  </si>
  <si>
    <t>Uhrzeit</t>
  </si>
  <si>
    <t>ohne Hintergrund</t>
  </si>
  <si>
    <t>Strahlenbel.</t>
  </si>
  <si>
    <t>/ Jahr</t>
  </si>
  <si>
    <t>MuSv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</si>
</sst>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72EC-D5AB-4FA9-84CD-FDDE13547991}">
  <dimension ref="A1:E38"/>
  <sheetViews>
    <sheetView tabSelected="1" topLeftCell="A13" workbookViewId="0">
      <selection activeCell="C26" sqref="C26"/>
    </sheetView>
  </sheetViews>
  <sheetFormatPr baseColWidth="10" defaultRowHeight="14.5" x14ac:dyDescent="0.35"/>
  <cols>
    <col min="1" max="1" width="12.81640625" customWidth="1"/>
  </cols>
  <sheetData>
    <row r="1" spans="1:5" x14ac:dyDescent="0.35">
      <c r="A1" t="s">
        <v>5</v>
      </c>
      <c r="B1" t="s">
        <v>6</v>
      </c>
    </row>
    <row r="2" spans="1:5" x14ac:dyDescent="0.35">
      <c r="A2" s="1">
        <v>0.11</v>
      </c>
      <c r="B2" s="2">
        <v>0.3833333333333333</v>
      </c>
      <c r="C2">
        <f>(A2-B$19)^2</f>
        <v>1.2755102040816236E-5</v>
      </c>
      <c r="E2" t="s">
        <v>10</v>
      </c>
    </row>
    <row r="3" spans="1:5" x14ac:dyDescent="0.35">
      <c r="A3" s="1">
        <v>0.08</v>
      </c>
      <c r="B3" s="2">
        <v>0.39374999999999999</v>
      </c>
      <c r="C3">
        <f t="shared" ref="C3:C16" si="0">(A3-B$19)^2</f>
        <v>6.9846938775510261E-4</v>
      </c>
    </row>
    <row r="4" spans="1:5" x14ac:dyDescent="0.35">
      <c r="A4" s="1">
        <v>0.13</v>
      </c>
      <c r="B4" s="2">
        <v>0.40416666666666662</v>
      </c>
      <c r="C4">
        <f t="shared" si="0"/>
        <v>5.5561224489795872E-4</v>
      </c>
    </row>
    <row r="5" spans="1:5" x14ac:dyDescent="0.35">
      <c r="A5" s="1">
        <v>0.13</v>
      </c>
      <c r="B5" s="2">
        <v>0.4145833333333333</v>
      </c>
      <c r="C5">
        <f t="shared" si="0"/>
        <v>5.5561224489795872E-4</v>
      </c>
    </row>
    <row r="6" spans="1:5" x14ac:dyDescent="0.35">
      <c r="A6" s="1">
        <v>0.12</v>
      </c>
      <c r="B6" s="2">
        <v>0.42569444444444443</v>
      </c>
      <c r="C6">
        <f t="shared" si="0"/>
        <v>1.8418367346938728E-4</v>
      </c>
    </row>
    <row r="7" spans="1:5" x14ac:dyDescent="0.35">
      <c r="A7" s="1">
        <v>0.11</v>
      </c>
      <c r="B7" s="2">
        <v>0.43611111111111112</v>
      </c>
      <c r="C7">
        <f t="shared" si="0"/>
        <v>1.2755102040816236E-5</v>
      </c>
    </row>
    <row r="8" spans="1:5" x14ac:dyDescent="0.35">
      <c r="A8" s="1">
        <v>0.1</v>
      </c>
      <c r="B8" s="2">
        <v>0.4465277777777778</v>
      </c>
      <c r="C8">
        <f t="shared" si="0"/>
        <v>4.1326530612244996E-5</v>
      </c>
    </row>
    <row r="9" spans="1:5" x14ac:dyDescent="0.35">
      <c r="A9" s="1">
        <v>0.09</v>
      </c>
      <c r="B9" s="2">
        <v>0.45694444444444443</v>
      </c>
      <c r="C9">
        <f t="shared" si="0"/>
        <v>2.6989795918367401E-4</v>
      </c>
    </row>
    <row r="10" spans="1:5" x14ac:dyDescent="0.35">
      <c r="A10" s="1">
        <v>0.11</v>
      </c>
      <c r="B10" s="2">
        <v>0.46736111111111112</v>
      </c>
      <c r="C10">
        <f t="shared" si="0"/>
        <v>1.2755102040816236E-5</v>
      </c>
    </row>
    <row r="11" spans="1:5" x14ac:dyDescent="0.35">
      <c r="A11" s="1">
        <v>0.15</v>
      </c>
      <c r="B11" s="2">
        <v>0.4777777777777778</v>
      </c>
      <c r="C11">
        <f t="shared" si="0"/>
        <v>1.8984693877551004E-3</v>
      </c>
    </row>
    <row r="12" spans="1:5" x14ac:dyDescent="0.35">
      <c r="A12" s="1">
        <v>0.1</v>
      </c>
      <c r="B12" s="2">
        <v>0.48888888888888887</v>
      </c>
      <c r="C12">
        <f t="shared" si="0"/>
        <v>4.1326530612244996E-5</v>
      </c>
    </row>
    <row r="13" spans="1:5" x14ac:dyDescent="0.35">
      <c r="A13" s="1">
        <v>0.11</v>
      </c>
      <c r="B13" s="2">
        <v>0.4993055555555555</v>
      </c>
      <c r="C13">
        <f t="shared" si="0"/>
        <v>1.2755102040816236E-5</v>
      </c>
    </row>
    <row r="14" spans="1:5" x14ac:dyDescent="0.35">
      <c r="A14" s="1">
        <v>0.15</v>
      </c>
      <c r="B14" s="2">
        <v>0.51041666666666663</v>
      </c>
      <c r="C14">
        <f t="shared" si="0"/>
        <v>1.8984693877551004E-3</v>
      </c>
    </row>
    <row r="15" spans="1:5" x14ac:dyDescent="0.35">
      <c r="A15" s="1">
        <v>0.11</v>
      </c>
      <c r="B15" s="2">
        <v>0.52013888888888882</v>
      </c>
      <c r="C15">
        <f t="shared" si="0"/>
        <v>1.2755102040816236E-5</v>
      </c>
    </row>
    <row r="16" spans="1:5" x14ac:dyDescent="0.35">
      <c r="A16" s="1"/>
      <c r="C16">
        <f t="shared" si="0"/>
        <v>1.1327040816326534E-2</v>
      </c>
    </row>
    <row r="19" spans="1:4" x14ac:dyDescent="0.35">
      <c r="A19" t="s">
        <v>0</v>
      </c>
      <c r="B19">
        <f>SUM(A3:A16)/14</f>
        <v>0.10642857142857144</v>
      </c>
    </row>
    <row r="21" spans="1:4" x14ac:dyDescent="0.35">
      <c r="A21" t="s">
        <v>1</v>
      </c>
      <c r="B21">
        <f>1/SQRT(14)*SQRT(1/14*SUM(C2:C15))</f>
        <v>5.6275302051532802E-3</v>
      </c>
    </row>
    <row r="23" spans="1:4" x14ac:dyDescent="0.35">
      <c r="A23" t="s">
        <v>2</v>
      </c>
      <c r="B23">
        <f>3.2833333</f>
        <v>3.2833332999999998</v>
      </c>
    </row>
    <row r="26" spans="1:4" x14ac:dyDescent="0.35">
      <c r="A26" t="s">
        <v>3</v>
      </c>
      <c r="B26">
        <f>B19*B23</f>
        <v>0.34944047264285716</v>
      </c>
      <c r="C26" t="s">
        <v>4</v>
      </c>
      <c r="D26">
        <f>B21*B23</f>
        <v>1.8477057319335594E-2</v>
      </c>
    </row>
    <row r="30" spans="1:4" x14ac:dyDescent="0.35">
      <c r="A30" t="s">
        <v>5</v>
      </c>
      <c r="B30">
        <f>0.3-B19</f>
        <v>0.19357142857142856</v>
      </c>
      <c r="C30">
        <f>SQRT(0.1^2+0.016^2)</f>
        <v>0.10127191120937731</v>
      </c>
    </row>
    <row r="31" spans="1:4" x14ac:dyDescent="0.35">
      <c r="A31" t="s">
        <v>7</v>
      </c>
    </row>
    <row r="34" spans="1:4" x14ac:dyDescent="0.35">
      <c r="A34" t="s">
        <v>8</v>
      </c>
      <c r="B34">
        <f>25000/365.25/24</f>
        <v>2.8519279032626055</v>
      </c>
      <c r="D34">
        <f>0.5*25000/365.25/24</f>
        <v>1.4259639516313027</v>
      </c>
    </row>
    <row r="35" spans="1:4" x14ac:dyDescent="0.35">
      <c r="A35" t="s">
        <v>9</v>
      </c>
    </row>
    <row r="38" spans="1:4" x14ac:dyDescent="0.35">
      <c r="B38">
        <f>4/25000/2</f>
        <v>8.0000000000000007E-5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Helke Parussel</cp:lastModifiedBy>
  <dcterms:created xsi:type="dcterms:W3CDTF">2022-03-25T14:55:41Z</dcterms:created>
  <dcterms:modified xsi:type="dcterms:W3CDTF">2022-04-01T17:09:19Z</dcterms:modified>
</cp:coreProperties>
</file>