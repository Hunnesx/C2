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ke\OneDrive\Dokumente\Uni\Next Cloud\Physik\Experimentalphysik\Physikalisches Praktikum\C\C46\Helke und Maria\"/>
    </mc:Choice>
  </mc:AlternateContent>
  <xr:revisionPtr revIDLastSave="0" documentId="13_ncr:1_{C5810C48-D495-423D-AA52-21ABF395B1E2}" xr6:coauthVersionLast="47" xr6:coauthVersionMax="47" xr10:uidLastSave="{00000000-0000-0000-0000-000000000000}"/>
  <bookViews>
    <workbookView xWindow="-110" yWindow="-110" windowWidth="19420" windowHeight="10560" xr2:uid="{D2A96672-D67C-4BC8-A1FB-768CADD6ED0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1" l="1"/>
  <c r="G23" i="1" s="1"/>
  <c r="F22" i="1"/>
  <c r="F23" i="1" s="1"/>
  <c r="B13" i="1"/>
  <c r="D13" i="1"/>
  <c r="J13" i="1"/>
  <c r="H13" i="1"/>
</calcChain>
</file>

<file path=xl/sharedStrings.xml><?xml version="1.0" encoding="utf-8"?>
<sst xmlns="http://schemas.openxmlformats.org/spreadsheetml/2006/main" count="35" uniqueCount="33">
  <si>
    <t>gamma = N/a*t *F/4pi d^2</t>
  </si>
  <si>
    <t>N</t>
  </si>
  <si>
    <t>A</t>
  </si>
  <si>
    <t>1.4*10^6</t>
  </si>
  <si>
    <t>t</t>
  </si>
  <si>
    <t>60s</t>
  </si>
  <si>
    <t>F</t>
  </si>
  <si>
    <t>11cm^2</t>
  </si>
  <si>
    <t>d</t>
  </si>
  <si>
    <t>pm</t>
  </si>
  <si>
    <t>gamma</t>
  </si>
  <si>
    <t>A=a0 * e(-lambda t)</t>
  </si>
  <si>
    <t>A0</t>
  </si>
  <si>
    <t>3.7 M</t>
  </si>
  <si>
    <t>21.08.1978</t>
  </si>
  <si>
    <t>23.03.22</t>
  </si>
  <si>
    <t>T1/2</t>
  </si>
  <si>
    <t>aktivität</t>
  </si>
  <si>
    <t>Messzeit: 1 Minute</t>
  </si>
  <si>
    <t>über Präparat</t>
  </si>
  <si>
    <t>Nullpunktmessung (5 min. Messzeit)</t>
  </si>
  <si>
    <t>Nur in 4-er Schritten einstellbar</t>
  </si>
  <si>
    <t>Impulszahlen:</t>
  </si>
  <si>
    <t>Spannung [V]:</t>
  </si>
  <si>
    <t>Anzahl Impulse N:</t>
  </si>
  <si>
    <t>ohne Bleiabschirmung:</t>
  </si>
  <si>
    <t>mit Bleiabschirmung:</t>
  </si>
  <si>
    <t>pro minute:</t>
  </si>
  <si>
    <t>Anteil [%]:</t>
  </si>
  <si>
    <t>Grenzspannung [V]:</t>
  </si>
  <si>
    <t>516 +- 4</t>
  </si>
  <si>
    <t>näher dran</t>
  </si>
  <si>
    <t>abstand 2,2cm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</si>
</sst>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9E81-5697-4160-B999-86529FC18A96}">
  <dimension ref="A3:J52"/>
  <sheetViews>
    <sheetView tabSelected="1" topLeftCell="A23" zoomScale="80" zoomScaleNormal="55" workbookViewId="0">
      <selection activeCell="C24" sqref="C24"/>
    </sheetView>
  </sheetViews>
  <sheetFormatPr baseColWidth="10" defaultRowHeight="14.5" x14ac:dyDescent="0.35"/>
  <cols>
    <col min="2" max="2" width="12" bestFit="1" customWidth="1"/>
    <col min="4" max="4" width="12" bestFit="1" customWidth="1"/>
    <col min="8" max="8" width="12" bestFit="1" customWidth="1"/>
    <col min="10" max="10" width="12" bestFit="1" customWidth="1"/>
  </cols>
  <sheetData>
    <row r="3" spans="2:10" x14ac:dyDescent="0.35">
      <c r="B3" t="s">
        <v>0</v>
      </c>
      <c r="H3" t="s">
        <v>11</v>
      </c>
    </row>
    <row r="4" spans="2:10" x14ac:dyDescent="0.35">
      <c r="H4" t="s">
        <v>12</v>
      </c>
      <c r="I4" t="s">
        <v>13</v>
      </c>
    </row>
    <row r="5" spans="2:10" x14ac:dyDescent="0.35">
      <c r="B5" t="s">
        <v>1</v>
      </c>
      <c r="C5">
        <v>81</v>
      </c>
      <c r="H5" t="s">
        <v>14</v>
      </c>
      <c r="I5" t="s">
        <v>15</v>
      </c>
    </row>
    <row r="6" spans="2:10" x14ac:dyDescent="0.35">
      <c r="B6" t="s">
        <v>2</v>
      </c>
      <c r="C6" t="s">
        <v>3</v>
      </c>
      <c r="H6" t="s">
        <v>16</v>
      </c>
      <c r="I6">
        <v>30.2</v>
      </c>
    </row>
    <row r="7" spans="2:10" x14ac:dyDescent="0.35">
      <c r="B7" t="s">
        <v>4</v>
      </c>
      <c r="C7" t="s">
        <v>5</v>
      </c>
    </row>
    <row r="8" spans="2:10" x14ac:dyDescent="0.35">
      <c r="B8" t="s">
        <v>6</v>
      </c>
      <c r="C8" t="s">
        <v>7</v>
      </c>
    </row>
    <row r="9" spans="2:10" x14ac:dyDescent="0.35">
      <c r="B9" t="s">
        <v>8</v>
      </c>
      <c r="C9">
        <v>95</v>
      </c>
      <c r="D9" t="s">
        <v>9</v>
      </c>
      <c r="E9">
        <v>1</v>
      </c>
    </row>
    <row r="12" spans="2:10" x14ac:dyDescent="0.35">
      <c r="B12" t="s">
        <v>10</v>
      </c>
      <c r="H12" t="s">
        <v>17</v>
      </c>
    </row>
    <row r="13" spans="2:10" x14ac:dyDescent="0.35">
      <c r="B13">
        <f>81/(1.4*10^6*60*0.0011/(PI()*4*0.95^2))</f>
        <v>9.9419167514739337E-3</v>
      </c>
      <c r="D13">
        <f>SQRT((2*C5*4*PI()*0.95/(1.4*10^6*60*0.0011))^2*0.005^2+(1/2*C5*4*PI()*0.95^2/((1.4*10^6)^2*60*0.0011))^2*(36300)^2)</f>
        <v>1.6602585081555455E-4</v>
      </c>
      <c r="H13">
        <f>3.7*10^6*EXP(-(531)/((30.2*12)/LN(2)))</f>
        <v>1340056.1778813393</v>
      </c>
      <c r="I13" t="s">
        <v>9</v>
      </c>
      <c r="J13">
        <f>SQRT((EXP(-1*531/(30.2*12/LN(2))))^2*(0.1*10^6)^2+(3.7*10^6*EXP(-1*531/(30.2*12/LN(2)))*1/(30.2*12/LN(2)))^2*(1)^2)</f>
        <v>36308.313333059021</v>
      </c>
    </row>
    <row r="18" spans="1:7" x14ac:dyDescent="0.35">
      <c r="B18" t="s">
        <v>18</v>
      </c>
      <c r="C18" t="s">
        <v>19</v>
      </c>
      <c r="F18" t="s">
        <v>20</v>
      </c>
    </row>
    <row r="19" spans="1:7" x14ac:dyDescent="0.35">
      <c r="A19" t="s">
        <v>21</v>
      </c>
      <c r="F19" t="s">
        <v>22</v>
      </c>
    </row>
    <row r="20" spans="1:7" x14ac:dyDescent="0.35">
      <c r="A20" t="s">
        <v>23</v>
      </c>
      <c r="B20" t="s">
        <v>24</v>
      </c>
      <c r="F20" t="s">
        <v>25</v>
      </c>
      <c r="G20" t="s">
        <v>26</v>
      </c>
    </row>
    <row r="21" spans="1:7" x14ac:dyDescent="0.35">
      <c r="A21">
        <v>508</v>
      </c>
      <c r="B21">
        <v>0</v>
      </c>
      <c r="F21">
        <v>166</v>
      </c>
      <c r="G21">
        <v>51</v>
      </c>
    </row>
    <row r="22" spans="1:7" x14ac:dyDescent="0.35">
      <c r="A22">
        <v>512</v>
      </c>
      <c r="B22">
        <v>8</v>
      </c>
      <c r="E22" s="1" t="s">
        <v>27</v>
      </c>
      <c r="F22" s="1">
        <f>F21/5</f>
        <v>33.200000000000003</v>
      </c>
      <c r="G22" s="1">
        <f>G21/5</f>
        <v>10.199999999999999</v>
      </c>
    </row>
    <row r="23" spans="1:7" x14ac:dyDescent="0.35">
      <c r="A23">
        <v>516</v>
      </c>
      <c r="B23">
        <v>273</v>
      </c>
      <c r="E23" s="1" t="s">
        <v>28</v>
      </c>
      <c r="F23">
        <f>F22/F22 *100</f>
        <v>100</v>
      </c>
      <c r="G23" s="1">
        <f>G22/F22 *100</f>
        <v>30.722891566265055</v>
      </c>
    </row>
    <row r="24" spans="1:7" x14ac:dyDescent="0.35">
      <c r="A24">
        <v>520</v>
      </c>
      <c r="B24">
        <v>295</v>
      </c>
    </row>
    <row r="25" spans="1:7" x14ac:dyDescent="0.35">
      <c r="A25" t="s">
        <v>31</v>
      </c>
      <c r="B25" t="s">
        <v>32</v>
      </c>
      <c r="C25" t="s">
        <v>5</v>
      </c>
    </row>
    <row r="26" spans="1:7" x14ac:dyDescent="0.35">
      <c r="A26" s="2">
        <v>508</v>
      </c>
      <c r="B26" s="2">
        <v>0</v>
      </c>
    </row>
    <row r="27" spans="1:7" x14ac:dyDescent="0.35">
      <c r="A27" s="2">
        <v>512</v>
      </c>
      <c r="B27" s="2">
        <v>8</v>
      </c>
    </row>
    <row r="28" spans="1:7" x14ac:dyDescent="0.35">
      <c r="A28" s="2">
        <v>516</v>
      </c>
      <c r="B28" s="2">
        <v>582</v>
      </c>
    </row>
    <row r="29" spans="1:7" x14ac:dyDescent="0.35">
      <c r="A29" s="2">
        <v>520</v>
      </c>
      <c r="B29" s="2">
        <v>1069</v>
      </c>
    </row>
    <row r="30" spans="1:7" x14ac:dyDescent="0.35">
      <c r="A30" s="2">
        <v>524</v>
      </c>
      <c r="B30" s="2">
        <v>1134</v>
      </c>
    </row>
    <row r="31" spans="1:7" x14ac:dyDescent="0.35">
      <c r="A31" s="2">
        <v>528</v>
      </c>
      <c r="B31" s="2">
        <v>1078</v>
      </c>
    </row>
    <row r="32" spans="1:7" x14ac:dyDescent="0.35">
      <c r="A32" s="2">
        <v>532</v>
      </c>
      <c r="B32" s="2">
        <v>1079</v>
      </c>
    </row>
    <row r="33" spans="1:2" x14ac:dyDescent="0.35">
      <c r="A33" s="2">
        <v>536</v>
      </c>
      <c r="B33" s="2">
        <v>1120</v>
      </c>
    </row>
    <row r="34" spans="1:2" x14ac:dyDescent="0.35">
      <c r="A34" s="2">
        <v>540</v>
      </c>
      <c r="B34" s="2">
        <v>1129</v>
      </c>
    </row>
    <row r="35" spans="1:2" x14ac:dyDescent="0.35">
      <c r="A35" s="2">
        <v>544</v>
      </c>
      <c r="B35" s="2">
        <v>1131</v>
      </c>
    </row>
    <row r="36" spans="1:2" x14ac:dyDescent="0.35">
      <c r="A36" s="2">
        <v>548</v>
      </c>
      <c r="B36" s="2">
        <v>1184</v>
      </c>
    </row>
    <row r="37" spans="1:2" x14ac:dyDescent="0.35">
      <c r="A37" s="2">
        <v>552</v>
      </c>
      <c r="B37" s="2">
        <v>1076</v>
      </c>
    </row>
    <row r="38" spans="1:2" x14ac:dyDescent="0.35">
      <c r="A38" s="2">
        <v>556</v>
      </c>
      <c r="B38" s="2">
        <v>1133</v>
      </c>
    </row>
    <row r="39" spans="1:2" x14ac:dyDescent="0.35">
      <c r="A39" s="2">
        <v>560</v>
      </c>
      <c r="B39" s="2">
        <v>1163</v>
      </c>
    </row>
    <row r="40" spans="1:2" x14ac:dyDescent="0.35">
      <c r="A40" s="2">
        <v>564</v>
      </c>
      <c r="B40" s="2">
        <v>1142</v>
      </c>
    </row>
    <row r="41" spans="1:2" x14ac:dyDescent="0.35">
      <c r="A41" s="2">
        <v>568</v>
      </c>
      <c r="B41" s="2">
        <v>1175</v>
      </c>
    </row>
    <row r="42" spans="1:2" x14ac:dyDescent="0.35">
      <c r="A42" s="2">
        <v>572</v>
      </c>
      <c r="B42" s="2">
        <v>1128</v>
      </c>
    </row>
    <row r="43" spans="1:2" x14ac:dyDescent="0.35">
      <c r="A43" s="2">
        <v>576</v>
      </c>
      <c r="B43" s="2">
        <v>1128</v>
      </c>
    </row>
    <row r="44" spans="1:2" x14ac:dyDescent="0.35">
      <c r="A44" s="2">
        <v>580</v>
      </c>
      <c r="B44" s="2">
        <v>1208</v>
      </c>
    </row>
    <row r="45" spans="1:2" x14ac:dyDescent="0.35">
      <c r="A45" s="2">
        <v>584</v>
      </c>
      <c r="B45" s="2">
        <v>1221</v>
      </c>
    </row>
    <row r="46" spans="1:2" x14ac:dyDescent="0.35">
      <c r="A46" s="2">
        <v>588</v>
      </c>
      <c r="B46" s="2">
        <v>1156</v>
      </c>
    </row>
    <row r="47" spans="1:2" x14ac:dyDescent="0.35">
      <c r="A47" s="2">
        <v>592</v>
      </c>
      <c r="B47" s="2">
        <v>1159</v>
      </c>
    </row>
    <row r="48" spans="1:2" x14ac:dyDescent="0.35">
      <c r="A48" s="2">
        <v>596</v>
      </c>
      <c r="B48" s="2">
        <v>1147</v>
      </c>
    </row>
    <row r="49" spans="1:2" x14ac:dyDescent="0.35">
      <c r="A49" s="2">
        <v>600</v>
      </c>
      <c r="B49" s="2">
        <v>1164</v>
      </c>
    </row>
    <row r="52" spans="1:2" x14ac:dyDescent="0.35">
      <c r="A52" s="1" t="s">
        <v>29</v>
      </c>
      <c r="B52" s="1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Helke Parussel</cp:lastModifiedBy>
  <dcterms:created xsi:type="dcterms:W3CDTF">2022-03-26T10:48:54Z</dcterms:created>
  <dcterms:modified xsi:type="dcterms:W3CDTF">2022-04-01T17:09:33Z</dcterms:modified>
</cp:coreProperties>
</file>