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ke\OneDrive\Dokumente\Uni\Next Cloud\Physik\Experimentalphysik\Physikalisches Praktikum\C\C46\Helke und Maria\"/>
    </mc:Choice>
  </mc:AlternateContent>
  <xr:revisionPtr revIDLastSave="0" documentId="13_ncr:1_{1B3A65DA-E090-4670-A16E-A042773E1BAC}" xr6:coauthVersionLast="47" xr6:coauthVersionMax="47" xr10:uidLastSave="{00000000-0000-0000-0000-000000000000}"/>
  <bookViews>
    <workbookView xWindow="-110" yWindow="-110" windowWidth="19420" windowHeight="10560" xr2:uid="{D7CF3B02-8D2B-4DE6-817A-4860DDEA4A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A17" i="1"/>
  <c r="C17" i="1"/>
  <c r="A4" i="1"/>
  <c r="A2" i="1"/>
  <c r="D17" i="1"/>
  <c r="A14" i="1" l="1"/>
  <c r="A12" i="1"/>
  <c r="C10" i="1"/>
  <c r="B25" i="1"/>
  <c r="E25" i="1" s="1"/>
  <c r="E21" i="1"/>
  <c r="B17" i="1"/>
  <c r="F25" i="1" l="1"/>
  <c r="H50" i="1" s="1"/>
  <c r="A25" i="1" s="1"/>
  <c r="A10" i="1"/>
</calcChain>
</file>

<file path=xl/sharedStrings.xml><?xml version="1.0" encoding="utf-8"?>
<sst xmlns="http://schemas.openxmlformats.org/spreadsheetml/2006/main" count="31" uniqueCount="30">
  <si>
    <t>Dosisleistung direkt über dem Präparat:</t>
  </si>
  <si>
    <t>Ortsäquivalenzdosis in 4h:</t>
  </si>
  <si>
    <t>Dosisleistung in 1m Entfernung:</t>
  </si>
  <si>
    <t>Anteil in 4 Stunden:</t>
  </si>
  <si>
    <t>Stunden bis zum Grenzwert von 5mSv:</t>
  </si>
  <si>
    <t>Dosisleistung ohne natürliche Strahlenbelastung:</t>
  </si>
  <si>
    <t>A_0</t>
  </si>
  <si>
    <t>t</t>
  </si>
  <si>
    <t>t_1/2</t>
  </si>
  <si>
    <t>lambda</t>
  </si>
  <si>
    <t>Aktivität in Bq:</t>
  </si>
  <si>
    <t>Nulleffekt:</t>
  </si>
  <si>
    <t>ohne</t>
  </si>
  <si>
    <t>Bleiabschirmung</t>
  </si>
  <si>
    <t>N in imp pro 5min</t>
  </si>
  <si>
    <t>Reduktion</t>
  </si>
  <si>
    <t>Ansprechvermögen:</t>
  </si>
  <si>
    <t>Fläche:</t>
  </si>
  <si>
    <t xml:space="preserve">Abstand: </t>
  </si>
  <si>
    <t>N:</t>
  </si>
  <si>
    <t>Flächenanteil</t>
  </si>
  <si>
    <t>Erwartete Anzahl:</t>
  </si>
  <si>
    <t>Jahre</t>
  </si>
  <si>
    <t>Halbwertszeit Probe</t>
  </si>
  <si>
    <t>Alter Probe</t>
  </si>
  <si>
    <t>Aktivität bei Herstellung</t>
  </si>
  <si>
    <t xml:space="preserve">Dosisleistung </t>
  </si>
  <si>
    <t>mySv/h</t>
  </si>
  <si>
    <t>mySv/4h</t>
  </si>
  <si>
    <t xml:space="preserve">Nulleffekt ohne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</si>
</sst>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FE4A-F7B4-4E0C-BD53-FD006731A8CA}">
  <dimension ref="A1:K50"/>
  <sheetViews>
    <sheetView tabSelected="1" topLeftCell="A10" workbookViewId="0">
      <selection activeCell="D17" sqref="D17"/>
    </sheetView>
  </sheetViews>
  <sheetFormatPr baseColWidth="10" defaultColWidth="8.90625" defaultRowHeight="14.5" x14ac:dyDescent="0.35"/>
  <cols>
    <col min="1" max="1" width="40.90625" bestFit="1" customWidth="1"/>
    <col min="2" max="2" width="21.453125" customWidth="1"/>
    <col min="3" max="3" width="14.36328125" bestFit="1" customWidth="1"/>
    <col min="4" max="4" width="18.90625" customWidth="1"/>
    <col min="5" max="5" width="12" bestFit="1" customWidth="1"/>
    <col min="6" max="6" width="11" bestFit="1" customWidth="1"/>
  </cols>
  <sheetData>
    <row r="1" spans="1:5" x14ac:dyDescent="0.35">
      <c r="A1" s="1" t="s">
        <v>0</v>
      </c>
      <c r="D1" t="s">
        <v>26</v>
      </c>
      <c r="E1">
        <v>5.9</v>
      </c>
    </row>
    <row r="2" spans="1:5" x14ac:dyDescent="0.35">
      <c r="A2">
        <f>AVERAGE(E1:E10)</f>
        <v>6.5400000000000009</v>
      </c>
      <c r="B2" t="s">
        <v>27</v>
      </c>
      <c r="E2">
        <v>7.1</v>
      </c>
    </row>
    <row r="3" spans="1:5" x14ac:dyDescent="0.35">
      <c r="A3" s="1" t="s">
        <v>1</v>
      </c>
      <c r="E3">
        <v>6</v>
      </c>
    </row>
    <row r="4" spans="1:5" x14ac:dyDescent="0.35">
      <c r="A4">
        <f>A2*4</f>
        <v>26.160000000000004</v>
      </c>
      <c r="B4" t="s">
        <v>28</v>
      </c>
      <c r="E4">
        <v>6.4</v>
      </c>
    </row>
    <row r="5" spans="1:5" x14ac:dyDescent="0.35">
      <c r="E5">
        <v>6.3</v>
      </c>
    </row>
    <row r="6" spans="1:5" x14ac:dyDescent="0.35">
      <c r="E6">
        <v>6.9</v>
      </c>
    </row>
    <row r="7" spans="1:5" x14ac:dyDescent="0.35">
      <c r="A7" s="2" t="s">
        <v>2</v>
      </c>
      <c r="E7">
        <v>6.7</v>
      </c>
    </row>
    <row r="8" spans="1:5" x14ac:dyDescent="0.35">
      <c r="E8">
        <v>5.9</v>
      </c>
    </row>
    <row r="9" spans="1:5" x14ac:dyDescent="0.35">
      <c r="A9" s="2" t="s">
        <v>4</v>
      </c>
      <c r="C9" s="2" t="s">
        <v>22</v>
      </c>
      <c r="E9">
        <v>7</v>
      </c>
    </row>
    <row r="10" spans="1:5" x14ac:dyDescent="0.35">
      <c r="A10" t="e">
        <f>(5*10^(-3))/A8</f>
        <v>#DIV/0!</v>
      </c>
      <c r="C10" t="e">
        <f xml:space="preserve"> A10/(24*12)</f>
        <v>#DIV/0!</v>
      </c>
      <c r="E10">
        <v>7.2</v>
      </c>
    </row>
    <row r="11" spans="1:5" x14ac:dyDescent="0.35">
      <c r="A11" s="2" t="s">
        <v>3</v>
      </c>
    </row>
    <row r="12" spans="1:5" x14ac:dyDescent="0.35">
      <c r="A12">
        <f>(A8*4)/(5*10^(-3))*100</f>
        <v>0</v>
      </c>
    </row>
    <row r="13" spans="1:5" x14ac:dyDescent="0.35">
      <c r="A13" s="2" t="s">
        <v>5</v>
      </c>
    </row>
    <row r="14" spans="1:5" x14ac:dyDescent="0.35">
      <c r="A14" s="3">
        <f>0.3-0.105</f>
        <v>0.19500000000000001</v>
      </c>
    </row>
    <row r="15" spans="1:5" x14ac:dyDescent="0.35">
      <c r="B15" s="4" t="s">
        <v>25</v>
      </c>
      <c r="C15" s="4" t="s">
        <v>24</v>
      </c>
      <c r="D15" s="4" t="s">
        <v>23</v>
      </c>
    </row>
    <row r="16" spans="1:5" x14ac:dyDescent="0.35">
      <c r="A16" s="4" t="s">
        <v>10</v>
      </c>
      <c r="B16" t="s">
        <v>6</v>
      </c>
      <c r="C16" t="s">
        <v>7</v>
      </c>
      <c r="D16" t="s">
        <v>8</v>
      </c>
      <c r="E16" t="s">
        <v>9</v>
      </c>
    </row>
    <row r="17" spans="1:11" x14ac:dyDescent="0.35">
      <c r="A17">
        <f>B17*EXP(-1*E17*C17)</f>
        <v>1360718.4048511998</v>
      </c>
      <c r="B17">
        <f>3.7*10^6</f>
        <v>3700000</v>
      </c>
      <c r="C17">
        <f>(2022-1978)*12-5</f>
        <v>523</v>
      </c>
      <c r="D17">
        <f>30.2*12</f>
        <v>362.4</v>
      </c>
      <c r="E17">
        <f>LN(2)/D17</f>
        <v>1.9126577830020568E-3</v>
      </c>
    </row>
    <row r="18" spans="1:11" x14ac:dyDescent="0.35">
      <c r="I18" t="s">
        <v>29</v>
      </c>
      <c r="K18" t="s">
        <v>13</v>
      </c>
    </row>
    <row r="19" spans="1:11" x14ac:dyDescent="0.35">
      <c r="I19">
        <v>37</v>
      </c>
      <c r="K19">
        <v>17</v>
      </c>
    </row>
    <row r="20" spans="1:11" x14ac:dyDescent="0.35">
      <c r="A20" t="s">
        <v>11</v>
      </c>
      <c r="B20" t="s">
        <v>12</v>
      </c>
      <c r="C20" t="s">
        <v>13</v>
      </c>
      <c r="E20" t="s">
        <v>15</v>
      </c>
      <c r="I20">
        <v>46</v>
      </c>
      <c r="K20">
        <v>16</v>
      </c>
    </row>
    <row r="21" spans="1:11" x14ac:dyDescent="0.35">
      <c r="A21" t="s">
        <v>14</v>
      </c>
      <c r="B21" s="5">
        <v>191</v>
      </c>
      <c r="C21" s="5">
        <v>95</v>
      </c>
      <c r="E21">
        <f>100-86/136*100</f>
        <v>36.764705882352942</v>
      </c>
      <c r="I21">
        <v>34</v>
      </c>
      <c r="K21">
        <v>19</v>
      </c>
    </row>
    <row r="22" spans="1:11" x14ac:dyDescent="0.35">
      <c r="I22">
        <v>38</v>
      </c>
      <c r="K22">
        <v>24</v>
      </c>
    </row>
    <row r="23" spans="1:11" x14ac:dyDescent="0.35">
      <c r="I23">
        <v>36</v>
      </c>
      <c r="K23">
        <v>19</v>
      </c>
    </row>
    <row r="24" spans="1:11" x14ac:dyDescent="0.35">
      <c r="A24" t="s">
        <v>16</v>
      </c>
      <c r="B24" t="s">
        <v>17</v>
      </c>
      <c r="C24" t="s">
        <v>18</v>
      </c>
      <c r="E24" t="s">
        <v>20</v>
      </c>
      <c r="F24" t="s">
        <v>19</v>
      </c>
    </row>
    <row r="25" spans="1:11" x14ac:dyDescent="0.35">
      <c r="A25">
        <f>81/H50*100</f>
        <v>1.0228914113186121</v>
      </c>
      <c r="B25">
        <f>11*10^-4</f>
        <v>1.1000000000000001E-3</v>
      </c>
      <c r="C25" s="6">
        <v>0.95</v>
      </c>
      <c r="E25">
        <f>B25/(4*3.14159*(C25)^2)</f>
        <v>9.6992014003812794E-5</v>
      </c>
      <c r="F25">
        <f>A17*60</f>
        <v>81643104.291071996</v>
      </c>
    </row>
    <row r="49" spans="8:8" x14ac:dyDescent="0.35">
      <c r="H49" t="s">
        <v>21</v>
      </c>
    </row>
    <row r="50" spans="8:8" x14ac:dyDescent="0.35">
      <c r="H50">
        <f>F25*E25</f>
        <v>7918.7291147144033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Helke Parussel</cp:lastModifiedBy>
  <dcterms:created xsi:type="dcterms:W3CDTF">2022-03-23T10:42:13Z</dcterms:created>
  <dcterms:modified xsi:type="dcterms:W3CDTF">2022-04-01T17:09:24Z</dcterms:modified>
</cp:coreProperties>
</file>