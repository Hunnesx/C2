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6\Jonas und Jonathan\Messdaten\"/>
    </mc:Choice>
  </mc:AlternateContent>
  <xr:revisionPtr revIDLastSave="0" documentId="13_ncr:1_{58EA8CBA-0BE7-4083-BF22-3E1C75307B31}" xr6:coauthVersionLast="47" xr6:coauthVersionMax="47" xr10:uidLastSave="{00000000-0000-0000-0000-000000000000}"/>
  <bookViews>
    <workbookView xWindow="-120" yWindow="-120" windowWidth="29040" windowHeight="15840" activeTab="1" xr2:uid="{BB27EE53-36CB-4D09-8D3E-C1CB65D26AA8}"/>
  </bookViews>
  <sheets>
    <sheet name="Hintergrundstrahlung" sheetId="1" r:id="rId1"/>
    <sheet name="Dosisleistung Präparat" sheetId="2" r:id="rId2"/>
    <sheet name="Zählrohrcharakteristik" sheetId="3" r:id="rId3"/>
    <sheet name="Ansprechvermög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2" l="1"/>
  <c r="B35" i="2"/>
  <c r="C34" i="2"/>
  <c r="B34" i="2"/>
  <c r="C31" i="2"/>
  <c r="C30" i="2"/>
  <c r="B31" i="2"/>
  <c r="B30" i="2"/>
  <c r="C28" i="2"/>
  <c r="C27" i="2"/>
  <c r="B28" i="2"/>
  <c r="B27" i="2"/>
  <c r="H25" i="2"/>
  <c r="H24" i="2"/>
  <c r="C25" i="2"/>
  <c r="B25" i="2"/>
  <c r="C24" i="2"/>
  <c r="B24" i="2"/>
  <c r="C24" i="1"/>
  <c r="C23" i="1"/>
  <c r="F18" i="1"/>
  <c r="C20" i="1"/>
  <c r="C18" i="1"/>
</calcChain>
</file>

<file path=xl/sharedStrings.xml><?xml version="1.0" encoding="utf-8"?>
<sst xmlns="http://schemas.openxmlformats.org/spreadsheetml/2006/main" count="29" uniqueCount="29">
  <si>
    <t>Uhrzeit</t>
  </si>
  <si>
    <t>N</t>
  </si>
  <si>
    <t>Dosisleistung [mySv/h]</t>
  </si>
  <si>
    <t>Dosisleistung (direkt darüber) [mySv/h]</t>
  </si>
  <si>
    <t>Dosisleistung ((73,3\pm0,5)cm Abstand) [mySv/h]</t>
  </si>
  <si>
    <t>Dosisleistung ohne Präparat [mySv/h]</t>
  </si>
  <si>
    <t>Messzeit: 1 Minute</t>
  </si>
  <si>
    <t>Spannung [V]:</t>
  </si>
  <si>
    <t>Anzahl Impulse N:</t>
  </si>
  <si>
    <t>über Präparat</t>
  </si>
  <si>
    <t>Nur in 4-er Schritten einstellbar</t>
  </si>
  <si>
    <t>Nullpunktmessung (5 min. Messzeit)</t>
  </si>
  <si>
    <t>ohne Bleiabschirmung:</t>
  </si>
  <si>
    <t>Impulszahlen:</t>
  </si>
  <si>
    <t>mit Bleiabschirmung:</t>
  </si>
  <si>
    <t>33,8cm</t>
  </si>
  <si>
    <t>Mittelwert:</t>
  </si>
  <si>
    <t>Gesamtdosis [mySv]</t>
  </si>
  <si>
    <t>Fehler:</t>
  </si>
  <si>
    <t>H pro Jahr [mSv]</t>
  </si>
  <si>
    <t>Fehlre[mSv]</t>
  </si>
  <si>
    <t>Mittelwert</t>
  </si>
  <si>
    <t>Fehler</t>
  </si>
  <si>
    <t>mit Radex:</t>
  </si>
  <si>
    <t>ber. Daten</t>
  </si>
  <si>
    <t>Fehler ber.</t>
  </si>
  <si>
    <t>In 4h</t>
  </si>
  <si>
    <t>max. Aufenthaltsdauer [h]</t>
  </si>
  <si>
    <t>Fehler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</si>
</sst>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68CB-B331-42ED-9133-19A1010AE785}">
  <dimension ref="B3:F24"/>
  <sheetViews>
    <sheetView workbookViewId="0">
      <selection activeCell="H16" sqref="H16"/>
    </sheetView>
  </sheetViews>
  <sheetFormatPr baseColWidth="10" defaultRowHeight="15" x14ac:dyDescent="0.25"/>
  <cols>
    <col min="2" max="2" width="19" bestFit="1" customWidth="1"/>
    <col min="3" max="3" width="19.85546875" bestFit="1" customWidth="1"/>
  </cols>
  <sheetData>
    <row r="3" spans="2:3" x14ac:dyDescent="0.25">
      <c r="B3" t="s">
        <v>0</v>
      </c>
      <c r="C3" t="s">
        <v>2</v>
      </c>
    </row>
    <row r="4" spans="2:3" x14ac:dyDescent="0.25">
      <c r="B4" s="1">
        <v>0.62986111111111109</v>
      </c>
      <c r="C4">
        <v>0.11</v>
      </c>
    </row>
    <row r="5" spans="2:3" x14ac:dyDescent="0.25">
      <c r="B5" s="1">
        <v>0.64027777777777783</v>
      </c>
      <c r="C5">
        <v>0.09</v>
      </c>
    </row>
    <row r="6" spans="2:3" x14ac:dyDescent="0.25">
      <c r="B6" s="1">
        <v>0.65069444444444446</v>
      </c>
      <c r="C6">
        <v>0.09</v>
      </c>
    </row>
    <row r="7" spans="2:3" x14ac:dyDescent="0.25">
      <c r="B7" s="1">
        <v>0.66111111111111109</v>
      </c>
      <c r="C7">
        <v>0.11</v>
      </c>
    </row>
    <row r="8" spans="2:3" x14ac:dyDescent="0.25">
      <c r="B8" s="1">
        <v>0.67152777777777783</v>
      </c>
      <c r="C8">
        <v>0.13</v>
      </c>
    </row>
    <row r="9" spans="2:3" x14ac:dyDescent="0.25">
      <c r="B9" s="1">
        <v>0.68194444444444446</v>
      </c>
      <c r="C9">
        <v>0.08</v>
      </c>
    </row>
    <row r="10" spans="2:3" x14ac:dyDescent="0.25">
      <c r="B10" s="1">
        <v>0.69236111111111109</v>
      </c>
      <c r="C10">
        <v>0.12</v>
      </c>
    </row>
    <row r="11" spans="2:3" x14ac:dyDescent="0.25">
      <c r="B11" s="1">
        <v>0.70347222222222217</v>
      </c>
      <c r="C11">
        <v>0.1</v>
      </c>
    </row>
    <row r="12" spans="2:3" x14ac:dyDescent="0.25">
      <c r="B12" s="1">
        <v>0.71319444444444446</v>
      </c>
      <c r="C12">
        <v>0.1</v>
      </c>
    </row>
    <row r="13" spans="2:3" x14ac:dyDescent="0.25">
      <c r="B13" s="1">
        <v>0.72361111111111109</v>
      </c>
      <c r="C13">
        <v>0.13</v>
      </c>
    </row>
    <row r="14" spans="2:3" x14ac:dyDescent="0.25">
      <c r="B14" s="1">
        <v>0.73472222222222217</v>
      </c>
      <c r="C14">
        <v>0.12</v>
      </c>
    </row>
    <row r="15" spans="2:3" x14ac:dyDescent="0.25">
      <c r="B15" s="1">
        <v>0.74513888888888891</v>
      </c>
      <c r="C15">
        <v>0.09</v>
      </c>
    </row>
    <row r="16" spans="2:3" x14ac:dyDescent="0.25">
      <c r="B16" s="1">
        <v>0.75555555555555554</v>
      </c>
      <c r="C16">
        <v>0.12</v>
      </c>
    </row>
    <row r="18" spans="2:6" x14ac:dyDescent="0.25">
      <c r="B18" t="s">
        <v>16</v>
      </c>
      <c r="C18">
        <f>AVERAGE(C4:C16)</f>
        <v>0.10692307692307693</v>
      </c>
      <c r="E18" t="s">
        <v>18</v>
      </c>
      <c r="F18">
        <f>_xlfn.STDEV.S(C4:C16)/SQRT(COUNT(C4:C16))</f>
        <v>4.5832212645434489E-3</v>
      </c>
    </row>
    <row r="20" spans="2:6" x14ac:dyDescent="0.25">
      <c r="B20" t="s">
        <v>17</v>
      </c>
      <c r="C20">
        <f>C18*3.0166666</f>
        <v>0.32255127492307695</v>
      </c>
    </row>
    <row r="23" spans="2:6" x14ac:dyDescent="0.25">
      <c r="B23" t="s">
        <v>19</v>
      </c>
      <c r="C23">
        <f>8.76*C18</f>
        <v>0.93664615384615391</v>
      </c>
    </row>
    <row r="24" spans="2:6" x14ac:dyDescent="0.25">
      <c r="B24" t="s">
        <v>20</v>
      </c>
      <c r="C24">
        <f>8.76*F18</f>
        <v>4.0149018277400611E-2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A2F5-74BC-4387-B3F5-0B33E4158B18}">
  <dimension ref="A2:H35"/>
  <sheetViews>
    <sheetView tabSelected="1" topLeftCell="A13" workbookViewId="0">
      <selection activeCell="E31" sqref="E31"/>
    </sheetView>
  </sheetViews>
  <sheetFormatPr baseColWidth="10" defaultRowHeight="15" x14ac:dyDescent="0.25"/>
  <cols>
    <col min="1" max="1" width="24.5703125" bestFit="1" customWidth="1"/>
    <col min="2" max="2" width="33.85546875" bestFit="1" customWidth="1"/>
    <col min="3" max="3" width="42.5703125" bestFit="1" customWidth="1"/>
    <col min="4" max="4" width="32.42578125" bestFit="1" customWidth="1"/>
  </cols>
  <sheetData>
    <row r="2" spans="1:8" x14ac:dyDescent="0.25">
      <c r="A2" t="s">
        <v>1</v>
      </c>
      <c r="B2" t="s">
        <v>3</v>
      </c>
      <c r="C2" t="s">
        <v>4</v>
      </c>
      <c r="D2" t="s">
        <v>5</v>
      </c>
      <c r="H2" t="s">
        <v>23</v>
      </c>
    </row>
    <row r="3" spans="1:8" x14ac:dyDescent="0.25">
      <c r="B3">
        <v>6.4</v>
      </c>
      <c r="C3">
        <v>0.8</v>
      </c>
      <c r="D3">
        <v>0.3</v>
      </c>
    </row>
    <row r="4" spans="1:8" x14ac:dyDescent="0.25">
      <c r="B4">
        <v>5.7</v>
      </c>
      <c r="C4">
        <v>0.3</v>
      </c>
      <c r="D4">
        <v>0.1</v>
      </c>
    </row>
    <row r="5" spans="1:8" x14ac:dyDescent="0.25">
      <c r="B5">
        <v>7.2</v>
      </c>
      <c r="C5">
        <v>0.6</v>
      </c>
      <c r="D5">
        <v>0</v>
      </c>
    </row>
    <row r="6" spans="1:8" x14ac:dyDescent="0.25">
      <c r="B6">
        <v>6.8</v>
      </c>
      <c r="C6">
        <v>0.2</v>
      </c>
      <c r="D6">
        <v>0</v>
      </c>
    </row>
    <row r="7" spans="1:8" x14ac:dyDescent="0.25">
      <c r="B7">
        <v>6</v>
      </c>
      <c r="C7">
        <v>0.3</v>
      </c>
      <c r="D7">
        <v>0.1</v>
      </c>
    </row>
    <row r="8" spans="1:8" x14ac:dyDescent="0.25">
      <c r="B8">
        <v>7.2</v>
      </c>
      <c r="C8">
        <v>0.2</v>
      </c>
      <c r="D8">
        <v>0.1</v>
      </c>
    </row>
    <row r="9" spans="1:8" x14ac:dyDescent="0.25">
      <c r="B9">
        <v>6.1</v>
      </c>
      <c r="C9">
        <v>0.3</v>
      </c>
      <c r="D9">
        <v>0.1</v>
      </c>
    </row>
    <row r="10" spans="1:8" x14ac:dyDescent="0.25">
      <c r="B10">
        <v>6.8</v>
      </c>
      <c r="C10">
        <v>0.1</v>
      </c>
      <c r="D10">
        <v>0</v>
      </c>
    </row>
    <row r="11" spans="1:8" x14ac:dyDescent="0.25">
      <c r="B11">
        <v>6.9</v>
      </c>
      <c r="C11">
        <v>0.4</v>
      </c>
      <c r="D11">
        <v>0</v>
      </c>
    </row>
    <row r="12" spans="1:8" x14ac:dyDescent="0.25">
      <c r="B12">
        <v>7.1</v>
      </c>
      <c r="C12">
        <v>0.5</v>
      </c>
      <c r="D12">
        <v>0.1</v>
      </c>
    </row>
    <row r="13" spans="1:8" x14ac:dyDescent="0.25">
      <c r="B13">
        <v>6.6</v>
      </c>
      <c r="C13">
        <v>0.2</v>
      </c>
      <c r="D13">
        <v>0.1</v>
      </c>
    </row>
    <row r="14" spans="1:8" x14ac:dyDescent="0.25">
      <c r="B14">
        <v>7.5</v>
      </c>
      <c r="C14">
        <v>0.1</v>
      </c>
      <c r="D14">
        <v>0.1</v>
      </c>
    </row>
    <row r="15" spans="1:8" x14ac:dyDescent="0.25">
      <c r="B15">
        <v>6.5</v>
      </c>
      <c r="C15">
        <v>0.3</v>
      </c>
      <c r="D15">
        <v>0.1</v>
      </c>
    </row>
    <row r="16" spans="1:8" x14ac:dyDescent="0.25">
      <c r="B16">
        <v>6</v>
      </c>
      <c r="C16">
        <v>0.5</v>
      </c>
      <c r="D16">
        <v>0</v>
      </c>
    </row>
    <row r="17" spans="1:8" x14ac:dyDescent="0.25">
      <c r="B17">
        <v>5.7</v>
      </c>
      <c r="C17">
        <v>0.2</v>
      </c>
      <c r="D17">
        <v>0.1</v>
      </c>
    </row>
    <row r="18" spans="1:8" x14ac:dyDescent="0.25">
      <c r="B18">
        <v>6.8</v>
      </c>
      <c r="C18">
        <v>0.1</v>
      </c>
      <c r="D18">
        <v>0.1</v>
      </c>
    </row>
    <row r="19" spans="1:8" x14ac:dyDescent="0.25">
      <c r="B19">
        <v>6.2</v>
      </c>
      <c r="C19">
        <v>0.1</v>
      </c>
      <c r="D19">
        <v>0.2</v>
      </c>
    </row>
    <row r="20" spans="1:8" x14ac:dyDescent="0.25">
      <c r="B20">
        <v>6.4</v>
      </c>
      <c r="C20">
        <v>0</v>
      </c>
      <c r="D20">
        <v>0.1</v>
      </c>
    </row>
    <row r="21" spans="1:8" x14ac:dyDescent="0.25">
      <c r="B21">
        <v>7.6</v>
      </c>
      <c r="C21">
        <v>0.1</v>
      </c>
      <c r="D21">
        <v>0</v>
      </c>
    </row>
    <row r="22" spans="1:8" x14ac:dyDescent="0.25">
      <c r="B22">
        <v>6.5</v>
      </c>
      <c r="C22">
        <v>0.3</v>
      </c>
      <c r="D22">
        <v>0.1</v>
      </c>
    </row>
    <row r="24" spans="1:8" x14ac:dyDescent="0.25">
      <c r="A24" t="s">
        <v>21</v>
      </c>
      <c r="B24">
        <f>AVERAGE(B3:B22)</f>
        <v>6.6</v>
      </c>
      <c r="C24">
        <f>AVERAGE(C3:C22)</f>
        <v>0.27999999999999992</v>
      </c>
      <c r="H24">
        <f>Hintergrundstrahlung!C18</f>
        <v>0.10692307692307693</v>
      </c>
    </row>
    <row r="25" spans="1:8" x14ac:dyDescent="0.25">
      <c r="A25" t="s">
        <v>22</v>
      </c>
      <c r="B25">
        <f>_xlfn.STDEV.S(B3:B22)/SQRT(COUNT(B3:B22))</f>
        <v>0.12396943596157713</v>
      </c>
      <c r="C25">
        <f>_xlfn.STDEV.S(C3:C22)/SQRT(COUNT(C3:C22))</f>
        <v>4.4485361282348312E-2</v>
      </c>
      <c r="H25">
        <f>Hintergrundstrahlung!F18</f>
        <v>4.5832212645434489E-3</v>
      </c>
    </row>
    <row r="27" spans="1:8" x14ac:dyDescent="0.25">
      <c r="A27" t="s">
        <v>24</v>
      </c>
      <c r="B27">
        <f>B24-$H$24</f>
        <v>6.4930769230769227</v>
      </c>
      <c r="C27">
        <f>C24-$H$24</f>
        <v>0.17307692307692299</v>
      </c>
    </row>
    <row r="28" spans="1:8" x14ac:dyDescent="0.25">
      <c r="A28" t="s">
        <v>25</v>
      </c>
      <c r="B28">
        <f>SQRT(B25^2+$H$25^2)</f>
        <v>0.12405412919282992</v>
      </c>
      <c r="C28">
        <f>SQRT(C25^2+$H$25^2)</f>
        <v>4.4720837263861883E-2</v>
      </c>
    </row>
    <row r="30" spans="1:8" x14ac:dyDescent="0.25">
      <c r="A30" t="s">
        <v>26</v>
      </c>
      <c r="B30">
        <f>4*B27</f>
        <v>25.972307692307691</v>
      </c>
      <c r="C30">
        <f>4*C27</f>
        <v>0.69230769230769196</v>
      </c>
    </row>
    <row r="31" spans="1:8" x14ac:dyDescent="0.25">
      <c r="B31">
        <f>4*B28</f>
        <v>0.49621651677131967</v>
      </c>
      <c r="C31">
        <f>4*C28</f>
        <v>0.17888334905544753</v>
      </c>
    </row>
    <row r="34" spans="1:3" x14ac:dyDescent="0.25">
      <c r="A34" t="s">
        <v>27</v>
      </c>
      <c r="B34">
        <f>5000/B27</f>
        <v>770.05094183153653</v>
      </c>
      <c r="C34">
        <f>5000/C27</f>
        <v>28888.888888888905</v>
      </c>
    </row>
    <row r="35" spans="1:3" x14ac:dyDescent="0.25">
      <c r="A35" t="s">
        <v>28</v>
      </c>
      <c r="B35">
        <f>B25/B24*B34</f>
        <v>14.464057715232853</v>
      </c>
      <c r="C35">
        <f>C25/C24*C34</f>
        <v>4589.7594973851474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15F6-2BC7-4D19-99B0-DBC94D1B7C22}">
  <dimension ref="A2:G22"/>
  <sheetViews>
    <sheetView workbookViewId="0">
      <selection activeCell="F14" sqref="F14"/>
    </sheetView>
  </sheetViews>
  <sheetFormatPr baseColWidth="10" defaultRowHeight="15" x14ac:dyDescent="0.25"/>
  <cols>
    <col min="1" max="1" width="27" bestFit="1" customWidth="1"/>
    <col min="2" max="2" width="16.5703125" bestFit="1" customWidth="1"/>
    <col min="6" max="6" width="30.140625" bestFit="1" customWidth="1"/>
    <col min="7" max="7" width="18.42578125" bestFit="1" customWidth="1"/>
  </cols>
  <sheetData>
    <row r="2" spans="1:7" x14ac:dyDescent="0.25">
      <c r="B2" t="s">
        <v>6</v>
      </c>
      <c r="C2" t="s">
        <v>9</v>
      </c>
      <c r="F2" t="s">
        <v>11</v>
      </c>
    </row>
    <row r="3" spans="1:7" x14ac:dyDescent="0.25">
      <c r="A3" t="s">
        <v>10</v>
      </c>
      <c r="F3" t="s">
        <v>13</v>
      </c>
    </row>
    <row r="4" spans="1:7" x14ac:dyDescent="0.25">
      <c r="A4" t="s">
        <v>7</v>
      </c>
      <c r="B4" t="s">
        <v>8</v>
      </c>
      <c r="F4" t="s">
        <v>12</v>
      </c>
      <c r="G4" t="s">
        <v>14</v>
      </c>
    </row>
    <row r="5" spans="1:7" x14ac:dyDescent="0.25">
      <c r="A5">
        <v>480</v>
      </c>
      <c r="B5">
        <v>0</v>
      </c>
      <c r="F5">
        <v>166</v>
      </c>
      <c r="G5">
        <v>51</v>
      </c>
    </row>
    <row r="6" spans="1:7" x14ac:dyDescent="0.25">
      <c r="A6">
        <v>492</v>
      </c>
      <c r="B6">
        <v>0</v>
      </c>
    </row>
    <row r="7" spans="1:7" x14ac:dyDescent="0.25">
      <c r="A7">
        <v>500</v>
      </c>
      <c r="B7">
        <v>0</v>
      </c>
    </row>
    <row r="8" spans="1:7" x14ac:dyDescent="0.25">
      <c r="A8">
        <v>504</v>
      </c>
      <c r="B8">
        <v>0</v>
      </c>
    </row>
    <row r="9" spans="1:7" x14ac:dyDescent="0.25">
      <c r="A9">
        <v>508</v>
      </c>
      <c r="B9">
        <v>0</v>
      </c>
    </row>
    <row r="10" spans="1:7" x14ac:dyDescent="0.25">
      <c r="A10">
        <v>512</v>
      </c>
      <c r="B10">
        <v>5</v>
      </c>
    </row>
    <row r="11" spans="1:7" x14ac:dyDescent="0.25">
      <c r="A11">
        <v>516</v>
      </c>
      <c r="B11">
        <v>436</v>
      </c>
    </row>
    <row r="12" spans="1:7" x14ac:dyDescent="0.25">
      <c r="A12">
        <v>520</v>
      </c>
      <c r="B12">
        <v>649</v>
      </c>
    </row>
    <row r="13" spans="1:7" x14ac:dyDescent="0.25">
      <c r="A13">
        <v>524</v>
      </c>
      <c r="B13">
        <v>612</v>
      </c>
    </row>
    <row r="14" spans="1:7" x14ac:dyDescent="0.25">
      <c r="A14">
        <v>528</v>
      </c>
      <c r="B14">
        <v>660</v>
      </c>
    </row>
    <row r="15" spans="1:7" x14ac:dyDescent="0.25">
      <c r="A15">
        <v>536</v>
      </c>
      <c r="B15">
        <v>631</v>
      </c>
    </row>
    <row r="16" spans="1:7" x14ac:dyDescent="0.25">
      <c r="A16">
        <v>548</v>
      </c>
      <c r="B16">
        <v>651</v>
      </c>
    </row>
    <row r="17" spans="1:2" x14ac:dyDescent="0.25">
      <c r="A17">
        <v>556</v>
      </c>
      <c r="B17">
        <v>661</v>
      </c>
    </row>
    <row r="18" spans="1:2" x14ac:dyDescent="0.25">
      <c r="A18">
        <v>564</v>
      </c>
      <c r="B18">
        <v>693</v>
      </c>
    </row>
    <row r="19" spans="1:2" x14ac:dyDescent="0.25">
      <c r="A19">
        <v>572</v>
      </c>
      <c r="B19">
        <v>633</v>
      </c>
    </row>
    <row r="20" spans="1:2" x14ac:dyDescent="0.25">
      <c r="A20">
        <v>580</v>
      </c>
      <c r="B20">
        <v>679</v>
      </c>
    </row>
    <row r="21" spans="1:2" x14ac:dyDescent="0.25">
      <c r="A21">
        <v>588</v>
      </c>
      <c r="B21">
        <v>701</v>
      </c>
    </row>
    <row r="22" spans="1:2" x14ac:dyDescent="0.25">
      <c r="A22">
        <v>596</v>
      </c>
      <c r="B22">
        <v>725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30FD-F31C-4491-9A83-2BC81F98A3E2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Hintergrundstrahlung</vt:lpstr>
      <vt:lpstr>Dosisleistung Präparat</vt:lpstr>
      <vt:lpstr>Zählrohrcharakteristik</vt:lpstr>
      <vt:lpstr>Ansprechvermögen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2022-01-19T13:22:05Z</dcterms:created>
  <dcterms:modified xsi:type="dcterms:W3CDTF">2022-01-22T20:43:18Z</dcterms:modified>
</cp:coreProperties>
</file>