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4. Semester\C1 Praktikum\C46\Daten\"/>
    </mc:Choice>
  </mc:AlternateContent>
  <xr:revisionPtr revIDLastSave="0" documentId="13_ncr:1_{D46FF8E3-0C09-4F0E-9516-17AECB7ABF6A}" xr6:coauthVersionLast="47" xr6:coauthVersionMax="47" xr10:uidLastSave="{00000000-0000-0000-0000-000000000000}"/>
  <bookViews>
    <workbookView xWindow="-120" yWindow="-120" windowWidth="29040" windowHeight="16440" xr2:uid="{3A3F9A78-9D62-4570-9395-9BC699E997A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6" i="1" l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2" i="1"/>
  <c r="AA123" i="1"/>
  <c r="AA119" i="1"/>
  <c r="AA120" i="1"/>
  <c r="AA121" i="1"/>
  <c r="N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19" i="1"/>
  <c r="Y139" i="1"/>
  <c r="U154" i="1"/>
  <c r="T154" i="1"/>
  <c r="U151" i="1"/>
  <c r="U146" i="1"/>
  <c r="U147" i="1"/>
  <c r="U148" i="1"/>
  <c r="U149" i="1"/>
  <c r="U145" i="1"/>
  <c r="T151" i="1"/>
  <c r="O151" i="1"/>
  <c r="O154" i="1" s="1"/>
  <c r="T150" i="1"/>
  <c r="B144" i="1"/>
  <c r="E116" i="1" s="1"/>
  <c r="P146" i="1"/>
  <c r="P149" i="1"/>
  <c r="P145" i="1"/>
  <c r="O150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146" i="1"/>
  <c r="L134" i="1"/>
  <c r="L133" i="1"/>
  <c r="L120" i="1" a="1"/>
  <c r="L120" i="1" s="1"/>
  <c r="L119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93" i="1"/>
  <c r="D139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42" i="1"/>
  <c r="Z139" i="1" l="1"/>
  <c r="P148" i="1"/>
  <c r="P147" i="1"/>
  <c r="P151" i="1" s="1"/>
  <c r="P154" i="1" s="1"/>
  <c r="E121" i="1"/>
  <c r="M120" i="1" s="1"/>
  <c r="N120" i="1" s="1"/>
  <c r="E127" i="1"/>
  <c r="M126" i="1" s="1"/>
  <c r="N126" i="1" s="1"/>
  <c r="E138" i="1"/>
  <c r="E128" i="1"/>
  <c r="M127" i="1" s="1"/>
  <c r="N127" i="1" s="1"/>
  <c r="E130" i="1"/>
  <c r="M129" i="1" s="1"/>
  <c r="N129" i="1" s="1"/>
  <c r="E132" i="1"/>
  <c r="M131" i="1" s="1"/>
  <c r="N131" i="1" s="1"/>
  <c r="E120" i="1"/>
  <c r="E122" i="1"/>
  <c r="M121" i="1" s="1"/>
  <c r="N121" i="1" s="1"/>
  <c r="E133" i="1"/>
  <c r="M132" i="1" s="1"/>
  <c r="N132" i="1" s="1"/>
  <c r="E124" i="1"/>
  <c r="M123" i="1" s="1"/>
  <c r="N123" i="1" s="1"/>
  <c r="E134" i="1"/>
  <c r="E126" i="1"/>
  <c r="M125" i="1" s="1"/>
  <c r="N125" i="1" s="1"/>
  <c r="E136" i="1"/>
  <c r="E125" i="1"/>
  <c r="M124" i="1" s="1"/>
  <c r="N124" i="1" s="1"/>
  <c r="E135" i="1"/>
  <c r="E119" i="1"/>
  <c r="M119" i="1" s="1"/>
  <c r="E131" i="1"/>
  <c r="M130" i="1" s="1"/>
  <c r="N130" i="1" s="1"/>
  <c r="E123" i="1"/>
  <c r="M122" i="1" s="1"/>
  <c r="N122" i="1" s="1"/>
  <c r="E137" i="1"/>
  <c r="E129" i="1"/>
  <c r="M128" i="1" s="1"/>
  <c r="N128" i="1" s="1"/>
  <c r="E113" i="1"/>
  <c r="M133" i="1" l="1"/>
  <c r="N133" i="1" s="1"/>
  <c r="E139" i="1"/>
  <c r="B142" i="1"/>
  <c r="M134" i="1" l="1"/>
  <c r="N134" i="1"/>
  <c r="D89" i="1" a="1"/>
  <c r="D89" i="1"/>
  <c r="M101" i="1"/>
  <c r="N101" i="1" s="1"/>
  <c r="L107" i="1"/>
  <c r="L93" i="1"/>
  <c r="F95" i="1"/>
  <c r="M94" i="1"/>
  <c r="N94" i="1" s="1"/>
  <c r="F97" i="1"/>
  <c r="F98" i="1"/>
  <c r="M99" i="1"/>
  <c r="N99" i="1" s="1"/>
  <c r="F102" i="1"/>
  <c r="F103" i="1"/>
  <c r="M102" i="1"/>
  <c r="N102" i="1" s="1"/>
  <c r="F106" i="1"/>
  <c r="M106" i="1"/>
  <c r="N106" i="1" s="1"/>
  <c r="F108" i="1"/>
  <c r="F111" i="1"/>
  <c r="F112" i="1"/>
  <c r="F93" i="1"/>
  <c r="F38" i="1"/>
  <c r="E38" i="1"/>
  <c r="D38" i="1" a="1"/>
  <c r="D38" i="1" s="1"/>
  <c r="F81" i="1"/>
  <c r="F76" i="1"/>
  <c r="F77" i="1"/>
  <c r="F78" i="1"/>
  <c r="F79" i="1"/>
  <c r="F75" i="1"/>
  <c r="E79" i="1"/>
  <c r="E78" i="1"/>
  <c r="E77" i="1"/>
  <c r="E76" i="1"/>
  <c r="E75" i="1"/>
  <c r="E67" i="1"/>
  <c r="E68" i="1"/>
  <c r="E69" i="1"/>
  <c r="E70" i="1"/>
  <c r="E71" i="1"/>
  <c r="E66" i="1"/>
  <c r="D62" i="1"/>
  <c r="D61" i="1" a="1"/>
  <c r="D61" i="1" s="1"/>
  <c r="B56" i="1"/>
  <c r="A54" i="1"/>
  <c r="F5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5" i="1"/>
  <c r="F99" i="1" l="1"/>
  <c r="M97" i="1"/>
  <c r="N97" i="1" s="1"/>
  <c r="F101" i="1"/>
  <c r="F96" i="1"/>
  <c r="M104" i="1"/>
  <c r="N104" i="1" s="1"/>
  <c r="M96" i="1"/>
  <c r="N96" i="1" s="1"/>
  <c r="F110" i="1"/>
  <c r="F94" i="1"/>
  <c r="M95" i="1"/>
  <c r="N95" i="1" s="1"/>
  <c r="F109" i="1"/>
  <c r="F104" i="1"/>
  <c r="M100" i="1"/>
  <c r="N100" i="1" s="1"/>
  <c r="F105" i="1" l="1"/>
  <c r="M103" i="1"/>
  <c r="N103" i="1" s="1"/>
  <c r="M93" i="1"/>
  <c r="N93" i="1" s="1"/>
  <c r="M107" i="1"/>
  <c r="N107" i="1" s="1"/>
  <c r="F107" i="1"/>
  <c r="M105" i="1"/>
  <c r="N105" i="1" s="1"/>
  <c r="F100" i="1"/>
  <c r="M98" i="1"/>
  <c r="N98" i="1" s="1"/>
  <c r="N10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<sst xmlns="http://schemas.openxmlformats.org/spreadsheetml/2006/main" count="111" uniqueCount="50">
  <si>
    <t>2.6 Zählrohrcharakteristik</t>
  </si>
  <si>
    <t>Impulsrate N</t>
  </si>
  <si>
    <t>U/V</t>
  </si>
  <si>
    <t>Ereignisse</t>
  </si>
  <si>
    <t>Strahlenbelastung im Praktikum</t>
  </si>
  <si>
    <t>Dosisleistung/muSv/h</t>
  </si>
  <si>
    <t>Uhrzeit</t>
  </si>
  <si>
    <t>k</t>
  </si>
  <si>
    <t>H_ex</t>
  </si>
  <si>
    <t>H_th</t>
  </si>
  <si>
    <t>Q_k</t>
  </si>
  <si>
    <t>Zählstatistik 1s Torzeit</t>
  </si>
  <si>
    <t>Mittelwert</t>
  </si>
  <si>
    <t>N</t>
  </si>
  <si>
    <t>H_th&lt;5</t>
  </si>
  <si>
    <t>oder mehr</t>
  </si>
  <si>
    <t>Chi^2</t>
  </si>
  <si>
    <t>s_x^2</t>
  </si>
  <si>
    <t>s_x</t>
  </si>
  <si>
    <t>Freiheitsgrade</t>
  </si>
  <si>
    <t>führt zu</t>
  </si>
  <si>
    <t>Chi^2_tab</t>
  </si>
  <si>
    <t>für 5%</t>
  </si>
  <si>
    <t xml:space="preserve">führt zu </t>
  </si>
  <si>
    <t>Hypothese, dass Poisson-Verteilung stimmt, wird angenommen</t>
  </si>
  <si>
    <t>Zählstatistik 10s Torzeit</t>
  </si>
  <si>
    <t>oder weniger</t>
  </si>
  <si>
    <t>Poisson</t>
  </si>
  <si>
    <t>Gauß</t>
  </si>
  <si>
    <t>Standardabw.</t>
  </si>
  <si>
    <t>St.abw.</t>
  </si>
  <si>
    <t>(xi-mu)^2</t>
  </si>
  <si>
    <t>Summe</t>
  </si>
  <si>
    <t>fürt zu</t>
  </si>
  <si>
    <t>Hypothese, dass Normalverteilung stimmt, wird nicht angenommen</t>
  </si>
  <si>
    <t>Halbwertszeit Barium-137m</t>
  </si>
  <si>
    <t>t/s</t>
  </si>
  <si>
    <t>Poissonfehler</t>
  </si>
  <si>
    <t>Nulleffekt</t>
  </si>
  <si>
    <t>Abstand</t>
  </si>
  <si>
    <t>n</t>
  </si>
  <si>
    <t>Torzeit/s</t>
  </si>
  <si>
    <t>(x-mu)^2</t>
  </si>
  <si>
    <t>St.fehler</t>
  </si>
  <si>
    <t>Rate*s</t>
  </si>
  <si>
    <t>Abschirmung</t>
  </si>
  <si>
    <t>Ereignesse</t>
  </si>
  <si>
    <t>Wahscheinlichkeitspapier</t>
  </si>
  <si>
    <t>relat.Häufigkeit/%</t>
  </si>
  <si>
    <t>kumulierte WK/%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</si>
</sst>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9" fontId="0" fillId="0" borderId="0" xfId="0" applyNumberForma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38FD-B3F0-41A6-890D-C44CEE0185B8}">
  <dimension ref="A2:AA1141"/>
  <sheetViews>
    <sheetView tabSelected="1" zoomScaleNormal="100" workbookViewId="0">
      <selection activeCell="K27" sqref="K27"/>
    </sheetView>
  </sheetViews>
  <sheetFormatPr baseColWidth="10" defaultRowHeight="15" x14ac:dyDescent="0.25"/>
  <cols>
    <col min="2" max="2" width="12" bestFit="1" customWidth="1"/>
    <col min="18" max="18" width="12.5703125" customWidth="1"/>
    <col min="26" max="26" width="17.42578125" bestFit="1" customWidth="1"/>
    <col min="27" max="27" width="16.85546875" bestFit="1" customWidth="1"/>
  </cols>
  <sheetData>
    <row r="2" spans="1:12" x14ac:dyDescent="0.25">
      <c r="A2" s="3" t="s">
        <v>0</v>
      </c>
    </row>
    <row r="4" spans="1:12" x14ac:dyDescent="0.25">
      <c r="A4" t="s">
        <v>2</v>
      </c>
      <c r="B4" t="s">
        <v>1</v>
      </c>
      <c r="C4" t="s">
        <v>3</v>
      </c>
    </row>
    <row r="5" spans="1:12" x14ac:dyDescent="0.25">
      <c r="A5">
        <v>496</v>
      </c>
      <c r="B5">
        <v>0</v>
      </c>
      <c r="C5">
        <f>B5*60</f>
        <v>0</v>
      </c>
      <c r="F5">
        <f>E5*60</f>
        <v>0</v>
      </c>
      <c r="L5">
        <v>781</v>
      </c>
    </row>
    <row r="6" spans="1:12" x14ac:dyDescent="0.25">
      <c r="A6">
        <v>500</v>
      </c>
      <c r="B6">
        <v>0</v>
      </c>
      <c r="C6">
        <f t="shared" ref="C6:C31" si="0">B6*60</f>
        <v>0</v>
      </c>
      <c r="F6">
        <f t="shared" ref="F6:F31" si="1">E6*60</f>
        <v>0</v>
      </c>
      <c r="L6">
        <v>764</v>
      </c>
    </row>
    <row r="7" spans="1:12" x14ac:dyDescent="0.25">
      <c r="A7">
        <v>504</v>
      </c>
      <c r="B7">
        <v>0</v>
      </c>
      <c r="C7">
        <f t="shared" si="0"/>
        <v>0</v>
      </c>
      <c r="F7">
        <f t="shared" si="1"/>
        <v>0</v>
      </c>
      <c r="L7">
        <v>806</v>
      </c>
    </row>
    <row r="8" spans="1:12" x14ac:dyDescent="0.25">
      <c r="A8">
        <v>508</v>
      </c>
      <c r="B8">
        <v>0</v>
      </c>
      <c r="C8">
        <f t="shared" si="0"/>
        <v>0</v>
      </c>
      <c r="F8">
        <f t="shared" si="1"/>
        <v>0</v>
      </c>
      <c r="L8">
        <v>786</v>
      </c>
    </row>
    <row r="9" spans="1:12" x14ac:dyDescent="0.25">
      <c r="A9">
        <v>512</v>
      </c>
      <c r="B9">
        <v>1</v>
      </c>
      <c r="C9">
        <f t="shared" si="0"/>
        <v>60</v>
      </c>
      <c r="F9">
        <f t="shared" si="1"/>
        <v>0</v>
      </c>
      <c r="L9">
        <v>802</v>
      </c>
    </row>
    <row r="10" spans="1:12" x14ac:dyDescent="0.25">
      <c r="A10">
        <v>516</v>
      </c>
      <c r="B10">
        <v>8</v>
      </c>
      <c r="C10">
        <f t="shared" si="0"/>
        <v>480</v>
      </c>
      <c r="F10">
        <f t="shared" si="1"/>
        <v>0</v>
      </c>
      <c r="L10">
        <v>818</v>
      </c>
    </row>
    <row r="11" spans="1:12" x14ac:dyDescent="0.25">
      <c r="A11">
        <v>520</v>
      </c>
      <c r="B11">
        <v>11</v>
      </c>
      <c r="C11">
        <f t="shared" si="0"/>
        <v>660</v>
      </c>
      <c r="F11">
        <f t="shared" si="1"/>
        <v>0</v>
      </c>
      <c r="L11">
        <v>785</v>
      </c>
    </row>
    <row r="12" spans="1:12" x14ac:dyDescent="0.25">
      <c r="A12">
        <v>524</v>
      </c>
      <c r="B12">
        <v>13</v>
      </c>
      <c r="C12">
        <f t="shared" si="0"/>
        <v>780</v>
      </c>
      <c r="F12">
        <f t="shared" si="1"/>
        <v>0</v>
      </c>
      <c r="L12">
        <v>751</v>
      </c>
    </row>
    <row r="13" spans="1:12" x14ac:dyDescent="0.25">
      <c r="A13">
        <v>528</v>
      </c>
      <c r="B13">
        <v>13</v>
      </c>
      <c r="C13">
        <f t="shared" si="0"/>
        <v>780</v>
      </c>
      <c r="F13">
        <f t="shared" si="1"/>
        <v>0</v>
      </c>
      <c r="L13">
        <v>790</v>
      </c>
    </row>
    <row r="14" spans="1:12" x14ac:dyDescent="0.25">
      <c r="A14">
        <v>532</v>
      </c>
      <c r="B14">
        <v>13</v>
      </c>
      <c r="C14">
        <f t="shared" si="0"/>
        <v>780</v>
      </c>
      <c r="F14">
        <f t="shared" si="1"/>
        <v>0</v>
      </c>
      <c r="L14">
        <v>842</v>
      </c>
    </row>
    <row r="15" spans="1:12" x14ac:dyDescent="0.25">
      <c r="A15">
        <v>536</v>
      </c>
      <c r="B15">
        <v>13</v>
      </c>
      <c r="C15">
        <f t="shared" si="0"/>
        <v>780</v>
      </c>
      <c r="F15">
        <f t="shared" si="1"/>
        <v>0</v>
      </c>
      <c r="L15">
        <v>824</v>
      </c>
    </row>
    <row r="16" spans="1:12" x14ac:dyDescent="0.25">
      <c r="A16">
        <v>540</v>
      </c>
      <c r="B16">
        <v>13.5</v>
      </c>
      <c r="C16">
        <f t="shared" si="0"/>
        <v>810</v>
      </c>
      <c r="F16">
        <f t="shared" si="1"/>
        <v>0</v>
      </c>
      <c r="L16">
        <v>808</v>
      </c>
    </row>
    <row r="17" spans="1:12" x14ac:dyDescent="0.25">
      <c r="A17">
        <v>544</v>
      </c>
      <c r="B17">
        <v>14</v>
      </c>
      <c r="C17">
        <f t="shared" si="0"/>
        <v>840</v>
      </c>
      <c r="F17">
        <f t="shared" si="1"/>
        <v>0</v>
      </c>
      <c r="L17">
        <v>820</v>
      </c>
    </row>
    <row r="18" spans="1:12" x14ac:dyDescent="0.25">
      <c r="A18">
        <v>548</v>
      </c>
      <c r="B18">
        <v>13</v>
      </c>
      <c r="C18">
        <f t="shared" si="0"/>
        <v>780</v>
      </c>
      <c r="F18">
        <f t="shared" si="1"/>
        <v>0</v>
      </c>
      <c r="L18">
        <v>772</v>
      </c>
    </row>
    <row r="19" spans="1:12" x14ac:dyDescent="0.25">
      <c r="A19">
        <v>552</v>
      </c>
      <c r="B19">
        <v>13</v>
      </c>
      <c r="C19">
        <f t="shared" si="0"/>
        <v>780</v>
      </c>
      <c r="F19">
        <f t="shared" si="1"/>
        <v>0</v>
      </c>
      <c r="L19">
        <v>772</v>
      </c>
    </row>
    <row r="20" spans="1:12" x14ac:dyDescent="0.25">
      <c r="A20">
        <v>556</v>
      </c>
      <c r="B20">
        <v>13</v>
      </c>
      <c r="C20">
        <f t="shared" si="0"/>
        <v>780</v>
      </c>
      <c r="F20">
        <f t="shared" si="1"/>
        <v>0</v>
      </c>
      <c r="L20">
        <v>823</v>
      </c>
    </row>
    <row r="21" spans="1:12" x14ac:dyDescent="0.25">
      <c r="A21">
        <v>560</v>
      </c>
      <c r="B21">
        <v>14</v>
      </c>
      <c r="C21">
        <f t="shared" si="0"/>
        <v>840</v>
      </c>
      <c r="F21">
        <f t="shared" si="1"/>
        <v>0</v>
      </c>
      <c r="L21">
        <v>802</v>
      </c>
    </row>
    <row r="22" spans="1:12" x14ac:dyDescent="0.25">
      <c r="A22">
        <v>564</v>
      </c>
      <c r="B22">
        <v>14</v>
      </c>
      <c r="C22">
        <f t="shared" si="0"/>
        <v>840</v>
      </c>
      <c r="F22">
        <f t="shared" si="1"/>
        <v>0</v>
      </c>
      <c r="L22">
        <v>821</v>
      </c>
    </row>
    <row r="23" spans="1:12" x14ac:dyDescent="0.25">
      <c r="A23">
        <v>568</v>
      </c>
      <c r="B23">
        <v>13</v>
      </c>
      <c r="C23">
        <f t="shared" si="0"/>
        <v>780</v>
      </c>
      <c r="F23">
        <f t="shared" si="1"/>
        <v>0</v>
      </c>
      <c r="L23">
        <v>804</v>
      </c>
    </row>
    <row r="24" spans="1:12" x14ac:dyDescent="0.25">
      <c r="A24">
        <v>572</v>
      </c>
      <c r="B24">
        <v>14</v>
      </c>
      <c r="C24">
        <f t="shared" si="0"/>
        <v>840</v>
      </c>
      <c r="F24">
        <f t="shared" si="1"/>
        <v>0</v>
      </c>
      <c r="L24">
        <v>822</v>
      </c>
    </row>
    <row r="25" spans="1:12" x14ac:dyDescent="0.25">
      <c r="A25">
        <v>576</v>
      </c>
      <c r="B25">
        <v>13</v>
      </c>
      <c r="C25">
        <f t="shared" si="0"/>
        <v>780</v>
      </c>
      <c r="F25">
        <f t="shared" si="1"/>
        <v>0</v>
      </c>
    </row>
    <row r="26" spans="1:12" x14ac:dyDescent="0.25">
      <c r="A26">
        <v>580</v>
      </c>
      <c r="B26">
        <v>13</v>
      </c>
      <c r="C26">
        <f t="shared" si="0"/>
        <v>780</v>
      </c>
      <c r="F26">
        <f t="shared" si="1"/>
        <v>0</v>
      </c>
      <c r="K26" t="s">
        <v>12</v>
      </c>
      <c r="L26">
        <f>AVERAGE(L5:L24)</f>
        <v>799.65</v>
      </c>
    </row>
    <row r="27" spans="1:12" x14ac:dyDescent="0.25">
      <c r="A27">
        <v>584</v>
      </c>
      <c r="B27">
        <v>14</v>
      </c>
      <c r="C27">
        <f t="shared" si="0"/>
        <v>840</v>
      </c>
      <c r="F27">
        <f t="shared" si="1"/>
        <v>0</v>
      </c>
    </row>
    <row r="28" spans="1:12" x14ac:dyDescent="0.25">
      <c r="A28">
        <v>588</v>
      </c>
      <c r="B28">
        <v>13</v>
      </c>
      <c r="C28">
        <f t="shared" si="0"/>
        <v>780</v>
      </c>
      <c r="F28">
        <f t="shared" si="1"/>
        <v>0</v>
      </c>
    </row>
    <row r="29" spans="1:12" x14ac:dyDescent="0.25">
      <c r="A29">
        <v>592</v>
      </c>
      <c r="B29">
        <v>14</v>
      </c>
      <c r="C29">
        <f t="shared" si="0"/>
        <v>840</v>
      </c>
      <c r="F29">
        <f t="shared" si="1"/>
        <v>0</v>
      </c>
    </row>
    <row r="30" spans="1:12" x14ac:dyDescent="0.25">
      <c r="A30">
        <v>596</v>
      </c>
      <c r="B30">
        <v>13</v>
      </c>
      <c r="C30">
        <f t="shared" si="0"/>
        <v>780</v>
      </c>
      <c r="F30">
        <f t="shared" si="1"/>
        <v>0</v>
      </c>
    </row>
    <row r="31" spans="1:12" x14ac:dyDescent="0.25">
      <c r="A31">
        <v>600</v>
      </c>
      <c r="B31">
        <v>14</v>
      </c>
      <c r="C31">
        <f t="shared" si="0"/>
        <v>840</v>
      </c>
      <c r="F31">
        <f t="shared" si="1"/>
        <v>0</v>
      </c>
    </row>
    <row r="36" spans="1:6" x14ac:dyDescent="0.25">
      <c r="A36" s="3" t="s">
        <v>4</v>
      </c>
    </row>
    <row r="37" spans="1:6" x14ac:dyDescent="0.25">
      <c r="A37" t="s">
        <v>5</v>
      </c>
      <c r="B37" t="s">
        <v>6</v>
      </c>
      <c r="D37" t="s">
        <v>17</v>
      </c>
      <c r="E37" t="s">
        <v>18</v>
      </c>
    </row>
    <row r="38" spans="1:6" x14ac:dyDescent="0.25">
      <c r="A38">
        <v>0.09</v>
      </c>
      <c r="B38" s="1">
        <v>0.36874999999999997</v>
      </c>
      <c r="D38" cm="1">
        <f t="array" ref="D38">1/14*SUM(((A38:A52)-A54)^2)</f>
        <v>1.6952380952380949E-4</v>
      </c>
      <c r="E38">
        <f>SQRT(D38)</f>
        <v>1.3020130933435712E-2</v>
      </c>
      <c r="F38">
        <f>1/SQRT(15)*E38</f>
        <v>3.3617833513757689E-3</v>
      </c>
    </row>
    <row r="39" spans="1:6" x14ac:dyDescent="0.25">
      <c r="A39">
        <v>0.09</v>
      </c>
      <c r="B39" s="1">
        <v>0.37916666666666665</v>
      </c>
    </row>
    <row r="40" spans="1:6" x14ac:dyDescent="0.25">
      <c r="A40">
        <v>0.1</v>
      </c>
      <c r="B40" s="1">
        <v>0.38958333333333334</v>
      </c>
    </row>
    <row r="41" spans="1:6" x14ac:dyDescent="0.25">
      <c r="A41">
        <v>0.11</v>
      </c>
      <c r="B41" s="1">
        <v>0.39999999999999997</v>
      </c>
    </row>
    <row r="42" spans="1:6" x14ac:dyDescent="0.25">
      <c r="A42">
        <v>0.12</v>
      </c>
      <c r="B42" s="1">
        <v>0.41041666666666665</v>
      </c>
    </row>
    <row r="43" spans="1:6" x14ac:dyDescent="0.25">
      <c r="A43">
        <v>0.1</v>
      </c>
      <c r="B43" s="1">
        <v>0.42083333333333334</v>
      </c>
    </row>
    <row r="44" spans="1:6" x14ac:dyDescent="0.25">
      <c r="A44">
        <v>0.1</v>
      </c>
      <c r="B44" s="1">
        <v>0.43124999999999997</v>
      </c>
    </row>
    <row r="45" spans="1:6" x14ac:dyDescent="0.25">
      <c r="A45">
        <v>0.12</v>
      </c>
      <c r="B45" s="1">
        <v>0.44166666666666665</v>
      </c>
    </row>
    <row r="46" spans="1:6" x14ac:dyDescent="0.25">
      <c r="A46">
        <v>0.09</v>
      </c>
    </row>
    <row r="47" spans="1:6" x14ac:dyDescent="0.25">
      <c r="A47">
        <v>0.11</v>
      </c>
    </row>
    <row r="48" spans="1:6" x14ac:dyDescent="0.25">
      <c r="A48">
        <v>0.1</v>
      </c>
    </row>
    <row r="49" spans="1:4" x14ac:dyDescent="0.25">
      <c r="A49">
        <v>0.11</v>
      </c>
    </row>
    <row r="50" spans="1:4" x14ac:dyDescent="0.25">
      <c r="A50">
        <v>0.11</v>
      </c>
    </row>
    <row r="51" spans="1:4" x14ac:dyDescent="0.25">
      <c r="A51">
        <v>0.1</v>
      </c>
    </row>
    <row r="52" spans="1:4" x14ac:dyDescent="0.25">
      <c r="A52">
        <v>7.0000000000000007E-2</v>
      </c>
      <c r="B52" s="1">
        <v>0.51388888888888895</v>
      </c>
    </row>
    <row r="54" spans="1:4" x14ac:dyDescent="0.25">
      <c r="A54">
        <f>AVERAGE(A38:A52)</f>
        <v>0.10133333333333336</v>
      </c>
    </row>
    <row r="56" spans="1:4" x14ac:dyDescent="0.25">
      <c r="B56">
        <f>A54*3.5</f>
        <v>0.35466666666666674</v>
      </c>
    </row>
    <row r="60" spans="1:4" x14ac:dyDescent="0.25">
      <c r="A60" s="3" t="s">
        <v>11</v>
      </c>
    </row>
    <row r="61" spans="1:4" x14ac:dyDescent="0.25">
      <c r="C61" t="s">
        <v>12</v>
      </c>
      <c r="D61" cm="1">
        <f t="array" ref="D61">SUM((D66:D71)*(C66:C71))/SUM(D66:D71)</f>
        <v>0.76100000000000001</v>
      </c>
    </row>
    <row r="62" spans="1:4" x14ac:dyDescent="0.25">
      <c r="C62" t="s">
        <v>13</v>
      </c>
      <c r="D62">
        <f>SUM(D66:D71)</f>
        <v>1000</v>
      </c>
    </row>
    <row r="65" spans="2:7" x14ac:dyDescent="0.25">
      <c r="C65" t="s">
        <v>7</v>
      </c>
      <c r="D65" t="s">
        <v>8</v>
      </c>
      <c r="E65" t="s">
        <v>9</v>
      </c>
      <c r="F65" t="s">
        <v>10</v>
      </c>
    </row>
    <row r="66" spans="2:7" x14ac:dyDescent="0.25">
      <c r="C66">
        <v>0</v>
      </c>
      <c r="D66">
        <v>483</v>
      </c>
      <c r="E66">
        <f>$D$61^C66*EXP(-$D$61)/FACT(C66)*$D$62</f>
        <v>467.1989943381879</v>
      </c>
    </row>
    <row r="67" spans="2:7" x14ac:dyDescent="0.25">
      <c r="C67">
        <v>1</v>
      </c>
      <c r="D67">
        <v>327</v>
      </c>
      <c r="E67">
        <f t="shared" ref="E67:E71" si="2">$D$61^C67*EXP(-$D$61)/FACT(C67)*$D$62</f>
        <v>355.53843469136098</v>
      </c>
    </row>
    <row r="68" spans="2:7" x14ac:dyDescent="0.25">
      <c r="C68">
        <v>2</v>
      </c>
      <c r="D68">
        <v>145</v>
      </c>
      <c r="E68">
        <f t="shared" si="2"/>
        <v>135.28237440006285</v>
      </c>
    </row>
    <row r="69" spans="2:7" x14ac:dyDescent="0.25">
      <c r="C69">
        <v>3</v>
      </c>
      <c r="D69">
        <v>37</v>
      </c>
      <c r="E69">
        <f t="shared" si="2"/>
        <v>34.316628972815948</v>
      </c>
    </row>
    <row r="70" spans="2:7" x14ac:dyDescent="0.25">
      <c r="C70">
        <v>4</v>
      </c>
      <c r="D70">
        <v>7</v>
      </c>
      <c r="E70">
        <f t="shared" si="2"/>
        <v>6.5287386620782346</v>
      </c>
    </row>
    <row r="71" spans="2:7" x14ac:dyDescent="0.25">
      <c r="C71">
        <v>5</v>
      </c>
      <c r="D71">
        <v>1</v>
      </c>
      <c r="E71">
        <f t="shared" si="2"/>
        <v>0.99367402436830699</v>
      </c>
      <c r="G71" t="s">
        <v>14</v>
      </c>
    </row>
    <row r="74" spans="2:7" x14ac:dyDescent="0.25">
      <c r="C74" t="s">
        <v>7</v>
      </c>
      <c r="D74" t="s">
        <v>8</v>
      </c>
      <c r="E74" t="s">
        <v>9</v>
      </c>
      <c r="F74" t="s">
        <v>10</v>
      </c>
    </row>
    <row r="75" spans="2:7" x14ac:dyDescent="0.25">
      <c r="C75">
        <v>0</v>
      </c>
      <c r="D75">
        <v>483</v>
      </c>
      <c r="E75">
        <f>$D$61^C75*EXP(-$D$61)/FACT(C75)*$D$62</f>
        <v>467.1989943381879</v>
      </c>
      <c r="F75">
        <f>(D75-E75)^2/E75</f>
        <v>0.5344013641944827</v>
      </c>
    </row>
    <row r="76" spans="2:7" x14ac:dyDescent="0.25">
      <c r="C76">
        <v>1</v>
      </c>
      <c r="D76">
        <v>327</v>
      </c>
      <c r="E76">
        <f t="shared" ref="E76:E78" si="3">$D$61^C76*EXP(-$D$61)/FACT(C76)*$D$62</f>
        <v>355.53843469136098</v>
      </c>
      <c r="F76">
        <f t="shared" ref="F76:F79" si="4">(D76-E76)^2/E76</f>
        <v>2.2907291453315985</v>
      </c>
    </row>
    <row r="77" spans="2:7" x14ac:dyDescent="0.25">
      <c r="C77">
        <v>2</v>
      </c>
      <c r="D77">
        <v>145</v>
      </c>
      <c r="E77">
        <f t="shared" si="3"/>
        <v>135.28237440006285</v>
      </c>
      <c r="F77">
        <f t="shared" si="4"/>
        <v>0.69803806829480064</v>
      </c>
    </row>
    <row r="78" spans="2:7" x14ac:dyDescent="0.25">
      <c r="C78">
        <v>3</v>
      </c>
      <c r="D78">
        <v>37</v>
      </c>
      <c r="E78">
        <f t="shared" si="3"/>
        <v>34.316628972815948</v>
      </c>
      <c r="F78">
        <f t="shared" si="4"/>
        <v>0.20982480753673913</v>
      </c>
    </row>
    <row r="79" spans="2:7" x14ac:dyDescent="0.25">
      <c r="B79" t="s">
        <v>15</v>
      </c>
      <c r="C79">
        <v>4</v>
      </c>
      <c r="D79">
        <v>8</v>
      </c>
      <c r="E79">
        <f>$D$61^C79*EXP(-$D$61)/FACT(C79)*$D$62+E71</f>
        <v>7.5224126864465415</v>
      </c>
      <c r="F79">
        <f t="shared" si="4"/>
        <v>3.0321341247093309E-2</v>
      </c>
    </row>
    <row r="81" spans="1:14" x14ac:dyDescent="0.25">
      <c r="E81" t="s">
        <v>16</v>
      </c>
      <c r="F81">
        <f>SUM(F75:F79)</f>
        <v>3.7633147266047144</v>
      </c>
    </row>
    <row r="83" spans="1:14" x14ac:dyDescent="0.25">
      <c r="E83" t="s">
        <v>19</v>
      </c>
      <c r="F83">
        <v>3</v>
      </c>
      <c r="G83" t="s">
        <v>20</v>
      </c>
      <c r="H83" t="s">
        <v>21</v>
      </c>
      <c r="I83">
        <v>7.81</v>
      </c>
      <c r="J83" t="s">
        <v>23</v>
      </c>
      <c r="K83" t="s">
        <v>24</v>
      </c>
    </row>
    <row r="84" spans="1:14" x14ac:dyDescent="0.25">
      <c r="H84" t="s">
        <v>22</v>
      </c>
    </row>
    <row r="88" spans="1:14" x14ac:dyDescent="0.25">
      <c r="A88" s="3" t="s">
        <v>25</v>
      </c>
    </row>
    <row r="89" spans="1:14" x14ac:dyDescent="0.25">
      <c r="C89" t="s">
        <v>12</v>
      </c>
      <c r="D89" cm="1">
        <f t="array" ref="D89">SUM((D93:D112)*(C93:C112))/SUM(D93:D112)</f>
        <v>7.9409999999999998</v>
      </c>
    </row>
    <row r="90" spans="1:14" x14ac:dyDescent="0.25">
      <c r="C90" t="s">
        <v>13</v>
      </c>
      <c r="D90">
        <v>1000</v>
      </c>
    </row>
    <row r="92" spans="1:14" x14ac:dyDescent="0.25">
      <c r="B92" s="3" t="s">
        <v>27</v>
      </c>
      <c r="C92" t="s">
        <v>7</v>
      </c>
      <c r="D92" t="s">
        <v>8</v>
      </c>
      <c r="E92" t="s">
        <v>9</v>
      </c>
      <c r="F92" t="s">
        <v>10</v>
      </c>
      <c r="K92" t="s">
        <v>7</v>
      </c>
      <c r="L92" t="s">
        <v>8</v>
      </c>
      <c r="M92" t="s">
        <v>9</v>
      </c>
      <c r="N92" t="s">
        <v>10</v>
      </c>
    </row>
    <row r="93" spans="1:14" x14ac:dyDescent="0.25">
      <c r="C93">
        <v>0</v>
      </c>
      <c r="D93">
        <v>2</v>
      </c>
      <c r="E93">
        <f>$D$89^C93*EXP(-$D$89)/FACT(C93)*$D$90</f>
        <v>0.35585044987261344</v>
      </c>
      <c r="F93">
        <f>(D93-E93)^2/E93</f>
        <v>7.5965275417012492</v>
      </c>
      <c r="G93" t="s">
        <v>14</v>
      </c>
      <c r="J93" t="s">
        <v>26</v>
      </c>
      <c r="K93">
        <v>2</v>
      </c>
      <c r="L93">
        <f>SUM(D93:D95)</f>
        <v>18</v>
      </c>
      <c r="M93">
        <f>SUM(E93:E95)</f>
        <v>14.401531213602796</v>
      </c>
      <c r="N93">
        <f>(L93-M93)^2/M93</f>
        <v>0.899138946728398</v>
      </c>
    </row>
    <row r="94" spans="1:14" x14ac:dyDescent="0.25">
      <c r="C94">
        <v>1</v>
      </c>
      <c r="D94">
        <v>4</v>
      </c>
      <c r="E94">
        <f t="shared" ref="E94:E112" si="5">$D$89^C94*EXP(-$D$89)/FACT(C94)*$D$90</f>
        <v>2.8258084224384232</v>
      </c>
      <c r="F94">
        <f t="shared" ref="F94:F112" si="6">(D94-E94)^2/E94</f>
        <v>0.48790493009672103</v>
      </c>
      <c r="G94" t="s">
        <v>14</v>
      </c>
      <c r="K94">
        <v>3</v>
      </c>
      <c r="L94">
        <v>31</v>
      </c>
      <c r="M94">
        <f>E96</f>
        <v>29.699002087399286</v>
      </c>
      <c r="N94">
        <f t="shared" ref="N94:N107" si="7">(L94-M94)^2/M94</f>
        <v>5.6991664689957727E-2</v>
      </c>
    </row>
    <row r="95" spans="1:14" x14ac:dyDescent="0.25">
      <c r="C95">
        <v>2</v>
      </c>
      <c r="D95">
        <v>12</v>
      </c>
      <c r="E95">
        <f t="shared" si="5"/>
        <v>11.21987234129176</v>
      </c>
      <c r="F95">
        <f t="shared" si="6"/>
        <v>5.4242966886692015E-2</v>
      </c>
      <c r="K95">
        <v>4</v>
      </c>
      <c r="L95">
        <v>51</v>
      </c>
      <c r="M95">
        <f t="shared" ref="M95:M106" si="8">E97</f>
        <v>58.959943894009434</v>
      </c>
      <c r="N95">
        <f t="shared" si="7"/>
        <v>1.0746398760093763</v>
      </c>
    </row>
    <row r="96" spans="1:14" x14ac:dyDescent="0.25">
      <c r="C96">
        <v>3</v>
      </c>
      <c r="D96">
        <v>31</v>
      </c>
      <c r="E96">
        <f t="shared" si="5"/>
        <v>29.699002087399286</v>
      </c>
      <c r="F96">
        <f t="shared" si="6"/>
        <v>5.6991664689957727E-2</v>
      </c>
      <c r="K96">
        <v>5</v>
      </c>
      <c r="L96">
        <v>99</v>
      </c>
      <c r="M96">
        <f t="shared" si="8"/>
        <v>93.640182892465788</v>
      </c>
      <c r="N96">
        <f t="shared" si="7"/>
        <v>0.30678751940506743</v>
      </c>
    </row>
    <row r="97" spans="3:17" x14ac:dyDescent="0.25">
      <c r="C97">
        <v>4</v>
      </c>
      <c r="D97">
        <v>51</v>
      </c>
      <c r="E97">
        <f t="shared" si="5"/>
        <v>58.959943894009434</v>
      </c>
      <c r="F97">
        <f t="shared" si="6"/>
        <v>1.0746398760093763</v>
      </c>
      <c r="K97">
        <v>6</v>
      </c>
      <c r="L97">
        <v>119</v>
      </c>
      <c r="M97">
        <f t="shared" si="8"/>
        <v>123.93278205817846</v>
      </c>
      <c r="N97">
        <f t="shared" si="7"/>
        <v>0.19633496827388949</v>
      </c>
    </row>
    <row r="98" spans="3:17" x14ac:dyDescent="0.25">
      <c r="C98">
        <v>5</v>
      </c>
      <c r="D98">
        <v>99</v>
      </c>
      <c r="E98">
        <f t="shared" si="5"/>
        <v>93.640182892465788</v>
      </c>
      <c r="F98">
        <f t="shared" si="6"/>
        <v>0.30678751940506743</v>
      </c>
      <c r="K98">
        <v>7</v>
      </c>
      <c r="L98">
        <v>141</v>
      </c>
      <c r="M98">
        <f t="shared" si="8"/>
        <v>140.59288890342788</v>
      </c>
      <c r="N98">
        <f t="shared" si="7"/>
        <v>1.1788607961957572E-3</v>
      </c>
    </row>
    <row r="99" spans="3:17" x14ac:dyDescent="0.25">
      <c r="C99">
        <v>6</v>
      </c>
      <c r="D99">
        <v>119</v>
      </c>
      <c r="E99">
        <f t="shared" si="5"/>
        <v>123.93278205817846</v>
      </c>
      <c r="F99">
        <f t="shared" si="6"/>
        <v>0.19633496827388949</v>
      </c>
      <c r="K99">
        <v>8</v>
      </c>
      <c r="L99">
        <v>139</v>
      </c>
      <c r="M99">
        <f t="shared" si="8"/>
        <v>139.55601634776511</v>
      </c>
      <c r="N99">
        <f t="shared" si="7"/>
        <v>2.2152694457231925E-3</v>
      </c>
    </row>
    <row r="100" spans="3:17" x14ac:dyDescent="0.25">
      <c r="C100">
        <v>7</v>
      </c>
      <c r="D100">
        <v>141</v>
      </c>
      <c r="E100">
        <f t="shared" si="5"/>
        <v>140.59288890342788</v>
      </c>
      <c r="F100">
        <f t="shared" si="6"/>
        <v>1.1788607961957572E-3</v>
      </c>
      <c r="K100">
        <v>9</v>
      </c>
      <c r="L100">
        <v>118</v>
      </c>
      <c r="M100">
        <f t="shared" si="8"/>
        <v>123.13492509084476</v>
      </c>
      <c r="N100">
        <f t="shared" si="7"/>
        <v>0.21413466300591855</v>
      </c>
    </row>
    <row r="101" spans="3:17" x14ac:dyDescent="0.25">
      <c r="C101">
        <v>8</v>
      </c>
      <c r="D101">
        <v>139</v>
      </c>
      <c r="E101">
        <f t="shared" si="5"/>
        <v>139.55601634776511</v>
      </c>
      <c r="F101">
        <f t="shared" si="6"/>
        <v>2.2152694457231925E-3</v>
      </c>
      <c r="K101">
        <v>10</v>
      </c>
      <c r="L101">
        <v>113</v>
      </c>
      <c r="M101">
        <f t="shared" si="8"/>
        <v>97.781444014639817</v>
      </c>
      <c r="N101">
        <f t="shared" si="7"/>
        <v>2.3685930251231153</v>
      </c>
    </row>
    <row r="102" spans="3:17" x14ac:dyDescent="0.25">
      <c r="C102">
        <v>9</v>
      </c>
      <c r="D102">
        <v>118</v>
      </c>
      <c r="E102">
        <f t="shared" si="5"/>
        <v>123.13492509084476</v>
      </c>
      <c r="F102">
        <f t="shared" si="6"/>
        <v>0.21413466300591855</v>
      </c>
      <c r="K102">
        <v>11</v>
      </c>
      <c r="L102">
        <v>74</v>
      </c>
      <c r="M102">
        <f t="shared" si="8"/>
        <v>70.589313356386782</v>
      </c>
      <c r="N102">
        <f t="shared" si="7"/>
        <v>0.16479524771959106</v>
      </c>
    </row>
    <row r="103" spans="3:17" x14ac:dyDescent="0.25">
      <c r="C103">
        <v>10</v>
      </c>
      <c r="D103">
        <v>113</v>
      </c>
      <c r="E103">
        <f t="shared" si="5"/>
        <v>97.781444014639817</v>
      </c>
      <c r="F103">
        <f t="shared" si="6"/>
        <v>2.3685930251231153</v>
      </c>
      <c r="K103">
        <v>12</v>
      </c>
      <c r="L103">
        <v>36</v>
      </c>
      <c r="M103">
        <f t="shared" si="8"/>
        <v>46.712478113588951</v>
      </c>
      <c r="N103">
        <f t="shared" si="7"/>
        <v>2.4566709360841785</v>
      </c>
    </row>
    <row r="104" spans="3:17" x14ac:dyDescent="0.25">
      <c r="C104">
        <v>11</v>
      </c>
      <c r="D104">
        <v>74</v>
      </c>
      <c r="E104">
        <f t="shared" si="5"/>
        <v>70.589313356386782</v>
      </c>
      <c r="F104">
        <f t="shared" si="6"/>
        <v>0.16479524771959106</v>
      </c>
      <c r="K104">
        <v>13</v>
      </c>
      <c r="L104">
        <v>29</v>
      </c>
      <c r="M104">
        <f t="shared" si="8"/>
        <v>28.534137592308458</v>
      </c>
      <c r="N104">
        <f t="shared" si="7"/>
        <v>7.6058995018886385E-3</v>
      </c>
    </row>
    <row r="105" spans="3:17" x14ac:dyDescent="0.25">
      <c r="C105">
        <v>12</v>
      </c>
      <c r="D105">
        <v>36</v>
      </c>
      <c r="E105">
        <f t="shared" si="5"/>
        <v>46.712478113588951</v>
      </c>
      <c r="F105">
        <f t="shared" si="6"/>
        <v>2.4566709360841785</v>
      </c>
      <c r="K105">
        <v>14</v>
      </c>
      <c r="L105">
        <v>11</v>
      </c>
      <c r="M105">
        <f t="shared" si="8"/>
        <v>16.184970472894392</v>
      </c>
      <c r="N105">
        <f t="shared" si="7"/>
        <v>1.6610421903339432</v>
      </c>
    </row>
    <row r="106" spans="3:17" x14ac:dyDescent="0.25">
      <c r="C106">
        <v>13</v>
      </c>
      <c r="D106">
        <v>29</v>
      </c>
      <c r="E106">
        <f t="shared" si="5"/>
        <v>28.534137592308458</v>
      </c>
      <c r="F106">
        <f t="shared" si="6"/>
        <v>7.6058995018886385E-3</v>
      </c>
      <c r="K106">
        <v>15</v>
      </c>
      <c r="L106">
        <v>10</v>
      </c>
      <c r="M106">
        <f t="shared" si="8"/>
        <v>8.5683233683502884</v>
      </c>
      <c r="N106">
        <f t="shared" si="7"/>
        <v>0.23921809314329193</v>
      </c>
    </row>
    <row r="107" spans="3:17" x14ac:dyDescent="0.25">
      <c r="C107">
        <v>14</v>
      </c>
      <c r="D107">
        <v>11</v>
      </c>
      <c r="E107">
        <f t="shared" si="5"/>
        <v>16.184970472894392</v>
      </c>
      <c r="F107">
        <f t="shared" si="6"/>
        <v>1.6610421903339432</v>
      </c>
      <c r="J107" t="s">
        <v>15</v>
      </c>
      <c r="K107">
        <v>16</v>
      </c>
      <c r="L107">
        <f>SUM(D109:D112)</f>
        <v>11</v>
      </c>
      <c r="M107">
        <f>SUM(E109:E112)</f>
        <v>7.4816397590186634</v>
      </c>
      <c r="N107">
        <f t="shared" si="7"/>
        <v>1.6545649328272301</v>
      </c>
    </row>
    <row r="108" spans="3:17" x14ac:dyDescent="0.25">
      <c r="C108">
        <v>15</v>
      </c>
      <c r="D108">
        <v>10</v>
      </c>
      <c r="E108">
        <f t="shared" si="5"/>
        <v>8.5683233683502884</v>
      </c>
      <c r="F108">
        <f t="shared" si="6"/>
        <v>0.23921809314329193</v>
      </c>
    </row>
    <row r="109" spans="3:17" x14ac:dyDescent="0.25">
      <c r="C109">
        <v>16</v>
      </c>
      <c r="D109">
        <v>2</v>
      </c>
      <c r="E109">
        <f t="shared" si="5"/>
        <v>4.252565991754353</v>
      </c>
      <c r="F109">
        <f t="shared" si="6"/>
        <v>1.1931745579132147</v>
      </c>
      <c r="G109" t="s">
        <v>14</v>
      </c>
      <c r="M109" t="s">
        <v>16</v>
      </c>
      <c r="N109">
        <f>SUM(N93:N107)</f>
        <v>11.303912093087764</v>
      </c>
    </row>
    <row r="110" spans="3:17" x14ac:dyDescent="0.25">
      <c r="C110">
        <v>17</v>
      </c>
      <c r="D110">
        <v>6</v>
      </c>
      <c r="E110">
        <f t="shared" si="5"/>
        <v>1.9864486200306657</v>
      </c>
      <c r="F110">
        <f t="shared" si="6"/>
        <v>8.109243056789996</v>
      </c>
      <c r="G110" t="s">
        <v>14</v>
      </c>
    </row>
    <row r="111" spans="3:17" x14ac:dyDescent="0.25">
      <c r="C111">
        <v>18</v>
      </c>
      <c r="D111">
        <v>2</v>
      </c>
      <c r="E111">
        <f t="shared" si="5"/>
        <v>0.87635491620352857</v>
      </c>
      <c r="F111">
        <f t="shared" si="6"/>
        <v>1.4407156860711356</v>
      </c>
      <c r="G111" t="s">
        <v>14</v>
      </c>
      <c r="K111" t="s">
        <v>19</v>
      </c>
      <c r="L111">
        <v>13</v>
      </c>
      <c r="M111" t="s">
        <v>23</v>
      </c>
      <c r="N111" t="s">
        <v>21</v>
      </c>
      <c r="O111">
        <v>22.36</v>
      </c>
      <c r="P111" t="s">
        <v>23</v>
      </c>
      <c r="Q111" t="s">
        <v>24</v>
      </c>
    </row>
    <row r="112" spans="3:17" x14ac:dyDescent="0.25">
      <c r="C112">
        <v>19</v>
      </c>
      <c r="D112">
        <v>1</v>
      </c>
      <c r="E112">
        <f t="shared" si="5"/>
        <v>0.36627023103011686</v>
      </c>
      <c r="F112">
        <f t="shared" si="6"/>
        <v>1.0964948446645624</v>
      </c>
      <c r="G112" t="s">
        <v>14</v>
      </c>
      <c r="N112" s="2">
        <v>0.05</v>
      </c>
    </row>
    <row r="113" spans="2:27" x14ac:dyDescent="0.25">
      <c r="E113">
        <f>SUM(E93:E112)</f>
        <v>999.76957916488107</v>
      </c>
    </row>
    <row r="116" spans="2:27" x14ac:dyDescent="0.25">
      <c r="D116" t="s">
        <v>29</v>
      </c>
      <c r="E116">
        <f>B144</f>
        <v>2.8666595083366144</v>
      </c>
    </row>
    <row r="118" spans="2:27" x14ac:dyDescent="0.25">
      <c r="B118" s="3" t="s">
        <v>28</v>
      </c>
      <c r="C118" t="s">
        <v>7</v>
      </c>
      <c r="D118" t="s">
        <v>8</v>
      </c>
      <c r="E118" t="s">
        <v>9</v>
      </c>
      <c r="F118" t="s">
        <v>10</v>
      </c>
      <c r="K118" t="s">
        <v>7</v>
      </c>
      <c r="L118" t="s">
        <v>8</v>
      </c>
      <c r="M118" t="s">
        <v>9</v>
      </c>
      <c r="N118" t="s">
        <v>10</v>
      </c>
      <c r="V118" t="s">
        <v>47</v>
      </c>
      <c r="X118" t="s">
        <v>7</v>
      </c>
      <c r="Y118" t="s">
        <v>8</v>
      </c>
      <c r="Z118" t="s">
        <v>48</v>
      </c>
      <c r="AA118" t="s">
        <v>49</v>
      </c>
    </row>
    <row r="119" spans="2:27" x14ac:dyDescent="0.25">
      <c r="C119">
        <v>0</v>
      </c>
      <c r="D119">
        <v>2</v>
      </c>
      <c r="E119">
        <f>1000/($E$116*SQRT(2*PI()))*EXP(-1*(C119-$D$89)^2/(2*$E$116^2))</f>
        <v>3.0007974406044489</v>
      </c>
      <c r="G119" t="s">
        <v>14</v>
      </c>
      <c r="J119" t="s">
        <v>26</v>
      </c>
      <c r="K119">
        <v>1</v>
      </c>
      <c r="L119">
        <f>SUM(D119:D120)</f>
        <v>6</v>
      </c>
      <c r="M119">
        <f>SUM(E119:E120)</f>
        <v>10.422129188682861</v>
      </c>
      <c r="N119">
        <f>(L119-M119)^2/M119</f>
        <v>1.8763178048719154</v>
      </c>
      <c r="X119">
        <v>0</v>
      </c>
      <c r="Y119">
        <v>2</v>
      </c>
      <c r="Z119">
        <f>Y119/$Y$139*100</f>
        <v>0.2</v>
      </c>
      <c r="AA119">
        <f>Z119</f>
        <v>0.2</v>
      </c>
    </row>
    <row r="120" spans="2:27" x14ac:dyDescent="0.25">
      <c r="C120">
        <v>1</v>
      </c>
      <c r="D120">
        <v>4</v>
      </c>
      <c r="E120">
        <f t="shared" ref="E120:E138" si="9">1000/($E$116*SQRT(2*PI()))*EXP(-1*(C120-$D$89)^2/(2*$E$116^2))</f>
        <v>7.4213317480784129</v>
      </c>
      <c r="K120">
        <v>2</v>
      </c>
      <c r="L120" cm="1">
        <f t="array" ref="L120:L132">D121:D133</f>
        <v>12</v>
      </c>
      <c r="M120">
        <f>E121</f>
        <v>16.250943533484111</v>
      </c>
      <c r="N120">
        <f t="shared" ref="N120:N133" si="10">(L120-M120)^2/M120</f>
        <v>1.1119674920805145</v>
      </c>
      <c r="X120">
        <v>1</v>
      </c>
      <c r="Y120">
        <v>4</v>
      </c>
      <c r="Z120">
        <f t="shared" ref="Z120:Z138" si="11">Y120/$Y$139*100</f>
        <v>0.4</v>
      </c>
      <c r="AA120">
        <f>SUM(Z119:Z120)</f>
        <v>0.60000000000000009</v>
      </c>
    </row>
    <row r="121" spans="2:27" x14ac:dyDescent="0.25">
      <c r="C121">
        <v>2</v>
      </c>
      <c r="D121">
        <v>12</v>
      </c>
      <c r="E121">
        <f t="shared" si="9"/>
        <v>16.250943533484111</v>
      </c>
      <c r="K121">
        <v>3</v>
      </c>
      <c r="L121">
        <v>31</v>
      </c>
      <c r="M121">
        <f t="shared" ref="M121:M132" si="12">E122</f>
        <v>31.508438949331296</v>
      </c>
      <c r="N121">
        <f t="shared" si="10"/>
        <v>8.2044739065880879E-3</v>
      </c>
      <c r="X121">
        <v>2</v>
      </c>
      <c r="Y121">
        <v>12</v>
      </c>
      <c r="Z121">
        <f t="shared" si="11"/>
        <v>1.2</v>
      </c>
      <c r="AA121">
        <f>SUM(Z119:Z121)</f>
        <v>1.8</v>
      </c>
    </row>
    <row r="122" spans="2:27" x14ac:dyDescent="0.25">
      <c r="C122">
        <v>3</v>
      </c>
      <c r="D122">
        <v>31</v>
      </c>
      <c r="E122">
        <f t="shared" si="9"/>
        <v>31.508438949331296</v>
      </c>
      <c r="K122">
        <v>4</v>
      </c>
      <c r="L122">
        <v>51</v>
      </c>
      <c r="M122">
        <f t="shared" si="12"/>
        <v>54.091218299710505</v>
      </c>
      <c r="N122">
        <f t="shared" si="10"/>
        <v>0.17665770668205205</v>
      </c>
      <c r="X122">
        <v>3</v>
      </c>
      <c r="Y122">
        <v>31</v>
      </c>
      <c r="Z122">
        <f t="shared" si="11"/>
        <v>3.1</v>
      </c>
      <c r="AA122">
        <f>SUM(Z119:Z122)</f>
        <v>4.9000000000000004</v>
      </c>
    </row>
    <row r="123" spans="2:27" x14ac:dyDescent="0.25">
      <c r="C123">
        <v>4</v>
      </c>
      <c r="D123">
        <v>51</v>
      </c>
      <c r="E123">
        <f t="shared" si="9"/>
        <v>54.091218299710505</v>
      </c>
      <c r="K123">
        <v>5</v>
      </c>
      <c r="L123">
        <v>99</v>
      </c>
      <c r="M123">
        <f t="shared" si="12"/>
        <v>82.220139567904155</v>
      </c>
      <c r="N123">
        <f t="shared" si="10"/>
        <v>3.4245103158463661</v>
      </c>
      <c r="X123">
        <v>4</v>
      </c>
      <c r="Y123">
        <v>51</v>
      </c>
      <c r="Z123">
        <f t="shared" si="11"/>
        <v>5.0999999999999996</v>
      </c>
      <c r="AA123">
        <f>SUM(Z119:Z123)</f>
        <v>10</v>
      </c>
    </row>
    <row r="124" spans="2:27" x14ac:dyDescent="0.25">
      <c r="C124">
        <v>5</v>
      </c>
      <c r="D124">
        <v>99</v>
      </c>
      <c r="E124">
        <f t="shared" si="9"/>
        <v>82.220139567904155</v>
      </c>
      <c r="K124">
        <v>6</v>
      </c>
      <c r="L124">
        <v>119</v>
      </c>
      <c r="M124">
        <f t="shared" si="12"/>
        <v>110.6575948234964</v>
      </c>
      <c r="N124">
        <f t="shared" si="10"/>
        <v>0.62892858135912222</v>
      </c>
      <c r="X124">
        <v>5</v>
      </c>
      <c r="Y124">
        <v>99</v>
      </c>
      <c r="Z124">
        <f t="shared" si="11"/>
        <v>9.9</v>
      </c>
      <c r="AA124">
        <f>SUM(Z119:Z124)</f>
        <v>19.899999999999999</v>
      </c>
    </row>
    <row r="125" spans="2:27" x14ac:dyDescent="0.25">
      <c r="C125">
        <v>6</v>
      </c>
      <c r="D125">
        <v>119</v>
      </c>
      <c r="E125">
        <f t="shared" si="9"/>
        <v>110.6575948234964</v>
      </c>
      <c r="K125">
        <v>7</v>
      </c>
      <c r="L125">
        <v>141</v>
      </c>
      <c r="M125">
        <f t="shared" si="12"/>
        <v>131.8669051393328</v>
      </c>
      <c r="N125">
        <f t="shared" si="10"/>
        <v>0.63255766597244079</v>
      </c>
      <c r="X125">
        <v>6</v>
      </c>
      <c r="Y125">
        <v>119</v>
      </c>
      <c r="Z125">
        <f t="shared" si="11"/>
        <v>11.899999999999999</v>
      </c>
      <c r="AA125">
        <f>SUM(Z119:Z125)</f>
        <v>31.799999999999997</v>
      </c>
    </row>
    <row r="126" spans="2:27" x14ac:dyDescent="0.25">
      <c r="C126">
        <v>7</v>
      </c>
      <c r="D126">
        <v>141</v>
      </c>
      <c r="E126">
        <f t="shared" si="9"/>
        <v>131.8669051393328</v>
      </c>
      <c r="K126">
        <v>8</v>
      </c>
      <c r="L126">
        <v>139</v>
      </c>
      <c r="M126">
        <f t="shared" si="12"/>
        <v>139.13678726813885</v>
      </c>
      <c r="N126">
        <f t="shared" si="10"/>
        <v>1.3447742392405537E-4</v>
      </c>
      <c r="X126">
        <v>7</v>
      </c>
      <c r="Y126">
        <v>141</v>
      </c>
      <c r="Z126">
        <f t="shared" si="11"/>
        <v>14.099999999999998</v>
      </c>
      <c r="AA126">
        <f>SUM(Z119:Z126)</f>
        <v>45.899999999999991</v>
      </c>
    </row>
    <row r="127" spans="2:27" x14ac:dyDescent="0.25">
      <c r="C127">
        <v>8</v>
      </c>
      <c r="D127">
        <v>139</v>
      </c>
      <c r="E127">
        <f t="shared" si="9"/>
        <v>139.13678726813885</v>
      </c>
      <c r="K127">
        <v>9</v>
      </c>
      <c r="L127">
        <v>118</v>
      </c>
      <c r="M127">
        <f t="shared" si="12"/>
        <v>129.98693361760388</v>
      </c>
      <c r="N127">
        <f t="shared" si="10"/>
        <v>1.1053924694888169</v>
      </c>
      <c r="X127">
        <v>8</v>
      </c>
      <c r="Y127">
        <v>139</v>
      </c>
      <c r="Z127">
        <f t="shared" si="11"/>
        <v>13.900000000000002</v>
      </c>
      <c r="AA127">
        <f>SUM(Z119:Z127)</f>
        <v>59.8</v>
      </c>
    </row>
    <row r="128" spans="2:27" x14ac:dyDescent="0.25">
      <c r="C128">
        <v>9</v>
      </c>
      <c r="D128">
        <v>118</v>
      </c>
      <c r="E128">
        <f t="shared" si="9"/>
        <v>129.98693361760388</v>
      </c>
      <c r="K128">
        <v>10</v>
      </c>
      <c r="L128">
        <v>113</v>
      </c>
      <c r="M128">
        <f t="shared" si="12"/>
        <v>107.52488755463182</v>
      </c>
      <c r="N128">
        <f t="shared" si="10"/>
        <v>0.27878993385782208</v>
      </c>
      <c r="X128">
        <v>9</v>
      </c>
      <c r="Y128">
        <v>118</v>
      </c>
      <c r="Z128">
        <f t="shared" si="11"/>
        <v>11.799999999999999</v>
      </c>
      <c r="AA128">
        <f>SUM(Z119:Z128)</f>
        <v>71.599999999999994</v>
      </c>
    </row>
    <row r="129" spans="1:27" x14ac:dyDescent="0.25">
      <c r="C129">
        <v>10</v>
      </c>
      <c r="D129">
        <v>113</v>
      </c>
      <c r="E129">
        <f t="shared" si="9"/>
        <v>107.52488755463182</v>
      </c>
      <c r="K129">
        <v>11</v>
      </c>
      <c r="L129">
        <v>74</v>
      </c>
      <c r="M129">
        <f t="shared" si="12"/>
        <v>78.753500280356178</v>
      </c>
      <c r="N129">
        <f t="shared" si="10"/>
        <v>0.28691759521681126</v>
      </c>
      <c r="X129">
        <v>10</v>
      </c>
      <c r="Y129">
        <v>113</v>
      </c>
      <c r="Z129">
        <f t="shared" si="11"/>
        <v>11.3</v>
      </c>
      <c r="AA129">
        <f>SUM(Z119:Z129)</f>
        <v>82.899999999999991</v>
      </c>
    </row>
    <row r="130" spans="1:27" x14ac:dyDescent="0.25">
      <c r="C130">
        <v>11</v>
      </c>
      <c r="D130">
        <v>74</v>
      </c>
      <c r="E130">
        <f t="shared" si="9"/>
        <v>78.753500280356178</v>
      </c>
      <c r="K130">
        <v>12</v>
      </c>
      <c r="L130">
        <v>36</v>
      </c>
      <c r="M130">
        <f t="shared" si="12"/>
        <v>51.071934034592054</v>
      </c>
      <c r="N130">
        <f t="shared" si="10"/>
        <v>4.4479066602261845</v>
      </c>
      <c r="X130">
        <v>11</v>
      </c>
      <c r="Y130">
        <v>74</v>
      </c>
      <c r="Z130">
        <f t="shared" si="11"/>
        <v>7.3999999999999995</v>
      </c>
      <c r="AA130">
        <f>SUM(Z119:Z130)</f>
        <v>90.3</v>
      </c>
    </row>
    <row r="131" spans="1:27" x14ac:dyDescent="0.25">
      <c r="C131">
        <v>12</v>
      </c>
      <c r="D131">
        <v>36</v>
      </c>
      <c r="E131">
        <f t="shared" si="9"/>
        <v>51.071934034592054</v>
      </c>
      <c r="K131">
        <v>13</v>
      </c>
      <c r="L131">
        <v>29</v>
      </c>
      <c r="M131">
        <f t="shared" si="12"/>
        <v>29.325559961348223</v>
      </c>
      <c r="N131">
        <f t="shared" si="10"/>
        <v>3.614228972021421E-3</v>
      </c>
      <c r="X131">
        <v>12</v>
      </c>
      <c r="Y131">
        <v>36</v>
      </c>
      <c r="Z131">
        <f t="shared" si="11"/>
        <v>3.5999999999999996</v>
      </c>
      <c r="AA131">
        <f>SUM(Z119:Z131)</f>
        <v>93.899999999999991</v>
      </c>
    </row>
    <row r="132" spans="1:27" x14ac:dyDescent="0.25">
      <c r="C132">
        <v>13</v>
      </c>
      <c r="D132">
        <v>29</v>
      </c>
      <c r="E132">
        <f t="shared" si="9"/>
        <v>29.325559961348223</v>
      </c>
      <c r="K132">
        <v>14</v>
      </c>
      <c r="L132">
        <v>11</v>
      </c>
      <c r="M132">
        <f t="shared" si="12"/>
        <v>14.909459275308425</v>
      </c>
      <c r="N132">
        <f t="shared" si="10"/>
        <v>1.0251124164245657</v>
      </c>
      <c r="X132">
        <v>13</v>
      </c>
      <c r="Y132">
        <v>29</v>
      </c>
      <c r="Z132">
        <f t="shared" si="11"/>
        <v>2.9000000000000004</v>
      </c>
      <c r="AA132">
        <f>SUM(Z119:Z132)</f>
        <v>96.8</v>
      </c>
    </row>
    <row r="133" spans="1:27" x14ac:dyDescent="0.25">
      <c r="C133">
        <v>14</v>
      </c>
      <c r="D133">
        <v>11</v>
      </c>
      <c r="E133">
        <f t="shared" si="9"/>
        <v>14.909459275308425</v>
      </c>
      <c r="J133" t="s">
        <v>15</v>
      </c>
      <c r="K133">
        <v>15</v>
      </c>
      <c r="L133">
        <f>SUM(D134:D138)</f>
        <v>21</v>
      </c>
      <c r="M133">
        <f>SUM(E134:E138)</f>
        <v>10.7075291313436</v>
      </c>
      <c r="N133">
        <f t="shared" si="10"/>
        <v>9.8935015989863313</v>
      </c>
      <c r="X133">
        <v>14</v>
      </c>
      <c r="Y133">
        <v>11</v>
      </c>
      <c r="Z133">
        <f t="shared" si="11"/>
        <v>1.0999999999999999</v>
      </c>
      <c r="AA133">
        <f>SUM(Z119:Z133)</f>
        <v>97.899999999999991</v>
      </c>
    </row>
    <row r="134" spans="1:27" x14ac:dyDescent="0.25">
      <c r="C134">
        <v>15</v>
      </c>
      <c r="D134">
        <v>10</v>
      </c>
      <c r="E134">
        <f t="shared" si="9"/>
        <v>6.7116460154879567</v>
      </c>
      <c r="L134">
        <f>SUM(L119:L133)</f>
        <v>1000</v>
      </c>
      <c r="M134">
        <f>SUM(M119:M133)</f>
        <v>998.43396062526517</v>
      </c>
      <c r="N134">
        <f>SUM(N119:N133)</f>
        <v>24.90051342131548</v>
      </c>
      <c r="X134">
        <v>15</v>
      </c>
      <c r="Y134">
        <v>10</v>
      </c>
      <c r="Z134">
        <f t="shared" si="11"/>
        <v>1</v>
      </c>
      <c r="AA134">
        <f>SUM(Z119:Z134)</f>
        <v>98.899999999999991</v>
      </c>
    </row>
    <row r="135" spans="1:27" x14ac:dyDescent="0.25">
      <c r="C135">
        <v>16</v>
      </c>
      <c r="D135">
        <v>2</v>
      </c>
      <c r="E135">
        <f t="shared" si="9"/>
        <v>2.6751476869792379</v>
      </c>
      <c r="G135" t="s">
        <v>14</v>
      </c>
      <c r="N135" t="s">
        <v>16</v>
      </c>
      <c r="X135">
        <v>16</v>
      </c>
      <c r="Y135">
        <v>2</v>
      </c>
      <c r="Z135">
        <f t="shared" si="11"/>
        <v>0.2</v>
      </c>
      <c r="AA135">
        <f>SUM(Z119:Z135)</f>
        <v>99.1</v>
      </c>
    </row>
    <row r="136" spans="1:27" x14ac:dyDescent="0.25">
      <c r="C136">
        <v>17</v>
      </c>
      <c r="D136">
        <v>6</v>
      </c>
      <c r="E136">
        <f t="shared" si="9"/>
        <v>0.94410012180280756</v>
      </c>
      <c r="G136" t="s">
        <v>14</v>
      </c>
      <c r="X136">
        <v>17</v>
      </c>
      <c r="Y136">
        <v>6</v>
      </c>
      <c r="Z136">
        <f t="shared" si="11"/>
        <v>0.6</v>
      </c>
      <c r="AA136">
        <f>SUM(Z119:Z136)</f>
        <v>99.699999999999989</v>
      </c>
    </row>
    <row r="137" spans="1:27" x14ac:dyDescent="0.25">
      <c r="C137">
        <v>18</v>
      </c>
      <c r="D137">
        <v>2</v>
      </c>
      <c r="E137">
        <f t="shared" si="9"/>
        <v>0.29501215807061965</v>
      </c>
      <c r="G137" t="s">
        <v>14</v>
      </c>
      <c r="L137" t="s">
        <v>19</v>
      </c>
      <c r="M137">
        <v>12</v>
      </c>
      <c r="N137" t="s">
        <v>23</v>
      </c>
      <c r="O137" t="s">
        <v>21</v>
      </c>
      <c r="P137">
        <v>21.03</v>
      </c>
      <c r="Q137" t="s">
        <v>33</v>
      </c>
      <c r="R137" t="s">
        <v>34</v>
      </c>
      <c r="X137">
        <v>18</v>
      </c>
      <c r="Y137">
        <v>2</v>
      </c>
      <c r="Z137">
        <f t="shared" si="11"/>
        <v>0.2</v>
      </c>
      <c r="AA137">
        <f>SUM(Z119:Z137)</f>
        <v>99.899999999999991</v>
      </c>
    </row>
    <row r="138" spans="1:27" x14ac:dyDescent="0.25">
      <c r="C138">
        <v>19</v>
      </c>
      <c r="D138">
        <v>1</v>
      </c>
      <c r="E138">
        <f t="shared" si="9"/>
        <v>8.1623149002977805E-2</v>
      </c>
      <c r="G138" t="s">
        <v>14</v>
      </c>
      <c r="O138" s="2">
        <v>0.05</v>
      </c>
      <c r="X138">
        <v>19</v>
      </c>
      <c r="Y138">
        <v>1</v>
      </c>
      <c r="Z138">
        <f t="shared" si="11"/>
        <v>0.1</v>
      </c>
      <c r="AA138">
        <f>SUM(Z119:Z138)</f>
        <v>99.999999999999986</v>
      </c>
    </row>
    <row r="139" spans="1:27" x14ac:dyDescent="0.25">
      <c r="B139" t="s">
        <v>32</v>
      </c>
      <c r="D139">
        <f>SUM(D119:D138)</f>
        <v>1000</v>
      </c>
      <c r="E139">
        <f>SUM(E119:E138)</f>
        <v>998.43396062526529</v>
      </c>
      <c r="W139" t="s">
        <v>32</v>
      </c>
      <c r="Y139">
        <f>SUM(Y119:Y138)</f>
        <v>1000</v>
      </c>
      <c r="Z139">
        <f>SUM(Z119:Z138)</f>
        <v>99.999999999999986</v>
      </c>
    </row>
    <row r="141" spans="1:27" x14ac:dyDescent="0.25">
      <c r="E141" t="s">
        <v>31</v>
      </c>
    </row>
    <row r="142" spans="1:27" x14ac:dyDescent="0.25">
      <c r="A142" t="s">
        <v>12</v>
      </c>
      <c r="B142">
        <f>AVERAGE(C142:C1141)</f>
        <v>7.9409999999999998</v>
      </c>
      <c r="C142">
        <v>15</v>
      </c>
      <c r="E142">
        <f>(C142-$B$142)^2</f>
        <v>49.829481000000001</v>
      </c>
      <c r="H142" s="3" t="s">
        <v>35</v>
      </c>
      <c r="M142" s="3" t="s">
        <v>38</v>
      </c>
      <c r="O142" t="s">
        <v>41</v>
      </c>
      <c r="P142">
        <v>60</v>
      </c>
    </row>
    <row r="143" spans="1:27" x14ac:dyDescent="0.25">
      <c r="C143">
        <v>9</v>
      </c>
      <c r="E143">
        <f t="shared" ref="E143:E206" si="13">(C143-$B$142)^2</f>
        <v>1.1214810000000004</v>
      </c>
    </row>
    <row r="144" spans="1:27" x14ac:dyDescent="0.25">
      <c r="A144" t="s">
        <v>30</v>
      </c>
      <c r="B144">
        <f>SQRT((SUM(E142:E1141))/999)</f>
        <v>2.8666595083366144</v>
      </c>
      <c r="C144">
        <v>12</v>
      </c>
      <c r="E144">
        <f t="shared" si="13"/>
        <v>16.475481000000002</v>
      </c>
      <c r="M144" t="s">
        <v>39</v>
      </c>
      <c r="N144" t="s">
        <v>40</v>
      </c>
      <c r="O144" t="s">
        <v>3</v>
      </c>
      <c r="P144" t="s">
        <v>42</v>
      </c>
      <c r="R144" t="s">
        <v>45</v>
      </c>
      <c r="S144" t="s">
        <v>40</v>
      </c>
      <c r="T144" t="s">
        <v>46</v>
      </c>
      <c r="U144" t="s">
        <v>42</v>
      </c>
    </row>
    <row r="145" spans="3:21" x14ac:dyDescent="0.25">
      <c r="C145">
        <v>8</v>
      </c>
      <c r="E145">
        <f t="shared" si="13"/>
        <v>3.4810000000000192E-3</v>
      </c>
      <c r="H145" t="s">
        <v>36</v>
      </c>
      <c r="I145" t="s">
        <v>3</v>
      </c>
      <c r="J145" t="s">
        <v>37</v>
      </c>
      <c r="N145">
        <v>1</v>
      </c>
      <c r="O145">
        <v>30</v>
      </c>
      <c r="P145">
        <f>(O145-$O$151)^2</f>
        <v>49</v>
      </c>
      <c r="S145">
        <v>1</v>
      </c>
      <c r="T145">
        <v>14</v>
      </c>
      <c r="U145">
        <f>(T145-$T$151)^2</f>
        <v>21.160000000000014</v>
      </c>
    </row>
    <row r="146" spans="3:21" x14ac:dyDescent="0.25">
      <c r="C146">
        <v>5</v>
      </c>
      <c r="E146">
        <f t="shared" si="13"/>
        <v>8.6494809999999998</v>
      </c>
      <c r="H146">
        <v>10</v>
      </c>
      <c r="I146">
        <v>1180</v>
      </c>
      <c r="J146">
        <f>SQRT(I146)</f>
        <v>34.351128074635334</v>
      </c>
      <c r="N146">
        <v>2</v>
      </c>
      <c r="O146">
        <v>38</v>
      </c>
      <c r="P146">
        <f t="shared" ref="P146:P149" si="14">(O146-$O$151)^2</f>
        <v>1</v>
      </c>
      <c r="S146">
        <v>2</v>
      </c>
      <c r="T146">
        <v>18</v>
      </c>
      <c r="U146">
        <f t="shared" ref="U146:U149" si="15">(T146-$T$151)^2</f>
        <v>0.36000000000000171</v>
      </c>
    </row>
    <row r="147" spans="3:21" x14ac:dyDescent="0.25">
      <c r="C147">
        <v>10</v>
      </c>
      <c r="E147">
        <f t="shared" si="13"/>
        <v>4.2394810000000005</v>
      </c>
      <c r="H147">
        <v>20</v>
      </c>
      <c r="I147">
        <v>1120</v>
      </c>
      <c r="J147">
        <f t="shared" ref="J147:J210" si="16">SQRT(I147)</f>
        <v>33.466401061363023</v>
      </c>
      <c r="N147">
        <v>3</v>
      </c>
      <c r="O147">
        <v>35</v>
      </c>
      <c r="P147">
        <f t="shared" si="14"/>
        <v>4</v>
      </c>
      <c r="S147">
        <v>3</v>
      </c>
      <c r="T147">
        <v>27</v>
      </c>
      <c r="U147">
        <f t="shared" si="15"/>
        <v>70.559999999999974</v>
      </c>
    </row>
    <row r="148" spans="3:21" x14ac:dyDescent="0.25">
      <c r="C148">
        <v>5</v>
      </c>
      <c r="E148">
        <f t="shared" si="13"/>
        <v>8.6494809999999998</v>
      </c>
      <c r="H148">
        <v>30</v>
      </c>
      <c r="I148">
        <v>1010</v>
      </c>
      <c r="J148">
        <f t="shared" si="16"/>
        <v>31.780497164141408</v>
      </c>
      <c r="N148">
        <v>4</v>
      </c>
      <c r="O148">
        <v>46</v>
      </c>
      <c r="P148">
        <f t="shared" si="14"/>
        <v>81</v>
      </c>
      <c r="S148">
        <v>4</v>
      </c>
      <c r="T148">
        <v>18</v>
      </c>
      <c r="U148">
        <f t="shared" si="15"/>
        <v>0.36000000000000171</v>
      </c>
    </row>
    <row r="149" spans="3:21" x14ac:dyDescent="0.25">
      <c r="C149">
        <v>11</v>
      </c>
      <c r="E149">
        <f t="shared" si="13"/>
        <v>9.3574810000000017</v>
      </c>
      <c r="H149">
        <v>40</v>
      </c>
      <c r="I149">
        <v>1034</v>
      </c>
      <c r="J149">
        <f t="shared" si="16"/>
        <v>32.155870381627054</v>
      </c>
      <c r="N149">
        <v>5</v>
      </c>
      <c r="O149">
        <v>36</v>
      </c>
      <c r="P149">
        <f t="shared" si="14"/>
        <v>1</v>
      </c>
      <c r="S149">
        <v>5</v>
      </c>
      <c r="T149">
        <v>16</v>
      </c>
      <c r="U149">
        <f t="shared" si="15"/>
        <v>6.7600000000000078</v>
      </c>
    </row>
    <row r="150" spans="3:21" x14ac:dyDescent="0.25">
      <c r="C150">
        <v>8</v>
      </c>
      <c r="E150">
        <f t="shared" si="13"/>
        <v>3.4810000000000192E-3</v>
      </c>
      <c r="H150">
        <v>50</v>
      </c>
      <c r="I150">
        <v>974</v>
      </c>
      <c r="J150">
        <f t="shared" si="16"/>
        <v>31.208973068654469</v>
      </c>
      <c r="N150" t="s">
        <v>32</v>
      </c>
      <c r="O150">
        <f>SUM(O145:O149)</f>
        <v>185</v>
      </c>
      <c r="P150" t="s">
        <v>43</v>
      </c>
      <c r="S150" t="s">
        <v>32</v>
      </c>
      <c r="T150">
        <f>SUM(T145:T149)</f>
        <v>93</v>
      </c>
      <c r="U150" t="s">
        <v>43</v>
      </c>
    </row>
    <row r="151" spans="3:21" x14ac:dyDescent="0.25">
      <c r="C151">
        <v>7</v>
      </c>
      <c r="E151">
        <f t="shared" si="13"/>
        <v>0.88548099999999974</v>
      </c>
      <c r="H151">
        <v>60</v>
      </c>
      <c r="I151">
        <v>940</v>
      </c>
      <c r="J151">
        <f t="shared" si="16"/>
        <v>30.659419433511783</v>
      </c>
      <c r="N151" t="s">
        <v>12</v>
      </c>
      <c r="O151">
        <f>AVERAGE(O145:O149)</f>
        <v>37</v>
      </c>
      <c r="P151">
        <f>SQRT(1/(5*4)*SUM(P145:P149))</f>
        <v>2.6076809620810595</v>
      </c>
      <c r="S151" t="s">
        <v>12</v>
      </c>
      <c r="T151">
        <f>AVERAGE(T145:T149)</f>
        <v>18.600000000000001</v>
      </c>
      <c r="U151">
        <f>SQRT(1/(5*4)*SUM(U145:U149))</f>
        <v>2.2271057451320089</v>
      </c>
    </row>
    <row r="152" spans="3:21" x14ac:dyDescent="0.25">
      <c r="C152">
        <v>5</v>
      </c>
      <c r="E152">
        <f t="shared" si="13"/>
        <v>8.6494809999999998</v>
      </c>
      <c r="H152">
        <v>70</v>
      </c>
      <c r="I152">
        <v>892</v>
      </c>
      <c r="J152">
        <f t="shared" si="16"/>
        <v>29.866369046136157</v>
      </c>
    </row>
    <row r="153" spans="3:21" x14ac:dyDescent="0.25">
      <c r="C153">
        <v>4</v>
      </c>
      <c r="E153">
        <f t="shared" si="13"/>
        <v>15.531480999999999</v>
      </c>
      <c r="H153">
        <v>80</v>
      </c>
      <c r="I153">
        <v>861</v>
      </c>
      <c r="J153">
        <f t="shared" si="16"/>
        <v>29.34280150224242</v>
      </c>
    </row>
    <row r="154" spans="3:21" x14ac:dyDescent="0.25">
      <c r="C154">
        <v>3</v>
      </c>
      <c r="E154">
        <f t="shared" si="13"/>
        <v>24.413480999999997</v>
      </c>
      <c r="H154">
        <v>90</v>
      </c>
      <c r="I154">
        <v>851</v>
      </c>
      <c r="J154">
        <f t="shared" si="16"/>
        <v>29.171904291629644</v>
      </c>
      <c r="N154" t="s">
        <v>44</v>
      </c>
      <c r="O154">
        <f>O151/P142</f>
        <v>0.6166666666666667</v>
      </c>
      <c r="P154">
        <f>P151/P142</f>
        <v>4.3461349368017661E-2</v>
      </c>
      <c r="S154" t="s">
        <v>44</v>
      </c>
      <c r="T154">
        <f>T151/P142</f>
        <v>0.31</v>
      </c>
      <c r="U154">
        <f>U151/P142</f>
        <v>3.7118429085533484E-2</v>
      </c>
    </row>
    <row r="155" spans="3:21" x14ac:dyDescent="0.25">
      <c r="C155">
        <v>9</v>
      </c>
      <c r="E155">
        <f t="shared" si="13"/>
        <v>1.1214810000000004</v>
      </c>
      <c r="H155">
        <v>100</v>
      </c>
      <c r="I155">
        <v>758</v>
      </c>
      <c r="J155">
        <f t="shared" si="16"/>
        <v>27.531799795872409</v>
      </c>
    </row>
    <row r="156" spans="3:21" x14ac:dyDescent="0.25">
      <c r="C156">
        <v>9</v>
      </c>
      <c r="E156">
        <f t="shared" si="13"/>
        <v>1.1214810000000004</v>
      </c>
      <c r="H156">
        <v>110</v>
      </c>
      <c r="I156">
        <v>701</v>
      </c>
      <c r="J156">
        <f t="shared" si="16"/>
        <v>26.476404589747453</v>
      </c>
    </row>
    <row r="157" spans="3:21" x14ac:dyDescent="0.25">
      <c r="C157">
        <v>7</v>
      </c>
      <c r="E157">
        <f t="shared" si="13"/>
        <v>0.88548099999999974</v>
      </c>
      <c r="H157">
        <v>120</v>
      </c>
      <c r="I157">
        <v>694</v>
      </c>
      <c r="J157">
        <f t="shared" si="16"/>
        <v>26.343879744638983</v>
      </c>
    </row>
    <row r="158" spans="3:21" x14ac:dyDescent="0.25">
      <c r="C158">
        <v>8</v>
      </c>
      <c r="E158">
        <f t="shared" si="13"/>
        <v>3.4810000000000192E-3</v>
      </c>
      <c r="H158">
        <v>130</v>
      </c>
      <c r="I158">
        <v>710</v>
      </c>
      <c r="J158">
        <f t="shared" si="16"/>
        <v>26.645825188948457</v>
      </c>
    </row>
    <row r="159" spans="3:21" x14ac:dyDescent="0.25">
      <c r="C159">
        <v>10</v>
      </c>
      <c r="E159">
        <f t="shared" si="13"/>
        <v>4.2394810000000005</v>
      </c>
      <c r="H159">
        <v>140</v>
      </c>
      <c r="I159">
        <v>632</v>
      </c>
      <c r="J159">
        <f t="shared" si="16"/>
        <v>25.13961017995307</v>
      </c>
    </row>
    <row r="160" spans="3:21" x14ac:dyDescent="0.25">
      <c r="C160">
        <v>13</v>
      </c>
      <c r="E160">
        <f t="shared" si="13"/>
        <v>25.593481000000001</v>
      </c>
      <c r="H160">
        <v>150</v>
      </c>
      <c r="I160">
        <v>672</v>
      </c>
      <c r="J160">
        <f t="shared" si="16"/>
        <v>25.922962793631442</v>
      </c>
    </row>
    <row r="161" spans="3:10" x14ac:dyDescent="0.25">
      <c r="C161">
        <v>8</v>
      </c>
      <c r="E161">
        <f t="shared" si="13"/>
        <v>3.4810000000000192E-3</v>
      </c>
      <c r="H161">
        <v>160</v>
      </c>
      <c r="I161">
        <v>589</v>
      </c>
      <c r="J161">
        <f t="shared" si="16"/>
        <v>24.269322199023193</v>
      </c>
    </row>
    <row r="162" spans="3:10" x14ac:dyDescent="0.25">
      <c r="C162">
        <v>12</v>
      </c>
      <c r="E162">
        <f t="shared" si="13"/>
        <v>16.475481000000002</v>
      </c>
      <c r="H162">
        <v>170</v>
      </c>
      <c r="I162">
        <v>562</v>
      </c>
      <c r="J162">
        <f t="shared" si="16"/>
        <v>23.706539182259394</v>
      </c>
    </row>
    <row r="163" spans="3:10" x14ac:dyDescent="0.25">
      <c r="C163">
        <v>9</v>
      </c>
      <c r="E163">
        <f t="shared" si="13"/>
        <v>1.1214810000000004</v>
      </c>
      <c r="H163">
        <v>180</v>
      </c>
      <c r="I163">
        <v>553</v>
      </c>
      <c r="J163">
        <f t="shared" si="16"/>
        <v>23.515952032609693</v>
      </c>
    </row>
    <row r="164" spans="3:10" x14ac:dyDescent="0.25">
      <c r="C164">
        <v>10</v>
      </c>
      <c r="E164">
        <f t="shared" si="13"/>
        <v>4.2394810000000005</v>
      </c>
      <c r="H164">
        <v>190</v>
      </c>
      <c r="I164">
        <v>543</v>
      </c>
      <c r="J164">
        <f t="shared" si="16"/>
        <v>23.302360395462088</v>
      </c>
    </row>
    <row r="165" spans="3:10" x14ac:dyDescent="0.25">
      <c r="C165">
        <v>5</v>
      </c>
      <c r="E165">
        <f t="shared" si="13"/>
        <v>8.6494809999999998</v>
      </c>
      <c r="H165">
        <v>200</v>
      </c>
      <c r="I165">
        <v>494</v>
      </c>
      <c r="J165">
        <f t="shared" si="16"/>
        <v>22.22611077089287</v>
      </c>
    </row>
    <row r="166" spans="3:10" x14ac:dyDescent="0.25">
      <c r="C166">
        <v>11</v>
      </c>
      <c r="E166">
        <f t="shared" si="13"/>
        <v>9.3574810000000017</v>
      </c>
      <c r="H166">
        <v>210</v>
      </c>
      <c r="I166">
        <v>468</v>
      </c>
      <c r="J166">
        <f t="shared" si="16"/>
        <v>21.633307652783937</v>
      </c>
    </row>
    <row r="167" spans="3:10" x14ac:dyDescent="0.25">
      <c r="C167">
        <v>7</v>
      </c>
      <c r="E167">
        <f t="shared" si="13"/>
        <v>0.88548099999999974</v>
      </c>
      <c r="H167">
        <v>220</v>
      </c>
      <c r="I167">
        <v>467</v>
      </c>
      <c r="J167">
        <f t="shared" si="16"/>
        <v>21.61018278497431</v>
      </c>
    </row>
    <row r="168" spans="3:10" x14ac:dyDescent="0.25">
      <c r="C168">
        <v>6</v>
      </c>
      <c r="E168">
        <f t="shared" si="13"/>
        <v>3.7674809999999992</v>
      </c>
      <c r="H168">
        <v>230</v>
      </c>
      <c r="I168">
        <v>449</v>
      </c>
      <c r="J168">
        <f t="shared" si="16"/>
        <v>21.189620100417091</v>
      </c>
    </row>
    <row r="169" spans="3:10" x14ac:dyDescent="0.25">
      <c r="C169">
        <v>8</v>
      </c>
      <c r="E169">
        <f t="shared" si="13"/>
        <v>3.4810000000000192E-3</v>
      </c>
      <c r="H169">
        <v>240</v>
      </c>
      <c r="I169">
        <v>439</v>
      </c>
      <c r="J169">
        <f t="shared" si="16"/>
        <v>20.952326839756964</v>
      </c>
    </row>
    <row r="170" spans="3:10" x14ac:dyDescent="0.25">
      <c r="C170">
        <v>10</v>
      </c>
      <c r="E170">
        <f t="shared" si="13"/>
        <v>4.2394810000000005</v>
      </c>
      <c r="H170">
        <v>250</v>
      </c>
      <c r="I170">
        <v>415</v>
      </c>
      <c r="J170">
        <f t="shared" si="16"/>
        <v>20.371548787463361</v>
      </c>
    </row>
    <row r="171" spans="3:10" x14ac:dyDescent="0.25">
      <c r="C171">
        <v>10</v>
      </c>
      <c r="E171">
        <f t="shared" si="13"/>
        <v>4.2394810000000005</v>
      </c>
      <c r="H171">
        <v>260</v>
      </c>
      <c r="I171">
        <v>384</v>
      </c>
      <c r="J171">
        <f t="shared" si="16"/>
        <v>19.595917942265423</v>
      </c>
    </row>
    <row r="172" spans="3:10" x14ac:dyDescent="0.25">
      <c r="C172">
        <v>5</v>
      </c>
      <c r="E172">
        <f t="shared" si="13"/>
        <v>8.6494809999999998</v>
      </c>
      <c r="H172">
        <v>270</v>
      </c>
      <c r="I172">
        <v>347</v>
      </c>
      <c r="J172">
        <f t="shared" si="16"/>
        <v>18.627936010197157</v>
      </c>
    </row>
    <row r="173" spans="3:10" x14ac:dyDescent="0.25">
      <c r="C173">
        <v>15</v>
      </c>
      <c r="E173">
        <f t="shared" si="13"/>
        <v>49.829481000000001</v>
      </c>
      <c r="H173">
        <v>280</v>
      </c>
      <c r="I173">
        <v>344</v>
      </c>
      <c r="J173">
        <f t="shared" si="16"/>
        <v>18.547236990991408</v>
      </c>
    </row>
    <row r="174" spans="3:10" x14ac:dyDescent="0.25">
      <c r="C174">
        <v>6</v>
      </c>
      <c r="E174">
        <f t="shared" si="13"/>
        <v>3.7674809999999992</v>
      </c>
      <c r="H174">
        <v>290</v>
      </c>
      <c r="I174">
        <v>339</v>
      </c>
      <c r="J174">
        <f t="shared" si="16"/>
        <v>18.411952639521967</v>
      </c>
    </row>
    <row r="175" spans="3:10" x14ac:dyDescent="0.25">
      <c r="C175">
        <v>3</v>
      </c>
      <c r="E175">
        <f t="shared" si="13"/>
        <v>24.413480999999997</v>
      </c>
      <c r="H175">
        <v>300</v>
      </c>
      <c r="I175">
        <v>298</v>
      </c>
      <c r="J175">
        <f t="shared" si="16"/>
        <v>17.262676501632068</v>
      </c>
    </row>
    <row r="176" spans="3:10" x14ac:dyDescent="0.25">
      <c r="C176">
        <v>8</v>
      </c>
      <c r="E176">
        <f t="shared" si="13"/>
        <v>3.4810000000000192E-3</v>
      </c>
      <c r="H176">
        <v>310</v>
      </c>
      <c r="I176">
        <v>297</v>
      </c>
      <c r="J176">
        <f t="shared" si="16"/>
        <v>17.233687939614086</v>
      </c>
    </row>
    <row r="177" spans="3:10" x14ac:dyDescent="0.25">
      <c r="C177">
        <v>8</v>
      </c>
      <c r="E177">
        <f t="shared" si="13"/>
        <v>3.4810000000000192E-3</v>
      </c>
      <c r="H177">
        <v>320</v>
      </c>
      <c r="I177">
        <v>298</v>
      </c>
      <c r="J177">
        <f t="shared" si="16"/>
        <v>17.262676501632068</v>
      </c>
    </row>
    <row r="178" spans="3:10" x14ac:dyDescent="0.25">
      <c r="C178">
        <v>2</v>
      </c>
      <c r="E178">
        <f t="shared" si="13"/>
        <v>35.295480999999995</v>
      </c>
      <c r="H178">
        <v>330</v>
      </c>
      <c r="I178">
        <v>284</v>
      </c>
      <c r="J178">
        <f t="shared" si="16"/>
        <v>16.852299546352718</v>
      </c>
    </row>
    <row r="179" spans="3:10" x14ac:dyDescent="0.25">
      <c r="C179">
        <v>8</v>
      </c>
      <c r="E179">
        <f t="shared" si="13"/>
        <v>3.4810000000000192E-3</v>
      </c>
      <c r="H179">
        <v>340</v>
      </c>
      <c r="I179">
        <v>268</v>
      </c>
      <c r="J179">
        <f t="shared" si="16"/>
        <v>16.370705543744901</v>
      </c>
    </row>
    <row r="180" spans="3:10" x14ac:dyDescent="0.25">
      <c r="C180">
        <v>14</v>
      </c>
      <c r="E180">
        <f t="shared" si="13"/>
        <v>36.711480999999999</v>
      </c>
      <c r="H180">
        <v>350</v>
      </c>
      <c r="I180">
        <v>263</v>
      </c>
      <c r="J180">
        <f t="shared" si="16"/>
        <v>16.217274740226856</v>
      </c>
    </row>
    <row r="181" spans="3:10" x14ac:dyDescent="0.25">
      <c r="C181">
        <v>10</v>
      </c>
      <c r="E181">
        <f t="shared" si="13"/>
        <v>4.2394810000000005</v>
      </c>
      <c r="H181">
        <v>360</v>
      </c>
      <c r="I181">
        <v>244</v>
      </c>
      <c r="J181">
        <f t="shared" si="16"/>
        <v>15.620499351813308</v>
      </c>
    </row>
    <row r="182" spans="3:10" x14ac:dyDescent="0.25">
      <c r="C182">
        <v>9</v>
      </c>
      <c r="E182">
        <f t="shared" si="13"/>
        <v>1.1214810000000004</v>
      </c>
      <c r="H182">
        <v>370</v>
      </c>
      <c r="I182">
        <v>228</v>
      </c>
      <c r="J182">
        <f t="shared" si="16"/>
        <v>15.0996688705415</v>
      </c>
    </row>
    <row r="183" spans="3:10" x14ac:dyDescent="0.25">
      <c r="C183">
        <v>6</v>
      </c>
      <c r="E183">
        <f t="shared" si="13"/>
        <v>3.7674809999999992</v>
      </c>
      <c r="H183">
        <v>380</v>
      </c>
      <c r="I183">
        <v>226</v>
      </c>
      <c r="J183">
        <f t="shared" si="16"/>
        <v>15.033296378372908</v>
      </c>
    </row>
    <row r="184" spans="3:10" x14ac:dyDescent="0.25">
      <c r="C184">
        <v>13</v>
      </c>
      <c r="E184">
        <f t="shared" si="13"/>
        <v>25.593481000000001</v>
      </c>
      <c r="H184">
        <v>390</v>
      </c>
      <c r="I184">
        <v>201</v>
      </c>
      <c r="J184">
        <f t="shared" si="16"/>
        <v>14.177446878757825</v>
      </c>
    </row>
    <row r="185" spans="3:10" x14ac:dyDescent="0.25">
      <c r="C185">
        <v>7</v>
      </c>
      <c r="E185">
        <f t="shared" si="13"/>
        <v>0.88548099999999974</v>
      </c>
      <c r="H185">
        <v>400</v>
      </c>
      <c r="I185">
        <v>230</v>
      </c>
      <c r="J185">
        <f t="shared" si="16"/>
        <v>15.165750888103101</v>
      </c>
    </row>
    <row r="186" spans="3:10" x14ac:dyDescent="0.25">
      <c r="C186">
        <v>5</v>
      </c>
      <c r="E186">
        <f t="shared" si="13"/>
        <v>8.6494809999999998</v>
      </c>
      <c r="H186">
        <v>410</v>
      </c>
      <c r="I186">
        <v>197</v>
      </c>
      <c r="J186">
        <f t="shared" si="16"/>
        <v>14.035668847618199</v>
      </c>
    </row>
    <row r="187" spans="3:10" x14ac:dyDescent="0.25">
      <c r="C187">
        <v>7</v>
      </c>
      <c r="E187">
        <f t="shared" si="13"/>
        <v>0.88548099999999974</v>
      </c>
      <c r="H187">
        <v>420</v>
      </c>
      <c r="I187">
        <v>206</v>
      </c>
      <c r="J187">
        <f t="shared" si="16"/>
        <v>14.352700094407323</v>
      </c>
    </row>
    <row r="188" spans="3:10" x14ac:dyDescent="0.25">
      <c r="C188">
        <v>7</v>
      </c>
      <c r="E188">
        <f t="shared" si="13"/>
        <v>0.88548099999999974</v>
      </c>
      <c r="H188">
        <v>430</v>
      </c>
      <c r="I188">
        <v>176</v>
      </c>
      <c r="J188">
        <f t="shared" si="16"/>
        <v>13.266499161421599</v>
      </c>
    </row>
    <row r="189" spans="3:10" x14ac:dyDescent="0.25">
      <c r="C189">
        <v>10</v>
      </c>
      <c r="E189">
        <f t="shared" si="13"/>
        <v>4.2394810000000005</v>
      </c>
      <c r="H189">
        <v>440</v>
      </c>
      <c r="I189">
        <v>168</v>
      </c>
      <c r="J189">
        <f t="shared" si="16"/>
        <v>12.961481396815721</v>
      </c>
    </row>
    <row r="190" spans="3:10" x14ac:dyDescent="0.25">
      <c r="C190">
        <v>7</v>
      </c>
      <c r="E190">
        <f t="shared" si="13"/>
        <v>0.88548099999999974</v>
      </c>
      <c r="H190">
        <v>450</v>
      </c>
      <c r="I190">
        <v>179</v>
      </c>
      <c r="J190">
        <f t="shared" si="16"/>
        <v>13.379088160259652</v>
      </c>
    </row>
    <row r="191" spans="3:10" x14ac:dyDescent="0.25">
      <c r="C191">
        <v>6</v>
      </c>
      <c r="E191">
        <f t="shared" si="13"/>
        <v>3.7674809999999992</v>
      </c>
      <c r="H191">
        <v>460</v>
      </c>
      <c r="I191">
        <v>159</v>
      </c>
      <c r="J191">
        <f t="shared" si="16"/>
        <v>12.609520212918492</v>
      </c>
    </row>
    <row r="192" spans="3:10" x14ac:dyDescent="0.25">
      <c r="C192">
        <v>11</v>
      </c>
      <c r="E192">
        <f t="shared" si="13"/>
        <v>9.3574810000000017</v>
      </c>
      <c r="H192">
        <v>470</v>
      </c>
      <c r="I192">
        <v>186</v>
      </c>
      <c r="J192">
        <f t="shared" si="16"/>
        <v>13.638181696985855</v>
      </c>
    </row>
    <row r="193" spans="3:10" x14ac:dyDescent="0.25">
      <c r="C193">
        <v>9</v>
      </c>
      <c r="E193">
        <f t="shared" si="13"/>
        <v>1.1214810000000004</v>
      </c>
      <c r="H193">
        <v>480</v>
      </c>
      <c r="I193">
        <v>138</v>
      </c>
      <c r="J193">
        <f t="shared" si="16"/>
        <v>11.74734012447073</v>
      </c>
    </row>
    <row r="194" spans="3:10" x14ac:dyDescent="0.25">
      <c r="C194">
        <v>6</v>
      </c>
      <c r="E194">
        <f t="shared" si="13"/>
        <v>3.7674809999999992</v>
      </c>
      <c r="H194">
        <v>490</v>
      </c>
      <c r="I194">
        <v>139</v>
      </c>
      <c r="J194">
        <f t="shared" si="16"/>
        <v>11.789826122551595</v>
      </c>
    </row>
    <row r="195" spans="3:10" x14ac:dyDescent="0.25">
      <c r="C195">
        <v>9</v>
      </c>
      <c r="E195">
        <f t="shared" si="13"/>
        <v>1.1214810000000004</v>
      </c>
      <c r="H195">
        <v>500</v>
      </c>
      <c r="I195">
        <v>140</v>
      </c>
      <c r="J195">
        <f t="shared" si="16"/>
        <v>11.832159566199232</v>
      </c>
    </row>
    <row r="196" spans="3:10" x14ac:dyDescent="0.25">
      <c r="C196">
        <v>4</v>
      </c>
      <c r="E196">
        <f t="shared" si="13"/>
        <v>15.531480999999999</v>
      </c>
      <c r="H196">
        <v>510</v>
      </c>
      <c r="I196">
        <v>130</v>
      </c>
      <c r="J196">
        <f t="shared" si="16"/>
        <v>11.401754250991379</v>
      </c>
    </row>
    <row r="197" spans="3:10" x14ac:dyDescent="0.25">
      <c r="C197">
        <v>11</v>
      </c>
      <c r="E197">
        <f t="shared" si="13"/>
        <v>9.3574810000000017</v>
      </c>
      <c r="H197">
        <v>520</v>
      </c>
      <c r="I197">
        <v>124</v>
      </c>
      <c r="J197">
        <f t="shared" si="16"/>
        <v>11.135528725660043</v>
      </c>
    </row>
    <row r="198" spans="3:10" x14ac:dyDescent="0.25">
      <c r="C198">
        <v>8</v>
      </c>
      <c r="E198">
        <f t="shared" si="13"/>
        <v>3.4810000000000192E-3</v>
      </c>
      <c r="H198">
        <v>530</v>
      </c>
      <c r="I198">
        <v>114</v>
      </c>
      <c r="J198">
        <f t="shared" si="16"/>
        <v>10.677078252031311</v>
      </c>
    </row>
    <row r="199" spans="3:10" x14ac:dyDescent="0.25">
      <c r="C199">
        <v>8</v>
      </c>
      <c r="E199">
        <f t="shared" si="13"/>
        <v>3.4810000000000192E-3</v>
      </c>
      <c r="H199">
        <v>540</v>
      </c>
      <c r="I199">
        <v>96</v>
      </c>
      <c r="J199">
        <f t="shared" si="16"/>
        <v>9.7979589711327115</v>
      </c>
    </row>
    <row r="200" spans="3:10" x14ac:dyDescent="0.25">
      <c r="C200">
        <v>5</v>
      </c>
      <c r="E200">
        <f t="shared" si="13"/>
        <v>8.6494809999999998</v>
      </c>
      <c r="H200">
        <v>550</v>
      </c>
      <c r="I200">
        <v>115</v>
      </c>
      <c r="J200">
        <f t="shared" si="16"/>
        <v>10.723805294763608</v>
      </c>
    </row>
    <row r="201" spans="3:10" x14ac:dyDescent="0.25">
      <c r="C201">
        <v>13</v>
      </c>
      <c r="E201">
        <f t="shared" si="13"/>
        <v>25.593481000000001</v>
      </c>
      <c r="H201">
        <v>560</v>
      </c>
      <c r="I201">
        <v>101</v>
      </c>
      <c r="J201">
        <f t="shared" si="16"/>
        <v>10.04987562112089</v>
      </c>
    </row>
    <row r="202" spans="3:10" x14ac:dyDescent="0.25">
      <c r="C202">
        <v>6</v>
      </c>
      <c r="E202">
        <f t="shared" si="13"/>
        <v>3.7674809999999992</v>
      </c>
      <c r="H202">
        <v>570</v>
      </c>
      <c r="I202">
        <v>98</v>
      </c>
      <c r="J202">
        <f t="shared" si="16"/>
        <v>9.8994949366116654</v>
      </c>
    </row>
    <row r="203" spans="3:10" x14ac:dyDescent="0.25">
      <c r="C203">
        <v>9</v>
      </c>
      <c r="E203">
        <f t="shared" si="13"/>
        <v>1.1214810000000004</v>
      </c>
      <c r="H203">
        <v>580</v>
      </c>
      <c r="I203">
        <v>96</v>
      </c>
      <c r="J203">
        <f t="shared" si="16"/>
        <v>9.7979589711327115</v>
      </c>
    </row>
    <row r="204" spans="3:10" x14ac:dyDescent="0.25">
      <c r="C204">
        <v>15</v>
      </c>
      <c r="E204">
        <f t="shared" si="13"/>
        <v>49.829481000000001</v>
      </c>
      <c r="H204">
        <v>590</v>
      </c>
      <c r="I204">
        <v>80</v>
      </c>
      <c r="J204">
        <f t="shared" si="16"/>
        <v>8.9442719099991592</v>
      </c>
    </row>
    <row r="205" spans="3:10" x14ac:dyDescent="0.25">
      <c r="C205">
        <v>3</v>
      </c>
      <c r="E205">
        <f t="shared" si="13"/>
        <v>24.413480999999997</v>
      </c>
      <c r="H205">
        <v>600</v>
      </c>
      <c r="I205">
        <v>89</v>
      </c>
      <c r="J205">
        <f t="shared" si="16"/>
        <v>9.4339811320566032</v>
      </c>
    </row>
    <row r="206" spans="3:10" x14ac:dyDescent="0.25">
      <c r="C206">
        <v>6</v>
      </c>
      <c r="E206">
        <f t="shared" si="13"/>
        <v>3.7674809999999992</v>
      </c>
      <c r="H206">
        <v>610</v>
      </c>
      <c r="I206">
        <v>70</v>
      </c>
      <c r="J206">
        <f t="shared" si="16"/>
        <v>8.3666002653407556</v>
      </c>
    </row>
    <row r="207" spans="3:10" x14ac:dyDescent="0.25">
      <c r="C207">
        <v>7</v>
      </c>
      <c r="E207">
        <f t="shared" ref="E207:E270" si="17">(C207-$B$142)^2</f>
        <v>0.88548099999999974</v>
      </c>
      <c r="H207">
        <v>620</v>
      </c>
      <c r="I207">
        <v>69</v>
      </c>
      <c r="J207">
        <f t="shared" si="16"/>
        <v>8.3066238629180749</v>
      </c>
    </row>
    <row r="208" spans="3:10" x14ac:dyDescent="0.25">
      <c r="C208">
        <v>6</v>
      </c>
      <c r="E208">
        <f t="shared" si="17"/>
        <v>3.7674809999999992</v>
      </c>
      <c r="H208">
        <v>630</v>
      </c>
      <c r="I208">
        <v>70</v>
      </c>
      <c r="J208">
        <f t="shared" si="16"/>
        <v>8.3666002653407556</v>
      </c>
    </row>
    <row r="209" spans="3:10" x14ac:dyDescent="0.25">
      <c r="C209">
        <v>7</v>
      </c>
      <c r="E209">
        <f t="shared" si="17"/>
        <v>0.88548099999999974</v>
      </c>
      <c r="H209">
        <v>640</v>
      </c>
      <c r="I209">
        <v>75</v>
      </c>
      <c r="J209">
        <f t="shared" si="16"/>
        <v>8.6602540378443873</v>
      </c>
    </row>
    <row r="210" spans="3:10" x14ac:dyDescent="0.25">
      <c r="C210">
        <v>13</v>
      </c>
      <c r="E210">
        <f t="shared" si="17"/>
        <v>25.593481000000001</v>
      </c>
      <c r="H210">
        <v>650</v>
      </c>
      <c r="I210">
        <v>77</v>
      </c>
      <c r="J210">
        <f t="shared" si="16"/>
        <v>8.7749643873921226</v>
      </c>
    </row>
    <row r="211" spans="3:10" x14ac:dyDescent="0.25">
      <c r="C211">
        <v>11</v>
      </c>
      <c r="E211">
        <f t="shared" si="17"/>
        <v>9.3574810000000017</v>
      </c>
      <c r="H211">
        <v>660</v>
      </c>
      <c r="I211">
        <v>55</v>
      </c>
      <c r="J211">
        <f t="shared" ref="J211:J274" si="18">SQRT(I211)</f>
        <v>7.416198487095663</v>
      </c>
    </row>
    <row r="212" spans="3:10" x14ac:dyDescent="0.25">
      <c r="C212">
        <v>7</v>
      </c>
      <c r="E212">
        <f t="shared" si="17"/>
        <v>0.88548099999999974</v>
      </c>
      <c r="H212">
        <v>670</v>
      </c>
      <c r="I212">
        <v>63</v>
      </c>
      <c r="J212">
        <f t="shared" si="18"/>
        <v>7.9372539331937721</v>
      </c>
    </row>
    <row r="213" spans="3:10" x14ac:dyDescent="0.25">
      <c r="C213">
        <v>4</v>
      </c>
      <c r="E213">
        <f t="shared" si="17"/>
        <v>15.531480999999999</v>
      </c>
      <c r="H213">
        <v>680</v>
      </c>
      <c r="I213">
        <v>71</v>
      </c>
      <c r="J213">
        <f t="shared" si="18"/>
        <v>8.426149773176359</v>
      </c>
    </row>
    <row r="214" spans="3:10" x14ac:dyDescent="0.25">
      <c r="C214">
        <v>10</v>
      </c>
      <c r="E214">
        <f t="shared" si="17"/>
        <v>4.2394810000000005</v>
      </c>
      <c r="H214">
        <v>690</v>
      </c>
      <c r="I214">
        <v>61</v>
      </c>
      <c r="J214">
        <f t="shared" si="18"/>
        <v>7.810249675906654</v>
      </c>
    </row>
    <row r="215" spans="3:10" x14ac:dyDescent="0.25">
      <c r="C215">
        <v>11</v>
      </c>
      <c r="E215">
        <f t="shared" si="17"/>
        <v>9.3574810000000017</v>
      </c>
      <c r="H215">
        <v>700</v>
      </c>
      <c r="I215">
        <v>69</v>
      </c>
      <c r="J215">
        <f t="shared" si="18"/>
        <v>8.3066238629180749</v>
      </c>
    </row>
    <row r="216" spans="3:10" x14ac:dyDescent="0.25">
      <c r="C216">
        <v>12</v>
      </c>
      <c r="E216">
        <f t="shared" si="17"/>
        <v>16.475481000000002</v>
      </c>
      <c r="H216">
        <v>710</v>
      </c>
      <c r="I216">
        <v>40</v>
      </c>
      <c r="J216">
        <f t="shared" si="18"/>
        <v>6.324555320336759</v>
      </c>
    </row>
    <row r="217" spans="3:10" x14ac:dyDescent="0.25">
      <c r="C217">
        <v>8</v>
      </c>
      <c r="E217">
        <f t="shared" si="17"/>
        <v>3.4810000000000192E-3</v>
      </c>
      <c r="H217">
        <v>720</v>
      </c>
      <c r="I217">
        <v>49</v>
      </c>
      <c r="J217">
        <f t="shared" si="18"/>
        <v>7</v>
      </c>
    </row>
    <row r="218" spans="3:10" x14ac:dyDescent="0.25">
      <c r="C218">
        <v>9</v>
      </c>
      <c r="E218">
        <f t="shared" si="17"/>
        <v>1.1214810000000004</v>
      </c>
      <c r="H218">
        <v>730</v>
      </c>
      <c r="I218">
        <v>59</v>
      </c>
      <c r="J218">
        <f t="shared" si="18"/>
        <v>7.6811457478686078</v>
      </c>
    </row>
    <row r="219" spans="3:10" x14ac:dyDescent="0.25">
      <c r="C219">
        <v>14</v>
      </c>
      <c r="E219">
        <f t="shared" si="17"/>
        <v>36.711480999999999</v>
      </c>
      <c r="H219">
        <v>740</v>
      </c>
      <c r="I219">
        <v>59</v>
      </c>
      <c r="J219">
        <f t="shared" si="18"/>
        <v>7.6811457478686078</v>
      </c>
    </row>
    <row r="220" spans="3:10" x14ac:dyDescent="0.25">
      <c r="C220">
        <v>3</v>
      </c>
      <c r="E220">
        <f t="shared" si="17"/>
        <v>24.413480999999997</v>
      </c>
      <c r="H220">
        <v>750</v>
      </c>
      <c r="I220">
        <v>43</v>
      </c>
      <c r="J220">
        <f t="shared" si="18"/>
        <v>6.5574385243020004</v>
      </c>
    </row>
    <row r="221" spans="3:10" x14ac:dyDescent="0.25">
      <c r="C221">
        <v>6</v>
      </c>
      <c r="E221">
        <f t="shared" si="17"/>
        <v>3.7674809999999992</v>
      </c>
      <c r="H221">
        <v>760</v>
      </c>
      <c r="I221">
        <v>48</v>
      </c>
      <c r="J221">
        <f t="shared" si="18"/>
        <v>6.9282032302755088</v>
      </c>
    </row>
    <row r="222" spans="3:10" x14ac:dyDescent="0.25">
      <c r="C222">
        <v>8</v>
      </c>
      <c r="E222">
        <f t="shared" si="17"/>
        <v>3.4810000000000192E-3</v>
      </c>
      <c r="H222">
        <v>770</v>
      </c>
      <c r="I222">
        <v>33</v>
      </c>
      <c r="J222">
        <f t="shared" si="18"/>
        <v>5.7445626465380286</v>
      </c>
    </row>
    <row r="223" spans="3:10" x14ac:dyDescent="0.25">
      <c r="C223">
        <v>7</v>
      </c>
      <c r="E223">
        <f t="shared" si="17"/>
        <v>0.88548099999999974</v>
      </c>
      <c r="H223">
        <v>780</v>
      </c>
      <c r="I223">
        <v>46</v>
      </c>
      <c r="J223">
        <f t="shared" si="18"/>
        <v>6.7823299831252681</v>
      </c>
    </row>
    <row r="224" spans="3:10" x14ac:dyDescent="0.25">
      <c r="C224">
        <v>13</v>
      </c>
      <c r="E224">
        <f t="shared" si="17"/>
        <v>25.593481000000001</v>
      </c>
      <c r="H224">
        <v>790</v>
      </c>
      <c r="I224">
        <v>45</v>
      </c>
      <c r="J224">
        <f t="shared" si="18"/>
        <v>6.7082039324993694</v>
      </c>
    </row>
    <row r="225" spans="3:10" x14ac:dyDescent="0.25">
      <c r="C225">
        <v>4</v>
      </c>
      <c r="E225">
        <f t="shared" si="17"/>
        <v>15.531480999999999</v>
      </c>
      <c r="H225">
        <v>800</v>
      </c>
      <c r="I225">
        <v>39</v>
      </c>
      <c r="J225">
        <f t="shared" si="18"/>
        <v>6.2449979983983983</v>
      </c>
    </row>
    <row r="226" spans="3:10" x14ac:dyDescent="0.25">
      <c r="C226">
        <v>8</v>
      </c>
      <c r="E226">
        <f t="shared" si="17"/>
        <v>3.4810000000000192E-3</v>
      </c>
      <c r="H226">
        <v>810</v>
      </c>
      <c r="I226">
        <v>36</v>
      </c>
      <c r="J226">
        <f t="shared" si="18"/>
        <v>6</v>
      </c>
    </row>
    <row r="227" spans="3:10" x14ac:dyDescent="0.25">
      <c r="C227">
        <v>13</v>
      </c>
      <c r="E227">
        <f t="shared" si="17"/>
        <v>25.593481000000001</v>
      </c>
      <c r="H227">
        <v>820</v>
      </c>
      <c r="I227">
        <v>29</v>
      </c>
      <c r="J227">
        <f t="shared" si="18"/>
        <v>5.3851648071345037</v>
      </c>
    </row>
    <row r="228" spans="3:10" x14ac:dyDescent="0.25">
      <c r="C228">
        <v>10</v>
      </c>
      <c r="E228">
        <f t="shared" si="17"/>
        <v>4.2394810000000005</v>
      </c>
      <c r="H228">
        <v>830</v>
      </c>
      <c r="I228">
        <v>26</v>
      </c>
      <c r="J228">
        <f t="shared" si="18"/>
        <v>5.0990195135927845</v>
      </c>
    </row>
    <row r="229" spans="3:10" x14ac:dyDescent="0.25">
      <c r="C229">
        <v>7</v>
      </c>
      <c r="E229">
        <f t="shared" si="17"/>
        <v>0.88548099999999974</v>
      </c>
      <c r="H229">
        <v>840</v>
      </c>
      <c r="I229">
        <v>43</v>
      </c>
      <c r="J229">
        <f t="shared" si="18"/>
        <v>6.5574385243020004</v>
      </c>
    </row>
    <row r="230" spans="3:10" x14ac:dyDescent="0.25">
      <c r="C230">
        <v>11</v>
      </c>
      <c r="E230">
        <f t="shared" si="17"/>
        <v>9.3574810000000017</v>
      </c>
      <c r="H230">
        <v>850</v>
      </c>
      <c r="I230">
        <v>44</v>
      </c>
      <c r="J230">
        <f t="shared" si="18"/>
        <v>6.6332495807107996</v>
      </c>
    </row>
    <row r="231" spans="3:10" x14ac:dyDescent="0.25">
      <c r="C231">
        <v>14</v>
      </c>
      <c r="E231">
        <f t="shared" si="17"/>
        <v>36.711480999999999</v>
      </c>
      <c r="H231">
        <v>860</v>
      </c>
      <c r="I231">
        <v>19</v>
      </c>
      <c r="J231">
        <f t="shared" si="18"/>
        <v>4.358898943540674</v>
      </c>
    </row>
    <row r="232" spans="3:10" x14ac:dyDescent="0.25">
      <c r="C232">
        <v>9</v>
      </c>
      <c r="E232">
        <f t="shared" si="17"/>
        <v>1.1214810000000004</v>
      </c>
      <c r="H232">
        <v>870</v>
      </c>
      <c r="I232">
        <v>35</v>
      </c>
      <c r="J232">
        <f t="shared" si="18"/>
        <v>5.9160797830996161</v>
      </c>
    </row>
    <row r="233" spans="3:10" x14ac:dyDescent="0.25">
      <c r="C233">
        <v>8</v>
      </c>
      <c r="E233">
        <f t="shared" si="17"/>
        <v>3.4810000000000192E-3</v>
      </c>
      <c r="H233">
        <v>880</v>
      </c>
      <c r="I233">
        <v>29</v>
      </c>
      <c r="J233">
        <f t="shared" si="18"/>
        <v>5.3851648071345037</v>
      </c>
    </row>
    <row r="234" spans="3:10" x14ac:dyDescent="0.25">
      <c r="C234">
        <v>7</v>
      </c>
      <c r="E234">
        <f t="shared" si="17"/>
        <v>0.88548099999999974</v>
      </c>
      <c r="H234">
        <v>890</v>
      </c>
      <c r="I234">
        <v>25</v>
      </c>
      <c r="J234">
        <f t="shared" si="18"/>
        <v>5</v>
      </c>
    </row>
    <row r="235" spans="3:10" x14ac:dyDescent="0.25">
      <c r="C235">
        <v>9</v>
      </c>
      <c r="E235">
        <f t="shared" si="17"/>
        <v>1.1214810000000004</v>
      </c>
      <c r="H235">
        <v>900</v>
      </c>
      <c r="I235">
        <v>22</v>
      </c>
      <c r="J235">
        <f t="shared" si="18"/>
        <v>4.6904157598234297</v>
      </c>
    </row>
    <row r="236" spans="3:10" x14ac:dyDescent="0.25">
      <c r="C236">
        <v>8</v>
      </c>
      <c r="E236">
        <f t="shared" si="17"/>
        <v>3.4810000000000192E-3</v>
      </c>
      <c r="H236">
        <v>910</v>
      </c>
      <c r="I236">
        <v>23</v>
      </c>
      <c r="J236">
        <f t="shared" si="18"/>
        <v>4.7958315233127191</v>
      </c>
    </row>
    <row r="237" spans="3:10" x14ac:dyDescent="0.25">
      <c r="C237">
        <v>8</v>
      </c>
      <c r="E237">
        <f t="shared" si="17"/>
        <v>3.4810000000000192E-3</v>
      </c>
      <c r="H237">
        <v>920</v>
      </c>
      <c r="I237">
        <v>24</v>
      </c>
      <c r="J237">
        <f t="shared" si="18"/>
        <v>4.8989794855663558</v>
      </c>
    </row>
    <row r="238" spans="3:10" x14ac:dyDescent="0.25">
      <c r="C238">
        <v>8</v>
      </c>
      <c r="E238">
        <f t="shared" si="17"/>
        <v>3.4810000000000192E-3</v>
      </c>
      <c r="H238">
        <v>930</v>
      </c>
      <c r="I238">
        <v>29</v>
      </c>
      <c r="J238">
        <f t="shared" si="18"/>
        <v>5.3851648071345037</v>
      </c>
    </row>
    <row r="239" spans="3:10" x14ac:dyDescent="0.25">
      <c r="C239">
        <v>7</v>
      </c>
      <c r="E239">
        <f t="shared" si="17"/>
        <v>0.88548099999999974</v>
      </c>
      <c r="H239">
        <v>940</v>
      </c>
      <c r="I239">
        <v>21</v>
      </c>
      <c r="J239">
        <f t="shared" si="18"/>
        <v>4.5825756949558398</v>
      </c>
    </row>
    <row r="240" spans="3:10" x14ac:dyDescent="0.25">
      <c r="C240">
        <v>9</v>
      </c>
      <c r="E240">
        <f t="shared" si="17"/>
        <v>1.1214810000000004</v>
      </c>
      <c r="H240">
        <v>950</v>
      </c>
      <c r="I240">
        <v>23</v>
      </c>
      <c r="J240">
        <f t="shared" si="18"/>
        <v>4.7958315233127191</v>
      </c>
    </row>
    <row r="241" spans="3:10" x14ac:dyDescent="0.25">
      <c r="C241">
        <v>9</v>
      </c>
      <c r="E241">
        <f t="shared" si="17"/>
        <v>1.1214810000000004</v>
      </c>
      <c r="H241">
        <v>960</v>
      </c>
      <c r="I241">
        <v>22</v>
      </c>
      <c r="J241">
        <f t="shared" si="18"/>
        <v>4.6904157598234297</v>
      </c>
    </row>
    <row r="242" spans="3:10" x14ac:dyDescent="0.25">
      <c r="C242">
        <v>6</v>
      </c>
      <c r="E242">
        <f t="shared" si="17"/>
        <v>3.7674809999999992</v>
      </c>
      <c r="H242">
        <v>970</v>
      </c>
      <c r="I242">
        <v>20</v>
      </c>
      <c r="J242">
        <f t="shared" si="18"/>
        <v>4.4721359549995796</v>
      </c>
    </row>
    <row r="243" spans="3:10" x14ac:dyDescent="0.25">
      <c r="C243">
        <v>17</v>
      </c>
      <c r="E243">
        <f t="shared" si="17"/>
        <v>82.06548100000002</v>
      </c>
      <c r="H243">
        <v>980</v>
      </c>
      <c r="I243">
        <v>21</v>
      </c>
      <c r="J243">
        <f t="shared" si="18"/>
        <v>4.5825756949558398</v>
      </c>
    </row>
    <row r="244" spans="3:10" x14ac:dyDescent="0.25">
      <c r="C244">
        <v>5</v>
      </c>
      <c r="E244">
        <f t="shared" si="17"/>
        <v>8.6494809999999998</v>
      </c>
      <c r="H244">
        <v>990</v>
      </c>
      <c r="I244">
        <v>13</v>
      </c>
      <c r="J244">
        <f t="shared" si="18"/>
        <v>3.6055512754639891</v>
      </c>
    </row>
    <row r="245" spans="3:10" x14ac:dyDescent="0.25">
      <c r="C245">
        <v>15</v>
      </c>
      <c r="E245">
        <f t="shared" si="17"/>
        <v>49.829481000000001</v>
      </c>
      <c r="H245">
        <v>1000</v>
      </c>
      <c r="I245">
        <v>21</v>
      </c>
      <c r="J245">
        <f t="shared" si="18"/>
        <v>4.5825756949558398</v>
      </c>
    </row>
    <row r="246" spans="3:10" x14ac:dyDescent="0.25">
      <c r="C246">
        <v>16</v>
      </c>
      <c r="E246">
        <f t="shared" si="17"/>
        <v>64.94748100000001</v>
      </c>
      <c r="H246">
        <v>1010</v>
      </c>
      <c r="I246">
        <v>19</v>
      </c>
      <c r="J246">
        <f t="shared" si="18"/>
        <v>4.358898943540674</v>
      </c>
    </row>
    <row r="247" spans="3:10" x14ac:dyDescent="0.25">
      <c r="C247">
        <v>10</v>
      </c>
      <c r="E247">
        <f t="shared" si="17"/>
        <v>4.2394810000000005</v>
      </c>
      <c r="H247">
        <v>1020</v>
      </c>
      <c r="I247">
        <v>17</v>
      </c>
      <c r="J247">
        <f t="shared" si="18"/>
        <v>4.1231056256176606</v>
      </c>
    </row>
    <row r="248" spans="3:10" x14ac:dyDescent="0.25">
      <c r="C248">
        <v>8</v>
      </c>
      <c r="E248">
        <f t="shared" si="17"/>
        <v>3.4810000000000192E-3</v>
      </c>
      <c r="H248">
        <v>1030</v>
      </c>
      <c r="I248">
        <v>18</v>
      </c>
      <c r="J248">
        <f t="shared" si="18"/>
        <v>4.2426406871192848</v>
      </c>
    </row>
    <row r="249" spans="3:10" x14ac:dyDescent="0.25">
      <c r="C249">
        <v>5</v>
      </c>
      <c r="E249">
        <f t="shared" si="17"/>
        <v>8.6494809999999998</v>
      </c>
      <c r="H249">
        <v>1040</v>
      </c>
      <c r="I249">
        <v>11</v>
      </c>
      <c r="J249">
        <f t="shared" si="18"/>
        <v>3.3166247903553998</v>
      </c>
    </row>
    <row r="250" spans="3:10" x14ac:dyDescent="0.25">
      <c r="C250">
        <v>14</v>
      </c>
      <c r="E250">
        <f t="shared" si="17"/>
        <v>36.711480999999999</v>
      </c>
      <c r="H250">
        <v>1050</v>
      </c>
      <c r="I250">
        <v>14</v>
      </c>
      <c r="J250">
        <f t="shared" si="18"/>
        <v>3.7416573867739413</v>
      </c>
    </row>
    <row r="251" spans="3:10" x14ac:dyDescent="0.25">
      <c r="C251">
        <v>8</v>
      </c>
      <c r="E251">
        <f t="shared" si="17"/>
        <v>3.4810000000000192E-3</v>
      </c>
      <c r="H251">
        <v>1060</v>
      </c>
      <c r="I251">
        <v>18</v>
      </c>
      <c r="J251">
        <f t="shared" si="18"/>
        <v>4.2426406871192848</v>
      </c>
    </row>
    <row r="252" spans="3:10" x14ac:dyDescent="0.25">
      <c r="C252">
        <v>9</v>
      </c>
      <c r="E252">
        <f t="shared" si="17"/>
        <v>1.1214810000000004</v>
      </c>
      <c r="H252">
        <v>1070</v>
      </c>
      <c r="I252">
        <v>15</v>
      </c>
      <c r="J252">
        <f t="shared" si="18"/>
        <v>3.872983346207417</v>
      </c>
    </row>
    <row r="253" spans="3:10" x14ac:dyDescent="0.25">
      <c r="C253">
        <v>6</v>
      </c>
      <c r="E253">
        <f t="shared" si="17"/>
        <v>3.7674809999999992</v>
      </c>
      <c r="H253">
        <v>1080</v>
      </c>
      <c r="I253">
        <v>15</v>
      </c>
      <c r="J253">
        <f t="shared" si="18"/>
        <v>3.872983346207417</v>
      </c>
    </row>
    <row r="254" spans="3:10" x14ac:dyDescent="0.25">
      <c r="C254">
        <v>6</v>
      </c>
      <c r="E254">
        <f t="shared" si="17"/>
        <v>3.7674809999999992</v>
      </c>
      <c r="H254">
        <v>1090</v>
      </c>
      <c r="I254">
        <v>14</v>
      </c>
      <c r="J254">
        <f t="shared" si="18"/>
        <v>3.7416573867739413</v>
      </c>
    </row>
    <row r="255" spans="3:10" x14ac:dyDescent="0.25">
      <c r="C255">
        <v>9</v>
      </c>
      <c r="E255">
        <f t="shared" si="17"/>
        <v>1.1214810000000004</v>
      </c>
      <c r="H255">
        <v>1100</v>
      </c>
      <c r="I255">
        <v>14</v>
      </c>
      <c r="J255">
        <f t="shared" si="18"/>
        <v>3.7416573867739413</v>
      </c>
    </row>
    <row r="256" spans="3:10" x14ac:dyDescent="0.25">
      <c r="C256">
        <v>8</v>
      </c>
      <c r="E256">
        <f t="shared" si="17"/>
        <v>3.4810000000000192E-3</v>
      </c>
      <c r="H256">
        <v>1110</v>
      </c>
      <c r="I256">
        <v>13</v>
      </c>
      <c r="J256">
        <f t="shared" si="18"/>
        <v>3.6055512754639891</v>
      </c>
    </row>
    <row r="257" spans="3:10" x14ac:dyDescent="0.25">
      <c r="C257">
        <v>2</v>
      </c>
      <c r="E257">
        <f t="shared" si="17"/>
        <v>35.295480999999995</v>
      </c>
      <c r="H257">
        <v>1120</v>
      </c>
      <c r="I257">
        <v>16</v>
      </c>
      <c r="J257">
        <f t="shared" si="18"/>
        <v>4</v>
      </c>
    </row>
    <row r="258" spans="3:10" x14ac:dyDescent="0.25">
      <c r="C258">
        <v>7</v>
      </c>
      <c r="E258">
        <f t="shared" si="17"/>
        <v>0.88548099999999974</v>
      </c>
      <c r="H258">
        <v>1130</v>
      </c>
      <c r="I258">
        <v>15</v>
      </c>
      <c r="J258">
        <f t="shared" si="18"/>
        <v>3.872983346207417</v>
      </c>
    </row>
    <row r="259" spans="3:10" x14ac:dyDescent="0.25">
      <c r="C259">
        <v>8</v>
      </c>
      <c r="E259">
        <f t="shared" si="17"/>
        <v>3.4810000000000192E-3</v>
      </c>
      <c r="H259">
        <v>1140</v>
      </c>
      <c r="I259">
        <v>9</v>
      </c>
      <c r="J259">
        <f t="shared" si="18"/>
        <v>3</v>
      </c>
    </row>
    <row r="260" spans="3:10" x14ac:dyDescent="0.25">
      <c r="C260">
        <v>10</v>
      </c>
      <c r="E260">
        <f t="shared" si="17"/>
        <v>4.2394810000000005</v>
      </c>
      <c r="H260">
        <v>1150</v>
      </c>
      <c r="I260">
        <v>11</v>
      </c>
      <c r="J260">
        <f t="shared" si="18"/>
        <v>3.3166247903553998</v>
      </c>
    </row>
    <row r="261" spans="3:10" x14ac:dyDescent="0.25">
      <c r="C261">
        <v>14</v>
      </c>
      <c r="E261">
        <f t="shared" si="17"/>
        <v>36.711480999999999</v>
      </c>
      <c r="H261">
        <v>1160</v>
      </c>
      <c r="I261">
        <v>17</v>
      </c>
      <c r="J261">
        <f t="shared" si="18"/>
        <v>4.1231056256176606</v>
      </c>
    </row>
    <row r="262" spans="3:10" x14ac:dyDescent="0.25">
      <c r="C262">
        <v>6</v>
      </c>
      <c r="E262">
        <f t="shared" si="17"/>
        <v>3.7674809999999992</v>
      </c>
      <c r="H262">
        <v>1170</v>
      </c>
      <c r="I262">
        <v>14</v>
      </c>
      <c r="J262">
        <f t="shared" si="18"/>
        <v>3.7416573867739413</v>
      </c>
    </row>
    <row r="263" spans="3:10" x14ac:dyDescent="0.25">
      <c r="C263">
        <v>9</v>
      </c>
      <c r="E263">
        <f t="shared" si="17"/>
        <v>1.1214810000000004</v>
      </c>
      <c r="H263">
        <v>1180</v>
      </c>
      <c r="I263">
        <v>6</v>
      </c>
      <c r="J263">
        <f t="shared" si="18"/>
        <v>2.4494897427831779</v>
      </c>
    </row>
    <row r="264" spans="3:10" x14ac:dyDescent="0.25">
      <c r="C264">
        <v>6</v>
      </c>
      <c r="E264">
        <f t="shared" si="17"/>
        <v>3.7674809999999992</v>
      </c>
      <c r="H264">
        <v>1190</v>
      </c>
      <c r="I264">
        <v>13</v>
      </c>
      <c r="J264">
        <f t="shared" si="18"/>
        <v>3.6055512754639891</v>
      </c>
    </row>
    <row r="265" spans="3:10" x14ac:dyDescent="0.25">
      <c r="C265">
        <v>8</v>
      </c>
      <c r="E265">
        <f t="shared" si="17"/>
        <v>3.4810000000000192E-3</v>
      </c>
      <c r="H265">
        <v>1200</v>
      </c>
      <c r="I265">
        <v>14</v>
      </c>
      <c r="J265">
        <f t="shared" si="18"/>
        <v>3.7416573867739413</v>
      </c>
    </row>
    <row r="266" spans="3:10" x14ac:dyDescent="0.25">
      <c r="C266">
        <v>5</v>
      </c>
      <c r="E266">
        <f t="shared" si="17"/>
        <v>8.6494809999999998</v>
      </c>
      <c r="H266">
        <v>1210</v>
      </c>
      <c r="I266">
        <v>11</v>
      </c>
      <c r="J266">
        <f t="shared" si="18"/>
        <v>3.3166247903553998</v>
      </c>
    </row>
    <row r="267" spans="3:10" x14ac:dyDescent="0.25">
      <c r="C267">
        <v>9</v>
      </c>
      <c r="E267">
        <f t="shared" si="17"/>
        <v>1.1214810000000004</v>
      </c>
      <c r="H267">
        <v>1220</v>
      </c>
      <c r="I267">
        <v>12</v>
      </c>
      <c r="J267">
        <f t="shared" si="18"/>
        <v>3.4641016151377544</v>
      </c>
    </row>
    <row r="268" spans="3:10" x14ac:dyDescent="0.25">
      <c r="C268">
        <v>9</v>
      </c>
      <c r="E268">
        <f t="shared" si="17"/>
        <v>1.1214810000000004</v>
      </c>
      <c r="H268">
        <v>1230</v>
      </c>
      <c r="I268">
        <v>12</v>
      </c>
      <c r="J268">
        <f t="shared" si="18"/>
        <v>3.4641016151377544</v>
      </c>
    </row>
    <row r="269" spans="3:10" x14ac:dyDescent="0.25">
      <c r="C269">
        <v>10</v>
      </c>
      <c r="E269">
        <f t="shared" si="17"/>
        <v>4.2394810000000005</v>
      </c>
      <c r="H269">
        <v>1240</v>
      </c>
      <c r="I269">
        <v>9</v>
      </c>
      <c r="J269">
        <f t="shared" si="18"/>
        <v>3</v>
      </c>
    </row>
    <row r="270" spans="3:10" x14ac:dyDescent="0.25">
      <c r="C270">
        <v>9</v>
      </c>
      <c r="E270">
        <f t="shared" si="17"/>
        <v>1.1214810000000004</v>
      </c>
      <c r="H270">
        <v>1250</v>
      </c>
      <c r="I270">
        <v>5</v>
      </c>
      <c r="J270">
        <f t="shared" si="18"/>
        <v>2.2360679774997898</v>
      </c>
    </row>
    <row r="271" spans="3:10" x14ac:dyDescent="0.25">
      <c r="C271">
        <v>3</v>
      </c>
      <c r="E271">
        <f t="shared" ref="E271:E334" si="19">(C271-$B$142)^2</f>
        <v>24.413480999999997</v>
      </c>
      <c r="H271">
        <v>1260</v>
      </c>
      <c r="I271">
        <v>9</v>
      </c>
      <c r="J271">
        <f t="shared" si="18"/>
        <v>3</v>
      </c>
    </row>
    <row r="272" spans="3:10" x14ac:dyDescent="0.25">
      <c r="C272">
        <v>7</v>
      </c>
      <c r="E272">
        <f t="shared" si="19"/>
        <v>0.88548099999999974</v>
      </c>
      <c r="H272">
        <v>1270</v>
      </c>
      <c r="I272">
        <v>7</v>
      </c>
      <c r="J272">
        <f t="shared" si="18"/>
        <v>2.6457513110645907</v>
      </c>
    </row>
    <row r="273" spans="3:10" x14ac:dyDescent="0.25">
      <c r="C273">
        <v>11</v>
      </c>
      <c r="E273">
        <f t="shared" si="19"/>
        <v>9.3574810000000017</v>
      </c>
      <c r="H273">
        <v>1280</v>
      </c>
      <c r="I273">
        <v>9</v>
      </c>
      <c r="J273">
        <f t="shared" si="18"/>
        <v>3</v>
      </c>
    </row>
    <row r="274" spans="3:10" x14ac:dyDescent="0.25">
      <c r="C274">
        <v>12</v>
      </c>
      <c r="E274">
        <f t="shared" si="19"/>
        <v>16.475481000000002</v>
      </c>
      <c r="H274">
        <v>1290</v>
      </c>
      <c r="I274">
        <v>12</v>
      </c>
      <c r="J274">
        <f t="shared" si="18"/>
        <v>3.4641016151377544</v>
      </c>
    </row>
    <row r="275" spans="3:10" x14ac:dyDescent="0.25">
      <c r="C275">
        <v>12</v>
      </c>
      <c r="E275">
        <f t="shared" si="19"/>
        <v>16.475481000000002</v>
      </c>
      <c r="H275">
        <v>1300</v>
      </c>
      <c r="I275">
        <v>9</v>
      </c>
      <c r="J275">
        <f t="shared" ref="J275:J295" si="20">SQRT(I275)</f>
        <v>3</v>
      </c>
    </row>
    <row r="276" spans="3:10" x14ac:dyDescent="0.25">
      <c r="C276">
        <v>7</v>
      </c>
      <c r="E276">
        <f t="shared" si="19"/>
        <v>0.88548099999999974</v>
      </c>
      <c r="H276">
        <v>1310</v>
      </c>
      <c r="I276">
        <v>9</v>
      </c>
      <c r="J276">
        <f t="shared" si="20"/>
        <v>3</v>
      </c>
    </row>
    <row r="277" spans="3:10" x14ac:dyDescent="0.25">
      <c r="C277">
        <v>6</v>
      </c>
      <c r="E277">
        <f t="shared" si="19"/>
        <v>3.7674809999999992</v>
      </c>
      <c r="H277">
        <v>1320</v>
      </c>
      <c r="I277">
        <v>14</v>
      </c>
      <c r="J277">
        <f t="shared" si="20"/>
        <v>3.7416573867739413</v>
      </c>
    </row>
    <row r="278" spans="3:10" x14ac:dyDescent="0.25">
      <c r="C278">
        <v>6</v>
      </c>
      <c r="E278">
        <f t="shared" si="19"/>
        <v>3.7674809999999992</v>
      </c>
      <c r="H278">
        <v>1330</v>
      </c>
      <c r="I278">
        <v>6</v>
      </c>
      <c r="J278">
        <f t="shared" si="20"/>
        <v>2.4494897427831779</v>
      </c>
    </row>
    <row r="279" spans="3:10" x14ac:dyDescent="0.25">
      <c r="C279">
        <v>2</v>
      </c>
      <c r="E279">
        <f t="shared" si="19"/>
        <v>35.295480999999995</v>
      </c>
      <c r="H279">
        <v>1340</v>
      </c>
      <c r="I279">
        <v>10</v>
      </c>
      <c r="J279">
        <f t="shared" si="20"/>
        <v>3.1622776601683795</v>
      </c>
    </row>
    <row r="280" spans="3:10" x14ac:dyDescent="0.25">
      <c r="C280">
        <v>9</v>
      </c>
      <c r="E280">
        <f t="shared" si="19"/>
        <v>1.1214810000000004</v>
      </c>
      <c r="H280">
        <v>1350</v>
      </c>
      <c r="I280">
        <v>5</v>
      </c>
      <c r="J280">
        <f t="shared" si="20"/>
        <v>2.2360679774997898</v>
      </c>
    </row>
    <row r="281" spans="3:10" x14ac:dyDescent="0.25">
      <c r="C281">
        <v>11</v>
      </c>
      <c r="E281">
        <f t="shared" si="19"/>
        <v>9.3574810000000017</v>
      </c>
      <c r="H281">
        <v>1360</v>
      </c>
      <c r="I281">
        <v>8</v>
      </c>
      <c r="J281">
        <f t="shared" si="20"/>
        <v>2.8284271247461903</v>
      </c>
    </row>
    <row r="282" spans="3:10" x14ac:dyDescent="0.25">
      <c r="C282">
        <v>6</v>
      </c>
      <c r="E282">
        <f t="shared" si="19"/>
        <v>3.7674809999999992</v>
      </c>
      <c r="H282">
        <v>1370</v>
      </c>
      <c r="I282">
        <v>10</v>
      </c>
      <c r="J282">
        <f t="shared" si="20"/>
        <v>3.1622776601683795</v>
      </c>
    </row>
    <row r="283" spans="3:10" x14ac:dyDescent="0.25">
      <c r="C283">
        <v>11</v>
      </c>
      <c r="E283">
        <f t="shared" si="19"/>
        <v>9.3574810000000017</v>
      </c>
      <c r="H283">
        <v>1380</v>
      </c>
      <c r="I283">
        <v>11</v>
      </c>
      <c r="J283">
        <f t="shared" si="20"/>
        <v>3.3166247903553998</v>
      </c>
    </row>
    <row r="284" spans="3:10" x14ac:dyDescent="0.25">
      <c r="C284">
        <v>10</v>
      </c>
      <c r="E284">
        <f t="shared" si="19"/>
        <v>4.2394810000000005</v>
      </c>
      <c r="H284">
        <v>1390</v>
      </c>
      <c r="I284">
        <v>6</v>
      </c>
      <c r="J284">
        <f t="shared" si="20"/>
        <v>2.4494897427831779</v>
      </c>
    </row>
    <row r="285" spans="3:10" x14ac:dyDescent="0.25">
      <c r="C285">
        <v>8</v>
      </c>
      <c r="E285">
        <f t="shared" si="19"/>
        <v>3.4810000000000192E-3</v>
      </c>
      <c r="H285">
        <v>1400</v>
      </c>
      <c r="I285">
        <v>9</v>
      </c>
      <c r="J285">
        <f t="shared" si="20"/>
        <v>3</v>
      </c>
    </row>
    <row r="286" spans="3:10" x14ac:dyDescent="0.25">
      <c r="C286">
        <v>9</v>
      </c>
      <c r="E286">
        <f t="shared" si="19"/>
        <v>1.1214810000000004</v>
      </c>
      <c r="H286">
        <v>1410</v>
      </c>
      <c r="I286">
        <v>4</v>
      </c>
      <c r="J286">
        <f t="shared" si="20"/>
        <v>2</v>
      </c>
    </row>
    <row r="287" spans="3:10" x14ac:dyDescent="0.25">
      <c r="C287">
        <v>11</v>
      </c>
      <c r="E287">
        <f t="shared" si="19"/>
        <v>9.3574810000000017</v>
      </c>
      <c r="H287">
        <v>1420</v>
      </c>
      <c r="I287">
        <v>10</v>
      </c>
      <c r="J287">
        <f t="shared" si="20"/>
        <v>3.1622776601683795</v>
      </c>
    </row>
    <row r="288" spans="3:10" x14ac:dyDescent="0.25">
      <c r="C288">
        <v>3</v>
      </c>
      <c r="E288">
        <f t="shared" si="19"/>
        <v>24.413480999999997</v>
      </c>
      <c r="H288">
        <v>1430</v>
      </c>
      <c r="I288">
        <v>7</v>
      </c>
      <c r="J288">
        <f t="shared" si="20"/>
        <v>2.6457513110645907</v>
      </c>
    </row>
    <row r="289" spans="3:10" x14ac:dyDescent="0.25">
      <c r="C289">
        <v>11</v>
      </c>
      <c r="E289">
        <f t="shared" si="19"/>
        <v>9.3574810000000017</v>
      </c>
      <c r="H289">
        <v>1440</v>
      </c>
      <c r="I289">
        <v>8</v>
      </c>
      <c r="J289">
        <f t="shared" si="20"/>
        <v>2.8284271247461903</v>
      </c>
    </row>
    <row r="290" spans="3:10" x14ac:dyDescent="0.25">
      <c r="C290">
        <v>12</v>
      </c>
      <c r="E290">
        <f t="shared" si="19"/>
        <v>16.475481000000002</v>
      </c>
      <c r="H290">
        <v>1450</v>
      </c>
      <c r="I290">
        <v>6</v>
      </c>
      <c r="J290">
        <f t="shared" si="20"/>
        <v>2.4494897427831779</v>
      </c>
    </row>
    <row r="291" spans="3:10" x14ac:dyDescent="0.25">
      <c r="C291">
        <v>6</v>
      </c>
      <c r="E291">
        <f t="shared" si="19"/>
        <v>3.7674809999999992</v>
      </c>
      <c r="H291">
        <v>1460</v>
      </c>
      <c r="I291">
        <v>4</v>
      </c>
      <c r="J291">
        <f t="shared" si="20"/>
        <v>2</v>
      </c>
    </row>
    <row r="292" spans="3:10" x14ac:dyDescent="0.25">
      <c r="C292">
        <v>11</v>
      </c>
      <c r="E292">
        <f t="shared" si="19"/>
        <v>9.3574810000000017</v>
      </c>
      <c r="H292">
        <v>1470</v>
      </c>
      <c r="I292">
        <v>7</v>
      </c>
      <c r="J292">
        <f t="shared" si="20"/>
        <v>2.6457513110645907</v>
      </c>
    </row>
    <row r="293" spans="3:10" x14ac:dyDescent="0.25">
      <c r="C293">
        <v>10</v>
      </c>
      <c r="E293">
        <f t="shared" si="19"/>
        <v>4.2394810000000005</v>
      </c>
      <c r="H293">
        <v>1480</v>
      </c>
      <c r="I293">
        <v>10</v>
      </c>
      <c r="J293">
        <f t="shared" si="20"/>
        <v>3.1622776601683795</v>
      </c>
    </row>
    <row r="294" spans="3:10" x14ac:dyDescent="0.25">
      <c r="C294">
        <v>7</v>
      </c>
      <c r="E294">
        <f t="shared" si="19"/>
        <v>0.88548099999999974</v>
      </c>
      <c r="H294">
        <v>1490</v>
      </c>
      <c r="I294">
        <v>8</v>
      </c>
      <c r="J294">
        <f t="shared" si="20"/>
        <v>2.8284271247461903</v>
      </c>
    </row>
    <row r="295" spans="3:10" x14ac:dyDescent="0.25">
      <c r="C295">
        <v>8</v>
      </c>
      <c r="E295">
        <f t="shared" si="19"/>
        <v>3.4810000000000192E-3</v>
      </c>
      <c r="H295">
        <v>1500</v>
      </c>
      <c r="I295">
        <v>7</v>
      </c>
      <c r="J295">
        <f t="shared" si="20"/>
        <v>2.6457513110645907</v>
      </c>
    </row>
    <row r="296" spans="3:10" x14ac:dyDescent="0.25">
      <c r="C296">
        <v>10</v>
      </c>
      <c r="E296">
        <f t="shared" si="19"/>
        <v>4.2394810000000005</v>
      </c>
    </row>
    <row r="297" spans="3:10" x14ac:dyDescent="0.25">
      <c r="C297">
        <v>9</v>
      </c>
      <c r="E297">
        <f t="shared" si="19"/>
        <v>1.1214810000000004</v>
      </c>
    </row>
    <row r="298" spans="3:10" x14ac:dyDescent="0.25">
      <c r="C298">
        <v>9</v>
      </c>
      <c r="E298">
        <f t="shared" si="19"/>
        <v>1.1214810000000004</v>
      </c>
    </row>
    <row r="299" spans="3:10" x14ac:dyDescent="0.25">
      <c r="C299">
        <v>5</v>
      </c>
      <c r="E299">
        <f t="shared" si="19"/>
        <v>8.6494809999999998</v>
      </c>
    </row>
    <row r="300" spans="3:10" x14ac:dyDescent="0.25">
      <c r="C300">
        <v>11</v>
      </c>
      <c r="E300">
        <f t="shared" si="19"/>
        <v>9.3574810000000017</v>
      </c>
    </row>
    <row r="301" spans="3:10" x14ac:dyDescent="0.25">
      <c r="C301">
        <v>6</v>
      </c>
      <c r="E301">
        <f t="shared" si="19"/>
        <v>3.7674809999999992</v>
      </c>
    </row>
    <row r="302" spans="3:10" x14ac:dyDescent="0.25">
      <c r="C302">
        <v>8</v>
      </c>
      <c r="E302">
        <f t="shared" si="19"/>
        <v>3.4810000000000192E-3</v>
      </c>
    </row>
    <row r="303" spans="3:10" x14ac:dyDescent="0.25">
      <c r="C303">
        <v>13</v>
      </c>
      <c r="E303">
        <f t="shared" si="19"/>
        <v>25.593481000000001</v>
      </c>
    </row>
    <row r="304" spans="3:10" x14ac:dyDescent="0.25">
      <c r="C304">
        <v>9</v>
      </c>
      <c r="E304">
        <f t="shared" si="19"/>
        <v>1.1214810000000004</v>
      </c>
    </row>
    <row r="305" spans="3:5" x14ac:dyDescent="0.25">
      <c r="C305">
        <v>8</v>
      </c>
      <c r="E305">
        <f t="shared" si="19"/>
        <v>3.4810000000000192E-3</v>
      </c>
    </row>
    <row r="306" spans="3:5" x14ac:dyDescent="0.25">
      <c r="C306">
        <v>8</v>
      </c>
      <c r="E306">
        <f t="shared" si="19"/>
        <v>3.4810000000000192E-3</v>
      </c>
    </row>
    <row r="307" spans="3:5" x14ac:dyDescent="0.25">
      <c r="C307">
        <v>7</v>
      </c>
      <c r="E307">
        <f t="shared" si="19"/>
        <v>0.88548099999999974</v>
      </c>
    </row>
    <row r="308" spans="3:5" x14ac:dyDescent="0.25">
      <c r="C308">
        <v>8</v>
      </c>
      <c r="E308">
        <f t="shared" si="19"/>
        <v>3.4810000000000192E-3</v>
      </c>
    </row>
    <row r="309" spans="3:5" x14ac:dyDescent="0.25">
      <c r="C309">
        <v>7</v>
      </c>
      <c r="E309">
        <f t="shared" si="19"/>
        <v>0.88548099999999974</v>
      </c>
    </row>
    <row r="310" spans="3:5" x14ac:dyDescent="0.25">
      <c r="C310">
        <v>9</v>
      </c>
      <c r="E310">
        <f t="shared" si="19"/>
        <v>1.1214810000000004</v>
      </c>
    </row>
    <row r="311" spans="3:5" x14ac:dyDescent="0.25">
      <c r="C311">
        <v>5</v>
      </c>
      <c r="E311">
        <f t="shared" si="19"/>
        <v>8.6494809999999998</v>
      </c>
    </row>
    <row r="312" spans="3:5" x14ac:dyDescent="0.25">
      <c r="C312">
        <v>5</v>
      </c>
      <c r="E312">
        <f t="shared" si="19"/>
        <v>8.6494809999999998</v>
      </c>
    </row>
    <row r="313" spans="3:5" x14ac:dyDescent="0.25">
      <c r="C313">
        <v>9</v>
      </c>
      <c r="E313">
        <f t="shared" si="19"/>
        <v>1.1214810000000004</v>
      </c>
    </row>
    <row r="314" spans="3:5" x14ac:dyDescent="0.25">
      <c r="C314">
        <v>12</v>
      </c>
      <c r="E314">
        <f t="shared" si="19"/>
        <v>16.475481000000002</v>
      </c>
    </row>
    <row r="315" spans="3:5" x14ac:dyDescent="0.25">
      <c r="C315">
        <v>11</v>
      </c>
      <c r="E315">
        <f t="shared" si="19"/>
        <v>9.3574810000000017</v>
      </c>
    </row>
    <row r="316" spans="3:5" x14ac:dyDescent="0.25">
      <c r="C316">
        <v>6</v>
      </c>
      <c r="E316">
        <f t="shared" si="19"/>
        <v>3.7674809999999992</v>
      </c>
    </row>
    <row r="317" spans="3:5" x14ac:dyDescent="0.25">
      <c r="C317">
        <v>10</v>
      </c>
      <c r="E317">
        <f t="shared" si="19"/>
        <v>4.2394810000000005</v>
      </c>
    </row>
    <row r="318" spans="3:5" x14ac:dyDescent="0.25">
      <c r="C318">
        <v>7</v>
      </c>
      <c r="E318">
        <f t="shared" si="19"/>
        <v>0.88548099999999974</v>
      </c>
    </row>
    <row r="319" spans="3:5" x14ac:dyDescent="0.25">
      <c r="C319">
        <v>6</v>
      </c>
      <c r="E319">
        <f t="shared" si="19"/>
        <v>3.7674809999999992</v>
      </c>
    </row>
    <row r="320" spans="3:5" x14ac:dyDescent="0.25">
      <c r="C320">
        <v>5</v>
      </c>
      <c r="E320">
        <f t="shared" si="19"/>
        <v>8.6494809999999998</v>
      </c>
    </row>
    <row r="321" spans="3:5" x14ac:dyDescent="0.25">
      <c r="C321">
        <v>5</v>
      </c>
      <c r="E321">
        <f t="shared" si="19"/>
        <v>8.6494809999999998</v>
      </c>
    </row>
    <row r="322" spans="3:5" x14ac:dyDescent="0.25">
      <c r="C322">
        <v>5</v>
      </c>
      <c r="E322">
        <f t="shared" si="19"/>
        <v>8.6494809999999998</v>
      </c>
    </row>
    <row r="323" spans="3:5" x14ac:dyDescent="0.25">
      <c r="C323">
        <v>6</v>
      </c>
      <c r="E323">
        <f t="shared" si="19"/>
        <v>3.7674809999999992</v>
      </c>
    </row>
    <row r="324" spans="3:5" x14ac:dyDescent="0.25">
      <c r="C324">
        <v>6</v>
      </c>
      <c r="E324">
        <f t="shared" si="19"/>
        <v>3.7674809999999992</v>
      </c>
    </row>
    <row r="325" spans="3:5" x14ac:dyDescent="0.25">
      <c r="C325">
        <v>3</v>
      </c>
      <c r="E325">
        <f t="shared" si="19"/>
        <v>24.413480999999997</v>
      </c>
    </row>
    <row r="326" spans="3:5" x14ac:dyDescent="0.25">
      <c r="C326">
        <v>4</v>
      </c>
      <c r="E326">
        <f t="shared" si="19"/>
        <v>15.531480999999999</v>
      </c>
    </row>
    <row r="327" spans="3:5" x14ac:dyDescent="0.25">
      <c r="C327">
        <v>10</v>
      </c>
      <c r="E327">
        <f t="shared" si="19"/>
        <v>4.2394810000000005</v>
      </c>
    </row>
    <row r="328" spans="3:5" x14ac:dyDescent="0.25">
      <c r="C328">
        <v>9</v>
      </c>
      <c r="E328">
        <f t="shared" si="19"/>
        <v>1.1214810000000004</v>
      </c>
    </row>
    <row r="329" spans="3:5" x14ac:dyDescent="0.25">
      <c r="C329">
        <v>5</v>
      </c>
      <c r="E329">
        <f t="shared" si="19"/>
        <v>8.6494809999999998</v>
      </c>
    </row>
    <row r="330" spans="3:5" x14ac:dyDescent="0.25">
      <c r="C330">
        <v>13</v>
      </c>
      <c r="E330">
        <f t="shared" si="19"/>
        <v>25.593481000000001</v>
      </c>
    </row>
    <row r="331" spans="3:5" x14ac:dyDescent="0.25">
      <c r="C331">
        <v>12</v>
      </c>
      <c r="E331">
        <f t="shared" si="19"/>
        <v>16.475481000000002</v>
      </c>
    </row>
    <row r="332" spans="3:5" x14ac:dyDescent="0.25">
      <c r="C332">
        <v>9</v>
      </c>
      <c r="E332">
        <f t="shared" si="19"/>
        <v>1.1214810000000004</v>
      </c>
    </row>
    <row r="333" spans="3:5" x14ac:dyDescent="0.25">
      <c r="C333">
        <v>3</v>
      </c>
      <c r="E333">
        <f t="shared" si="19"/>
        <v>24.413480999999997</v>
      </c>
    </row>
    <row r="334" spans="3:5" x14ac:dyDescent="0.25">
      <c r="C334">
        <v>6</v>
      </c>
      <c r="E334">
        <f t="shared" si="19"/>
        <v>3.7674809999999992</v>
      </c>
    </row>
    <row r="335" spans="3:5" x14ac:dyDescent="0.25">
      <c r="C335">
        <v>9</v>
      </c>
      <c r="E335">
        <f t="shared" ref="E335:E398" si="21">(C335-$B$142)^2</f>
        <v>1.1214810000000004</v>
      </c>
    </row>
    <row r="336" spans="3:5" x14ac:dyDescent="0.25">
      <c r="C336">
        <v>7</v>
      </c>
      <c r="E336">
        <f t="shared" si="21"/>
        <v>0.88548099999999974</v>
      </c>
    </row>
    <row r="337" spans="3:5" x14ac:dyDescent="0.25">
      <c r="C337">
        <v>9</v>
      </c>
      <c r="E337">
        <f t="shared" si="21"/>
        <v>1.1214810000000004</v>
      </c>
    </row>
    <row r="338" spans="3:5" x14ac:dyDescent="0.25">
      <c r="C338">
        <v>11</v>
      </c>
      <c r="E338">
        <f t="shared" si="21"/>
        <v>9.3574810000000017</v>
      </c>
    </row>
    <row r="339" spans="3:5" x14ac:dyDescent="0.25">
      <c r="C339">
        <v>11</v>
      </c>
      <c r="E339">
        <f t="shared" si="21"/>
        <v>9.3574810000000017</v>
      </c>
    </row>
    <row r="340" spans="3:5" x14ac:dyDescent="0.25">
      <c r="C340">
        <v>8</v>
      </c>
      <c r="E340">
        <f t="shared" si="21"/>
        <v>3.4810000000000192E-3</v>
      </c>
    </row>
    <row r="341" spans="3:5" x14ac:dyDescent="0.25">
      <c r="C341">
        <v>8</v>
      </c>
      <c r="E341">
        <f t="shared" si="21"/>
        <v>3.4810000000000192E-3</v>
      </c>
    </row>
    <row r="342" spans="3:5" x14ac:dyDescent="0.25">
      <c r="C342">
        <v>13</v>
      </c>
      <c r="E342">
        <f t="shared" si="21"/>
        <v>25.593481000000001</v>
      </c>
    </row>
    <row r="343" spans="3:5" x14ac:dyDescent="0.25">
      <c r="C343">
        <v>7</v>
      </c>
      <c r="E343">
        <f t="shared" si="21"/>
        <v>0.88548099999999974</v>
      </c>
    </row>
    <row r="344" spans="3:5" x14ac:dyDescent="0.25">
      <c r="C344">
        <v>7</v>
      </c>
      <c r="E344">
        <f t="shared" si="21"/>
        <v>0.88548099999999974</v>
      </c>
    </row>
    <row r="345" spans="3:5" x14ac:dyDescent="0.25">
      <c r="C345">
        <v>6</v>
      </c>
      <c r="E345">
        <f t="shared" si="21"/>
        <v>3.7674809999999992</v>
      </c>
    </row>
    <row r="346" spans="3:5" x14ac:dyDescent="0.25">
      <c r="C346">
        <v>13</v>
      </c>
      <c r="E346">
        <f t="shared" si="21"/>
        <v>25.593481000000001</v>
      </c>
    </row>
    <row r="347" spans="3:5" x14ac:dyDescent="0.25">
      <c r="C347">
        <v>5</v>
      </c>
      <c r="E347">
        <f t="shared" si="21"/>
        <v>8.6494809999999998</v>
      </c>
    </row>
    <row r="348" spans="3:5" x14ac:dyDescent="0.25">
      <c r="C348">
        <v>8</v>
      </c>
      <c r="E348">
        <f t="shared" si="21"/>
        <v>3.4810000000000192E-3</v>
      </c>
    </row>
    <row r="349" spans="3:5" x14ac:dyDescent="0.25">
      <c r="C349">
        <v>8</v>
      </c>
      <c r="E349">
        <f t="shared" si="21"/>
        <v>3.4810000000000192E-3</v>
      </c>
    </row>
    <row r="350" spans="3:5" x14ac:dyDescent="0.25">
      <c r="C350">
        <v>4</v>
      </c>
      <c r="E350">
        <f t="shared" si="21"/>
        <v>15.531480999999999</v>
      </c>
    </row>
    <row r="351" spans="3:5" x14ac:dyDescent="0.25">
      <c r="C351">
        <v>7</v>
      </c>
      <c r="E351">
        <f t="shared" si="21"/>
        <v>0.88548099999999974</v>
      </c>
    </row>
    <row r="352" spans="3:5" x14ac:dyDescent="0.25">
      <c r="C352">
        <v>7</v>
      </c>
      <c r="E352">
        <f t="shared" si="21"/>
        <v>0.88548099999999974</v>
      </c>
    </row>
    <row r="353" spans="3:5" x14ac:dyDescent="0.25">
      <c r="C353">
        <v>5</v>
      </c>
      <c r="E353">
        <f t="shared" si="21"/>
        <v>8.6494809999999998</v>
      </c>
    </row>
    <row r="354" spans="3:5" x14ac:dyDescent="0.25">
      <c r="C354">
        <v>2</v>
      </c>
      <c r="E354">
        <f t="shared" si="21"/>
        <v>35.295480999999995</v>
      </c>
    </row>
    <row r="355" spans="3:5" x14ac:dyDescent="0.25">
      <c r="C355">
        <v>15</v>
      </c>
      <c r="E355">
        <f t="shared" si="21"/>
        <v>49.829481000000001</v>
      </c>
    </row>
    <row r="356" spans="3:5" x14ac:dyDescent="0.25">
      <c r="C356">
        <v>10</v>
      </c>
      <c r="E356">
        <f t="shared" si="21"/>
        <v>4.2394810000000005</v>
      </c>
    </row>
    <row r="357" spans="3:5" x14ac:dyDescent="0.25">
      <c r="C357">
        <v>9</v>
      </c>
      <c r="E357">
        <f t="shared" si="21"/>
        <v>1.1214810000000004</v>
      </c>
    </row>
    <row r="358" spans="3:5" x14ac:dyDescent="0.25">
      <c r="C358">
        <v>5</v>
      </c>
      <c r="E358">
        <f t="shared" si="21"/>
        <v>8.6494809999999998</v>
      </c>
    </row>
    <row r="359" spans="3:5" x14ac:dyDescent="0.25">
      <c r="C359">
        <v>5</v>
      </c>
      <c r="E359">
        <f t="shared" si="21"/>
        <v>8.6494809999999998</v>
      </c>
    </row>
    <row r="360" spans="3:5" x14ac:dyDescent="0.25">
      <c r="C360">
        <v>12</v>
      </c>
      <c r="E360">
        <f t="shared" si="21"/>
        <v>16.475481000000002</v>
      </c>
    </row>
    <row r="361" spans="3:5" x14ac:dyDescent="0.25">
      <c r="C361">
        <v>4</v>
      </c>
      <c r="E361">
        <f t="shared" si="21"/>
        <v>15.531480999999999</v>
      </c>
    </row>
    <row r="362" spans="3:5" x14ac:dyDescent="0.25">
      <c r="C362">
        <v>6</v>
      </c>
      <c r="E362">
        <f t="shared" si="21"/>
        <v>3.7674809999999992</v>
      </c>
    </row>
    <row r="363" spans="3:5" x14ac:dyDescent="0.25">
      <c r="C363">
        <v>4</v>
      </c>
      <c r="E363">
        <f t="shared" si="21"/>
        <v>15.531480999999999</v>
      </c>
    </row>
    <row r="364" spans="3:5" x14ac:dyDescent="0.25">
      <c r="C364">
        <v>9</v>
      </c>
      <c r="E364">
        <f t="shared" si="21"/>
        <v>1.1214810000000004</v>
      </c>
    </row>
    <row r="365" spans="3:5" x14ac:dyDescent="0.25">
      <c r="C365">
        <v>9</v>
      </c>
      <c r="E365">
        <f t="shared" si="21"/>
        <v>1.1214810000000004</v>
      </c>
    </row>
    <row r="366" spans="3:5" x14ac:dyDescent="0.25">
      <c r="C366">
        <v>3</v>
      </c>
      <c r="E366">
        <f t="shared" si="21"/>
        <v>24.413480999999997</v>
      </c>
    </row>
    <row r="367" spans="3:5" x14ac:dyDescent="0.25">
      <c r="C367">
        <v>11</v>
      </c>
      <c r="E367">
        <f t="shared" si="21"/>
        <v>9.3574810000000017</v>
      </c>
    </row>
    <row r="368" spans="3:5" x14ac:dyDescent="0.25">
      <c r="C368">
        <v>6</v>
      </c>
      <c r="E368">
        <f t="shared" si="21"/>
        <v>3.7674809999999992</v>
      </c>
    </row>
    <row r="369" spans="3:5" x14ac:dyDescent="0.25">
      <c r="C369">
        <v>8</v>
      </c>
      <c r="E369">
        <f t="shared" si="21"/>
        <v>3.4810000000000192E-3</v>
      </c>
    </row>
    <row r="370" spans="3:5" x14ac:dyDescent="0.25">
      <c r="C370">
        <v>5</v>
      </c>
      <c r="E370">
        <f t="shared" si="21"/>
        <v>8.6494809999999998</v>
      </c>
    </row>
    <row r="371" spans="3:5" x14ac:dyDescent="0.25">
      <c r="C371">
        <v>8</v>
      </c>
      <c r="E371">
        <f t="shared" si="21"/>
        <v>3.4810000000000192E-3</v>
      </c>
    </row>
    <row r="372" spans="3:5" x14ac:dyDescent="0.25">
      <c r="C372">
        <v>5</v>
      </c>
      <c r="E372">
        <f t="shared" si="21"/>
        <v>8.6494809999999998</v>
      </c>
    </row>
    <row r="373" spans="3:5" x14ac:dyDescent="0.25">
      <c r="C373">
        <v>8</v>
      </c>
      <c r="E373">
        <f t="shared" si="21"/>
        <v>3.4810000000000192E-3</v>
      </c>
    </row>
    <row r="374" spans="3:5" x14ac:dyDescent="0.25">
      <c r="C374">
        <v>4</v>
      </c>
      <c r="E374">
        <f t="shared" si="21"/>
        <v>15.531480999999999</v>
      </c>
    </row>
    <row r="375" spans="3:5" x14ac:dyDescent="0.25">
      <c r="C375">
        <v>6</v>
      </c>
      <c r="E375">
        <f t="shared" si="21"/>
        <v>3.7674809999999992</v>
      </c>
    </row>
    <row r="376" spans="3:5" x14ac:dyDescent="0.25">
      <c r="C376">
        <v>6</v>
      </c>
      <c r="E376">
        <f t="shared" si="21"/>
        <v>3.7674809999999992</v>
      </c>
    </row>
    <row r="377" spans="3:5" x14ac:dyDescent="0.25">
      <c r="C377">
        <v>10</v>
      </c>
      <c r="E377">
        <f t="shared" si="21"/>
        <v>4.2394810000000005</v>
      </c>
    </row>
    <row r="378" spans="3:5" x14ac:dyDescent="0.25">
      <c r="C378">
        <v>5</v>
      </c>
      <c r="E378">
        <f t="shared" si="21"/>
        <v>8.6494809999999998</v>
      </c>
    </row>
    <row r="379" spans="3:5" x14ac:dyDescent="0.25">
      <c r="C379">
        <v>5</v>
      </c>
      <c r="E379">
        <f t="shared" si="21"/>
        <v>8.6494809999999998</v>
      </c>
    </row>
    <row r="380" spans="3:5" x14ac:dyDescent="0.25">
      <c r="C380">
        <v>12</v>
      </c>
      <c r="E380">
        <f t="shared" si="21"/>
        <v>16.475481000000002</v>
      </c>
    </row>
    <row r="381" spans="3:5" x14ac:dyDescent="0.25">
      <c r="C381">
        <v>8</v>
      </c>
      <c r="E381">
        <f t="shared" si="21"/>
        <v>3.4810000000000192E-3</v>
      </c>
    </row>
    <row r="382" spans="3:5" x14ac:dyDescent="0.25">
      <c r="C382">
        <v>11</v>
      </c>
      <c r="E382">
        <f t="shared" si="21"/>
        <v>9.3574810000000017</v>
      </c>
    </row>
    <row r="383" spans="3:5" x14ac:dyDescent="0.25">
      <c r="C383">
        <v>11</v>
      </c>
      <c r="E383">
        <f t="shared" si="21"/>
        <v>9.3574810000000017</v>
      </c>
    </row>
    <row r="384" spans="3:5" x14ac:dyDescent="0.25">
      <c r="C384">
        <v>17</v>
      </c>
      <c r="E384">
        <f t="shared" si="21"/>
        <v>82.06548100000002</v>
      </c>
    </row>
    <row r="385" spans="3:5" x14ac:dyDescent="0.25">
      <c r="C385">
        <v>11</v>
      </c>
      <c r="E385">
        <f t="shared" si="21"/>
        <v>9.3574810000000017</v>
      </c>
    </row>
    <row r="386" spans="3:5" x14ac:dyDescent="0.25">
      <c r="C386">
        <v>6</v>
      </c>
      <c r="E386">
        <f t="shared" si="21"/>
        <v>3.7674809999999992</v>
      </c>
    </row>
    <row r="387" spans="3:5" x14ac:dyDescent="0.25">
      <c r="C387">
        <v>9</v>
      </c>
      <c r="E387">
        <f t="shared" si="21"/>
        <v>1.1214810000000004</v>
      </c>
    </row>
    <row r="388" spans="3:5" x14ac:dyDescent="0.25">
      <c r="C388">
        <v>12</v>
      </c>
      <c r="E388">
        <f t="shared" si="21"/>
        <v>16.475481000000002</v>
      </c>
    </row>
    <row r="389" spans="3:5" x14ac:dyDescent="0.25">
      <c r="C389">
        <v>4</v>
      </c>
      <c r="E389">
        <f t="shared" si="21"/>
        <v>15.531480999999999</v>
      </c>
    </row>
    <row r="390" spans="3:5" x14ac:dyDescent="0.25">
      <c r="C390">
        <v>5</v>
      </c>
      <c r="E390">
        <f t="shared" si="21"/>
        <v>8.6494809999999998</v>
      </c>
    </row>
    <row r="391" spans="3:5" x14ac:dyDescent="0.25">
      <c r="C391">
        <v>9</v>
      </c>
      <c r="E391">
        <f t="shared" si="21"/>
        <v>1.1214810000000004</v>
      </c>
    </row>
    <row r="392" spans="3:5" x14ac:dyDescent="0.25">
      <c r="C392">
        <v>10</v>
      </c>
      <c r="E392">
        <f t="shared" si="21"/>
        <v>4.2394810000000005</v>
      </c>
    </row>
    <row r="393" spans="3:5" x14ac:dyDescent="0.25">
      <c r="C393">
        <v>9</v>
      </c>
      <c r="E393">
        <f t="shared" si="21"/>
        <v>1.1214810000000004</v>
      </c>
    </row>
    <row r="394" spans="3:5" x14ac:dyDescent="0.25">
      <c r="C394">
        <v>6</v>
      </c>
      <c r="E394">
        <f t="shared" si="21"/>
        <v>3.7674809999999992</v>
      </c>
    </row>
    <row r="395" spans="3:5" x14ac:dyDescent="0.25">
      <c r="C395">
        <v>11</v>
      </c>
      <c r="E395">
        <f t="shared" si="21"/>
        <v>9.3574810000000017</v>
      </c>
    </row>
    <row r="396" spans="3:5" x14ac:dyDescent="0.25">
      <c r="C396">
        <v>5</v>
      </c>
      <c r="E396">
        <f t="shared" si="21"/>
        <v>8.6494809999999998</v>
      </c>
    </row>
    <row r="397" spans="3:5" x14ac:dyDescent="0.25">
      <c r="C397">
        <v>13</v>
      </c>
      <c r="E397">
        <f t="shared" si="21"/>
        <v>25.593481000000001</v>
      </c>
    </row>
    <row r="398" spans="3:5" x14ac:dyDescent="0.25">
      <c r="C398">
        <v>10</v>
      </c>
      <c r="E398">
        <f t="shared" si="21"/>
        <v>4.2394810000000005</v>
      </c>
    </row>
    <row r="399" spans="3:5" x14ac:dyDescent="0.25">
      <c r="C399">
        <v>10</v>
      </c>
      <c r="E399">
        <f t="shared" ref="E399:E462" si="22">(C399-$B$142)^2</f>
        <v>4.2394810000000005</v>
      </c>
    </row>
    <row r="400" spans="3:5" x14ac:dyDescent="0.25">
      <c r="C400">
        <v>6</v>
      </c>
      <c r="E400">
        <f t="shared" si="22"/>
        <v>3.7674809999999992</v>
      </c>
    </row>
    <row r="401" spans="3:5" x14ac:dyDescent="0.25">
      <c r="C401">
        <v>14</v>
      </c>
      <c r="E401">
        <f t="shared" si="22"/>
        <v>36.711480999999999</v>
      </c>
    </row>
    <row r="402" spans="3:5" x14ac:dyDescent="0.25">
      <c r="C402">
        <v>10</v>
      </c>
      <c r="E402">
        <f t="shared" si="22"/>
        <v>4.2394810000000005</v>
      </c>
    </row>
    <row r="403" spans="3:5" x14ac:dyDescent="0.25">
      <c r="C403">
        <v>4</v>
      </c>
      <c r="E403">
        <f t="shared" si="22"/>
        <v>15.531480999999999</v>
      </c>
    </row>
    <row r="404" spans="3:5" x14ac:dyDescent="0.25">
      <c r="C404">
        <v>8</v>
      </c>
      <c r="E404">
        <f t="shared" si="22"/>
        <v>3.4810000000000192E-3</v>
      </c>
    </row>
    <row r="405" spans="3:5" x14ac:dyDescent="0.25">
      <c r="C405">
        <v>2</v>
      </c>
      <c r="E405">
        <f t="shared" si="22"/>
        <v>35.295480999999995</v>
      </c>
    </row>
    <row r="406" spans="3:5" x14ac:dyDescent="0.25">
      <c r="C406">
        <v>10</v>
      </c>
      <c r="E406">
        <f t="shared" si="22"/>
        <v>4.2394810000000005</v>
      </c>
    </row>
    <row r="407" spans="3:5" x14ac:dyDescent="0.25">
      <c r="C407">
        <v>9</v>
      </c>
      <c r="E407">
        <f t="shared" si="22"/>
        <v>1.1214810000000004</v>
      </c>
    </row>
    <row r="408" spans="3:5" x14ac:dyDescent="0.25">
      <c r="C408">
        <v>5</v>
      </c>
      <c r="E408">
        <f t="shared" si="22"/>
        <v>8.6494809999999998</v>
      </c>
    </row>
    <row r="409" spans="3:5" x14ac:dyDescent="0.25">
      <c r="C409">
        <v>8</v>
      </c>
      <c r="E409">
        <f t="shared" si="22"/>
        <v>3.4810000000000192E-3</v>
      </c>
    </row>
    <row r="410" spans="3:5" x14ac:dyDescent="0.25">
      <c r="C410">
        <v>6</v>
      </c>
      <c r="E410">
        <f t="shared" si="22"/>
        <v>3.7674809999999992</v>
      </c>
    </row>
    <row r="411" spans="3:5" x14ac:dyDescent="0.25">
      <c r="C411">
        <v>7</v>
      </c>
      <c r="E411">
        <f t="shared" si="22"/>
        <v>0.88548099999999974</v>
      </c>
    </row>
    <row r="412" spans="3:5" x14ac:dyDescent="0.25">
      <c r="C412">
        <v>10</v>
      </c>
      <c r="E412">
        <f t="shared" si="22"/>
        <v>4.2394810000000005</v>
      </c>
    </row>
    <row r="413" spans="3:5" x14ac:dyDescent="0.25">
      <c r="C413">
        <v>10</v>
      </c>
      <c r="E413">
        <f t="shared" si="22"/>
        <v>4.2394810000000005</v>
      </c>
    </row>
    <row r="414" spans="3:5" x14ac:dyDescent="0.25">
      <c r="C414">
        <v>5</v>
      </c>
      <c r="E414">
        <f t="shared" si="22"/>
        <v>8.6494809999999998</v>
      </c>
    </row>
    <row r="415" spans="3:5" x14ac:dyDescent="0.25">
      <c r="C415">
        <v>6</v>
      </c>
      <c r="E415">
        <f t="shared" si="22"/>
        <v>3.7674809999999992</v>
      </c>
    </row>
    <row r="416" spans="3:5" x14ac:dyDescent="0.25">
      <c r="C416">
        <v>6</v>
      </c>
      <c r="E416">
        <f t="shared" si="22"/>
        <v>3.7674809999999992</v>
      </c>
    </row>
    <row r="417" spans="3:5" x14ac:dyDescent="0.25">
      <c r="C417">
        <v>9</v>
      </c>
      <c r="E417">
        <f t="shared" si="22"/>
        <v>1.1214810000000004</v>
      </c>
    </row>
    <row r="418" spans="3:5" x14ac:dyDescent="0.25">
      <c r="C418">
        <v>7</v>
      </c>
      <c r="E418">
        <f t="shared" si="22"/>
        <v>0.88548099999999974</v>
      </c>
    </row>
    <row r="419" spans="3:5" x14ac:dyDescent="0.25">
      <c r="C419">
        <v>4</v>
      </c>
      <c r="E419">
        <f t="shared" si="22"/>
        <v>15.531480999999999</v>
      </c>
    </row>
    <row r="420" spans="3:5" x14ac:dyDescent="0.25">
      <c r="C420">
        <v>10</v>
      </c>
      <c r="E420">
        <f t="shared" si="22"/>
        <v>4.2394810000000005</v>
      </c>
    </row>
    <row r="421" spans="3:5" x14ac:dyDescent="0.25">
      <c r="C421">
        <v>4</v>
      </c>
      <c r="E421">
        <f t="shared" si="22"/>
        <v>15.531480999999999</v>
      </c>
    </row>
    <row r="422" spans="3:5" x14ac:dyDescent="0.25">
      <c r="C422">
        <v>8</v>
      </c>
      <c r="E422">
        <f t="shared" si="22"/>
        <v>3.4810000000000192E-3</v>
      </c>
    </row>
    <row r="423" spans="3:5" x14ac:dyDescent="0.25">
      <c r="C423">
        <v>4</v>
      </c>
      <c r="E423">
        <f t="shared" si="22"/>
        <v>15.531480999999999</v>
      </c>
    </row>
    <row r="424" spans="3:5" x14ac:dyDescent="0.25">
      <c r="C424">
        <v>9</v>
      </c>
      <c r="E424">
        <f t="shared" si="22"/>
        <v>1.1214810000000004</v>
      </c>
    </row>
    <row r="425" spans="3:5" x14ac:dyDescent="0.25">
      <c r="C425">
        <v>12</v>
      </c>
      <c r="E425">
        <f t="shared" si="22"/>
        <v>16.475481000000002</v>
      </c>
    </row>
    <row r="426" spans="3:5" x14ac:dyDescent="0.25">
      <c r="C426">
        <v>4</v>
      </c>
      <c r="E426">
        <f t="shared" si="22"/>
        <v>15.531480999999999</v>
      </c>
    </row>
    <row r="427" spans="3:5" x14ac:dyDescent="0.25">
      <c r="C427">
        <v>10</v>
      </c>
      <c r="E427">
        <f t="shared" si="22"/>
        <v>4.2394810000000005</v>
      </c>
    </row>
    <row r="428" spans="3:5" x14ac:dyDescent="0.25">
      <c r="C428">
        <v>8</v>
      </c>
      <c r="E428">
        <f t="shared" si="22"/>
        <v>3.4810000000000192E-3</v>
      </c>
    </row>
    <row r="429" spans="3:5" x14ac:dyDescent="0.25">
      <c r="C429">
        <v>4</v>
      </c>
      <c r="E429">
        <f t="shared" si="22"/>
        <v>15.531480999999999</v>
      </c>
    </row>
    <row r="430" spans="3:5" x14ac:dyDescent="0.25">
      <c r="C430">
        <v>4</v>
      </c>
      <c r="E430">
        <f t="shared" si="22"/>
        <v>15.531480999999999</v>
      </c>
    </row>
    <row r="431" spans="3:5" x14ac:dyDescent="0.25">
      <c r="C431">
        <v>12</v>
      </c>
      <c r="E431">
        <f t="shared" si="22"/>
        <v>16.475481000000002</v>
      </c>
    </row>
    <row r="432" spans="3:5" x14ac:dyDescent="0.25">
      <c r="C432">
        <v>7</v>
      </c>
      <c r="E432">
        <f t="shared" si="22"/>
        <v>0.88548099999999974</v>
      </c>
    </row>
    <row r="433" spans="3:5" x14ac:dyDescent="0.25">
      <c r="C433">
        <v>10</v>
      </c>
      <c r="E433">
        <f t="shared" si="22"/>
        <v>4.2394810000000005</v>
      </c>
    </row>
    <row r="434" spans="3:5" x14ac:dyDescent="0.25">
      <c r="C434">
        <v>9</v>
      </c>
      <c r="E434">
        <f t="shared" si="22"/>
        <v>1.1214810000000004</v>
      </c>
    </row>
    <row r="435" spans="3:5" x14ac:dyDescent="0.25">
      <c r="C435">
        <v>5</v>
      </c>
      <c r="E435">
        <f t="shared" si="22"/>
        <v>8.6494809999999998</v>
      </c>
    </row>
    <row r="436" spans="3:5" x14ac:dyDescent="0.25">
      <c r="C436">
        <v>9</v>
      </c>
      <c r="E436">
        <f t="shared" si="22"/>
        <v>1.1214810000000004</v>
      </c>
    </row>
    <row r="437" spans="3:5" x14ac:dyDescent="0.25">
      <c r="C437">
        <v>4</v>
      </c>
      <c r="E437">
        <f t="shared" si="22"/>
        <v>15.531480999999999</v>
      </c>
    </row>
    <row r="438" spans="3:5" x14ac:dyDescent="0.25">
      <c r="C438">
        <v>14</v>
      </c>
      <c r="E438">
        <f t="shared" si="22"/>
        <v>36.711480999999999</v>
      </c>
    </row>
    <row r="439" spans="3:5" x14ac:dyDescent="0.25">
      <c r="C439">
        <v>6</v>
      </c>
      <c r="E439">
        <f t="shared" si="22"/>
        <v>3.7674809999999992</v>
      </c>
    </row>
    <row r="440" spans="3:5" x14ac:dyDescent="0.25">
      <c r="C440">
        <v>8</v>
      </c>
      <c r="E440">
        <f t="shared" si="22"/>
        <v>3.4810000000000192E-3</v>
      </c>
    </row>
    <row r="441" spans="3:5" x14ac:dyDescent="0.25">
      <c r="C441">
        <v>10</v>
      </c>
      <c r="E441">
        <f t="shared" si="22"/>
        <v>4.2394810000000005</v>
      </c>
    </row>
    <row r="442" spans="3:5" x14ac:dyDescent="0.25">
      <c r="C442">
        <v>6</v>
      </c>
      <c r="E442">
        <f t="shared" si="22"/>
        <v>3.7674809999999992</v>
      </c>
    </row>
    <row r="443" spans="3:5" x14ac:dyDescent="0.25">
      <c r="C443">
        <v>10</v>
      </c>
      <c r="E443">
        <f t="shared" si="22"/>
        <v>4.2394810000000005</v>
      </c>
    </row>
    <row r="444" spans="3:5" x14ac:dyDescent="0.25">
      <c r="C444">
        <v>10</v>
      </c>
      <c r="E444">
        <f t="shared" si="22"/>
        <v>4.2394810000000005</v>
      </c>
    </row>
    <row r="445" spans="3:5" x14ac:dyDescent="0.25">
      <c r="C445">
        <v>5</v>
      </c>
      <c r="E445">
        <f t="shared" si="22"/>
        <v>8.6494809999999998</v>
      </c>
    </row>
    <row r="446" spans="3:5" x14ac:dyDescent="0.25">
      <c r="C446">
        <v>8</v>
      </c>
      <c r="E446">
        <f t="shared" si="22"/>
        <v>3.4810000000000192E-3</v>
      </c>
    </row>
    <row r="447" spans="3:5" x14ac:dyDescent="0.25">
      <c r="C447">
        <v>3</v>
      </c>
      <c r="E447">
        <f t="shared" si="22"/>
        <v>24.413480999999997</v>
      </c>
    </row>
    <row r="448" spans="3:5" x14ac:dyDescent="0.25">
      <c r="C448">
        <v>9</v>
      </c>
      <c r="E448">
        <f t="shared" si="22"/>
        <v>1.1214810000000004</v>
      </c>
    </row>
    <row r="449" spans="3:5" x14ac:dyDescent="0.25">
      <c r="C449">
        <v>12</v>
      </c>
      <c r="E449">
        <f t="shared" si="22"/>
        <v>16.475481000000002</v>
      </c>
    </row>
    <row r="450" spans="3:5" x14ac:dyDescent="0.25">
      <c r="C450">
        <v>5</v>
      </c>
      <c r="E450">
        <f t="shared" si="22"/>
        <v>8.6494809999999998</v>
      </c>
    </row>
    <row r="451" spans="3:5" x14ac:dyDescent="0.25">
      <c r="C451">
        <v>9</v>
      </c>
      <c r="E451">
        <f t="shared" si="22"/>
        <v>1.1214810000000004</v>
      </c>
    </row>
    <row r="452" spans="3:5" x14ac:dyDescent="0.25">
      <c r="C452">
        <v>8</v>
      </c>
      <c r="E452">
        <f t="shared" si="22"/>
        <v>3.4810000000000192E-3</v>
      </c>
    </row>
    <row r="453" spans="3:5" x14ac:dyDescent="0.25">
      <c r="C453">
        <v>10</v>
      </c>
      <c r="E453">
        <f t="shared" si="22"/>
        <v>4.2394810000000005</v>
      </c>
    </row>
    <row r="454" spans="3:5" x14ac:dyDescent="0.25">
      <c r="C454">
        <v>6</v>
      </c>
      <c r="E454">
        <f t="shared" si="22"/>
        <v>3.7674809999999992</v>
      </c>
    </row>
    <row r="455" spans="3:5" x14ac:dyDescent="0.25">
      <c r="C455">
        <v>7</v>
      </c>
      <c r="E455">
        <f t="shared" si="22"/>
        <v>0.88548099999999974</v>
      </c>
    </row>
    <row r="456" spans="3:5" x14ac:dyDescent="0.25">
      <c r="C456">
        <v>7</v>
      </c>
      <c r="E456">
        <f t="shared" si="22"/>
        <v>0.88548099999999974</v>
      </c>
    </row>
    <row r="457" spans="3:5" x14ac:dyDescent="0.25">
      <c r="C457">
        <v>10</v>
      </c>
      <c r="E457">
        <f t="shared" si="22"/>
        <v>4.2394810000000005</v>
      </c>
    </row>
    <row r="458" spans="3:5" x14ac:dyDescent="0.25">
      <c r="C458">
        <v>9</v>
      </c>
      <c r="E458">
        <f t="shared" si="22"/>
        <v>1.1214810000000004</v>
      </c>
    </row>
    <row r="459" spans="3:5" x14ac:dyDescent="0.25">
      <c r="C459">
        <v>8</v>
      </c>
      <c r="E459">
        <f t="shared" si="22"/>
        <v>3.4810000000000192E-3</v>
      </c>
    </row>
    <row r="460" spans="3:5" x14ac:dyDescent="0.25">
      <c r="C460">
        <v>9</v>
      </c>
      <c r="E460">
        <f t="shared" si="22"/>
        <v>1.1214810000000004</v>
      </c>
    </row>
    <row r="461" spans="3:5" x14ac:dyDescent="0.25">
      <c r="C461">
        <v>12</v>
      </c>
      <c r="E461">
        <f t="shared" si="22"/>
        <v>16.475481000000002</v>
      </c>
    </row>
    <row r="462" spans="3:5" x14ac:dyDescent="0.25">
      <c r="C462">
        <v>9</v>
      </c>
      <c r="E462">
        <f t="shared" si="22"/>
        <v>1.1214810000000004</v>
      </c>
    </row>
    <row r="463" spans="3:5" x14ac:dyDescent="0.25">
      <c r="C463">
        <v>11</v>
      </c>
      <c r="E463">
        <f t="shared" ref="E463:E526" si="23">(C463-$B$142)^2</f>
        <v>9.3574810000000017</v>
      </c>
    </row>
    <row r="464" spans="3:5" x14ac:dyDescent="0.25">
      <c r="C464">
        <v>8</v>
      </c>
      <c r="E464">
        <f t="shared" si="23"/>
        <v>3.4810000000000192E-3</v>
      </c>
    </row>
    <row r="465" spans="3:5" x14ac:dyDescent="0.25">
      <c r="C465">
        <v>9</v>
      </c>
      <c r="E465">
        <f t="shared" si="23"/>
        <v>1.1214810000000004</v>
      </c>
    </row>
    <row r="466" spans="3:5" x14ac:dyDescent="0.25">
      <c r="C466">
        <v>6</v>
      </c>
      <c r="E466">
        <f t="shared" si="23"/>
        <v>3.7674809999999992</v>
      </c>
    </row>
    <row r="467" spans="3:5" x14ac:dyDescent="0.25">
      <c r="C467">
        <v>8</v>
      </c>
      <c r="E467">
        <f t="shared" si="23"/>
        <v>3.4810000000000192E-3</v>
      </c>
    </row>
    <row r="468" spans="3:5" x14ac:dyDescent="0.25">
      <c r="C468">
        <v>4</v>
      </c>
      <c r="E468">
        <f t="shared" si="23"/>
        <v>15.531480999999999</v>
      </c>
    </row>
    <row r="469" spans="3:5" x14ac:dyDescent="0.25">
      <c r="C469">
        <v>7</v>
      </c>
      <c r="E469">
        <f t="shared" si="23"/>
        <v>0.88548099999999974</v>
      </c>
    </row>
    <row r="470" spans="3:5" x14ac:dyDescent="0.25">
      <c r="C470">
        <v>9</v>
      </c>
      <c r="E470">
        <f t="shared" si="23"/>
        <v>1.1214810000000004</v>
      </c>
    </row>
    <row r="471" spans="3:5" x14ac:dyDescent="0.25">
      <c r="C471">
        <v>5</v>
      </c>
      <c r="E471">
        <f t="shared" si="23"/>
        <v>8.6494809999999998</v>
      </c>
    </row>
    <row r="472" spans="3:5" x14ac:dyDescent="0.25">
      <c r="C472">
        <v>0</v>
      </c>
      <c r="E472">
        <f t="shared" si="23"/>
        <v>63.059480999999998</v>
      </c>
    </row>
    <row r="473" spans="3:5" x14ac:dyDescent="0.25">
      <c r="C473">
        <v>4</v>
      </c>
      <c r="E473">
        <f t="shared" si="23"/>
        <v>15.531480999999999</v>
      </c>
    </row>
    <row r="474" spans="3:5" x14ac:dyDescent="0.25">
      <c r="C474">
        <v>8</v>
      </c>
      <c r="E474">
        <f t="shared" si="23"/>
        <v>3.4810000000000192E-3</v>
      </c>
    </row>
    <row r="475" spans="3:5" x14ac:dyDescent="0.25">
      <c r="C475">
        <v>11</v>
      </c>
      <c r="E475">
        <f t="shared" si="23"/>
        <v>9.3574810000000017</v>
      </c>
    </row>
    <row r="476" spans="3:5" x14ac:dyDescent="0.25">
      <c r="C476">
        <v>9</v>
      </c>
      <c r="E476">
        <f t="shared" si="23"/>
        <v>1.1214810000000004</v>
      </c>
    </row>
    <row r="477" spans="3:5" x14ac:dyDescent="0.25">
      <c r="C477">
        <v>10</v>
      </c>
      <c r="E477">
        <f t="shared" si="23"/>
        <v>4.2394810000000005</v>
      </c>
    </row>
    <row r="478" spans="3:5" x14ac:dyDescent="0.25">
      <c r="C478">
        <v>3</v>
      </c>
      <c r="E478">
        <f t="shared" si="23"/>
        <v>24.413480999999997</v>
      </c>
    </row>
    <row r="479" spans="3:5" x14ac:dyDescent="0.25">
      <c r="C479">
        <v>7</v>
      </c>
      <c r="E479">
        <f t="shared" si="23"/>
        <v>0.88548099999999974</v>
      </c>
    </row>
    <row r="480" spans="3:5" x14ac:dyDescent="0.25">
      <c r="C480">
        <v>6</v>
      </c>
      <c r="E480">
        <f t="shared" si="23"/>
        <v>3.7674809999999992</v>
      </c>
    </row>
    <row r="481" spans="3:5" x14ac:dyDescent="0.25">
      <c r="C481">
        <v>5</v>
      </c>
      <c r="E481">
        <f t="shared" si="23"/>
        <v>8.6494809999999998</v>
      </c>
    </row>
    <row r="482" spans="3:5" x14ac:dyDescent="0.25">
      <c r="C482">
        <v>9</v>
      </c>
      <c r="E482">
        <f t="shared" si="23"/>
        <v>1.1214810000000004</v>
      </c>
    </row>
    <row r="483" spans="3:5" x14ac:dyDescent="0.25">
      <c r="C483">
        <v>5</v>
      </c>
      <c r="E483">
        <f t="shared" si="23"/>
        <v>8.6494809999999998</v>
      </c>
    </row>
    <row r="484" spans="3:5" x14ac:dyDescent="0.25">
      <c r="C484">
        <v>11</v>
      </c>
      <c r="E484">
        <f t="shared" si="23"/>
        <v>9.3574810000000017</v>
      </c>
    </row>
    <row r="485" spans="3:5" x14ac:dyDescent="0.25">
      <c r="C485">
        <v>11</v>
      </c>
      <c r="E485">
        <f t="shared" si="23"/>
        <v>9.3574810000000017</v>
      </c>
    </row>
    <row r="486" spans="3:5" x14ac:dyDescent="0.25">
      <c r="C486">
        <v>11</v>
      </c>
      <c r="E486">
        <f t="shared" si="23"/>
        <v>9.3574810000000017</v>
      </c>
    </row>
    <row r="487" spans="3:5" x14ac:dyDescent="0.25">
      <c r="C487">
        <v>7</v>
      </c>
      <c r="E487">
        <f t="shared" si="23"/>
        <v>0.88548099999999974</v>
      </c>
    </row>
    <row r="488" spans="3:5" x14ac:dyDescent="0.25">
      <c r="C488">
        <v>10</v>
      </c>
      <c r="E488">
        <f t="shared" si="23"/>
        <v>4.2394810000000005</v>
      </c>
    </row>
    <row r="489" spans="3:5" x14ac:dyDescent="0.25">
      <c r="C489">
        <v>10</v>
      </c>
      <c r="E489">
        <f t="shared" si="23"/>
        <v>4.2394810000000005</v>
      </c>
    </row>
    <row r="490" spans="3:5" x14ac:dyDescent="0.25">
      <c r="C490">
        <v>10</v>
      </c>
      <c r="E490">
        <f t="shared" si="23"/>
        <v>4.2394810000000005</v>
      </c>
    </row>
    <row r="491" spans="3:5" x14ac:dyDescent="0.25">
      <c r="C491">
        <v>9</v>
      </c>
      <c r="E491">
        <f t="shared" si="23"/>
        <v>1.1214810000000004</v>
      </c>
    </row>
    <row r="492" spans="3:5" x14ac:dyDescent="0.25">
      <c r="C492">
        <v>7</v>
      </c>
      <c r="E492">
        <f t="shared" si="23"/>
        <v>0.88548099999999974</v>
      </c>
    </row>
    <row r="493" spans="3:5" x14ac:dyDescent="0.25">
      <c r="C493">
        <v>3</v>
      </c>
      <c r="E493">
        <f t="shared" si="23"/>
        <v>24.413480999999997</v>
      </c>
    </row>
    <row r="494" spans="3:5" x14ac:dyDescent="0.25">
      <c r="C494">
        <v>6</v>
      </c>
      <c r="E494">
        <f t="shared" si="23"/>
        <v>3.7674809999999992</v>
      </c>
    </row>
    <row r="495" spans="3:5" x14ac:dyDescent="0.25">
      <c r="C495">
        <v>5</v>
      </c>
      <c r="E495">
        <f t="shared" si="23"/>
        <v>8.6494809999999998</v>
      </c>
    </row>
    <row r="496" spans="3:5" x14ac:dyDescent="0.25">
      <c r="C496">
        <v>10</v>
      </c>
      <c r="E496">
        <f t="shared" si="23"/>
        <v>4.2394810000000005</v>
      </c>
    </row>
    <row r="497" spans="3:5" x14ac:dyDescent="0.25">
      <c r="C497">
        <v>6</v>
      </c>
      <c r="E497">
        <f t="shared" si="23"/>
        <v>3.7674809999999992</v>
      </c>
    </row>
    <row r="498" spans="3:5" x14ac:dyDescent="0.25">
      <c r="C498">
        <v>7</v>
      </c>
      <c r="E498">
        <f t="shared" si="23"/>
        <v>0.88548099999999974</v>
      </c>
    </row>
    <row r="499" spans="3:5" x14ac:dyDescent="0.25">
      <c r="C499">
        <v>6</v>
      </c>
      <c r="E499">
        <f t="shared" si="23"/>
        <v>3.7674809999999992</v>
      </c>
    </row>
    <row r="500" spans="3:5" x14ac:dyDescent="0.25">
      <c r="C500">
        <v>2</v>
      </c>
      <c r="E500">
        <f t="shared" si="23"/>
        <v>35.295480999999995</v>
      </c>
    </row>
    <row r="501" spans="3:5" x14ac:dyDescent="0.25">
      <c r="C501">
        <v>9</v>
      </c>
      <c r="E501">
        <f t="shared" si="23"/>
        <v>1.1214810000000004</v>
      </c>
    </row>
    <row r="502" spans="3:5" x14ac:dyDescent="0.25">
      <c r="C502">
        <v>9</v>
      </c>
      <c r="E502">
        <f t="shared" si="23"/>
        <v>1.1214810000000004</v>
      </c>
    </row>
    <row r="503" spans="3:5" x14ac:dyDescent="0.25">
      <c r="C503">
        <v>5</v>
      </c>
      <c r="E503">
        <f t="shared" si="23"/>
        <v>8.6494809999999998</v>
      </c>
    </row>
    <row r="504" spans="3:5" x14ac:dyDescent="0.25">
      <c r="C504">
        <v>9</v>
      </c>
      <c r="E504">
        <f t="shared" si="23"/>
        <v>1.1214810000000004</v>
      </c>
    </row>
    <row r="505" spans="3:5" x14ac:dyDescent="0.25">
      <c r="C505">
        <v>10</v>
      </c>
      <c r="E505">
        <f t="shared" si="23"/>
        <v>4.2394810000000005</v>
      </c>
    </row>
    <row r="506" spans="3:5" x14ac:dyDescent="0.25">
      <c r="C506">
        <v>7</v>
      </c>
      <c r="E506">
        <f t="shared" si="23"/>
        <v>0.88548099999999974</v>
      </c>
    </row>
    <row r="507" spans="3:5" x14ac:dyDescent="0.25">
      <c r="C507">
        <v>6</v>
      </c>
      <c r="E507">
        <f t="shared" si="23"/>
        <v>3.7674809999999992</v>
      </c>
    </row>
    <row r="508" spans="3:5" x14ac:dyDescent="0.25">
      <c r="C508">
        <v>4</v>
      </c>
      <c r="E508">
        <f t="shared" si="23"/>
        <v>15.531480999999999</v>
      </c>
    </row>
    <row r="509" spans="3:5" x14ac:dyDescent="0.25">
      <c r="C509">
        <v>9</v>
      </c>
      <c r="E509">
        <f t="shared" si="23"/>
        <v>1.1214810000000004</v>
      </c>
    </row>
    <row r="510" spans="3:5" x14ac:dyDescent="0.25">
      <c r="C510">
        <v>5</v>
      </c>
      <c r="E510">
        <f t="shared" si="23"/>
        <v>8.6494809999999998</v>
      </c>
    </row>
    <row r="511" spans="3:5" x14ac:dyDescent="0.25">
      <c r="C511">
        <v>7</v>
      </c>
      <c r="E511">
        <f t="shared" si="23"/>
        <v>0.88548099999999974</v>
      </c>
    </row>
    <row r="512" spans="3:5" x14ac:dyDescent="0.25">
      <c r="C512">
        <v>7</v>
      </c>
      <c r="E512">
        <f t="shared" si="23"/>
        <v>0.88548099999999974</v>
      </c>
    </row>
    <row r="513" spans="3:5" x14ac:dyDescent="0.25">
      <c r="C513">
        <v>7</v>
      </c>
      <c r="E513">
        <f t="shared" si="23"/>
        <v>0.88548099999999974</v>
      </c>
    </row>
    <row r="514" spans="3:5" x14ac:dyDescent="0.25">
      <c r="C514">
        <v>10</v>
      </c>
      <c r="E514">
        <f t="shared" si="23"/>
        <v>4.2394810000000005</v>
      </c>
    </row>
    <row r="515" spans="3:5" x14ac:dyDescent="0.25">
      <c r="C515">
        <v>5</v>
      </c>
      <c r="E515">
        <f t="shared" si="23"/>
        <v>8.6494809999999998</v>
      </c>
    </row>
    <row r="516" spans="3:5" x14ac:dyDescent="0.25">
      <c r="C516">
        <v>7</v>
      </c>
      <c r="E516">
        <f t="shared" si="23"/>
        <v>0.88548099999999974</v>
      </c>
    </row>
    <row r="517" spans="3:5" x14ac:dyDescent="0.25">
      <c r="C517">
        <v>7</v>
      </c>
      <c r="E517">
        <f t="shared" si="23"/>
        <v>0.88548099999999974</v>
      </c>
    </row>
    <row r="518" spans="3:5" x14ac:dyDescent="0.25">
      <c r="C518">
        <v>13</v>
      </c>
      <c r="E518">
        <f t="shared" si="23"/>
        <v>25.593481000000001</v>
      </c>
    </row>
    <row r="519" spans="3:5" x14ac:dyDescent="0.25">
      <c r="C519">
        <v>5</v>
      </c>
      <c r="E519">
        <f t="shared" si="23"/>
        <v>8.6494809999999998</v>
      </c>
    </row>
    <row r="520" spans="3:5" x14ac:dyDescent="0.25">
      <c r="C520">
        <v>8</v>
      </c>
      <c r="E520">
        <f t="shared" si="23"/>
        <v>3.4810000000000192E-3</v>
      </c>
    </row>
    <row r="521" spans="3:5" x14ac:dyDescent="0.25">
      <c r="C521">
        <v>5</v>
      </c>
      <c r="E521">
        <f t="shared" si="23"/>
        <v>8.6494809999999998</v>
      </c>
    </row>
    <row r="522" spans="3:5" x14ac:dyDescent="0.25">
      <c r="C522">
        <v>5</v>
      </c>
      <c r="E522">
        <f t="shared" si="23"/>
        <v>8.6494809999999998</v>
      </c>
    </row>
    <row r="523" spans="3:5" x14ac:dyDescent="0.25">
      <c r="C523">
        <v>6</v>
      </c>
      <c r="E523">
        <f t="shared" si="23"/>
        <v>3.7674809999999992</v>
      </c>
    </row>
    <row r="524" spans="3:5" x14ac:dyDescent="0.25">
      <c r="C524">
        <v>6</v>
      </c>
      <c r="E524">
        <f t="shared" si="23"/>
        <v>3.7674809999999992</v>
      </c>
    </row>
    <row r="525" spans="3:5" x14ac:dyDescent="0.25">
      <c r="C525">
        <v>6</v>
      </c>
      <c r="E525">
        <f t="shared" si="23"/>
        <v>3.7674809999999992</v>
      </c>
    </row>
    <row r="526" spans="3:5" x14ac:dyDescent="0.25">
      <c r="C526">
        <v>11</v>
      </c>
      <c r="E526">
        <f t="shared" si="23"/>
        <v>9.3574810000000017</v>
      </c>
    </row>
    <row r="527" spans="3:5" x14ac:dyDescent="0.25">
      <c r="C527">
        <v>8</v>
      </c>
      <c r="E527">
        <f t="shared" ref="E527:E590" si="24">(C527-$B$142)^2</f>
        <v>3.4810000000000192E-3</v>
      </c>
    </row>
    <row r="528" spans="3:5" x14ac:dyDescent="0.25">
      <c r="C528">
        <v>8</v>
      </c>
      <c r="E528">
        <f t="shared" si="24"/>
        <v>3.4810000000000192E-3</v>
      </c>
    </row>
    <row r="529" spans="3:5" x14ac:dyDescent="0.25">
      <c r="C529">
        <v>8</v>
      </c>
      <c r="E529">
        <f t="shared" si="24"/>
        <v>3.4810000000000192E-3</v>
      </c>
    </row>
    <row r="530" spans="3:5" x14ac:dyDescent="0.25">
      <c r="C530">
        <v>5</v>
      </c>
      <c r="E530">
        <f t="shared" si="24"/>
        <v>8.6494809999999998</v>
      </c>
    </row>
    <row r="531" spans="3:5" x14ac:dyDescent="0.25">
      <c r="C531">
        <v>10</v>
      </c>
      <c r="E531">
        <f t="shared" si="24"/>
        <v>4.2394810000000005</v>
      </c>
    </row>
    <row r="532" spans="3:5" x14ac:dyDescent="0.25">
      <c r="C532">
        <v>7</v>
      </c>
      <c r="E532">
        <f t="shared" si="24"/>
        <v>0.88548099999999974</v>
      </c>
    </row>
    <row r="533" spans="3:5" x14ac:dyDescent="0.25">
      <c r="C533">
        <v>6</v>
      </c>
      <c r="E533">
        <f t="shared" si="24"/>
        <v>3.7674809999999992</v>
      </c>
    </row>
    <row r="534" spans="3:5" x14ac:dyDescent="0.25">
      <c r="C534">
        <v>8</v>
      </c>
      <c r="E534">
        <f t="shared" si="24"/>
        <v>3.4810000000000192E-3</v>
      </c>
    </row>
    <row r="535" spans="3:5" x14ac:dyDescent="0.25">
      <c r="C535">
        <v>11</v>
      </c>
      <c r="E535">
        <f t="shared" si="24"/>
        <v>9.3574810000000017</v>
      </c>
    </row>
    <row r="536" spans="3:5" x14ac:dyDescent="0.25">
      <c r="C536">
        <v>7</v>
      </c>
      <c r="E536">
        <f t="shared" si="24"/>
        <v>0.88548099999999974</v>
      </c>
    </row>
    <row r="537" spans="3:5" x14ac:dyDescent="0.25">
      <c r="C537">
        <v>8</v>
      </c>
      <c r="E537">
        <f t="shared" si="24"/>
        <v>3.4810000000000192E-3</v>
      </c>
    </row>
    <row r="538" spans="3:5" x14ac:dyDescent="0.25">
      <c r="C538">
        <v>5</v>
      </c>
      <c r="E538">
        <f t="shared" si="24"/>
        <v>8.6494809999999998</v>
      </c>
    </row>
    <row r="539" spans="3:5" x14ac:dyDescent="0.25">
      <c r="C539">
        <v>10</v>
      </c>
      <c r="E539">
        <f t="shared" si="24"/>
        <v>4.2394810000000005</v>
      </c>
    </row>
    <row r="540" spans="3:5" x14ac:dyDescent="0.25">
      <c r="C540">
        <v>7</v>
      </c>
      <c r="E540">
        <f t="shared" si="24"/>
        <v>0.88548099999999974</v>
      </c>
    </row>
    <row r="541" spans="3:5" x14ac:dyDescent="0.25">
      <c r="C541">
        <v>7</v>
      </c>
      <c r="E541">
        <f t="shared" si="24"/>
        <v>0.88548099999999974</v>
      </c>
    </row>
    <row r="542" spans="3:5" x14ac:dyDescent="0.25">
      <c r="C542">
        <v>8</v>
      </c>
      <c r="E542">
        <f t="shared" si="24"/>
        <v>3.4810000000000192E-3</v>
      </c>
    </row>
    <row r="543" spans="3:5" x14ac:dyDescent="0.25">
      <c r="C543">
        <v>7</v>
      </c>
      <c r="E543">
        <f t="shared" si="24"/>
        <v>0.88548099999999974</v>
      </c>
    </row>
    <row r="544" spans="3:5" x14ac:dyDescent="0.25">
      <c r="C544">
        <v>9</v>
      </c>
      <c r="E544">
        <f t="shared" si="24"/>
        <v>1.1214810000000004</v>
      </c>
    </row>
    <row r="545" spans="3:5" x14ac:dyDescent="0.25">
      <c r="C545">
        <v>8</v>
      </c>
      <c r="E545">
        <f t="shared" si="24"/>
        <v>3.4810000000000192E-3</v>
      </c>
    </row>
    <row r="546" spans="3:5" x14ac:dyDescent="0.25">
      <c r="C546">
        <v>18</v>
      </c>
      <c r="E546">
        <f t="shared" si="24"/>
        <v>101.18348100000001</v>
      </c>
    </row>
    <row r="547" spans="3:5" x14ac:dyDescent="0.25">
      <c r="C547">
        <v>8</v>
      </c>
      <c r="E547">
        <f t="shared" si="24"/>
        <v>3.4810000000000192E-3</v>
      </c>
    </row>
    <row r="548" spans="3:5" x14ac:dyDescent="0.25">
      <c r="C548">
        <v>13</v>
      </c>
      <c r="E548">
        <f t="shared" si="24"/>
        <v>25.593481000000001</v>
      </c>
    </row>
    <row r="549" spans="3:5" x14ac:dyDescent="0.25">
      <c r="C549">
        <v>10</v>
      </c>
      <c r="E549">
        <f t="shared" si="24"/>
        <v>4.2394810000000005</v>
      </c>
    </row>
    <row r="550" spans="3:5" x14ac:dyDescent="0.25">
      <c r="C550">
        <v>7</v>
      </c>
      <c r="E550">
        <f t="shared" si="24"/>
        <v>0.88548099999999974</v>
      </c>
    </row>
    <row r="551" spans="3:5" x14ac:dyDescent="0.25">
      <c r="C551">
        <v>8</v>
      </c>
      <c r="E551">
        <f t="shared" si="24"/>
        <v>3.4810000000000192E-3</v>
      </c>
    </row>
    <row r="552" spans="3:5" x14ac:dyDescent="0.25">
      <c r="C552">
        <v>9</v>
      </c>
      <c r="E552">
        <f t="shared" si="24"/>
        <v>1.1214810000000004</v>
      </c>
    </row>
    <row r="553" spans="3:5" x14ac:dyDescent="0.25">
      <c r="C553">
        <v>7</v>
      </c>
      <c r="E553">
        <f t="shared" si="24"/>
        <v>0.88548099999999974</v>
      </c>
    </row>
    <row r="554" spans="3:5" x14ac:dyDescent="0.25">
      <c r="C554">
        <v>7</v>
      </c>
      <c r="E554">
        <f t="shared" si="24"/>
        <v>0.88548099999999974</v>
      </c>
    </row>
    <row r="555" spans="3:5" x14ac:dyDescent="0.25">
      <c r="C555">
        <v>6</v>
      </c>
      <c r="E555">
        <f t="shared" si="24"/>
        <v>3.7674809999999992</v>
      </c>
    </row>
    <row r="556" spans="3:5" x14ac:dyDescent="0.25">
      <c r="C556">
        <v>13</v>
      </c>
      <c r="E556">
        <f t="shared" si="24"/>
        <v>25.593481000000001</v>
      </c>
    </row>
    <row r="557" spans="3:5" x14ac:dyDescent="0.25">
      <c r="C557">
        <v>11</v>
      </c>
      <c r="E557">
        <f t="shared" si="24"/>
        <v>9.3574810000000017</v>
      </c>
    </row>
    <row r="558" spans="3:5" x14ac:dyDescent="0.25">
      <c r="C558">
        <v>11</v>
      </c>
      <c r="E558">
        <f t="shared" si="24"/>
        <v>9.3574810000000017</v>
      </c>
    </row>
    <row r="559" spans="3:5" x14ac:dyDescent="0.25">
      <c r="C559">
        <v>8</v>
      </c>
      <c r="E559">
        <f t="shared" si="24"/>
        <v>3.4810000000000192E-3</v>
      </c>
    </row>
    <row r="560" spans="3:5" x14ac:dyDescent="0.25">
      <c r="C560">
        <v>14</v>
      </c>
      <c r="E560">
        <f t="shared" si="24"/>
        <v>36.711480999999999</v>
      </c>
    </row>
    <row r="561" spans="3:5" x14ac:dyDescent="0.25">
      <c r="C561">
        <v>10</v>
      </c>
      <c r="E561">
        <f t="shared" si="24"/>
        <v>4.2394810000000005</v>
      </c>
    </row>
    <row r="562" spans="3:5" x14ac:dyDescent="0.25">
      <c r="C562">
        <v>7</v>
      </c>
      <c r="E562">
        <f t="shared" si="24"/>
        <v>0.88548099999999974</v>
      </c>
    </row>
    <row r="563" spans="3:5" x14ac:dyDescent="0.25">
      <c r="C563">
        <v>5</v>
      </c>
      <c r="E563">
        <f t="shared" si="24"/>
        <v>8.6494809999999998</v>
      </c>
    </row>
    <row r="564" spans="3:5" x14ac:dyDescent="0.25">
      <c r="C564">
        <v>4</v>
      </c>
      <c r="E564">
        <f t="shared" si="24"/>
        <v>15.531480999999999</v>
      </c>
    </row>
    <row r="565" spans="3:5" x14ac:dyDescent="0.25">
      <c r="C565">
        <v>8</v>
      </c>
      <c r="E565">
        <f t="shared" si="24"/>
        <v>3.4810000000000192E-3</v>
      </c>
    </row>
    <row r="566" spans="3:5" x14ac:dyDescent="0.25">
      <c r="C566">
        <v>5</v>
      </c>
      <c r="E566">
        <f t="shared" si="24"/>
        <v>8.6494809999999998</v>
      </c>
    </row>
    <row r="567" spans="3:5" x14ac:dyDescent="0.25">
      <c r="C567">
        <v>5</v>
      </c>
      <c r="E567">
        <f t="shared" si="24"/>
        <v>8.6494809999999998</v>
      </c>
    </row>
    <row r="568" spans="3:5" x14ac:dyDescent="0.25">
      <c r="C568">
        <v>7</v>
      </c>
      <c r="E568">
        <f t="shared" si="24"/>
        <v>0.88548099999999974</v>
      </c>
    </row>
    <row r="569" spans="3:5" x14ac:dyDescent="0.25">
      <c r="C569">
        <v>9</v>
      </c>
      <c r="E569">
        <f t="shared" si="24"/>
        <v>1.1214810000000004</v>
      </c>
    </row>
    <row r="570" spans="3:5" x14ac:dyDescent="0.25">
      <c r="C570">
        <v>14</v>
      </c>
      <c r="E570">
        <f t="shared" si="24"/>
        <v>36.711480999999999</v>
      </c>
    </row>
    <row r="571" spans="3:5" x14ac:dyDescent="0.25">
      <c r="C571">
        <v>7</v>
      </c>
      <c r="E571">
        <f t="shared" si="24"/>
        <v>0.88548099999999974</v>
      </c>
    </row>
    <row r="572" spans="3:5" x14ac:dyDescent="0.25">
      <c r="C572">
        <v>19</v>
      </c>
      <c r="E572">
        <f t="shared" si="24"/>
        <v>122.30148100000002</v>
      </c>
    </row>
    <row r="573" spans="3:5" x14ac:dyDescent="0.25">
      <c r="C573">
        <v>11</v>
      </c>
      <c r="E573">
        <f t="shared" si="24"/>
        <v>9.3574810000000017</v>
      </c>
    </row>
    <row r="574" spans="3:5" x14ac:dyDescent="0.25">
      <c r="C574">
        <v>6</v>
      </c>
      <c r="E574">
        <f t="shared" si="24"/>
        <v>3.7674809999999992</v>
      </c>
    </row>
    <row r="575" spans="3:5" x14ac:dyDescent="0.25">
      <c r="C575">
        <v>9</v>
      </c>
      <c r="E575">
        <f t="shared" si="24"/>
        <v>1.1214810000000004</v>
      </c>
    </row>
    <row r="576" spans="3:5" x14ac:dyDescent="0.25">
      <c r="C576">
        <v>8</v>
      </c>
      <c r="E576">
        <f t="shared" si="24"/>
        <v>3.4810000000000192E-3</v>
      </c>
    </row>
    <row r="577" spans="3:5" x14ac:dyDescent="0.25">
      <c r="C577">
        <v>11</v>
      </c>
      <c r="E577">
        <f t="shared" si="24"/>
        <v>9.3574810000000017</v>
      </c>
    </row>
    <row r="578" spans="3:5" x14ac:dyDescent="0.25">
      <c r="C578">
        <v>4</v>
      </c>
      <c r="E578">
        <f t="shared" si="24"/>
        <v>15.531480999999999</v>
      </c>
    </row>
    <row r="579" spans="3:5" x14ac:dyDescent="0.25">
      <c r="C579">
        <v>10</v>
      </c>
      <c r="E579">
        <f t="shared" si="24"/>
        <v>4.2394810000000005</v>
      </c>
    </row>
    <row r="580" spans="3:5" x14ac:dyDescent="0.25">
      <c r="C580">
        <v>5</v>
      </c>
      <c r="E580">
        <f t="shared" si="24"/>
        <v>8.6494809999999998</v>
      </c>
    </row>
    <row r="581" spans="3:5" x14ac:dyDescent="0.25">
      <c r="C581">
        <v>7</v>
      </c>
      <c r="E581">
        <f t="shared" si="24"/>
        <v>0.88548099999999974</v>
      </c>
    </row>
    <row r="582" spans="3:5" x14ac:dyDescent="0.25">
      <c r="C582">
        <v>10</v>
      </c>
      <c r="E582">
        <f t="shared" si="24"/>
        <v>4.2394810000000005</v>
      </c>
    </row>
    <row r="583" spans="3:5" x14ac:dyDescent="0.25">
      <c r="C583">
        <v>5</v>
      </c>
      <c r="E583">
        <f t="shared" si="24"/>
        <v>8.6494809999999998</v>
      </c>
    </row>
    <row r="584" spans="3:5" x14ac:dyDescent="0.25">
      <c r="C584">
        <v>10</v>
      </c>
      <c r="E584">
        <f t="shared" si="24"/>
        <v>4.2394810000000005</v>
      </c>
    </row>
    <row r="585" spans="3:5" x14ac:dyDescent="0.25">
      <c r="C585">
        <v>10</v>
      </c>
      <c r="E585">
        <f t="shared" si="24"/>
        <v>4.2394810000000005</v>
      </c>
    </row>
    <row r="586" spans="3:5" x14ac:dyDescent="0.25">
      <c r="C586">
        <v>8</v>
      </c>
      <c r="E586">
        <f t="shared" si="24"/>
        <v>3.4810000000000192E-3</v>
      </c>
    </row>
    <row r="587" spans="3:5" x14ac:dyDescent="0.25">
      <c r="C587">
        <v>10</v>
      </c>
      <c r="E587">
        <f t="shared" si="24"/>
        <v>4.2394810000000005</v>
      </c>
    </row>
    <row r="588" spans="3:5" x14ac:dyDescent="0.25">
      <c r="C588">
        <v>6</v>
      </c>
      <c r="E588">
        <f t="shared" si="24"/>
        <v>3.7674809999999992</v>
      </c>
    </row>
    <row r="589" spans="3:5" x14ac:dyDescent="0.25">
      <c r="C589">
        <v>7</v>
      </c>
      <c r="E589">
        <f t="shared" si="24"/>
        <v>0.88548099999999974</v>
      </c>
    </row>
    <row r="590" spans="3:5" x14ac:dyDescent="0.25">
      <c r="C590">
        <v>11</v>
      </c>
      <c r="E590">
        <f t="shared" si="24"/>
        <v>9.3574810000000017</v>
      </c>
    </row>
    <row r="591" spans="3:5" x14ac:dyDescent="0.25">
      <c r="C591">
        <v>6</v>
      </c>
      <c r="E591">
        <f t="shared" ref="E591:E654" si="25">(C591-$B$142)^2</f>
        <v>3.7674809999999992</v>
      </c>
    </row>
    <row r="592" spans="3:5" x14ac:dyDescent="0.25">
      <c r="C592">
        <v>6</v>
      </c>
      <c r="E592">
        <f t="shared" si="25"/>
        <v>3.7674809999999992</v>
      </c>
    </row>
    <row r="593" spans="3:5" x14ac:dyDescent="0.25">
      <c r="C593">
        <v>6</v>
      </c>
      <c r="E593">
        <f t="shared" si="25"/>
        <v>3.7674809999999992</v>
      </c>
    </row>
    <row r="594" spans="3:5" x14ac:dyDescent="0.25">
      <c r="C594">
        <v>8</v>
      </c>
      <c r="E594">
        <f t="shared" si="25"/>
        <v>3.4810000000000192E-3</v>
      </c>
    </row>
    <row r="595" spans="3:5" x14ac:dyDescent="0.25">
      <c r="C595">
        <v>8</v>
      </c>
      <c r="E595">
        <f t="shared" si="25"/>
        <v>3.4810000000000192E-3</v>
      </c>
    </row>
    <row r="596" spans="3:5" x14ac:dyDescent="0.25">
      <c r="C596">
        <v>8</v>
      </c>
      <c r="E596">
        <f t="shared" si="25"/>
        <v>3.4810000000000192E-3</v>
      </c>
    </row>
    <row r="597" spans="3:5" x14ac:dyDescent="0.25">
      <c r="C597">
        <v>6</v>
      </c>
      <c r="E597">
        <f t="shared" si="25"/>
        <v>3.7674809999999992</v>
      </c>
    </row>
    <row r="598" spans="3:5" x14ac:dyDescent="0.25">
      <c r="C598">
        <v>7</v>
      </c>
      <c r="E598">
        <f t="shared" si="25"/>
        <v>0.88548099999999974</v>
      </c>
    </row>
    <row r="599" spans="3:5" x14ac:dyDescent="0.25">
      <c r="C599">
        <v>6</v>
      </c>
      <c r="E599">
        <f t="shared" si="25"/>
        <v>3.7674809999999992</v>
      </c>
    </row>
    <row r="600" spans="3:5" x14ac:dyDescent="0.25">
      <c r="C600">
        <v>12</v>
      </c>
      <c r="E600">
        <f t="shared" si="25"/>
        <v>16.475481000000002</v>
      </c>
    </row>
    <row r="601" spans="3:5" x14ac:dyDescent="0.25">
      <c r="C601">
        <v>10</v>
      </c>
      <c r="E601">
        <f t="shared" si="25"/>
        <v>4.2394810000000005</v>
      </c>
    </row>
    <row r="602" spans="3:5" x14ac:dyDescent="0.25">
      <c r="C602">
        <v>4</v>
      </c>
      <c r="E602">
        <f t="shared" si="25"/>
        <v>15.531480999999999</v>
      </c>
    </row>
    <row r="603" spans="3:5" x14ac:dyDescent="0.25">
      <c r="C603">
        <v>7</v>
      </c>
      <c r="E603">
        <f t="shared" si="25"/>
        <v>0.88548099999999974</v>
      </c>
    </row>
    <row r="604" spans="3:5" x14ac:dyDescent="0.25">
      <c r="C604">
        <v>10</v>
      </c>
      <c r="E604">
        <f t="shared" si="25"/>
        <v>4.2394810000000005</v>
      </c>
    </row>
    <row r="605" spans="3:5" x14ac:dyDescent="0.25">
      <c r="C605">
        <v>9</v>
      </c>
      <c r="E605">
        <f t="shared" si="25"/>
        <v>1.1214810000000004</v>
      </c>
    </row>
    <row r="606" spans="3:5" x14ac:dyDescent="0.25">
      <c r="C606">
        <v>5</v>
      </c>
      <c r="E606">
        <f t="shared" si="25"/>
        <v>8.6494809999999998</v>
      </c>
    </row>
    <row r="607" spans="3:5" x14ac:dyDescent="0.25">
      <c r="C607">
        <v>5</v>
      </c>
      <c r="E607">
        <f t="shared" si="25"/>
        <v>8.6494809999999998</v>
      </c>
    </row>
    <row r="608" spans="3:5" x14ac:dyDescent="0.25">
      <c r="C608">
        <v>7</v>
      </c>
      <c r="E608">
        <f t="shared" si="25"/>
        <v>0.88548099999999974</v>
      </c>
    </row>
    <row r="609" spans="3:5" x14ac:dyDescent="0.25">
      <c r="C609">
        <v>7</v>
      </c>
      <c r="E609">
        <f t="shared" si="25"/>
        <v>0.88548099999999974</v>
      </c>
    </row>
    <row r="610" spans="3:5" x14ac:dyDescent="0.25">
      <c r="C610">
        <v>4</v>
      </c>
      <c r="E610">
        <f t="shared" si="25"/>
        <v>15.531480999999999</v>
      </c>
    </row>
    <row r="611" spans="3:5" x14ac:dyDescent="0.25">
      <c r="C611">
        <v>9</v>
      </c>
      <c r="E611">
        <f t="shared" si="25"/>
        <v>1.1214810000000004</v>
      </c>
    </row>
    <row r="612" spans="3:5" x14ac:dyDescent="0.25">
      <c r="C612">
        <v>6</v>
      </c>
      <c r="E612">
        <f t="shared" si="25"/>
        <v>3.7674809999999992</v>
      </c>
    </row>
    <row r="613" spans="3:5" x14ac:dyDescent="0.25">
      <c r="C613">
        <v>12</v>
      </c>
      <c r="E613">
        <f t="shared" si="25"/>
        <v>16.475481000000002</v>
      </c>
    </row>
    <row r="614" spans="3:5" x14ac:dyDescent="0.25">
      <c r="C614">
        <v>8</v>
      </c>
      <c r="E614">
        <f t="shared" si="25"/>
        <v>3.4810000000000192E-3</v>
      </c>
    </row>
    <row r="615" spans="3:5" x14ac:dyDescent="0.25">
      <c r="C615">
        <v>7</v>
      </c>
      <c r="E615">
        <f t="shared" si="25"/>
        <v>0.88548099999999974</v>
      </c>
    </row>
    <row r="616" spans="3:5" x14ac:dyDescent="0.25">
      <c r="C616">
        <v>11</v>
      </c>
      <c r="E616">
        <f t="shared" si="25"/>
        <v>9.3574810000000017</v>
      </c>
    </row>
    <row r="617" spans="3:5" x14ac:dyDescent="0.25">
      <c r="C617">
        <v>7</v>
      </c>
      <c r="E617">
        <f t="shared" si="25"/>
        <v>0.88548099999999974</v>
      </c>
    </row>
    <row r="618" spans="3:5" x14ac:dyDescent="0.25">
      <c r="C618">
        <v>7</v>
      </c>
      <c r="E618">
        <f t="shared" si="25"/>
        <v>0.88548099999999974</v>
      </c>
    </row>
    <row r="619" spans="3:5" x14ac:dyDescent="0.25">
      <c r="C619">
        <v>5</v>
      </c>
      <c r="E619">
        <f t="shared" si="25"/>
        <v>8.6494809999999998</v>
      </c>
    </row>
    <row r="620" spans="3:5" x14ac:dyDescent="0.25">
      <c r="C620">
        <v>10</v>
      </c>
      <c r="E620">
        <f t="shared" si="25"/>
        <v>4.2394810000000005</v>
      </c>
    </row>
    <row r="621" spans="3:5" x14ac:dyDescent="0.25">
      <c r="C621">
        <v>4</v>
      </c>
      <c r="E621">
        <f t="shared" si="25"/>
        <v>15.531480999999999</v>
      </c>
    </row>
    <row r="622" spans="3:5" x14ac:dyDescent="0.25">
      <c r="C622">
        <v>7</v>
      </c>
      <c r="E622">
        <f t="shared" si="25"/>
        <v>0.88548099999999974</v>
      </c>
    </row>
    <row r="623" spans="3:5" x14ac:dyDescent="0.25">
      <c r="C623">
        <v>4</v>
      </c>
      <c r="E623">
        <f t="shared" si="25"/>
        <v>15.531480999999999</v>
      </c>
    </row>
    <row r="624" spans="3:5" x14ac:dyDescent="0.25">
      <c r="C624">
        <v>6</v>
      </c>
      <c r="E624">
        <f t="shared" si="25"/>
        <v>3.7674809999999992</v>
      </c>
    </row>
    <row r="625" spans="3:5" x14ac:dyDescent="0.25">
      <c r="C625">
        <v>7</v>
      </c>
      <c r="E625">
        <f t="shared" si="25"/>
        <v>0.88548099999999974</v>
      </c>
    </row>
    <row r="626" spans="3:5" x14ac:dyDescent="0.25">
      <c r="C626">
        <v>7</v>
      </c>
      <c r="E626">
        <f t="shared" si="25"/>
        <v>0.88548099999999974</v>
      </c>
    </row>
    <row r="627" spans="3:5" x14ac:dyDescent="0.25">
      <c r="C627">
        <v>10</v>
      </c>
      <c r="E627">
        <f t="shared" si="25"/>
        <v>4.2394810000000005</v>
      </c>
    </row>
    <row r="628" spans="3:5" x14ac:dyDescent="0.25">
      <c r="C628">
        <v>5</v>
      </c>
      <c r="E628">
        <f t="shared" si="25"/>
        <v>8.6494809999999998</v>
      </c>
    </row>
    <row r="629" spans="3:5" x14ac:dyDescent="0.25">
      <c r="C629">
        <v>5</v>
      </c>
      <c r="E629">
        <f t="shared" si="25"/>
        <v>8.6494809999999998</v>
      </c>
    </row>
    <row r="630" spans="3:5" x14ac:dyDescent="0.25">
      <c r="C630">
        <v>6</v>
      </c>
      <c r="E630">
        <f t="shared" si="25"/>
        <v>3.7674809999999992</v>
      </c>
    </row>
    <row r="631" spans="3:5" x14ac:dyDescent="0.25">
      <c r="C631">
        <v>7</v>
      </c>
      <c r="E631">
        <f t="shared" si="25"/>
        <v>0.88548099999999974</v>
      </c>
    </row>
    <row r="632" spans="3:5" x14ac:dyDescent="0.25">
      <c r="C632">
        <v>5</v>
      </c>
      <c r="E632">
        <f t="shared" si="25"/>
        <v>8.6494809999999998</v>
      </c>
    </row>
    <row r="633" spans="3:5" x14ac:dyDescent="0.25">
      <c r="C633">
        <v>7</v>
      </c>
      <c r="E633">
        <f t="shared" si="25"/>
        <v>0.88548099999999974</v>
      </c>
    </row>
    <row r="634" spans="3:5" x14ac:dyDescent="0.25">
      <c r="C634">
        <v>3</v>
      </c>
      <c r="E634">
        <f t="shared" si="25"/>
        <v>24.413480999999997</v>
      </c>
    </row>
    <row r="635" spans="3:5" x14ac:dyDescent="0.25">
      <c r="C635">
        <v>6</v>
      </c>
      <c r="E635">
        <f t="shared" si="25"/>
        <v>3.7674809999999992</v>
      </c>
    </row>
    <row r="636" spans="3:5" x14ac:dyDescent="0.25">
      <c r="C636">
        <v>8</v>
      </c>
      <c r="E636">
        <f t="shared" si="25"/>
        <v>3.4810000000000192E-3</v>
      </c>
    </row>
    <row r="637" spans="3:5" x14ac:dyDescent="0.25">
      <c r="C637">
        <v>7</v>
      </c>
      <c r="E637">
        <f t="shared" si="25"/>
        <v>0.88548099999999974</v>
      </c>
    </row>
    <row r="638" spans="3:5" x14ac:dyDescent="0.25">
      <c r="C638">
        <v>4</v>
      </c>
      <c r="E638">
        <f t="shared" si="25"/>
        <v>15.531480999999999</v>
      </c>
    </row>
    <row r="639" spans="3:5" x14ac:dyDescent="0.25">
      <c r="C639">
        <v>7</v>
      </c>
      <c r="E639">
        <f t="shared" si="25"/>
        <v>0.88548099999999974</v>
      </c>
    </row>
    <row r="640" spans="3:5" x14ac:dyDescent="0.25">
      <c r="C640">
        <v>8</v>
      </c>
      <c r="E640">
        <f t="shared" si="25"/>
        <v>3.4810000000000192E-3</v>
      </c>
    </row>
    <row r="641" spans="3:5" x14ac:dyDescent="0.25">
      <c r="C641">
        <v>6</v>
      </c>
      <c r="E641">
        <f t="shared" si="25"/>
        <v>3.7674809999999992</v>
      </c>
    </row>
    <row r="642" spans="3:5" x14ac:dyDescent="0.25">
      <c r="C642">
        <v>6</v>
      </c>
      <c r="E642">
        <f t="shared" si="25"/>
        <v>3.7674809999999992</v>
      </c>
    </row>
    <row r="643" spans="3:5" x14ac:dyDescent="0.25">
      <c r="C643">
        <v>10</v>
      </c>
      <c r="E643">
        <f t="shared" si="25"/>
        <v>4.2394810000000005</v>
      </c>
    </row>
    <row r="644" spans="3:5" x14ac:dyDescent="0.25">
      <c r="C644">
        <v>8</v>
      </c>
      <c r="E644">
        <f t="shared" si="25"/>
        <v>3.4810000000000192E-3</v>
      </c>
    </row>
    <row r="645" spans="3:5" x14ac:dyDescent="0.25">
      <c r="C645">
        <v>6</v>
      </c>
      <c r="E645">
        <f t="shared" si="25"/>
        <v>3.7674809999999992</v>
      </c>
    </row>
    <row r="646" spans="3:5" x14ac:dyDescent="0.25">
      <c r="C646">
        <v>10</v>
      </c>
      <c r="E646">
        <f t="shared" si="25"/>
        <v>4.2394810000000005</v>
      </c>
    </row>
    <row r="647" spans="3:5" x14ac:dyDescent="0.25">
      <c r="C647">
        <v>5</v>
      </c>
      <c r="E647">
        <f t="shared" si="25"/>
        <v>8.6494809999999998</v>
      </c>
    </row>
    <row r="648" spans="3:5" x14ac:dyDescent="0.25">
      <c r="C648">
        <v>10</v>
      </c>
      <c r="E648">
        <f t="shared" si="25"/>
        <v>4.2394810000000005</v>
      </c>
    </row>
    <row r="649" spans="3:5" x14ac:dyDescent="0.25">
      <c r="C649">
        <v>9</v>
      </c>
      <c r="E649">
        <f t="shared" si="25"/>
        <v>1.1214810000000004</v>
      </c>
    </row>
    <row r="650" spans="3:5" x14ac:dyDescent="0.25">
      <c r="C650">
        <v>3</v>
      </c>
      <c r="E650">
        <f t="shared" si="25"/>
        <v>24.413480999999997</v>
      </c>
    </row>
    <row r="651" spans="3:5" x14ac:dyDescent="0.25">
      <c r="C651">
        <v>17</v>
      </c>
      <c r="E651">
        <f t="shared" si="25"/>
        <v>82.06548100000002</v>
      </c>
    </row>
    <row r="652" spans="3:5" x14ac:dyDescent="0.25">
      <c r="C652">
        <v>3</v>
      </c>
      <c r="E652">
        <f t="shared" si="25"/>
        <v>24.413480999999997</v>
      </c>
    </row>
    <row r="653" spans="3:5" x14ac:dyDescent="0.25">
      <c r="C653">
        <v>10</v>
      </c>
      <c r="E653">
        <f t="shared" si="25"/>
        <v>4.2394810000000005</v>
      </c>
    </row>
    <row r="654" spans="3:5" x14ac:dyDescent="0.25">
      <c r="C654">
        <v>6</v>
      </c>
      <c r="E654">
        <f t="shared" si="25"/>
        <v>3.7674809999999992</v>
      </c>
    </row>
    <row r="655" spans="3:5" x14ac:dyDescent="0.25">
      <c r="C655">
        <v>7</v>
      </c>
      <c r="E655">
        <f t="shared" ref="E655:E718" si="26">(C655-$B$142)^2</f>
        <v>0.88548099999999974</v>
      </c>
    </row>
    <row r="656" spans="3:5" x14ac:dyDescent="0.25">
      <c r="C656">
        <v>5</v>
      </c>
      <c r="E656">
        <f t="shared" si="26"/>
        <v>8.6494809999999998</v>
      </c>
    </row>
    <row r="657" spans="3:5" x14ac:dyDescent="0.25">
      <c r="C657">
        <v>8</v>
      </c>
      <c r="E657">
        <f t="shared" si="26"/>
        <v>3.4810000000000192E-3</v>
      </c>
    </row>
    <row r="658" spans="3:5" x14ac:dyDescent="0.25">
      <c r="C658">
        <v>5</v>
      </c>
      <c r="E658">
        <f t="shared" si="26"/>
        <v>8.6494809999999998</v>
      </c>
    </row>
    <row r="659" spans="3:5" x14ac:dyDescent="0.25">
      <c r="C659">
        <v>7</v>
      </c>
      <c r="E659">
        <f t="shared" si="26"/>
        <v>0.88548099999999974</v>
      </c>
    </row>
    <row r="660" spans="3:5" x14ac:dyDescent="0.25">
      <c r="C660">
        <v>6</v>
      </c>
      <c r="E660">
        <f t="shared" si="26"/>
        <v>3.7674809999999992</v>
      </c>
    </row>
    <row r="661" spans="3:5" x14ac:dyDescent="0.25">
      <c r="C661">
        <v>6</v>
      </c>
      <c r="E661">
        <f t="shared" si="26"/>
        <v>3.7674809999999992</v>
      </c>
    </row>
    <row r="662" spans="3:5" x14ac:dyDescent="0.25">
      <c r="C662">
        <v>6</v>
      </c>
      <c r="E662">
        <f t="shared" si="26"/>
        <v>3.7674809999999992</v>
      </c>
    </row>
    <row r="663" spans="3:5" x14ac:dyDescent="0.25">
      <c r="C663">
        <v>10</v>
      </c>
      <c r="E663">
        <f t="shared" si="26"/>
        <v>4.2394810000000005</v>
      </c>
    </row>
    <row r="664" spans="3:5" x14ac:dyDescent="0.25">
      <c r="C664">
        <v>8</v>
      </c>
      <c r="E664">
        <f t="shared" si="26"/>
        <v>3.4810000000000192E-3</v>
      </c>
    </row>
    <row r="665" spans="3:5" x14ac:dyDescent="0.25">
      <c r="C665">
        <v>5</v>
      </c>
      <c r="E665">
        <f t="shared" si="26"/>
        <v>8.6494809999999998</v>
      </c>
    </row>
    <row r="666" spans="3:5" x14ac:dyDescent="0.25">
      <c r="C666">
        <v>3</v>
      </c>
      <c r="E666">
        <f t="shared" si="26"/>
        <v>24.413480999999997</v>
      </c>
    </row>
    <row r="667" spans="3:5" x14ac:dyDescent="0.25">
      <c r="C667">
        <v>4</v>
      </c>
      <c r="E667">
        <f t="shared" si="26"/>
        <v>15.531480999999999</v>
      </c>
    </row>
    <row r="668" spans="3:5" x14ac:dyDescent="0.25">
      <c r="C668">
        <v>10</v>
      </c>
      <c r="E668">
        <f t="shared" si="26"/>
        <v>4.2394810000000005</v>
      </c>
    </row>
    <row r="669" spans="3:5" x14ac:dyDescent="0.25">
      <c r="C669">
        <v>9</v>
      </c>
      <c r="E669">
        <f t="shared" si="26"/>
        <v>1.1214810000000004</v>
      </c>
    </row>
    <row r="670" spans="3:5" x14ac:dyDescent="0.25">
      <c r="C670">
        <v>9</v>
      </c>
      <c r="E670">
        <f t="shared" si="26"/>
        <v>1.1214810000000004</v>
      </c>
    </row>
    <row r="671" spans="3:5" x14ac:dyDescent="0.25">
      <c r="C671">
        <v>12</v>
      </c>
      <c r="E671">
        <f t="shared" si="26"/>
        <v>16.475481000000002</v>
      </c>
    </row>
    <row r="672" spans="3:5" x14ac:dyDescent="0.25">
      <c r="C672">
        <v>4</v>
      </c>
      <c r="E672">
        <f t="shared" si="26"/>
        <v>15.531480999999999</v>
      </c>
    </row>
    <row r="673" spans="3:5" x14ac:dyDescent="0.25">
      <c r="C673">
        <v>10</v>
      </c>
      <c r="E673">
        <f t="shared" si="26"/>
        <v>4.2394810000000005</v>
      </c>
    </row>
    <row r="674" spans="3:5" x14ac:dyDescent="0.25">
      <c r="C674">
        <v>9</v>
      </c>
      <c r="E674">
        <f t="shared" si="26"/>
        <v>1.1214810000000004</v>
      </c>
    </row>
    <row r="675" spans="3:5" x14ac:dyDescent="0.25">
      <c r="C675">
        <v>10</v>
      </c>
      <c r="E675">
        <f t="shared" si="26"/>
        <v>4.2394810000000005</v>
      </c>
    </row>
    <row r="676" spans="3:5" x14ac:dyDescent="0.25">
      <c r="C676">
        <v>12</v>
      </c>
      <c r="E676">
        <f t="shared" si="26"/>
        <v>16.475481000000002</v>
      </c>
    </row>
    <row r="677" spans="3:5" x14ac:dyDescent="0.25">
      <c r="C677">
        <v>3</v>
      </c>
      <c r="E677">
        <f t="shared" si="26"/>
        <v>24.413480999999997</v>
      </c>
    </row>
    <row r="678" spans="3:5" x14ac:dyDescent="0.25">
      <c r="C678">
        <v>8</v>
      </c>
      <c r="E678">
        <f t="shared" si="26"/>
        <v>3.4810000000000192E-3</v>
      </c>
    </row>
    <row r="679" spans="3:5" x14ac:dyDescent="0.25">
      <c r="C679">
        <v>9</v>
      </c>
      <c r="E679">
        <f t="shared" si="26"/>
        <v>1.1214810000000004</v>
      </c>
    </row>
    <row r="680" spans="3:5" x14ac:dyDescent="0.25">
      <c r="C680">
        <v>5</v>
      </c>
      <c r="E680">
        <f t="shared" si="26"/>
        <v>8.6494809999999998</v>
      </c>
    </row>
    <row r="681" spans="3:5" x14ac:dyDescent="0.25">
      <c r="C681">
        <v>8</v>
      </c>
      <c r="E681">
        <f t="shared" si="26"/>
        <v>3.4810000000000192E-3</v>
      </c>
    </row>
    <row r="682" spans="3:5" x14ac:dyDescent="0.25">
      <c r="C682">
        <v>6</v>
      </c>
      <c r="E682">
        <f t="shared" si="26"/>
        <v>3.7674809999999992</v>
      </c>
    </row>
    <row r="683" spans="3:5" x14ac:dyDescent="0.25">
      <c r="C683">
        <v>7</v>
      </c>
      <c r="E683">
        <f t="shared" si="26"/>
        <v>0.88548099999999974</v>
      </c>
    </row>
    <row r="684" spans="3:5" x14ac:dyDescent="0.25">
      <c r="C684">
        <v>12</v>
      </c>
      <c r="E684">
        <f t="shared" si="26"/>
        <v>16.475481000000002</v>
      </c>
    </row>
    <row r="685" spans="3:5" x14ac:dyDescent="0.25">
      <c r="C685">
        <v>5</v>
      </c>
      <c r="E685">
        <f t="shared" si="26"/>
        <v>8.6494809999999998</v>
      </c>
    </row>
    <row r="686" spans="3:5" x14ac:dyDescent="0.25">
      <c r="C686">
        <v>8</v>
      </c>
      <c r="E686">
        <f t="shared" si="26"/>
        <v>3.4810000000000192E-3</v>
      </c>
    </row>
    <row r="687" spans="3:5" x14ac:dyDescent="0.25">
      <c r="C687">
        <v>7</v>
      </c>
      <c r="E687">
        <f t="shared" si="26"/>
        <v>0.88548099999999974</v>
      </c>
    </row>
    <row r="688" spans="3:5" x14ac:dyDescent="0.25">
      <c r="C688">
        <v>6</v>
      </c>
      <c r="E688">
        <f t="shared" si="26"/>
        <v>3.7674809999999992</v>
      </c>
    </row>
    <row r="689" spans="3:5" x14ac:dyDescent="0.25">
      <c r="C689">
        <v>6</v>
      </c>
      <c r="E689">
        <f t="shared" si="26"/>
        <v>3.7674809999999992</v>
      </c>
    </row>
    <row r="690" spans="3:5" x14ac:dyDescent="0.25">
      <c r="C690">
        <v>11</v>
      </c>
      <c r="E690">
        <f t="shared" si="26"/>
        <v>9.3574810000000017</v>
      </c>
    </row>
    <row r="691" spans="3:5" x14ac:dyDescent="0.25">
      <c r="C691">
        <v>13</v>
      </c>
      <c r="E691">
        <f t="shared" si="26"/>
        <v>25.593481000000001</v>
      </c>
    </row>
    <row r="692" spans="3:5" x14ac:dyDescent="0.25">
      <c r="C692">
        <v>10</v>
      </c>
      <c r="E692">
        <f t="shared" si="26"/>
        <v>4.2394810000000005</v>
      </c>
    </row>
    <row r="693" spans="3:5" x14ac:dyDescent="0.25">
      <c r="C693">
        <v>8</v>
      </c>
      <c r="E693">
        <f t="shared" si="26"/>
        <v>3.4810000000000192E-3</v>
      </c>
    </row>
    <row r="694" spans="3:5" x14ac:dyDescent="0.25">
      <c r="C694">
        <v>10</v>
      </c>
      <c r="E694">
        <f t="shared" si="26"/>
        <v>4.2394810000000005</v>
      </c>
    </row>
    <row r="695" spans="3:5" x14ac:dyDescent="0.25">
      <c r="C695">
        <v>10</v>
      </c>
      <c r="E695">
        <f t="shared" si="26"/>
        <v>4.2394810000000005</v>
      </c>
    </row>
    <row r="696" spans="3:5" x14ac:dyDescent="0.25">
      <c r="C696">
        <v>7</v>
      </c>
      <c r="E696">
        <f t="shared" si="26"/>
        <v>0.88548099999999974</v>
      </c>
    </row>
    <row r="697" spans="3:5" x14ac:dyDescent="0.25">
      <c r="C697">
        <v>13</v>
      </c>
      <c r="E697">
        <f t="shared" si="26"/>
        <v>25.593481000000001</v>
      </c>
    </row>
    <row r="698" spans="3:5" x14ac:dyDescent="0.25">
      <c r="C698">
        <v>7</v>
      </c>
      <c r="E698">
        <f t="shared" si="26"/>
        <v>0.88548099999999974</v>
      </c>
    </row>
    <row r="699" spans="3:5" x14ac:dyDescent="0.25">
      <c r="C699">
        <v>8</v>
      </c>
      <c r="E699">
        <f t="shared" si="26"/>
        <v>3.4810000000000192E-3</v>
      </c>
    </row>
    <row r="700" spans="3:5" x14ac:dyDescent="0.25">
      <c r="C700">
        <v>9</v>
      </c>
      <c r="E700">
        <f t="shared" si="26"/>
        <v>1.1214810000000004</v>
      </c>
    </row>
    <row r="701" spans="3:5" x14ac:dyDescent="0.25">
      <c r="C701">
        <v>5</v>
      </c>
      <c r="E701">
        <f t="shared" si="26"/>
        <v>8.6494809999999998</v>
      </c>
    </row>
    <row r="702" spans="3:5" x14ac:dyDescent="0.25">
      <c r="C702">
        <v>4</v>
      </c>
      <c r="E702">
        <f t="shared" si="26"/>
        <v>15.531480999999999</v>
      </c>
    </row>
    <row r="703" spans="3:5" x14ac:dyDescent="0.25">
      <c r="C703">
        <v>17</v>
      </c>
      <c r="E703">
        <f t="shared" si="26"/>
        <v>82.06548100000002</v>
      </c>
    </row>
    <row r="704" spans="3:5" x14ac:dyDescent="0.25">
      <c r="C704">
        <v>7</v>
      </c>
      <c r="E704">
        <f t="shared" si="26"/>
        <v>0.88548099999999974</v>
      </c>
    </row>
    <row r="705" spans="3:5" x14ac:dyDescent="0.25">
      <c r="C705">
        <v>11</v>
      </c>
      <c r="E705">
        <f t="shared" si="26"/>
        <v>9.3574810000000017</v>
      </c>
    </row>
    <row r="706" spans="3:5" x14ac:dyDescent="0.25">
      <c r="C706">
        <v>6</v>
      </c>
      <c r="E706">
        <f t="shared" si="26"/>
        <v>3.7674809999999992</v>
      </c>
    </row>
    <row r="707" spans="3:5" x14ac:dyDescent="0.25">
      <c r="C707">
        <v>13</v>
      </c>
      <c r="E707">
        <f t="shared" si="26"/>
        <v>25.593481000000001</v>
      </c>
    </row>
    <row r="708" spans="3:5" x14ac:dyDescent="0.25">
      <c r="C708">
        <v>10</v>
      </c>
      <c r="E708">
        <f t="shared" si="26"/>
        <v>4.2394810000000005</v>
      </c>
    </row>
    <row r="709" spans="3:5" x14ac:dyDescent="0.25">
      <c r="C709">
        <v>10</v>
      </c>
      <c r="E709">
        <f t="shared" si="26"/>
        <v>4.2394810000000005</v>
      </c>
    </row>
    <row r="710" spans="3:5" x14ac:dyDescent="0.25">
      <c r="C710">
        <v>2</v>
      </c>
      <c r="E710">
        <f t="shared" si="26"/>
        <v>35.295480999999995</v>
      </c>
    </row>
    <row r="711" spans="3:5" x14ac:dyDescent="0.25">
      <c r="C711">
        <v>6</v>
      </c>
      <c r="E711">
        <f t="shared" si="26"/>
        <v>3.7674809999999992</v>
      </c>
    </row>
    <row r="712" spans="3:5" x14ac:dyDescent="0.25">
      <c r="C712">
        <v>1</v>
      </c>
      <c r="E712">
        <f t="shared" si="26"/>
        <v>48.177481</v>
      </c>
    </row>
    <row r="713" spans="3:5" x14ac:dyDescent="0.25">
      <c r="C713">
        <v>11</v>
      </c>
      <c r="E713">
        <f t="shared" si="26"/>
        <v>9.3574810000000017</v>
      </c>
    </row>
    <row r="714" spans="3:5" x14ac:dyDescent="0.25">
      <c r="C714">
        <v>7</v>
      </c>
      <c r="E714">
        <f t="shared" si="26"/>
        <v>0.88548099999999974</v>
      </c>
    </row>
    <row r="715" spans="3:5" x14ac:dyDescent="0.25">
      <c r="C715">
        <v>10</v>
      </c>
      <c r="E715">
        <f t="shared" si="26"/>
        <v>4.2394810000000005</v>
      </c>
    </row>
    <row r="716" spans="3:5" x14ac:dyDescent="0.25">
      <c r="C716">
        <v>7</v>
      </c>
      <c r="E716">
        <f t="shared" si="26"/>
        <v>0.88548099999999974</v>
      </c>
    </row>
    <row r="717" spans="3:5" x14ac:dyDescent="0.25">
      <c r="C717">
        <v>12</v>
      </c>
      <c r="E717">
        <f t="shared" si="26"/>
        <v>16.475481000000002</v>
      </c>
    </row>
    <row r="718" spans="3:5" x14ac:dyDescent="0.25">
      <c r="C718">
        <v>8</v>
      </c>
      <c r="E718">
        <f t="shared" si="26"/>
        <v>3.4810000000000192E-3</v>
      </c>
    </row>
    <row r="719" spans="3:5" x14ac:dyDescent="0.25">
      <c r="C719">
        <v>9</v>
      </c>
      <c r="E719">
        <f t="shared" ref="E719:E782" si="27">(C719-$B$142)^2</f>
        <v>1.1214810000000004</v>
      </c>
    </row>
    <row r="720" spans="3:5" x14ac:dyDescent="0.25">
      <c r="C720">
        <v>7</v>
      </c>
      <c r="E720">
        <f t="shared" si="27"/>
        <v>0.88548099999999974</v>
      </c>
    </row>
    <row r="721" spans="3:5" x14ac:dyDescent="0.25">
      <c r="C721">
        <v>9</v>
      </c>
      <c r="E721">
        <f t="shared" si="27"/>
        <v>1.1214810000000004</v>
      </c>
    </row>
    <row r="722" spans="3:5" x14ac:dyDescent="0.25">
      <c r="C722">
        <v>10</v>
      </c>
      <c r="E722">
        <f t="shared" si="27"/>
        <v>4.2394810000000005</v>
      </c>
    </row>
    <row r="723" spans="3:5" x14ac:dyDescent="0.25">
      <c r="C723">
        <v>7</v>
      </c>
      <c r="E723">
        <f t="shared" si="27"/>
        <v>0.88548099999999974</v>
      </c>
    </row>
    <row r="724" spans="3:5" x14ac:dyDescent="0.25">
      <c r="C724">
        <v>13</v>
      </c>
      <c r="E724">
        <f t="shared" si="27"/>
        <v>25.593481000000001</v>
      </c>
    </row>
    <row r="725" spans="3:5" x14ac:dyDescent="0.25">
      <c r="C725">
        <v>10</v>
      </c>
      <c r="E725">
        <f t="shared" si="27"/>
        <v>4.2394810000000005</v>
      </c>
    </row>
    <row r="726" spans="3:5" x14ac:dyDescent="0.25">
      <c r="C726">
        <v>9</v>
      </c>
      <c r="E726">
        <f t="shared" si="27"/>
        <v>1.1214810000000004</v>
      </c>
    </row>
    <row r="727" spans="3:5" x14ac:dyDescent="0.25">
      <c r="C727">
        <v>8</v>
      </c>
      <c r="E727">
        <f t="shared" si="27"/>
        <v>3.4810000000000192E-3</v>
      </c>
    </row>
    <row r="728" spans="3:5" x14ac:dyDescent="0.25">
      <c r="C728">
        <v>8</v>
      </c>
      <c r="E728">
        <f t="shared" si="27"/>
        <v>3.4810000000000192E-3</v>
      </c>
    </row>
    <row r="729" spans="3:5" x14ac:dyDescent="0.25">
      <c r="C729">
        <v>6</v>
      </c>
      <c r="E729">
        <f t="shared" si="27"/>
        <v>3.7674809999999992</v>
      </c>
    </row>
    <row r="730" spans="3:5" x14ac:dyDescent="0.25">
      <c r="C730">
        <v>9</v>
      </c>
      <c r="E730">
        <f t="shared" si="27"/>
        <v>1.1214810000000004</v>
      </c>
    </row>
    <row r="731" spans="3:5" x14ac:dyDescent="0.25">
      <c r="C731">
        <v>8</v>
      </c>
      <c r="E731">
        <f t="shared" si="27"/>
        <v>3.4810000000000192E-3</v>
      </c>
    </row>
    <row r="732" spans="3:5" x14ac:dyDescent="0.25">
      <c r="C732">
        <v>10</v>
      </c>
      <c r="E732">
        <f t="shared" si="27"/>
        <v>4.2394810000000005</v>
      </c>
    </row>
    <row r="733" spans="3:5" x14ac:dyDescent="0.25">
      <c r="C733">
        <v>9</v>
      </c>
      <c r="E733">
        <f t="shared" si="27"/>
        <v>1.1214810000000004</v>
      </c>
    </row>
    <row r="734" spans="3:5" x14ac:dyDescent="0.25">
      <c r="C734">
        <v>4</v>
      </c>
      <c r="E734">
        <f t="shared" si="27"/>
        <v>15.531480999999999</v>
      </c>
    </row>
    <row r="735" spans="3:5" x14ac:dyDescent="0.25">
      <c r="C735">
        <v>7</v>
      </c>
      <c r="E735">
        <f t="shared" si="27"/>
        <v>0.88548099999999974</v>
      </c>
    </row>
    <row r="736" spans="3:5" x14ac:dyDescent="0.25">
      <c r="C736">
        <v>6</v>
      </c>
      <c r="E736">
        <f t="shared" si="27"/>
        <v>3.7674809999999992</v>
      </c>
    </row>
    <row r="737" spans="3:5" x14ac:dyDescent="0.25">
      <c r="C737">
        <v>8</v>
      </c>
      <c r="E737">
        <f t="shared" si="27"/>
        <v>3.4810000000000192E-3</v>
      </c>
    </row>
    <row r="738" spans="3:5" x14ac:dyDescent="0.25">
      <c r="C738">
        <v>5</v>
      </c>
      <c r="E738">
        <f t="shared" si="27"/>
        <v>8.6494809999999998</v>
      </c>
    </row>
    <row r="739" spans="3:5" x14ac:dyDescent="0.25">
      <c r="C739">
        <v>4</v>
      </c>
      <c r="E739">
        <f t="shared" si="27"/>
        <v>15.531480999999999</v>
      </c>
    </row>
    <row r="740" spans="3:5" x14ac:dyDescent="0.25">
      <c r="C740">
        <v>4</v>
      </c>
      <c r="E740">
        <f t="shared" si="27"/>
        <v>15.531480999999999</v>
      </c>
    </row>
    <row r="741" spans="3:5" x14ac:dyDescent="0.25">
      <c r="C741">
        <v>8</v>
      </c>
      <c r="E741">
        <f t="shared" si="27"/>
        <v>3.4810000000000192E-3</v>
      </c>
    </row>
    <row r="742" spans="3:5" x14ac:dyDescent="0.25">
      <c r="C742">
        <v>6</v>
      </c>
      <c r="E742">
        <f t="shared" si="27"/>
        <v>3.7674809999999992</v>
      </c>
    </row>
    <row r="743" spans="3:5" x14ac:dyDescent="0.25">
      <c r="C743">
        <v>5</v>
      </c>
      <c r="E743">
        <f t="shared" si="27"/>
        <v>8.6494809999999998</v>
      </c>
    </row>
    <row r="744" spans="3:5" x14ac:dyDescent="0.25">
      <c r="C744">
        <v>4</v>
      </c>
      <c r="E744">
        <f t="shared" si="27"/>
        <v>15.531480999999999</v>
      </c>
    </row>
    <row r="745" spans="3:5" x14ac:dyDescent="0.25">
      <c r="C745">
        <v>8</v>
      </c>
      <c r="E745">
        <f t="shared" si="27"/>
        <v>3.4810000000000192E-3</v>
      </c>
    </row>
    <row r="746" spans="3:5" x14ac:dyDescent="0.25">
      <c r="C746">
        <v>8</v>
      </c>
      <c r="E746">
        <f t="shared" si="27"/>
        <v>3.4810000000000192E-3</v>
      </c>
    </row>
    <row r="747" spans="3:5" x14ac:dyDescent="0.25">
      <c r="C747">
        <v>10</v>
      </c>
      <c r="E747">
        <f t="shared" si="27"/>
        <v>4.2394810000000005</v>
      </c>
    </row>
    <row r="748" spans="3:5" x14ac:dyDescent="0.25">
      <c r="C748">
        <v>8</v>
      </c>
      <c r="E748">
        <f t="shared" si="27"/>
        <v>3.4810000000000192E-3</v>
      </c>
    </row>
    <row r="749" spans="3:5" x14ac:dyDescent="0.25">
      <c r="C749">
        <v>4</v>
      </c>
      <c r="E749">
        <f t="shared" si="27"/>
        <v>15.531480999999999</v>
      </c>
    </row>
    <row r="750" spans="3:5" x14ac:dyDescent="0.25">
      <c r="C750">
        <v>7</v>
      </c>
      <c r="E750">
        <f t="shared" si="27"/>
        <v>0.88548099999999974</v>
      </c>
    </row>
    <row r="751" spans="3:5" x14ac:dyDescent="0.25">
      <c r="C751">
        <v>7</v>
      </c>
      <c r="E751">
        <f t="shared" si="27"/>
        <v>0.88548099999999974</v>
      </c>
    </row>
    <row r="752" spans="3:5" x14ac:dyDescent="0.25">
      <c r="C752">
        <v>5</v>
      </c>
      <c r="E752">
        <f t="shared" si="27"/>
        <v>8.6494809999999998</v>
      </c>
    </row>
    <row r="753" spans="3:5" x14ac:dyDescent="0.25">
      <c r="C753">
        <v>11</v>
      </c>
      <c r="E753">
        <f t="shared" si="27"/>
        <v>9.3574810000000017</v>
      </c>
    </row>
    <row r="754" spans="3:5" x14ac:dyDescent="0.25">
      <c r="C754">
        <v>5</v>
      </c>
      <c r="E754">
        <f t="shared" si="27"/>
        <v>8.6494809999999998</v>
      </c>
    </row>
    <row r="755" spans="3:5" x14ac:dyDescent="0.25">
      <c r="C755">
        <v>6</v>
      </c>
      <c r="E755">
        <f t="shared" si="27"/>
        <v>3.7674809999999992</v>
      </c>
    </row>
    <row r="756" spans="3:5" x14ac:dyDescent="0.25">
      <c r="C756">
        <v>8</v>
      </c>
      <c r="E756">
        <f t="shared" si="27"/>
        <v>3.4810000000000192E-3</v>
      </c>
    </row>
    <row r="757" spans="3:5" x14ac:dyDescent="0.25">
      <c r="C757">
        <v>13</v>
      </c>
      <c r="E757">
        <f t="shared" si="27"/>
        <v>25.593481000000001</v>
      </c>
    </row>
    <row r="758" spans="3:5" x14ac:dyDescent="0.25">
      <c r="C758">
        <v>6</v>
      </c>
      <c r="E758">
        <f t="shared" si="27"/>
        <v>3.7674809999999992</v>
      </c>
    </row>
    <row r="759" spans="3:5" x14ac:dyDescent="0.25">
      <c r="C759">
        <v>6</v>
      </c>
      <c r="E759">
        <f t="shared" si="27"/>
        <v>3.7674809999999992</v>
      </c>
    </row>
    <row r="760" spans="3:5" x14ac:dyDescent="0.25">
      <c r="C760">
        <v>7</v>
      </c>
      <c r="E760">
        <f t="shared" si="27"/>
        <v>0.88548099999999974</v>
      </c>
    </row>
    <row r="761" spans="3:5" x14ac:dyDescent="0.25">
      <c r="C761">
        <v>5</v>
      </c>
      <c r="E761">
        <f t="shared" si="27"/>
        <v>8.6494809999999998</v>
      </c>
    </row>
    <row r="762" spans="3:5" x14ac:dyDescent="0.25">
      <c r="C762">
        <v>3</v>
      </c>
      <c r="E762">
        <f t="shared" si="27"/>
        <v>24.413480999999997</v>
      </c>
    </row>
    <row r="763" spans="3:5" x14ac:dyDescent="0.25">
      <c r="C763">
        <v>5</v>
      </c>
      <c r="E763">
        <f t="shared" si="27"/>
        <v>8.6494809999999998</v>
      </c>
    </row>
    <row r="764" spans="3:5" x14ac:dyDescent="0.25">
      <c r="C764">
        <v>11</v>
      </c>
      <c r="E764">
        <f t="shared" si="27"/>
        <v>9.3574810000000017</v>
      </c>
    </row>
    <row r="765" spans="3:5" x14ac:dyDescent="0.25">
      <c r="C765">
        <v>7</v>
      </c>
      <c r="E765">
        <f t="shared" si="27"/>
        <v>0.88548099999999974</v>
      </c>
    </row>
    <row r="766" spans="3:5" x14ac:dyDescent="0.25">
      <c r="C766">
        <v>6</v>
      </c>
      <c r="E766">
        <f t="shared" si="27"/>
        <v>3.7674809999999992</v>
      </c>
    </row>
    <row r="767" spans="3:5" x14ac:dyDescent="0.25">
      <c r="C767">
        <v>6</v>
      </c>
      <c r="E767">
        <f t="shared" si="27"/>
        <v>3.7674809999999992</v>
      </c>
    </row>
    <row r="768" spans="3:5" x14ac:dyDescent="0.25">
      <c r="C768">
        <v>9</v>
      </c>
      <c r="E768">
        <f t="shared" si="27"/>
        <v>1.1214810000000004</v>
      </c>
    </row>
    <row r="769" spans="3:5" x14ac:dyDescent="0.25">
      <c r="C769">
        <v>7</v>
      </c>
      <c r="E769">
        <f t="shared" si="27"/>
        <v>0.88548099999999974</v>
      </c>
    </row>
    <row r="770" spans="3:5" x14ac:dyDescent="0.25">
      <c r="C770">
        <v>8</v>
      </c>
      <c r="E770">
        <f t="shared" si="27"/>
        <v>3.4810000000000192E-3</v>
      </c>
    </row>
    <row r="771" spans="3:5" x14ac:dyDescent="0.25">
      <c r="C771">
        <v>7</v>
      </c>
      <c r="E771">
        <f t="shared" si="27"/>
        <v>0.88548099999999974</v>
      </c>
    </row>
    <row r="772" spans="3:5" x14ac:dyDescent="0.25">
      <c r="C772">
        <v>5</v>
      </c>
      <c r="E772">
        <f t="shared" si="27"/>
        <v>8.6494809999999998</v>
      </c>
    </row>
    <row r="773" spans="3:5" x14ac:dyDescent="0.25">
      <c r="C773">
        <v>7</v>
      </c>
      <c r="E773">
        <f t="shared" si="27"/>
        <v>0.88548099999999974</v>
      </c>
    </row>
    <row r="774" spans="3:5" x14ac:dyDescent="0.25">
      <c r="C774">
        <v>9</v>
      </c>
      <c r="E774">
        <f t="shared" si="27"/>
        <v>1.1214810000000004</v>
      </c>
    </row>
    <row r="775" spans="3:5" x14ac:dyDescent="0.25">
      <c r="C775">
        <v>6</v>
      </c>
      <c r="E775">
        <f t="shared" si="27"/>
        <v>3.7674809999999992</v>
      </c>
    </row>
    <row r="776" spans="3:5" x14ac:dyDescent="0.25">
      <c r="C776">
        <v>6</v>
      </c>
      <c r="E776">
        <f t="shared" si="27"/>
        <v>3.7674809999999992</v>
      </c>
    </row>
    <row r="777" spans="3:5" x14ac:dyDescent="0.25">
      <c r="C777">
        <v>6</v>
      </c>
      <c r="E777">
        <f t="shared" si="27"/>
        <v>3.7674809999999992</v>
      </c>
    </row>
    <row r="778" spans="3:5" x14ac:dyDescent="0.25">
      <c r="C778">
        <v>12</v>
      </c>
      <c r="E778">
        <f t="shared" si="27"/>
        <v>16.475481000000002</v>
      </c>
    </row>
    <row r="779" spans="3:5" x14ac:dyDescent="0.25">
      <c r="C779">
        <v>10</v>
      </c>
      <c r="E779">
        <f t="shared" si="27"/>
        <v>4.2394810000000005</v>
      </c>
    </row>
    <row r="780" spans="3:5" x14ac:dyDescent="0.25">
      <c r="C780">
        <v>9</v>
      </c>
      <c r="E780">
        <f t="shared" si="27"/>
        <v>1.1214810000000004</v>
      </c>
    </row>
    <row r="781" spans="3:5" x14ac:dyDescent="0.25">
      <c r="C781">
        <v>9</v>
      </c>
      <c r="E781">
        <f t="shared" si="27"/>
        <v>1.1214810000000004</v>
      </c>
    </row>
    <row r="782" spans="3:5" x14ac:dyDescent="0.25">
      <c r="C782">
        <v>6</v>
      </c>
      <c r="E782">
        <f t="shared" si="27"/>
        <v>3.7674809999999992</v>
      </c>
    </row>
    <row r="783" spans="3:5" x14ac:dyDescent="0.25">
      <c r="C783">
        <v>6</v>
      </c>
      <c r="E783">
        <f t="shared" ref="E783:E846" si="28">(C783-$B$142)^2</f>
        <v>3.7674809999999992</v>
      </c>
    </row>
    <row r="784" spans="3:5" x14ac:dyDescent="0.25">
      <c r="C784">
        <v>9</v>
      </c>
      <c r="E784">
        <f t="shared" si="28"/>
        <v>1.1214810000000004</v>
      </c>
    </row>
    <row r="785" spans="3:5" x14ac:dyDescent="0.25">
      <c r="C785">
        <v>6</v>
      </c>
      <c r="E785">
        <f t="shared" si="28"/>
        <v>3.7674809999999992</v>
      </c>
    </row>
    <row r="786" spans="3:5" x14ac:dyDescent="0.25">
      <c r="C786">
        <v>5</v>
      </c>
      <c r="E786">
        <f t="shared" si="28"/>
        <v>8.6494809999999998</v>
      </c>
    </row>
    <row r="787" spans="3:5" x14ac:dyDescent="0.25">
      <c r="C787">
        <v>6</v>
      </c>
      <c r="E787">
        <f t="shared" si="28"/>
        <v>3.7674809999999992</v>
      </c>
    </row>
    <row r="788" spans="3:5" x14ac:dyDescent="0.25">
      <c r="C788">
        <v>5</v>
      </c>
      <c r="E788">
        <f t="shared" si="28"/>
        <v>8.6494809999999998</v>
      </c>
    </row>
    <row r="789" spans="3:5" x14ac:dyDescent="0.25">
      <c r="C789">
        <v>8</v>
      </c>
      <c r="E789">
        <f t="shared" si="28"/>
        <v>3.4810000000000192E-3</v>
      </c>
    </row>
    <row r="790" spans="3:5" x14ac:dyDescent="0.25">
      <c r="C790">
        <v>10</v>
      </c>
      <c r="E790">
        <f t="shared" si="28"/>
        <v>4.2394810000000005</v>
      </c>
    </row>
    <row r="791" spans="3:5" x14ac:dyDescent="0.25">
      <c r="C791">
        <v>6</v>
      </c>
      <c r="E791">
        <f t="shared" si="28"/>
        <v>3.7674809999999992</v>
      </c>
    </row>
    <row r="792" spans="3:5" x14ac:dyDescent="0.25">
      <c r="C792">
        <v>5</v>
      </c>
      <c r="E792">
        <f t="shared" si="28"/>
        <v>8.6494809999999998</v>
      </c>
    </row>
    <row r="793" spans="3:5" x14ac:dyDescent="0.25">
      <c r="C793">
        <v>11</v>
      </c>
      <c r="E793">
        <f t="shared" si="28"/>
        <v>9.3574810000000017</v>
      </c>
    </row>
    <row r="794" spans="3:5" x14ac:dyDescent="0.25">
      <c r="C794">
        <v>9</v>
      </c>
      <c r="E794">
        <f t="shared" si="28"/>
        <v>1.1214810000000004</v>
      </c>
    </row>
    <row r="795" spans="3:5" x14ac:dyDescent="0.25">
      <c r="C795">
        <v>10</v>
      </c>
      <c r="E795">
        <f t="shared" si="28"/>
        <v>4.2394810000000005</v>
      </c>
    </row>
    <row r="796" spans="3:5" x14ac:dyDescent="0.25">
      <c r="C796">
        <v>8</v>
      </c>
      <c r="E796">
        <f t="shared" si="28"/>
        <v>3.4810000000000192E-3</v>
      </c>
    </row>
    <row r="797" spans="3:5" x14ac:dyDescent="0.25">
      <c r="C797">
        <v>6</v>
      </c>
      <c r="E797">
        <f t="shared" si="28"/>
        <v>3.7674809999999992</v>
      </c>
    </row>
    <row r="798" spans="3:5" x14ac:dyDescent="0.25">
      <c r="C798">
        <v>11</v>
      </c>
      <c r="E798">
        <f t="shared" si="28"/>
        <v>9.3574810000000017</v>
      </c>
    </row>
    <row r="799" spans="3:5" x14ac:dyDescent="0.25">
      <c r="C799">
        <v>10</v>
      </c>
      <c r="E799">
        <f t="shared" si="28"/>
        <v>4.2394810000000005</v>
      </c>
    </row>
    <row r="800" spans="3:5" x14ac:dyDescent="0.25">
      <c r="C800">
        <v>3</v>
      </c>
      <c r="E800">
        <f t="shared" si="28"/>
        <v>24.413480999999997</v>
      </c>
    </row>
    <row r="801" spans="3:5" x14ac:dyDescent="0.25">
      <c r="C801">
        <v>6</v>
      </c>
      <c r="E801">
        <f t="shared" si="28"/>
        <v>3.7674809999999992</v>
      </c>
    </row>
    <row r="802" spans="3:5" x14ac:dyDescent="0.25">
      <c r="C802">
        <v>14</v>
      </c>
      <c r="E802">
        <f t="shared" si="28"/>
        <v>36.711480999999999</v>
      </c>
    </row>
    <row r="803" spans="3:5" x14ac:dyDescent="0.25">
      <c r="C803">
        <v>10</v>
      </c>
      <c r="E803">
        <f t="shared" si="28"/>
        <v>4.2394810000000005</v>
      </c>
    </row>
    <row r="804" spans="3:5" x14ac:dyDescent="0.25">
      <c r="C804">
        <v>3</v>
      </c>
      <c r="E804">
        <f t="shared" si="28"/>
        <v>24.413480999999997</v>
      </c>
    </row>
    <row r="805" spans="3:5" x14ac:dyDescent="0.25">
      <c r="C805">
        <v>7</v>
      </c>
      <c r="E805">
        <f t="shared" si="28"/>
        <v>0.88548099999999974</v>
      </c>
    </row>
    <row r="806" spans="3:5" x14ac:dyDescent="0.25">
      <c r="C806">
        <v>10</v>
      </c>
      <c r="E806">
        <f t="shared" si="28"/>
        <v>4.2394810000000005</v>
      </c>
    </row>
    <row r="807" spans="3:5" x14ac:dyDescent="0.25">
      <c r="C807">
        <v>8</v>
      </c>
      <c r="E807">
        <f t="shared" si="28"/>
        <v>3.4810000000000192E-3</v>
      </c>
    </row>
    <row r="808" spans="3:5" x14ac:dyDescent="0.25">
      <c r="C808">
        <v>9</v>
      </c>
      <c r="E808">
        <f t="shared" si="28"/>
        <v>1.1214810000000004</v>
      </c>
    </row>
    <row r="809" spans="3:5" x14ac:dyDescent="0.25">
      <c r="C809">
        <v>7</v>
      </c>
      <c r="E809">
        <f t="shared" si="28"/>
        <v>0.88548099999999974</v>
      </c>
    </row>
    <row r="810" spans="3:5" x14ac:dyDescent="0.25">
      <c r="C810">
        <v>4</v>
      </c>
      <c r="E810">
        <f t="shared" si="28"/>
        <v>15.531480999999999</v>
      </c>
    </row>
    <row r="811" spans="3:5" x14ac:dyDescent="0.25">
      <c r="C811">
        <v>10</v>
      </c>
      <c r="E811">
        <f t="shared" si="28"/>
        <v>4.2394810000000005</v>
      </c>
    </row>
    <row r="812" spans="3:5" x14ac:dyDescent="0.25">
      <c r="C812">
        <v>5</v>
      </c>
      <c r="E812">
        <f t="shared" si="28"/>
        <v>8.6494809999999998</v>
      </c>
    </row>
    <row r="813" spans="3:5" x14ac:dyDescent="0.25">
      <c r="C813">
        <v>6</v>
      </c>
      <c r="E813">
        <f t="shared" si="28"/>
        <v>3.7674809999999992</v>
      </c>
    </row>
    <row r="814" spans="3:5" x14ac:dyDescent="0.25">
      <c r="C814">
        <v>11</v>
      </c>
      <c r="E814">
        <f t="shared" si="28"/>
        <v>9.3574810000000017</v>
      </c>
    </row>
    <row r="815" spans="3:5" x14ac:dyDescent="0.25">
      <c r="C815">
        <v>9</v>
      </c>
      <c r="E815">
        <f t="shared" si="28"/>
        <v>1.1214810000000004</v>
      </c>
    </row>
    <row r="816" spans="3:5" x14ac:dyDescent="0.25">
      <c r="C816">
        <v>7</v>
      </c>
      <c r="E816">
        <f t="shared" si="28"/>
        <v>0.88548099999999974</v>
      </c>
    </row>
    <row r="817" spans="3:5" x14ac:dyDescent="0.25">
      <c r="C817">
        <v>13</v>
      </c>
      <c r="E817">
        <f t="shared" si="28"/>
        <v>25.593481000000001</v>
      </c>
    </row>
    <row r="818" spans="3:5" x14ac:dyDescent="0.25">
      <c r="C818">
        <v>5</v>
      </c>
      <c r="E818">
        <f t="shared" si="28"/>
        <v>8.6494809999999998</v>
      </c>
    </row>
    <row r="819" spans="3:5" x14ac:dyDescent="0.25">
      <c r="C819">
        <v>13</v>
      </c>
      <c r="E819">
        <f t="shared" si="28"/>
        <v>25.593481000000001</v>
      </c>
    </row>
    <row r="820" spans="3:5" x14ac:dyDescent="0.25">
      <c r="C820">
        <v>5</v>
      </c>
      <c r="E820">
        <f t="shared" si="28"/>
        <v>8.6494809999999998</v>
      </c>
    </row>
    <row r="821" spans="3:5" x14ac:dyDescent="0.25">
      <c r="C821">
        <v>7</v>
      </c>
      <c r="E821">
        <f t="shared" si="28"/>
        <v>0.88548099999999974</v>
      </c>
    </row>
    <row r="822" spans="3:5" x14ac:dyDescent="0.25">
      <c r="C822">
        <v>6</v>
      </c>
      <c r="E822">
        <f t="shared" si="28"/>
        <v>3.7674809999999992</v>
      </c>
    </row>
    <row r="823" spans="3:5" x14ac:dyDescent="0.25">
      <c r="C823">
        <v>4</v>
      </c>
      <c r="E823">
        <f t="shared" si="28"/>
        <v>15.531480999999999</v>
      </c>
    </row>
    <row r="824" spans="3:5" x14ac:dyDescent="0.25">
      <c r="C824">
        <v>15</v>
      </c>
      <c r="E824">
        <f t="shared" si="28"/>
        <v>49.829481000000001</v>
      </c>
    </row>
    <row r="825" spans="3:5" x14ac:dyDescent="0.25">
      <c r="C825">
        <v>10</v>
      </c>
      <c r="E825">
        <f t="shared" si="28"/>
        <v>4.2394810000000005</v>
      </c>
    </row>
    <row r="826" spans="3:5" x14ac:dyDescent="0.25">
      <c r="C826">
        <v>10</v>
      </c>
      <c r="E826">
        <f t="shared" si="28"/>
        <v>4.2394810000000005</v>
      </c>
    </row>
    <row r="827" spans="3:5" x14ac:dyDescent="0.25">
      <c r="C827">
        <v>5</v>
      </c>
      <c r="E827">
        <f t="shared" si="28"/>
        <v>8.6494809999999998</v>
      </c>
    </row>
    <row r="828" spans="3:5" x14ac:dyDescent="0.25">
      <c r="C828">
        <v>8</v>
      </c>
      <c r="E828">
        <f t="shared" si="28"/>
        <v>3.4810000000000192E-3</v>
      </c>
    </row>
    <row r="829" spans="3:5" x14ac:dyDescent="0.25">
      <c r="C829">
        <v>11</v>
      </c>
      <c r="E829">
        <f t="shared" si="28"/>
        <v>9.3574810000000017</v>
      </c>
    </row>
    <row r="830" spans="3:5" x14ac:dyDescent="0.25">
      <c r="C830">
        <v>8</v>
      </c>
      <c r="E830">
        <f t="shared" si="28"/>
        <v>3.4810000000000192E-3</v>
      </c>
    </row>
    <row r="831" spans="3:5" x14ac:dyDescent="0.25">
      <c r="C831">
        <v>9</v>
      </c>
      <c r="E831">
        <f t="shared" si="28"/>
        <v>1.1214810000000004</v>
      </c>
    </row>
    <row r="832" spans="3:5" x14ac:dyDescent="0.25">
      <c r="C832">
        <v>7</v>
      </c>
      <c r="E832">
        <f t="shared" si="28"/>
        <v>0.88548099999999974</v>
      </c>
    </row>
    <row r="833" spans="3:5" x14ac:dyDescent="0.25">
      <c r="C833">
        <v>10</v>
      </c>
      <c r="E833">
        <f t="shared" si="28"/>
        <v>4.2394810000000005</v>
      </c>
    </row>
    <row r="834" spans="3:5" x14ac:dyDescent="0.25">
      <c r="C834">
        <v>11</v>
      </c>
      <c r="E834">
        <f t="shared" si="28"/>
        <v>9.3574810000000017</v>
      </c>
    </row>
    <row r="835" spans="3:5" x14ac:dyDescent="0.25">
      <c r="C835">
        <v>10</v>
      </c>
      <c r="E835">
        <f t="shared" si="28"/>
        <v>4.2394810000000005</v>
      </c>
    </row>
    <row r="836" spans="3:5" x14ac:dyDescent="0.25">
      <c r="C836">
        <v>10</v>
      </c>
      <c r="E836">
        <f t="shared" si="28"/>
        <v>4.2394810000000005</v>
      </c>
    </row>
    <row r="837" spans="3:5" x14ac:dyDescent="0.25">
      <c r="C837">
        <v>4</v>
      </c>
      <c r="E837">
        <f t="shared" si="28"/>
        <v>15.531480999999999</v>
      </c>
    </row>
    <row r="838" spans="3:5" x14ac:dyDescent="0.25">
      <c r="C838">
        <v>7</v>
      </c>
      <c r="E838">
        <f t="shared" si="28"/>
        <v>0.88548099999999974</v>
      </c>
    </row>
    <row r="839" spans="3:5" x14ac:dyDescent="0.25">
      <c r="C839">
        <v>16</v>
      </c>
      <c r="E839">
        <f t="shared" si="28"/>
        <v>64.94748100000001</v>
      </c>
    </row>
    <row r="840" spans="3:5" x14ac:dyDescent="0.25">
      <c r="C840">
        <v>7</v>
      </c>
      <c r="E840">
        <f t="shared" si="28"/>
        <v>0.88548099999999974</v>
      </c>
    </row>
    <row r="841" spans="3:5" x14ac:dyDescent="0.25">
      <c r="C841">
        <v>8</v>
      </c>
      <c r="E841">
        <f t="shared" si="28"/>
        <v>3.4810000000000192E-3</v>
      </c>
    </row>
    <row r="842" spans="3:5" x14ac:dyDescent="0.25">
      <c r="C842">
        <v>5</v>
      </c>
      <c r="E842">
        <f t="shared" si="28"/>
        <v>8.6494809999999998</v>
      </c>
    </row>
    <row r="843" spans="3:5" x14ac:dyDescent="0.25">
      <c r="C843">
        <v>11</v>
      </c>
      <c r="E843">
        <f t="shared" si="28"/>
        <v>9.3574810000000017</v>
      </c>
    </row>
    <row r="844" spans="3:5" x14ac:dyDescent="0.25">
      <c r="C844">
        <v>10</v>
      </c>
      <c r="E844">
        <f t="shared" si="28"/>
        <v>4.2394810000000005</v>
      </c>
    </row>
    <row r="845" spans="3:5" x14ac:dyDescent="0.25">
      <c r="C845">
        <v>3</v>
      </c>
      <c r="E845">
        <f t="shared" si="28"/>
        <v>24.413480999999997</v>
      </c>
    </row>
    <row r="846" spans="3:5" x14ac:dyDescent="0.25">
      <c r="C846">
        <v>9</v>
      </c>
      <c r="E846">
        <f t="shared" si="28"/>
        <v>1.1214810000000004</v>
      </c>
    </row>
    <row r="847" spans="3:5" x14ac:dyDescent="0.25">
      <c r="C847">
        <v>12</v>
      </c>
      <c r="E847">
        <f t="shared" ref="E847:E910" si="29">(C847-$B$142)^2</f>
        <v>16.475481000000002</v>
      </c>
    </row>
    <row r="848" spans="3:5" x14ac:dyDescent="0.25">
      <c r="C848">
        <v>7</v>
      </c>
      <c r="E848">
        <f t="shared" si="29"/>
        <v>0.88548099999999974</v>
      </c>
    </row>
    <row r="849" spans="3:5" x14ac:dyDescent="0.25">
      <c r="C849">
        <v>10</v>
      </c>
      <c r="E849">
        <f t="shared" si="29"/>
        <v>4.2394810000000005</v>
      </c>
    </row>
    <row r="850" spans="3:5" x14ac:dyDescent="0.25">
      <c r="C850">
        <v>6</v>
      </c>
      <c r="E850">
        <f t="shared" si="29"/>
        <v>3.7674809999999992</v>
      </c>
    </row>
    <row r="851" spans="3:5" x14ac:dyDescent="0.25">
      <c r="C851">
        <v>3</v>
      </c>
      <c r="E851">
        <f t="shared" si="29"/>
        <v>24.413480999999997</v>
      </c>
    </row>
    <row r="852" spans="3:5" x14ac:dyDescent="0.25">
      <c r="C852">
        <v>13</v>
      </c>
      <c r="E852">
        <f t="shared" si="29"/>
        <v>25.593481000000001</v>
      </c>
    </row>
    <row r="853" spans="3:5" x14ac:dyDescent="0.25">
      <c r="C853">
        <v>11</v>
      </c>
      <c r="E853">
        <f t="shared" si="29"/>
        <v>9.3574810000000017</v>
      </c>
    </row>
    <row r="854" spans="3:5" x14ac:dyDescent="0.25">
      <c r="C854">
        <v>9</v>
      </c>
      <c r="E854">
        <f t="shared" si="29"/>
        <v>1.1214810000000004</v>
      </c>
    </row>
    <row r="855" spans="3:5" x14ac:dyDescent="0.25">
      <c r="C855">
        <v>5</v>
      </c>
      <c r="E855">
        <f t="shared" si="29"/>
        <v>8.6494809999999998</v>
      </c>
    </row>
    <row r="856" spans="3:5" x14ac:dyDescent="0.25">
      <c r="C856">
        <v>4</v>
      </c>
      <c r="E856">
        <f t="shared" si="29"/>
        <v>15.531480999999999</v>
      </c>
    </row>
    <row r="857" spans="3:5" x14ac:dyDescent="0.25">
      <c r="C857">
        <v>7</v>
      </c>
      <c r="E857">
        <f t="shared" si="29"/>
        <v>0.88548099999999974</v>
      </c>
    </row>
    <row r="858" spans="3:5" x14ac:dyDescent="0.25">
      <c r="C858">
        <v>6</v>
      </c>
      <c r="E858">
        <f t="shared" si="29"/>
        <v>3.7674809999999992</v>
      </c>
    </row>
    <row r="859" spans="3:5" x14ac:dyDescent="0.25">
      <c r="C859">
        <v>8</v>
      </c>
      <c r="E859">
        <f t="shared" si="29"/>
        <v>3.4810000000000192E-3</v>
      </c>
    </row>
    <row r="860" spans="3:5" x14ac:dyDescent="0.25">
      <c r="C860">
        <v>10</v>
      </c>
      <c r="E860">
        <f t="shared" si="29"/>
        <v>4.2394810000000005</v>
      </c>
    </row>
    <row r="861" spans="3:5" x14ac:dyDescent="0.25">
      <c r="C861">
        <v>7</v>
      </c>
      <c r="E861">
        <f t="shared" si="29"/>
        <v>0.88548099999999974</v>
      </c>
    </row>
    <row r="862" spans="3:5" x14ac:dyDescent="0.25">
      <c r="C862">
        <v>7</v>
      </c>
      <c r="E862">
        <f t="shared" si="29"/>
        <v>0.88548099999999974</v>
      </c>
    </row>
    <row r="863" spans="3:5" x14ac:dyDescent="0.25">
      <c r="C863">
        <v>10</v>
      </c>
      <c r="E863">
        <f t="shared" si="29"/>
        <v>4.2394810000000005</v>
      </c>
    </row>
    <row r="864" spans="3:5" x14ac:dyDescent="0.25">
      <c r="C864">
        <v>8</v>
      </c>
      <c r="E864">
        <f t="shared" si="29"/>
        <v>3.4810000000000192E-3</v>
      </c>
    </row>
    <row r="865" spans="3:5" x14ac:dyDescent="0.25">
      <c r="C865">
        <v>7</v>
      </c>
      <c r="E865">
        <f t="shared" si="29"/>
        <v>0.88548099999999974</v>
      </c>
    </row>
    <row r="866" spans="3:5" x14ac:dyDescent="0.25">
      <c r="C866">
        <v>1</v>
      </c>
      <c r="E866">
        <f t="shared" si="29"/>
        <v>48.177481</v>
      </c>
    </row>
    <row r="867" spans="3:5" x14ac:dyDescent="0.25">
      <c r="C867">
        <v>8</v>
      </c>
      <c r="E867">
        <f t="shared" si="29"/>
        <v>3.4810000000000192E-3</v>
      </c>
    </row>
    <row r="868" spans="3:5" x14ac:dyDescent="0.25">
      <c r="C868">
        <v>6</v>
      </c>
      <c r="E868">
        <f t="shared" si="29"/>
        <v>3.7674809999999992</v>
      </c>
    </row>
    <row r="869" spans="3:5" x14ac:dyDescent="0.25">
      <c r="C869">
        <v>7</v>
      </c>
      <c r="E869">
        <f t="shared" si="29"/>
        <v>0.88548099999999974</v>
      </c>
    </row>
    <row r="870" spans="3:5" x14ac:dyDescent="0.25">
      <c r="C870">
        <v>7</v>
      </c>
      <c r="E870">
        <f t="shared" si="29"/>
        <v>0.88548099999999974</v>
      </c>
    </row>
    <row r="871" spans="3:5" x14ac:dyDescent="0.25">
      <c r="C871">
        <v>7</v>
      </c>
      <c r="E871">
        <f t="shared" si="29"/>
        <v>0.88548099999999974</v>
      </c>
    </row>
    <row r="872" spans="3:5" x14ac:dyDescent="0.25">
      <c r="C872">
        <v>11</v>
      </c>
      <c r="E872">
        <f t="shared" si="29"/>
        <v>9.3574810000000017</v>
      </c>
    </row>
    <row r="873" spans="3:5" x14ac:dyDescent="0.25">
      <c r="C873">
        <v>4</v>
      </c>
      <c r="E873">
        <f t="shared" si="29"/>
        <v>15.531480999999999</v>
      </c>
    </row>
    <row r="874" spans="3:5" x14ac:dyDescent="0.25">
      <c r="C874">
        <v>7</v>
      </c>
      <c r="E874">
        <f t="shared" si="29"/>
        <v>0.88548099999999974</v>
      </c>
    </row>
    <row r="875" spans="3:5" x14ac:dyDescent="0.25">
      <c r="C875">
        <v>10</v>
      </c>
      <c r="E875">
        <f t="shared" si="29"/>
        <v>4.2394810000000005</v>
      </c>
    </row>
    <row r="876" spans="3:5" x14ac:dyDescent="0.25">
      <c r="C876">
        <v>17</v>
      </c>
      <c r="E876">
        <f t="shared" si="29"/>
        <v>82.06548100000002</v>
      </c>
    </row>
    <row r="877" spans="3:5" x14ac:dyDescent="0.25">
      <c r="C877">
        <v>8</v>
      </c>
      <c r="E877">
        <f t="shared" si="29"/>
        <v>3.4810000000000192E-3</v>
      </c>
    </row>
    <row r="878" spans="3:5" x14ac:dyDescent="0.25">
      <c r="C878">
        <v>8</v>
      </c>
      <c r="E878">
        <f t="shared" si="29"/>
        <v>3.4810000000000192E-3</v>
      </c>
    </row>
    <row r="879" spans="3:5" x14ac:dyDescent="0.25">
      <c r="C879">
        <v>10</v>
      </c>
      <c r="E879">
        <f t="shared" si="29"/>
        <v>4.2394810000000005</v>
      </c>
    </row>
    <row r="880" spans="3:5" x14ac:dyDescent="0.25">
      <c r="C880">
        <v>10</v>
      </c>
      <c r="E880">
        <f t="shared" si="29"/>
        <v>4.2394810000000005</v>
      </c>
    </row>
    <row r="881" spans="3:5" x14ac:dyDescent="0.25">
      <c r="C881">
        <v>7</v>
      </c>
      <c r="E881">
        <f t="shared" si="29"/>
        <v>0.88548099999999974</v>
      </c>
    </row>
    <row r="882" spans="3:5" x14ac:dyDescent="0.25">
      <c r="C882">
        <v>9</v>
      </c>
      <c r="E882">
        <f t="shared" si="29"/>
        <v>1.1214810000000004</v>
      </c>
    </row>
    <row r="883" spans="3:5" x14ac:dyDescent="0.25">
      <c r="C883">
        <v>7</v>
      </c>
      <c r="E883">
        <f t="shared" si="29"/>
        <v>0.88548099999999974</v>
      </c>
    </row>
    <row r="884" spans="3:5" x14ac:dyDescent="0.25">
      <c r="C884">
        <v>5</v>
      </c>
      <c r="E884">
        <f t="shared" si="29"/>
        <v>8.6494809999999998</v>
      </c>
    </row>
    <row r="885" spans="3:5" x14ac:dyDescent="0.25">
      <c r="C885">
        <v>3</v>
      </c>
      <c r="E885">
        <f t="shared" si="29"/>
        <v>24.413480999999997</v>
      </c>
    </row>
    <row r="886" spans="3:5" x14ac:dyDescent="0.25">
      <c r="C886">
        <v>9</v>
      </c>
      <c r="E886">
        <f t="shared" si="29"/>
        <v>1.1214810000000004</v>
      </c>
    </row>
    <row r="887" spans="3:5" x14ac:dyDescent="0.25">
      <c r="C887">
        <v>9</v>
      </c>
      <c r="E887">
        <f t="shared" si="29"/>
        <v>1.1214810000000004</v>
      </c>
    </row>
    <row r="888" spans="3:5" x14ac:dyDescent="0.25">
      <c r="C888">
        <v>8</v>
      </c>
      <c r="E888">
        <f t="shared" si="29"/>
        <v>3.4810000000000192E-3</v>
      </c>
    </row>
    <row r="889" spans="3:5" x14ac:dyDescent="0.25">
      <c r="C889">
        <v>8</v>
      </c>
      <c r="E889">
        <f t="shared" si="29"/>
        <v>3.4810000000000192E-3</v>
      </c>
    </row>
    <row r="890" spans="3:5" x14ac:dyDescent="0.25">
      <c r="C890">
        <v>3</v>
      </c>
      <c r="E890">
        <f t="shared" si="29"/>
        <v>24.413480999999997</v>
      </c>
    </row>
    <row r="891" spans="3:5" x14ac:dyDescent="0.25">
      <c r="C891">
        <v>7</v>
      </c>
      <c r="E891">
        <f t="shared" si="29"/>
        <v>0.88548099999999974</v>
      </c>
    </row>
    <row r="892" spans="3:5" x14ac:dyDescent="0.25">
      <c r="C892">
        <v>10</v>
      </c>
      <c r="E892">
        <f t="shared" si="29"/>
        <v>4.2394810000000005</v>
      </c>
    </row>
    <row r="893" spans="3:5" x14ac:dyDescent="0.25">
      <c r="C893">
        <v>8</v>
      </c>
      <c r="E893">
        <f t="shared" si="29"/>
        <v>3.4810000000000192E-3</v>
      </c>
    </row>
    <row r="894" spans="3:5" x14ac:dyDescent="0.25">
      <c r="C894">
        <v>5</v>
      </c>
      <c r="E894">
        <f t="shared" si="29"/>
        <v>8.6494809999999998</v>
      </c>
    </row>
    <row r="895" spans="3:5" x14ac:dyDescent="0.25">
      <c r="C895">
        <v>6</v>
      </c>
      <c r="E895">
        <f t="shared" si="29"/>
        <v>3.7674809999999992</v>
      </c>
    </row>
    <row r="896" spans="3:5" x14ac:dyDescent="0.25">
      <c r="C896">
        <v>4</v>
      </c>
      <c r="E896">
        <f t="shared" si="29"/>
        <v>15.531480999999999</v>
      </c>
    </row>
    <row r="897" spans="3:5" x14ac:dyDescent="0.25">
      <c r="C897">
        <v>15</v>
      </c>
      <c r="E897">
        <f t="shared" si="29"/>
        <v>49.829481000000001</v>
      </c>
    </row>
    <row r="898" spans="3:5" x14ac:dyDescent="0.25">
      <c r="C898">
        <v>10</v>
      </c>
      <c r="E898">
        <f t="shared" si="29"/>
        <v>4.2394810000000005</v>
      </c>
    </row>
    <row r="899" spans="3:5" x14ac:dyDescent="0.25">
      <c r="C899">
        <v>7</v>
      </c>
      <c r="E899">
        <f t="shared" si="29"/>
        <v>0.88548099999999974</v>
      </c>
    </row>
    <row r="900" spans="3:5" x14ac:dyDescent="0.25">
      <c r="C900">
        <v>17</v>
      </c>
      <c r="E900">
        <f t="shared" si="29"/>
        <v>82.06548100000002</v>
      </c>
    </row>
    <row r="901" spans="3:5" x14ac:dyDescent="0.25">
      <c r="C901">
        <v>11</v>
      </c>
      <c r="E901">
        <f t="shared" si="29"/>
        <v>9.3574810000000017</v>
      </c>
    </row>
    <row r="902" spans="3:5" x14ac:dyDescent="0.25">
      <c r="C902">
        <v>11</v>
      </c>
      <c r="E902">
        <f t="shared" si="29"/>
        <v>9.3574810000000017</v>
      </c>
    </row>
    <row r="903" spans="3:5" x14ac:dyDescent="0.25">
      <c r="C903">
        <v>4</v>
      </c>
      <c r="E903">
        <f t="shared" si="29"/>
        <v>15.531480999999999</v>
      </c>
    </row>
    <row r="904" spans="3:5" x14ac:dyDescent="0.25">
      <c r="C904">
        <v>8</v>
      </c>
      <c r="E904">
        <f t="shared" si="29"/>
        <v>3.4810000000000192E-3</v>
      </c>
    </row>
    <row r="905" spans="3:5" x14ac:dyDescent="0.25">
      <c r="C905">
        <v>5</v>
      </c>
      <c r="E905">
        <f t="shared" si="29"/>
        <v>8.6494809999999998</v>
      </c>
    </row>
    <row r="906" spans="3:5" x14ac:dyDescent="0.25">
      <c r="C906">
        <v>7</v>
      </c>
      <c r="E906">
        <f t="shared" si="29"/>
        <v>0.88548099999999974</v>
      </c>
    </row>
    <row r="907" spans="3:5" x14ac:dyDescent="0.25">
      <c r="C907">
        <v>11</v>
      </c>
      <c r="E907">
        <f t="shared" si="29"/>
        <v>9.3574810000000017</v>
      </c>
    </row>
    <row r="908" spans="3:5" x14ac:dyDescent="0.25">
      <c r="C908">
        <v>7</v>
      </c>
      <c r="E908">
        <f t="shared" si="29"/>
        <v>0.88548099999999974</v>
      </c>
    </row>
    <row r="909" spans="3:5" x14ac:dyDescent="0.25">
      <c r="C909">
        <v>6</v>
      </c>
      <c r="E909">
        <f t="shared" si="29"/>
        <v>3.7674809999999992</v>
      </c>
    </row>
    <row r="910" spans="3:5" x14ac:dyDescent="0.25">
      <c r="C910">
        <v>7</v>
      </c>
      <c r="E910">
        <f t="shared" si="29"/>
        <v>0.88548099999999974</v>
      </c>
    </row>
    <row r="911" spans="3:5" x14ac:dyDescent="0.25">
      <c r="C911">
        <v>8</v>
      </c>
      <c r="E911">
        <f t="shared" ref="E911:E974" si="30">(C911-$B$142)^2</f>
        <v>3.4810000000000192E-3</v>
      </c>
    </row>
    <row r="912" spans="3:5" x14ac:dyDescent="0.25">
      <c r="C912">
        <v>8</v>
      </c>
      <c r="E912">
        <f t="shared" si="30"/>
        <v>3.4810000000000192E-3</v>
      </c>
    </row>
    <row r="913" spans="3:5" x14ac:dyDescent="0.25">
      <c r="C913">
        <v>9</v>
      </c>
      <c r="E913">
        <f t="shared" si="30"/>
        <v>1.1214810000000004</v>
      </c>
    </row>
    <row r="914" spans="3:5" x14ac:dyDescent="0.25">
      <c r="C914">
        <v>3</v>
      </c>
      <c r="E914">
        <f t="shared" si="30"/>
        <v>24.413480999999997</v>
      </c>
    </row>
    <row r="915" spans="3:5" x14ac:dyDescent="0.25">
      <c r="C915">
        <v>7</v>
      </c>
      <c r="E915">
        <f t="shared" si="30"/>
        <v>0.88548099999999974</v>
      </c>
    </row>
    <row r="916" spans="3:5" x14ac:dyDescent="0.25">
      <c r="C916">
        <v>13</v>
      </c>
      <c r="E916">
        <f t="shared" si="30"/>
        <v>25.593481000000001</v>
      </c>
    </row>
    <row r="917" spans="3:5" x14ac:dyDescent="0.25">
      <c r="C917">
        <v>12</v>
      </c>
      <c r="E917">
        <f t="shared" si="30"/>
        <v>16.475481000000002</v>
      </c>
    </row>
    <row r="918" spans="3:5" x14ac:dyDescent="0.25">
      <c r="C918">
        <v>10</v>
      </c>
      <c r="E918">
        <f t="shared" si="30"/>
        <v>4.2394810000000005</v>
      </c>
    </row>
    <row r="919" spans="3:5" x14ac:dyDescent="0.25">
      <c r="C919">
        <v>11</v>
      </c>
      <c r="E919">
        <f t="shared" si="30"/>
        <v>9.3574810000000017</v>
      </c>
    </row>
    <row r="920" spans="3:5" x14ac:dyDescent="0.25">
      <c r="C920">
        <v>11</v>
      </c>
      <c r="E920">
        <f t="shared" si="30"/>
        <v>9.3574810000000017</v>
      </c>
    </row>
    <row r="921" spans="3:5" x14ac:dyDescent="0.25">
      <c r="C921">
        <v>12</v>
      </c>
      <c r="E921">
        <f t="shared" si="30"/>
        <v>16.475481000000002</v>
      </c>
    </row>
    <row r="922" spans="3:5" x14ac:dyDescent="0.25">
      <c r="C922">
        <v>9</v>
      </c>
      <c r="E922">
        <f t="shared" si="30"/>
        <v>1.1214810000000004</v>
      </c>
    </row>
    <row r="923" spans="3:5" x14ac:dyDescent="0.25">
      <c r="C923">
        <v>5</v>
      </c>
      <c r="E923">
        <f t="shared" si="30"/>
        <v>8.6494809999999998</v>
      </c>
    </row>
    <row r="924" spans="3:5" x14ac:dyDescent="0.25">
      <c r="C924">
        <v>8</v>
      </c>
      <c r="E924">
        <f t="shared" si="30"/>
        <v>3.4810000000000192E-3</v>
      </c>
    </row>
    <row r="925" spans="3:5" x14ac:dyDescent="0.25">
      <c r="C925">
        <v>6</v>
      </c>
      <c r="E925">
        <f t="shared" si="30"/>
        <v>3.7674809999999992</v>
      </c>
    </row>
    <row r="926" spans="3:5" x14ac:dyDescent="0.25">
      <c r="C926">
        <v>1</v>
      </c>
      <c r="E926">
        <f t="shared" si="30"/>
        <v>48.177481</v>
      </c>
    </row>
    <row r="927" spans="3:5" x14ac:dyDescent="0.25">
      <c r="C927">
        <v>11</v>
      </c>
      <c r="E927">
        <f t="shared" si="30"/>
        <v>9.3574810000000017</v>
      </c>
    </row>
    <row r="928" spans="3:5" x14ac:dyDescent="0.25">
      <c r="C928">
        <v>9</v>
      </c>
      <c r="E928">
        <f t="shared" si="30"/>
        <v>1.1214810000000004</v>
      </c>
    </row>
    <row r="929" spans="3:5" x14ac:dyDescent="0.25">
      <c r="C929">
        <v>11</v>
      </c>
      <c r="E929">
        <f t="shared" si="30"/>
        <v>9.3574810000000017</v>
      </c>
    </row>
    <row r="930" spans="3:5" x14ac:dyDescent="0.25">
      <c r="C930">
        <v>7</v>
      </c>
      <c r="E930">
        <f t="shared" si="30"/>
        <v>0.88548099999999974</v>
      </c>
    </row>
    <row r="931" spans="3:5" x14ac:dyDescent="0.25">
      <c r="C931">
        <v>6</v>
      </c>
      <c r="E931">
        <f t="shared" si="30"/>
        <v>3.7674809999999992</v>
      </c>
    </row>
    <row r="932" spans="3:5" x14ac:dyDescent="0.25">
      <c r="C932">
        <v>8</v>
      </c>
      <c r="E932">
        <f t="shared" si="30"/>
        <v>3.4810000000000192E-3</v>
      </c>
    </row>
    <row r="933" spans="3:5" x14ac:dyDescent="0.25">
      <c r="C933">
        <v>5</v>
      </c>
      <c r="E933">
        <f t="shared" si="30"/>
        <v>8.6494809999999998</v>
      </c>
    </row>
    <row r="934" spans="3:5" x14ac:dyDescent="0.25">
      <c r="C934">
        <v>9</v>
      </c>
      <c r="E934">
        <f t="shared" si="30"/>
        <v>1.1214810000000004</v>
      </c>
    </row>
    <row r="935" spans="3:5" x14ac:dyDescent="0.25">
      <c r="C935">
        <v>8</v>
      </c>
      <c r="E935">
        <f t="shared" si="30"/>
        <v>3.4810000000000192E-3</v>
      </c>
    </row>
    <row r="936" spans="3:5" x14ac:dyDescent="0.25">
      <c r="C936">
        <v>12</v>
      </c>
      <c r="E936">
        <f t="shared" si="30"/>
        <v>16.475481000000002</v>
      </c>
    </row>
    <row r="937" spans="3:5" x14ac:dyDescent="0.25">
      <c r="C937">
        <v>13</v>
      </c>
      <c r="E937">
        <f t="shared" si="30"/>
        <v>25.593481000000001</v>
      </c>
    </row>
    <row r="938" spans="3:5" x14ac:dyDescent="0.25">
      <c r="C938">
        <v>7</v>
      </c>
      <c r="E938">
        <f t="shared" si="30"/>
        <v>0.88548099999999974</v>
      </c>
    </row>
    <row r="939" spans="3:5" x14ac:dyDescent="0.25">
      <c r="C939">
        <v>10</v>
      </c>
      <c r="E939">
        <f t="shared" si="30"/>
        <v>4.2394810000000005</v>
      </c>
    </row>
    <row r="940" spans="3:5" x14ac:dyDescent="0.25">
      <c r="C940">
        <v>10</v>
      </c>
      <c r="E940">
        <f t="shared" si="30"/>
        <v>4.2394810000000005</v>
      </c>
    </row>
    <row r="941" spans="3:5" x14ac:dyDescent="0.25">
      <c r="C941">
        <v>11</v>
      </c>
      <c r="E941">
        <f t="shared" si="30"/>
        <v>9.3574810000000017</v>
      </c>
    </row>
    <row r="942" spans="3:5" x14ac:dyDescent="0.25">
      <c r="C942">
        <v>3</v>
      </c>
      <c r="E942">
        <f t="shared" si="30"/>
        <v>24.413480999999997</v>
      </c>
    </row>
    <row r="943" spans="3:5" x14ac:dyDescent="0.25">
      <c r="C943">
        <v>11</v>
      </c>
      <c r="E943">
        <f t="shared" si="30"/>
        <v>9.3574810000000017</v>
      </c>
    </row>
    <row r="944" spans="3:5" x14ac:dyDescent="0.25">
      <c r="C944">
        <v>10</v>
      </c>
      <c r="E944">
        <f t="shared" si="30"/>
        <v>4.2394810000000005</v>
      </c>
    </row>
    <row r="945" spans="3:5" x14ac:dyDescent="0.25">
      <c r="C945">
        <v>8</v>
      </c>
      <c r="E945">
        <f t="shared" si="30"/>
        <v>3.4810000000000192E-3</v>
      </c>
    </row>
    <row r="946" spans="3:5" x14ac:dyDescent="0.25">
      <c r="C946">
        <v>12</v>
      </c>
      <c r="E946">
        <f t="shared" si="30"/>
        <v>16.475481000000002</v>
      </c>
    </row>
    <row r="947" spans="3:5" x14ac:dyDescent="0.25">
      <c r="C947">
        <v>9</v>
      </c>
      <c r="E947">
        <f t="shared" si="30"/>
        <v>1.1214810000000004</v>
      </c>
    </row>
    <row r="948" spans="3:5" x14ac:dyDescent="0.25">
      <c r="C948">
        <v>6</v>
      </c>
      <c r="E948">
        <f t="shared" si="30"/>
        <v>3.7674809999999992</v>
      </c>
    </row>
    <row r="949" spans="3:5" x14ac:dyDescent="0.25">
      <c r="C949">
        <v>8</v>
      </c>
      <c r="E949">
        <f t="shared" si="30"/>
        <v>3.4810000000000192E-3</v>
      </c>
    </row>
    <row r="950" spans="3:5" x14ac:dyDescent="0.25">
      <c r="C950">
        <v>8</v>
      </c>
      <c r="E950">
        <f t="shared" si="30"/>
        <v>3.4810000000000192E-3</v>
      </c>
    </row>
    <row r="951" spans="3:5" x14ac:dyDescent="0.25">
      <c r="C951">
        <v>5</v>
      </c>
      <c r="E951">
        <f t="shared" si="30"/>
        <v>8.6494809999999998</v>
      </c>
    </row>
    <row r="952" spans="3:5" x14ac:dyDescent="0.25">
      <c r="C952">
        <v>8</v>
      </c>
      <c r="E952">
        <f t="shared" si="30"/>
        <v>3.4810000000000192E-3</v>
      </c>
    </row>
    <row r="953" spans="3:5" x14ac:dyDescent="0.25">
      <c r="C953">
        <v>8</v>
      </c>
      <c r="E953">
        <f t="shared" si="30"/>
        <v>3.4810000000000192E-3</v>
      </c>
    </row>
    <row r="954" spans="3:5" x14ac:dyDescent="0.25">
      <c r="C954">
        <v>9</v>
      </c>
      <c r="E954">
        <f t="shared" si="30"/>
        <v>1.1214810000000004</v>
      </c>
    </row>
    <row r="955" spans="3:5" x14ac:dyDescent="0.25">
      <c r="C955">
        <v>11</v>
      </c>
      <c r="E955">
        <f t="shared" si="30"/>
        <v>9.3574810000000017</v>
      </c>
    </row>
    <row r="956" spans="3:5" x14ac:dyDescent="0.25">
      <c r="C956">
        <v>6</v>
      </c>
      <c r="E956">
        <f t="shared" si="30"/>
        <v>3.7674809999999992</v>
      </c>
    </row>
    <row r="957" spans="3:5" x14ac:dyDescent="0.25">
      <c r="C957">
        <v>9</v>
      </c>
      <c r="E957">
        <f t="shared" si="30"/>
        <v>1.1214810000000004</v>
      </c>
    </row>
    <row r="958" spans="3:5" x14ac:dyDescent="0.25">
      <c r="C958">
        <v>5</v>
      </c>
      <c r="E958">
        <f t="shared" si="30"/>
        <v>8.6494809999999998</v>
      </c>
    </row>
    <row r="959" spans="3:5" x14ac:dyDescent="0.25">
      <c r="C959">
        <v>8</v>
      </c>
      <c r="E959">
        <f t="shared" si="30"/>
        <v>3.4810000000000192E-3</v>
      </c>
    </row>
    <row r="960" spans="3:5" x14ac:dyDescent="0.25">
      <c r="C960">
        <v>8</v>
      </c>
      <c r="E960">
        <f t="shared" si="30"/>
        <v>3.4810000000000192E-3</v>
      </c>
    </row>
    <row r="961" spans="3:5" x14ac:dyDescent="0.25">
      <c r="C961">
        <v>8</v>
      </c>
      <c r="E961">
        <f t="shared" si="30"/>
        <v>3.4810000000000192E-3</v>
      </c>
    </row>
    <row r="962" spans="3:5" x14ac:dyDescent="0.25">
      <c r="C962">
        <v>13</v>
      </c>
      <c r="E962">
        <f t="shared" si="30"/>
        <v>25.593481000000001</v>
      </c>
    </row>
    <row r="963" spans="3:5" x14ac:dyDescent="0.25">
      <c r="C963">
        <v>9</v>
      </c>
      <c r="E963">
        <f t="shared" si="30"/>
        <v>1.1214810000000004</v>
      </c>
    </row>
    <row r="964" spans="3:5" x14ac:dyDescent="0.25">
      <c r="C964">
        <v>9</v>
      </c>
      <c r="E964">
        <f t="shared" si="30"/>
        <v>1.1214810000000004</v>
      </c>
    </row>
    <row r="965" spans="3:5" x14ac:dyDescent="0.25">
      <c r="C965">
        <v>8</v>
      </c>
      <c r="E965">
        <f t="shared" si="30"/>
        <v>3.4810000000000192E-3</v>
      </c>
    </row>
    <row r="966" spans="3:5" x14ac:dyDescent="0.25">
      <c r="C966">
        <v>10</v>
      </c>
      <c r="E966">
        <f t="shared" si="30"/>
        <v>4.2394810000000005</v>
      </c>
    </row>
    <row r="967" spans="3:5" x14ac:dyDescent="0.25">
      <c r="C967">
        <v>11</v>
      </c>
      <c r="E967">
        <f t="shared" si="30"/>
        <v>9.3574810000000017</v>
      </c>
    </row>
    <row r="968" spans="3:5" x14ac:dyDescent="0.25">
      <c r="C968">
        <v>11</v>
      </c>
      <c r="E968">
        <f t="shared" si="30"/>
        <v>9.3574810000000017</v>
      </c>
    </row>
    <row r="969" spans="3:5" x14ac:dyDescent="0.25">
      <c r="C969">
        <v>12</v>
      </c>
      <c r="E969">
        <f t="shared" si="30"/>
        <v>16.475481000000002</v>
      </c>
    </row>
    <row r="970" spans="3:5" x14ac:dyDescent="0.25">
      <c r="C970">
        <v>7</v>
      </c>
      <c r="E970">
        <f t="shared" si="30"/>
        <v>0.88548099999999974</v>
      </c>
    </row>
    <row r="971" spans="3:5" x14ac:dyDescent="0.25">
      <c r="C971">
        <v>8</v>
      </c>
      <c r="E971">
        <f t="shared" si="30"/>
        <v>3.4810000000000192E-3</v>
      </c>
    </row>
    <row r="972" spans="3:5" x14ac:dyDescent="0.25">
      <c r="C972">
        <v>7</v>
      </c>
      <c r="E972">
        <f t="shared" si="30"/>
        <v>0.88548099999999974</v>
      </c>
    </row>
    <row r="973" spans="3:5" x14ac:dyDescent="0.25">
      <c r="C973">
        <v>8</v>
      </c>
      <c r="E973">
        <f t="shared" si="30"/>
        <v>3.4810000000000192E-3</v>
      </c>
    </row>
    <row r="974" spans="3:5" x14ac:dyDescent="0.25">
      <c r="C974">
        <v>9</v>
      </c>
      <c r="E974">
        <f t="shared" si="30"/>
        <v>1.1214810000000004</v>
      </c>
    </row>
    <row r="975" spans="3:5" x14ac:dyDescent="0.25">
      <c r="C975">
        <v>12</v>
      </c>
      <c r="E975">
        <f t="shared" ref="E975:E1038" si="31">(C975-$B$142)^2</f>
        <v>16.475481000000002</v>
      </c>
    </row>
    <row r="976" spans="3:5" x14ac:dyDescent="0.25">
      <c r="C976">
        <v>9</v>
      </c>
      <c r="E976">
        <f t="shared" si="31"/>
        <v>1.1214810000000004</v>
      </c>
    </row>
    <row r="977" spans="3:5" x14ac:dyDescent="0.25">
      <c r="C977">
        <v>8</v>
      </c>
      <c r="E977">
        <f t="shared" si="31"/>
        <v>3.4810000000000192E-3</v>
      </c>
    </row>
    <row r="978" spans="3:5" x14ac:dyDescent="0.25">
      <c r="C978">
        <v>5</v>
      </c>
      <c r="E978">
        <f t="shared" si="31"/>
        <v>8.6494809999999998</v>
      </c>
    </row>
    <row r="979" spans="3:5" x14ac:dyDescent="0.25">
      <c r="C979">
        <v>7</v>
      </c>
      <c r="E979">
        <f t="shared" si="31"/>
        <v>0.88548099999999974</v>
      </c>
    </row>
    <row r="980" spans="3:5" x14ac:dyDescent="0.25">
      <c r="C980">
        <v>4</v>
      </c>
      <c r="E980">
        <f t="shared" si="31"/>
        <v>15.531480999999999</v>
      </c>
    </row>
    <row r="981" spans="3:5" x14ac:dyDescent="0.25">
      <c r="C981">
        <v>4</v>
      </c>
      <c r="E981">
        <f t="shared" si="31"/>
        <v>15.531480999999999</v>
      </c>
    </row>
    <row r="982" spans="3:5" x14ac:dyDescent="0.25">
      <c r="C982">
        <v>10</v>
      </c>
      <c r="E982">
        <f t="shared" si="31"/>
        <v>4.2394810000000005</v>
      </c>
    </row>
    <row r="983" spans="3:5" x14ac:dyDescent="0.25">
      <c r="C983">
        <v>6</v>
      </c>
      <c r="E983">
        <f t="shared" si="31"/>
        <v>3.7674809999999992</v>
      </c>
    </row>
    <row r="984" spans="3:5" x14ac:dyDescent="0.25">
      <c r="C984">
        <v>8</v>
      </c>
      <c r="E984">
        <f t="shared" si="31"/>
        <v>3.4810000000000192E-3</v>
      </c>
    </row>
    <row r="985" spans="3:5" x14ac:dyDescent="0.25">
      <c r="C985">
        <v>9</v>
      </c>
      <c r="E985">
        <f t="shared" si="31"/>
        <v>1.1214810000000004</v>
      </c>
    </row>
    <row r="986" spans="3:5" x14ac:dyDescent="0.25">
      <c r="C986">
        <v>5</v>
      </c>
      <c r="E986">
        <f t="shared" si="31"/>
        <v>8.6494809999999998</v>
      </c>
    </row>
    <row r="987" spans="3:5" x14ac:dyDescent="0.25">
      <c r="C987">
        <v>7</v>
      </c>
      <c r="E987">
        <f t="shared" si="31"/>
        <v>0.88548099999999974</v>
      </c>
    </row>
    <row r="988" spans="3:5" x14ac:dyDescent="0.25">
      <c r="C988">
        <v>2</v>
      </c>
      <c r="E988">
        <f t="shared" si="31"/>
        <v>35.295480999999995</v>
      </c>
    </row>
    <row r="989" spans="3:5" x14ac:dyDescent="0.25">
      <c r="C989">
        <v>6</v>
      </c>
      <c r="E989">
        <f t="shared" si="31"/>
        <v>3.7674809999999992</v>
      </c>
    </row>
    <row r="990" spans="3:5" x14ac:dyDescent="0.25">
      <c r="C990">
        <v>8</v>
      </c>
      <c r="E990">
        <f t="shared" si="31"/>
        <v>3.4810000000000192E-3</v>
      </c>
    </row>
    <row r="991" spans="3:5" x14ac:dyDescent="0.25">
      <c r="C991">
        <v>2</v>
      </c>
      <c r="E991">
        <f t="shared" si="31"/>
        <v>35.295480999999995</v>
      </c>
    </row>
    <row r="992" spans="3:5" x14ac:dyDescent="0.25">
      <c r="C992">
        <v>7</v>
      </c>
      <c r="E992">
        <f t="shared" si="31"/>
        <v>0.88548099999999974</v>
      </c>
    </row>
    <row r="993" spans="3:5" x14ac:dyDescent="0.25">
      <c r="C993">
        <v>11</v>
      </c>
      <c r="E993">
        <f t="shared" si="31"/>
        <v>9.3574810000000017</v>
      </c>
    </row>
    <row r="994" spans="3:5" x14ac:dyDescent="0.25">
      <c r="C994">
        <v>7</v>
      </c>
      <c r="E994">
        <f t="shared" si="31"/>
        <v>0.88548099999999974</v>
      </c>
    </row>
    <row r="995" spans="3:5" x14ac:dyDescent="0.25">
      <c r="C995">
        <v>7</v>
      </c>
      <c r="E995">
        <f t="shared" si="31"/>
        <v>0.88548099999999974</v>
      </c>
    </row>
    <row r="996" spans="3:5" x14ac:dyDescent="0.25">
      <c r="C996">
        <v>6</v>
      </c>
      <c r="E996">
        <f t="shared" si="31"/>
        <v>3.7674809999999992</v>
      </c>
    </row>
    <row r="997" spans="3:5" x14ac:dyDescent="0.25">
      <c r="C997">
        <v>11</v>
      </c>
      <c r="E997">
        <f t="shared" si="31"/>
        <v>9.3574810000000017</v>
      </c>
    </row>
    <row r="998" spans="3:5" x14ac:dyDescent="0.25">
      <c r="C998">
        <v>8</v>
      </c>
      <c r="E998">
        <f t="shared" si="31"/>
        <v>3.4810000000000192E-3</v>
      </c>
    </row>
    <row r="999" spans="3:5" x14ac:dyDescent="0.25">
      <c r="C999">
        <v>8</v>
      </c>
      <c r="E999">
        <f t="shared" si="31"/>
        <v>3.4810000000000192E-3</v>
      </c>
    </row>
    <row r="1000" spans="3:5" x14ac:dyDescent="0.25">
      <c r="C1000">
        <v>12</v>
      </c>
      <c r="E1000">
        <f t="shared" si="31"/>
        <v>16.475481000000002</v>
      </c>
    </row>
    <row r="1001" spans="3:5" x14ac:dyDescent="0.25">
      <c r="C1001">
        <v>15</v>
      </c>
      <c r="E1001">
        <f t="shared" si="31"/>
        <v>49.829481000000001</v>
      </c>
    </row>
    <row r="1002" spans="3:5" x14ac:dyDescent="0.25">
      <c r="C1002">
        <v>7</v>
      </c>
      <c r="E1002">
        <f t="shared" si="31"/>
        <v>0.88548099999999974</v>
      </c>
    </row>
    <row r="1003" spans="3:5" x14ac:dyDescent="0.25">
      <c r="C1003">
        <v>9</v>
      </c>
      <c r="E1003">
        <f t="shared" si="31"/>
        <v>1.1214810000000004</v>
      </c>
    </row>
    <row r="1004" spans="3:5" x14ac:dyDescent="0.25">
      <c r="C1004">
        <v>13</v>
      </c>
      <c r="E1004">
        <f t="shared" si="31"/>
        <v>25.593481000000001</v>
      </c>
    </row>
    <row r="1005" spans="3:5" x14ac:dyDescent="0.25">
      <c r="C1005">
        <v>12</v>
      </c>
      <c r="E1005">
        <f t="shared" si="31"/>
        <v>16.475481000000002</v>
      </c>
    </row>
    <row r="1006" spans="3:5" x14ac:dyDescent="0.25">
      <c r="C1006">
        <v>5</v>
      </c>
      <c r="E1006">
        <f t="shared" si="31"/>
        <v>8.6494809999999998</v>
      </c>
    </row>
    <row r="1007" spans="3:5" x14ac:dyDescent="0.25">
      <c r="C1007">
        <v>4</v>
      </c>
      <c r="E1007">
        <f t="shared" si="31"/>
        <v>15.531480999999999</v>
      </c>
    </row>
    <row r="1008" spans="3:5" x14ac:dyDescent="0.25">
      <c r="C1008">
        <v>7</v>
      </c>
      <c r="E1008">
        <f t="shared" si="31"/>
        <v>0.88548099999999974</v>
      </c>
    </row>
    <row r="1009" spans="3:5" x14ac:dyDescent="0.25">
      <c r="C1009">
        <v>9</v>
      </c>
      <c r="E1009">
        <f t="shared" si="31"/>
        <v>1.1214810000000004</v>
      </c>
    </row>
    <row r="1010" spans="3:5" x14ac:dyDescent="0.25">
      <c r="C1010">
        <v>8</v>
      </c>
      <c r="E1010">
        <f t="shared" si="31"/>
        <v>3.4810000000000192E-3</v>
      </c>
    </row>
    <row r="1011" spans="3:5" x14ac:dyDescent="0.25">
      <c r="C1011">
        <v>6</v>
      </c>
      <c r="E1011">
        <f t="shared" si="31"/>
        <v>3.7674809999999992</v>
      </c>
    </row>
    <row r="1012" spans="3:5" x14ac:dyDescent="0.25">
      <c r="C1012">
        <v>8</v>
      </c>
      <c r="E1012">
        <f t="shared" si="31"/>
        <v>3.4810000000000192E-3</v>
      </c>
    </row>
    <row r="1013" spans="3:5" x14ac:dyDescent="0.25">
      <c r="C1013">
        <v>9</v>
      </c>
      <c r="E1013">
        <f t="shared" si="31"/>
        <v>1.1214810000000004</v>
      </c>
    </row>
    <row r="1014" spans="3:5" x14ac:dyDescent="0.25">
      <c r="C1014">
        <v>4</v>
      </c>
      <c r="E1014">
        <f t="shared" si="31"/>
        <v>15.531480999999999</v>
      </c>
    </row>
    <row r="1015" spans="3:5" x14ac:dyDescent="0.25">
      <c r="C1015">
        <v>9</v>
      </c>
      <c r="E1015">
        <f t="shared" si="31"/>
        <v>1.1214810000000004</v>
      </c>
    </row>
    <row r="1016" spans="3:5" x14ac:dyDescent="0.25">
      <c r="C1016">
        <v>10</v>
      </c>
      <c r="E1016">
        <f t="shared" si="31"/>
        <v>4.2394810000000005</v>
      </c>
    </row>
    <row r="1017" spans="3:5" x14ac:dyDescent="0.25">
      <c r="C1017">
        <v>2</v>
      </c>
      <c r="E1017">
        <f t="shared" si="31"/>
        <v>35.295480999999995</v>
      </c>
    </row>
    <row r="1018" spans="3:5" x14ac:dyDescent="0.25">
      <c r="C1018">
        <v>3</v>
      </c>
      <c r="E1018">
        <f t="shared" si="31"/>
        <v>24.413480999999997</v>
      </c>
    </row>
    <row r="1019" spans="3:5" x14ac:dyDescent="0.25">
      <c r="C1019">
        <v>6</v>
      </c>
      <c r="E1019">
        <f t="shared" si="31"/>
        <v>3.7674809999999992</v>
      </c>
    </row>
    <row r="1020" spans="3:5" x14ac:dyDescent="0.25">
      <c r="C1020">
        <v>1</v>
      </c>
      <c r="E1020">
        <f t="shared" si="31"/>
        <v>48.177481</v>
      </c>
    </row>
    <row r="1021" spans="3:5" x14ac:dyDescent="0.25">
      <c r="C1021">
        <v>9</v>
      </c>
      <c r="E1021">
        <f t="shared" si="31"/>
        <v>1.1214810000000004</v>
      </c>
    </row>
    <row r="1022" spans="3:5" x14ac:dyDescent="0.25">
      <c r="C1022">
        <v>5</v>
      </c>
      <c r="E1022">
        <f t="shared" si="31"/>
        <v>8.6494809999999998</v>
      </c>
    </row>
    <row r="1023" spans="3:5" x14ac:dyDescent="0.25">
      <c r="C1023">
        <v>11</v>
      </c>
      <c r="E1023">
        <f t="shared" si="31"/>
        <v>9.3574810000000017</v>
      </c>
    </row>
    <row r="1024" spans="3:5" x14ac:dyDescent="0.25">
      <c r="C1024">
        <v>12</v>
      </c>
      <c r="E1024">
        <f t="shared" si="31"/>
        <v>16.475481000000002</v>
      </c>
    </row>
    <row r="1025" spans="3:5" x14ac:dyDescent="0.25">
      <c r="C1025">
        <v>9</v>
      </c>
      <c r="E1025">
        <f t="shared" si="31"/>
        <v>1.1214810000000004</v>
      </c>
    </row>
    <row r="1026" spans="3:5" x14ac:dyDescent="0.25">
      <c r="C1026">
        <v>8</v>
      </c>
      <c r="E1026">
        <f t="shared" si="31"/>
        <v>3.4810000000000192E-3</v>
      </c>
    </row>
    <row r="1027" spans="3:5" x14ac:dyDescent="0.25">
      <c r="C1027">
        <v>9</v>
      </c>
      <c r="E1027">
        <f t="shared" si="31"/>
        <v>1.1214810000000004</v>
      </c>
    </row>
    <row r="1028" spans="3:5" x14ac:dyDescent="0.25">
      <c r="C1028">
        <v>4</v>
      </c>
      <c r="E1028">
        <f t="shared" si="31"/>
        <v>15.531480999999999</v>
      </c>
    </row>
    <row r="1029" spans="3:5" x14ac:dyDescent="0.25">
      <c r="C1029">
        <v>6</v>
      </c>
      <c r="E1029">
        <f t="shared" si="31"/>
        <v>3.7674809999999992</v>
      </c>
    </row>
    <row r="1030" spans="3:5" x14ac:dyDescent="0.25">
      <c r="C1030">
        <v>6</v>
      </c>
      <c r="E1030">
        <f t="shared" si="31"/>
        <v>3.7674809999999992</v>
      </c>
    </row>
    <row r="1031" spans="3:5" x14ac:dyDescent="0.25">
      <c r="C1031">
        <v>9</v>
      </c>
      <c r="E1031">
        <f t="shared" si="31"/>
        <v>1.1214810000000004</v>
      </c>
    </row>
    <row r="1032" spans="3:5" x14ac:dyDescent="0.25">
      <c r="C1032">
        <v>6</v>
      </c>
      <c r="E1032">
        <f t="shared" si="31"/>
        <v>3.7674809999999992</v>
      </c>
    </row>
    <row r="1033" spans="3:5" x14ac:dyDescent="0.25">
      <c r="C1033">
        <v>6</v>
      </c>
      <c r="E1033">
        <f t="shared" si="31"/>
        <v>3.7674809999999992</v>
      </c>
    </row>
    <row r="1034" spans="3:5" x14ac:dyDescent="0.25">
      <c r="C1034">
        <v>4</v>
      </c>
      <c r="E1034">
        <f t="shared" si="31"/>
        <v>15.531480999999999</v>
      </c>
    </row>
    <row r="1035" spans="3:5" x14ac:dyDescent="0.25">
      <c r="C1035">
        <v>10</v>
      </c>
      <c r="E1035">
        <f t="shared" si="31"/>
        <v>4.2394810000000005</v>
      </c>
    </row>
    <row r="1036" spans="3:5" x14ac:dyDescent="0.25">
      <c r="C1036">
        <v>7</v>
      </c>
      <c r="E1036">
        <f t="shared" si="31"/>
        <v>0.88548099999999974</v>
      </c>
    </row>
    <row r="1037" spans="3:5" x14ac:dyDescent="0.25">
      <c r="C1037">
        <v>10</v>
      </c>
      <c r="E1037">
        <f t="shared" si="31"/>
        <v>4.2394810000000005</v>
      </c>
    </row>
    <row r="1038" spans="3:5" x14ac:dyDescent="0.25">
      <c r="C1038">
        <v>11</v>
      </c>
      <c r="E1038">
        <f t="shared" si="31"/>
        <v>9.3574810000000017</v>
      </c>
    </row>
    <row r="1039" spans="3:5" x14ac:dyDescent="0.25">
      <c r="C1039">
        <v>13</v>
      </c>
      <c r="E1039">
        <f t="shared" ref="E1039:E1102" si="32">(C1039-$B$142)^2</f>
        <v>25.593481000000001</v>
      </c>
    </row>
    <row r="1040" spans="3:5" x14ac:dyDescent="0.25">
      <c r="C1040">
        <v>4</v>
      </c>
      <c r="E1040">
        <f t="shared" si="32"/>
        <v>15.531480999999999</v>
      </c>
    </row>
    <row r="1041" spans="3:5" x14ac:dyDescent="0.25">
      <c r="C1041">
        <v>11</v>
      </c>
      <c r="E1041">
        <f t="shared" si="32"/>
        <v>9.3574810000000017</v>
      </c>
    </row>
    <row r="1042" spans="3:5" x14ac:dyDescent="0.25">
      <c r="C1042">
        <v>11</v>
      </c>
      <c r="E1042">
        <f t="shared" si="32"/>
        <v>9.3574810000000017</v>
      </c>
    </row>
    <row r="1043" spans="3:5" x14ac:dyDescent="0.25">
      <c r="C1043">
        <v>9</v>
      </c>
      <c r="E1043">
        <f t="shared" si="32"/>
        <v>1.1214810000000004</v>
      </c>
    </row>
    <row r="1044" spans="3:5" x14ac:dyDescent="0.25">
      <c r="C1044">
        <v>3</v>
      </c>
      <c r="E1044">
        <f t="shared" si="32"/>
        <v>24.413480999999997</v>
      </c>
    </row>
    <row r="1045" spans="3:5" x14ac:dyDescent="0.25">
      <c r="C1045">
        <v>7</v>
      </c>
      <c r="E1045">
        <f t="shared" si="32"/>
        <v>0.88548099999999974</v>
      </c>
    </row>
    <row r="1046" spans="3:5" x14ac:dyDescent="0.25">
      <c r="C1046">
        <v>9</v>
      </c>
      <c r="E1046">
        <f t="shared" si="32"/>
        <v>1.1214810000000004</v>
      </c>
    </row>
    <row r="1047" spans="3:5" x14ac:dyDescent="0.25">
      <c r="C1047">
        <v>5</v>
      </c>
      <c r="E1047">
        <f t="shared" si="32"/>
        <v>8.6494809999999998</v>
      </c>
    </row>
    <row r="1048" spans="3:5" x14ac:dyDescent="0.25">
      <c r="C1048">
        <v>4</v>
      </c>
      <c r="E1048">
        <f t="shared" si="32"/>
        <v>15.531480999999999</v>
      </c>
    </row>
    <row r="1049" spans="3:5" x14ac:dyDescent="0.25">
      <c r="C1049">
        <v>9</v>
      </c>
      <c r="E1049">
        <f t="shared" si="32"/>
        <v>1.1214810000000004</v>
      </c>
    </row>
    <row r="1050" spans="3:5" x14ac:dyDescent="0.25">
      <c r="C1050">
        <v>10</v>
      </c>
      <c r="E1050">
        <f t="shared" si="32"/>
        <v>4.2394810000000005</v>
      </c>
    </row>
    <row r="1051" spans="3:5" x14ac:dyDescent="0.25">
      <c r="C1051">
        <v>11</v>
      </c>
      <c r="E1051">
        <f t="shared" si="32"/>
        <v>9.3574810000000017</v>
      </c>
    </row>
    <row r="1052" spans="3:5" x14ac:dyDescent="0.25">
      <c r="C1052">
        <v>8</v>
      </c>
      <c r="E1052">
        <f t="shared" si="32"/>
        <v>3.4810000000000192E-3</v>
      </c>
    </row>
    <row r="1053" spans="3:5" x14ac:dyDescent="0.25">
      <c r="C1053">
        <v>8</v>
      </c>
      <c r="E1053">
        <f t="shared" si="32"/>
        <v>3.4810000000000192E-3</v>
      </c>
    </row>
    <row r="1054" spans="3:5" x14ac:dyDescent="0.25">
      <c r="C1054">
        <v>10</v>
      </c>
      <c r="E1054">
        <f t="shared" si="32"/>
        <v>4.2394810000000005</v>
      </c>
    </row>
    <row r="1055" spans="3:5" x14ac:dyDescent="0.25">
      <c r="C1055">
        <v>13</v>
      </c>
      <c r="E1055">
        <f t="shared" si="32"/>
        <v>25.593481000000001</v>
      </c>
    </row>
    <row r="1056" spans="3:5" x14ac:dyDescent="0.25">
      <c r="C1056">
        <v>8</v>
      </c>
      <c r="E1056">
        <f t="shared" si="32"/>
        <v>3.4810000000000192E-3</v>
      </c>
    </row>
    <row r="1057" spans="3:5" x14ac:dyDescent="0.25">
      <c r="C1057">
        <v>8</v>
      </c>
      <c r="E1057">
        <f t="shared" si="32"/>
        <v>3.4810000000000192E-3</v>
      </c>
    </row>
    <row r="1058" spans="3:5" x14ac:dyDescent="0.25">
      <c r="C1058">
        <v>10</v>
      </c>
      <c r="E1058">
        <f t="shared" si="32"/>
        <v>4.2394810000000005</v>
      </c>
    </row>
    <row r="1059" spans="3:5" x14ac:dyDescent="0.25">
      <c r="C1059">
        <v>12</v>
      </c>
      <c r="E1059">
        <f t="shared" si="32"/>
        <v>16.475481000000002</v>
      </c>
    </row>
    <row r="1060" spans="3:5" x14ac:dyDescent="0.25">
      <c r="C1060">
        <v>9</v>
      </c>
      <c r="E1060">
        <f t="shared" si="32"/>
        <v>1.1214810000000004</v>
      </c>
    </row>
    <row r="1061" spans="3:5" x14ac:dyDescent="0.25">
      <c r="C1061">
        <v>3</v>
      </c>
      <c r="E1061">
        <f t="shared" si="32"/>
        <v>24.413480999999997</v>
      </c>
    </row>
    <row r="1062" spans="3:5" x14ac:dyDescent="0.25">
      <c r="C1062">
        <v>9</v>
      </c>
      <c r="E1062">
        <f t="shared" si="32"/>
        <v>1.1214810000000004</v>
      </c>
    </row>
    <row r="1063" spans="3:5" x14ac:dyDescent="0.25">
      <c r="C1063">
        <v>8</v>
      </c>
      <c r="E1063">
        <f t="shared" si="32"/>
        <v>3.4810000000000192E-3</v>
      </c>
    </row>
    <row r="1064" spans="3:5" x14ac:dyDescent="0.25">
      <c r="C1064">
        <v>5</v>
      </c>
      <c r="E1064">
        <f t="shared" si="32"/>
        <v>8.6494809999999998</v>
      </c>
    </row>
    <row r="1065" spans="3:5" x14ac:dyDescent="0.25">
      <c r="C1065">
        <v>5</v>
      </c>
      <c r="E1065">
        <f t="shared" si="32"/>
        <v>8.6494809999999998</v>
      </c>
    </row>
    <row r="1066" spans="3:5" x14ac:dyDescent="0.25">
      <c r="C1066">
        <v>8</v>
      </c>
      <c r="E1066">
        <f t="shared" si="32"/>
        <v>3.4810000000000192E-3</v>
      </c>
    </row>
    <row r="1067" spans="3:5" x14ac:dyDescent="0.25">
      <c r="C1067">
        <v>7</v>
      </c>
      <c r="E1067">
        <f t="shared" si="32"/>
        <v>0.88548099999999974</v>
      </c>
    </row>
    <row r="1068" spans="3:5" x14ac:dyDescent="0.25">
      <c r="C1068">
        <v>7</v>
      </c>
      <c r="E1068">
        <f t="shared" si="32"/>
        <v>0.88548099999999974</v>
      </c>
    </row>
    <row r="1069" spans="3:5" x14ac:dyDescent="0.25">
      <c r="C1069">
        <v>9</v>
      </c>
      <c r="E1069">
        <f t="shared" si="32"/>
        <v>1.1214810000000004</v>
      </c>
    </row>
    <row r="1070" spans="3:5" x14ac:dyDescent="0.25">
      <c r="C1070">
        <v>12</v>
      </c>
      <c r="E1070">
        <f t="shared" si="32"/>
        <v>16.475481000000002</v>
      </c>
    </row>
    <row r="1071" spans="3:5" x14ac:dyDescent="0.25">
      <c r="C1071">
        <v>7</v>
      </c>
      <c r="E1071">
        <f t="shared" si="32"/>
        <v>0.88548099999999974</v>
      </c>
    </row>
    <row r="1072" spans="3:5" x14ac:dyDescent="0.25">
      <c r="C1072">
        <v>6</v>
      </c>
      <c r="E1072">
        <f t="shared" si="32"/>
        <v>3.7674809999999992</v>
      </c>
    </row>
    <row r="1073" spans="3:5" x14ac:dyDescent="0.25">
      <c r="C1073">
        <v>9</v>
      </c>
      <c r="E1073">
        <f t="shared" si="32"/>
        <v>1.1214810000000004</v>
      </c>
    </row>
    <row r="1074" spans="3:5" x14ac:dyDescent="0.25">
      <c r="C1074">
        <v>10</v>
      </c>
      <c r="E1074">
        <f t="shared" si="32"/>
        <v>4.2394810000000005</v>
      </c>
    </row>
    <row r="1075" spans="3:5" x14ac:dyDescent="0.25">
      <c r="C1075">
        <v>8</v>
      </c>
      <c r="E1075">
        <f t="shared" si="32"/>
        <v>3.4810000000000192E-3</v>
      </c>
    </row>
    <row r="1076" spans="3:5" x14ac:dyDescent="0.25">
      <c r="C1076">
        <v>7</v>
      </c>
      <c r="E1076">
        <f t="shared" si="32"/>
        <v>0.88548099999999974</v>
      </c>
    </row>
    <row r="1077" spans="3:5" x14ac:dyDescent="0.25">
      <c r="C1077">
        <v>6</v>
      </c>
      <c r="E1077">
        <f t="shared" si="32"/>
        <v>3.7674809999999992</v>
      </c>
    </row>
    <row r="1078" spans="3:5" x14ac:dyDescent="0.25">
      <c r="C1078">
        <v>11</v>
      </c>
      <c r="E1078">
        <f t="shared" si="32"/>
        <v>9.3574810000000017</v>
      </c>
    </row>
    <row r="1079" spans="3:5" x14ac:dyDescent="0.25">
      <c r="C1079">
        <v>5</v>
      </c>
      <c r="E1079">
        <f t="shared" si="32"/>
        <v>8.6494809999999998</v>
      </c>
    </row>
    <row r="1080" spans="3:5" x14ac:dyDescent="0.25">
      <c r="C1080">
        <v>10</v>
      </c>
      <c r="E1080">
        <f t="shared" si="32"/>
        <v>4.2394810000000005</v>
      </c>
    </row>
    <row r="1081" spans="3:5" x14ac:dyDescent="0.25">
      <c r="C1081">
        <v>7</v>
      </c>
      <c r="E1081">
        <f t="shared" si="32"/>
        <v>0.88548099999999974</v>
      </c>
    </row>
    <row r="1082" spans="3:5" x14ac:dyDescent="0.25">
      <c r="C1082">
        <v>6</v>
      </c>
      <c r="E1082">
        <f t="shared" si="32"/>
        <v>3.7674809999999992</v>
      </c>
    </row>
    <row r="1083" spans="3:5" x14ac:dyDescent="0.25">
      <c r="C1083">
        <v>7</v>
      </c>
      <c r="E1083">
        <f t="shared" si="32"/>
        <v>0.88548099999999974</v>
      </c>
    </row>
    <row r="1084" spans="3:5" x14ac:dyDescent="0.25">
      <c r="C1084">
        <v>11</v>
      </c>
      <c r="E1084">
        <f t="shared" si="32"/>
        <v>9.3574810000000017</v>
      </c>
    </row>
    <row r="1085" spans="3:5" x14ac:dyDescent="0.25">
      <c r="C1085">
        <v>7</v>
      </c>
      <c r="E1085">
        <f t="shared" si="32"/>
        <v>0.88548099999999974</v>
      </c>
    </row>
    <row r="1086" spans="3:5" x14ac:dyDescent="0.25">
      <c r="C1086">
        <v>0</v>
      </c>
      <c r="E1086">
        <f t="shared" si="32"/>
        <v>63.059480999999998</v>
      </c>
    </row>
    <row r="1087" spans="3:5" x14ac:dyDescent="0.25">
      <c r="C1087">
        <v>6</v>
      </c>
      <c r="E1087">
        <f t="shared" si="32"/>
        <v>3.7674809999999992</v>
      </c>
    </row>
    <row r="1088" spans="3:5" x14ac:dyDescent="0.25">
      <c r="C1088">
        <v>10</v>
      </c>
      <c r="E1088">
        <f t="shared" si="32"/>
        <v>4.2394810000000005</v>
      </c>
    </row>
    <row r="1089" spans="3:5" x14ac:dyDescent="0.25">
      <c r="C1089">
        <v>8</v>
      </c>
      <c r="E1089">
        <f t="shared" si="32"/>
        <v>3.4810000000000192E-3</v>
      </c>
    </row>
    <row r="1090" spans="3:5" x14ac:dyDescent="0.25">
      <c r="C1090">
        <v>11</v>
      </c>
      <c r="E1090">
        <f t="shared" si="32"/>
        <v>9.3574810000000017</v>
      </c>
    </row>
    <row r="1091" spans="3:5" x14ac:dyDescent="0.25">
      <c r="C1091">
        <v>6</v>
      </c>
      <c r="E1091">
        <f t="shared" si="32"/>
        <v>3.7674809999999992</v>
      </c>
    </row>
    <row r="1092" spans="3:5" x14ac:dyDescent="0.25">
      <c r="C1092">
        <v>2</v>
      </c>
      <c r="E1092">
        <f t="shared" si="32"/>
        <v>35.295480999999995</v>
      </c>
    </row>
    <row r="1093" spans="3:5" x14ac:dyDescent="0.25">
      <c r="C1093">
        <v>15</v>
      </c>
      <c r="E1093">
        <f t="shared" si="32"/>
        <v>49.829481000000001</v>
      </c>
    </row>
    <row r="1094" spans="3:5" x14ac:dyDescent="0.25">
      <c r="C1094">
        <v>8</v>
      </c>
      <c r="E1094">
        <f t="shared" si="32"/>
        <v>3.4810000000000192E-3</v>
      </c>
    </row>
    <row r="1095" spans="3:5" x14ac:dyDescent="0.25">
      <c r="C1095">
        <v>5</v>
      </c>
      <c r="E1095">
        <f t="shared" si="32"/>
        <v>8.6494809999999998</v>
      </c>
    </row>
    <row r="1096" spans="3:5" x14ac:dyDescent="0.25">
      <c r="C1096">
        <v>6</v>
      </c>
      <c r="E1096">
        <f t="shared" si="32"/>
        <v>3.7674809999999992</v>
      </c>
    </row>
    <row r="1097" spans="3:5" x14ac:dyDescent="0.25">
      <c r="C1097">
        <v>9</v>
      </c>
      <c r="E1097">
        <f t="shared" si="32"/>
        <v>1.1214810000000004</v>
      </c>
    </row>
    <row r="1098" spans="3:5" x14ac:dyDescent="0.25">
      <c r="C1098">
        <v>6</v>
      </c>
      <c r="E1098">
        <f t="shared" si="32"/>
        <v>3.7674809999999992</v>
      </c>
    </row>
    <row r="1099" spans="3:5" x14ac:dyDescent="0.25">
      <c r="C1099">
        <v>7</v>
      </c>
      <c r="E1099">
        <f t="shared" si="32"/>
        <v>0.88548099999999974</v>
      </c>
    </row>
    <row r="1100" spans="3:5" x14ac:dyDescent="0.25">
      <c r="C1100">
        <v>11</v>
      </c>
      <c r="E1100">
        <f t="shared" si="32"/>
        <v>9.3574810000000017</v>
      </c>
    </row>
    <row r="1101" spans="3:5" x14ac:dyDescent="0.25">
      <c r="C1101">
        <v>6</v>
      </c>
      <c r="E1101">
        <f t="shared" si="32"/>
        <v>3.7674809999999992</v>
      </c>
    </row>
    <row r="1102" spans="3:5" x14ac:dyDescent="0.25">
      <c r="C1102">
        <v>11</v>
      </c>
      <c r="E1102">
        <f t="shared" si="32"/>
        <v>9.3574810000000017</v>
      </c>
    </row>
    <row r="1103" spans="3:5" x14ac:dyDescent="0.25">
      <c r="C1103">
        <v>18</v>
      </c>
      <c r="E1103">
        <f t="shared" ref="E1103:E1141" si="33">(C1103-$B$142)^2</f>
        <v>101.18348100000001</v>
      </c>
    </row>
    <row r="1104" spans="3:5" x14ac:dyDescent="0.25">
      <c r="C1104">
        <v>10</v>
      </c>
      <c r="E1104">
        <f t="shared" si="33"/>
        <v>4.2394810000000005</v>
      </c>
    </row>
    <row r="1105" spans="3:5" x14ac:dyDescent="0.25">
      <c r="C1105">
        <v>7</v>
      </c>
      <c r="E1105">
        <f t="shared" si="33"/>
        <v>0.88548099999999974</v>
      </c>
    </row>
    <row r="1106" spans="3:5" x14ac:dyDescent="0.25">
      <c r="C1106">
        <v>7</v>
      </c>
      <c r="E1106">
        <f t="shared" si="33"/>
        <v>0.88548099999999974</v>
      </c>
    </row>
    <row r="1107" spans="3:5" x14ac:dyDescent="0.25">
      <c r="C1107">
        <v>2</v>
      </c>
      <c r="E1107">
        <f t="shared" si="33"/>
        <v>35.295480999999995</v>
      </c>
    </row>
    <row r="1108" spans="3:5" x14ac:dyDescent="0.25">
      <c r="C1108">
        <v>8</v>
      </c>
      <c r="E1108">
        <f t="shared" si="33"/>
        <v>3.4810000000000192E-3</v>
      </c>
    </row>
    <row r="1109" spans="3:5" x14ac:dyDescent="0.25">
      <c r="C1109">
        <v>5</v>
      </c>
      <c r="E1109">
        <f t="shared" si="33"/>
        <v>8.6494809999999998</v>
      </c>
    </row>
    <row r="1110" spans="3:5" x14ac:dyDescent="0.25">
      <c r="C1110">
        <v>12</v>
      </c>
      <c r="E1110">
        <f t="shared" si="33"/>
        <v>16.475481000000002</v>
      </c>
    </row>
    <row r="1111" spans="3:5" x14ac:dyDescent="0.25">
      <c r="C1111">
        <v>7</v>
      </c>
      <c r="E1111">
        <f t="shared" si="33"/>
        <v>0.88548099999999974</v>
      </c>
    </row>
    <row r="1112" spans="3:5" x14ac:dyDescent="0.25">
      <c r="C1112">
        <v>7</v>
      </c>
      <c r="E1112">
        <f t="shared" si="33"/>
        <v>0.88548099999999974</v>
      </c>
    </row>
    <row r="1113" spans="3:5" x14ac:dyDescent="0.25">
      <c r="C1113">
        <v>5</v>
      </c>
      <c r="E1113">
        <f t="shared" si="33"/>
        <v>8.6494809999999998</v>
      </c>
    </row>
    <row r="1114" spans="3:5" x14ac:dyDescent="0.25">
      <c r="C1114">
        <v>13</v>
      </c>
      <c r="E1114">
        <f t="shared" si="33"/>
        <v>25.593481000000001</v>
      </c>
    </row>
    <row r="1115" spans="3:5" x14ac:dyDescent="0.25">
      <c r="C1115">
        <v>8</v>
      </c>
      <c r="E1115">
        <f t="shared" si="33"/>
        <v>3.4810000000000192E-3</v>
      </c>
    </row>
    <row r="1116" spans="3:5" x14ac:dyDescent="0.25">
      <c r="C1116">
        <v>9</v>
      </c>
      <c r="E1116">
        <f t="shared" si="33"/>
        <v>1.1214810000000004</v>
      </c>
    </row>
    <row r="1117" spans="3:5" x14ac:dyDescent="0.25">
      <c r="C1117">
        <v>11</v>
      </c>
      <c r="E1117">
        <f t="shared" si="33"/>
        <v>9.3574810000000017</v>
      </c>
    </row>
    <row r="1118" spans="3:5" x14ac:dyDescent="0.25">
      <c r="C1118">
        <v>8</v>
      </c>
      <c r="E1118">
        <f t="shared" si="33"/>
        <v>3.4810000000000192E-3</v>
      </c>
    </row>
    <row r="1119" spans="3:5" x14ac:dyDescent="0.25">
      <c r="C1119">
        <v>10</v>
      </c>
      <c r="E1119">
        <f t="shared" si="33"/>
        <v>4.2394810000000005</v>
      </c>
    </row>
    <row r="1120" spans="3:5" x14ac:dyDescent="0.25">
      <c r="C1120">
        <v>5</v>
      </c>
      <c r="E1120">
        <f t="shared" si="33"/>
        <v>8.6494809999999998</v>
      </c>
    </row>
    <row r="1121" spans="3:5" x14ac:dyDescent="0.25">
      <c r="C1121">
        <v>11</v>
      </c>
      <c r="E1121">
        <f t="shared" si="33"/>
        <v>9.3574810000000017</v>
      </c>
    </row>
    <row r="1122" spans="3:5" x14ac:dyDescent="0.25">
      <c r="C1122">
        <v>9</v>
      </c>
      <c r="E1122">
        <f t="shared" si="33"/>
        <v>1.1214810000000004</v>
      </c>
    </row>
    <row r="1123" spans="3:5" x14ac:dyDescent="0.25">
      <c r="C1123">
        <v>7</v>
      </c>
      <c r="E1123">
        <f t="shared" si="33"/>
        <v>0.88548099999999974</v>
      </c>
    </row>
    <row r="1124" spans="3:5" x14ac:dyDescent="0.25">
      <c r="C1124">
        <v>8</v>
      </c>
      <c r="E1124">
        <f t="shared" si="33"/>
        <v>3.4810000000000192E-3</v>
      </c>
    </row>
    <row r="1125" spans="3:5" x14ac:dyDescent="0.25">
      <c r="C1125">
        <v>3</v>
      </c>
      <c r="E1125">
        <f t="shared" si="33"/>
        <v>24.413480999999997</v>
      </c>
    </row>
    <row r="1126" spans="3:5" x14ac:dyDescent="0.25">
      <c r="C1126">
        <v>10</v>
      </c>
      <c r="E1126">
        <f t="shared" si="33"/>
        <v>4.2394810000000005</v>
      </c>
    </row>
    <row r="1127" spans="3:5" x14ac:dyDescent="0.25">
      <c r="C1127">
        <v>7</v>
      </c>
      <c r="E1127">
        <f t="shared" si="33"/>
        <v>0.88548099999999974</v>
      </c>
    </row>
    <row r="1128" spans="3:5" x14ac:dyDescent="0.25">
      <c r="C1128">
        <v>3</v>
      </c>
      <c r="E1128">
        <f t="shared" si="33"/>
        <v>24.413480999999997</v>
      </c>
    </row>
    <row r="1129" spans="3:5" x14ac:dyDescent="0.25">
      <c r="C1129">
        <v>9</v>
      </c>
      <c r="E1129">
        <f t="shared" si="33"/>
        <v>1.1214810000000004</v>
      </c>
    </row>
    <row r="1130" spans="3:5" x14ac:dyDescent="0.25">
      <c r="C1130">
        <v>15</v>
      </c>
      <c r="E1130">
        <f t="shared" si="33"/>
        <v>49.829481000000001</v>
      </c>
    </row>
    <row r="1131" spans="3:5" x14ac:dyDescent="0.25">
      <c r="C1131">
        <v>6</v>
      </c>
      <c r="E1131">
        <f t="shared" si="33"/>
        <v>3.7674809999999992</v>
      </c>
    </row>
    <row r="1132" spans="3:5" x14ac:dyDescent="0.25">
      <c r="C1132">
        <v>5</v>
      </c>
      <c r="E1132">
        <f t="shared" si="33"/>
        <v>8.6494809999999998</v>
      </c>
    </row>
    <row r="1133" spans="3:5" x14ac:dyDescent="0.25">
      <c r="C1133">
        <v>5</v>
      </c>
      <c r="E1133">
        <f t="shared" si="33"/>
        <v>8.6494809999999998</v>
      </c>
    </row>
    <row r="1134" spans="3:5" x14ac:dyDescent="0.25">
      <c r="C1134">
        <v>12</v>
      </c>
      <c r="E1134">
        <f t="shared" si="33"/>
        <v>16.475481000000002</v>
      </c>
    </row>
    <row r="1135" spans="3:5" x14ac:dyDescent="0.25">
      <c r="C1135">
        <v>7</v>
      </c>
      <c r="E1135">
        <f t="shared" si="33"/>
        <v>0.88548099999999974</v>
      </c>
    </row>
    <row r="1136" spans="3:5" x14ac:dyDescent="0.25">
      <c r="C1136">
        <v>10</v>
      </c>
      <c r="E1136">
        <f t="shared" si="33"/>
        <v>4.2394810000000005</v>
      </c>
    </row>
    <row r="1137" spans="3:5" x14ac:dyDescent="0.25">
      <c r="C1137">
        <v>8</v>
      </c>
      <c r="E1137">
        <f t="shared" si="33"/>
        <v>3.4810000000000192E-3</v>
      </c>
    </row>
    <row r="1138" spans="3:5" x14ac:dyDescent="0.25">
      <c r="C1138">
        <v>14</v>
      </c>
      <c r="E1138">
        <f t="shared" si="33"/>
        <v>36.711480999999999</v>
      </c>
    </row>
    <row r="1139" spans="3:5" x14ac:dyDescent="0.25">
      <c r="C1139">
        <v>10</v>
      </c>
      <c r="E1139">
        <f t="shared" si="33"/>
        <v>4.2394810000000005</v>
      </c>
    </row>
    <row r="1140" spans="3:5" x14ac:dyDescent="0.25">
      <c r="C1140">
        <v>7</v>
      </c>
      <c r="E1140">
        <f t="shared" si="33"/>
        <v>0.88548099999999974</v>
      </c>
    </row>
    <row r="1141" spans="3:5" x14ac:dyDescent="0.25">
      <c r="C1141">
        <v>9</v>
      </c>
      <c r="E1141">
        <f t="shared" si="33"/>
        <v>1.1214810000000004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03BE50-8478-47FC-B63D-125A6B8FF5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Bremer</dc:creator>
  <cp:lastModifiedBy>Annette Bremer</cp:lastModifiedBy>
  <dcterms:created xsi:type="dcterms:W3CDTF">2022-09-16T07:23:06Z</dcterms:created>
  <dcterms:modified xsi:type="dcterms:W3CDTF">2022-10-04T11:54:06Z</dcterms:modified>
</cp:coreProperties>
</file>