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6\C46 - Selin und Janek\Excel-Tabellen\"/>
    </mc:Choice>
  </mc:AlternateContent>
  <xr:revisionPtr revIDLastSave="0" documentId="13_ncr:1_{3755BE05-7B20-4080-A748-6CE4AA08187C}" xr6:coauthVersionLast="47" xr6:coauthVersionMax="47" xr10:uidLastSave="{00000000-0000-0000-0000-000000000000}"/>
  <bookViews>
    <workbookView xWindow="-21270" yWindow="620" windowWidth="20710" windowHeight="21740" xr2:uid="{D2A96672-D67C-4BC8-A1FB-768CADD6ED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J13" i="1"/>
  <c r="H13" i="1"/>
  <c r="B13" i="1"/>
</calcChain>
</file>

<file path=xl/sharedStrings.xml><?xml version="1.0" encoding="utf-8"?>
<sst xmlns="http://schemas.openxmlformats.org/spreadsheetml/2006/main" count="19" uniqueCount="18">
  <si>
    <t>gamma = N/a*t *F/4pi d^2</t>
  </si>
  <si>
    <t>N</t>
  </si>
  <si>
    <t>A</t>
  </si>
  <si>
    <t>1.4*10^6</t>
  </si>
  <si>
    <t>t</t>
  </si>
  <si>
    <t>60s</t>
  </si>
  <si>
    <t>F</t>
  </si>
  <si>
    <t>11cm^2</t>
  </si>
  <si>
    <t>d</t>
  </si>
  <si>
    <t>pm</t>
  </si>
  <si>
    <t>gamma</t>
  </si>
  <si>
    <t>A=a0 * e(-lambda t)</t>
  </si>
  <si>
    <t>A0</t>
  </si>
  <si>
    <t>3.7 M</t>
  </si>
  <si>
    <t>21.08.1978</t>
  </si>
  <si>
    <t>23.03.22</t>
  </si>
  <si>
    <t>T1/2</t>
  </si>
  <si>
    <t>aktivität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</si>
</sst>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9E81-5697-4160-B999-86529FC18A96}">
  <dimension ref="B3:J13"/>
  <sheetViews>
    <sheetView tabSelected="1" workbookViewId="0">
      <selection activeCell="D14" sqref="D14"/>
    </sheetView>
  </sheetViews>
  <sheetFormatPr baseColWidth="10" defaultRowHeight="15" x14ac:dyDescent="0.25"/>
  <cols>
    <col min="2" max="2" width="12" bestFit="1" customWidth="1"/>
    <col min="4" max="4" width="12" bestFit="1" customWidth="1"/>
    <col min="8" max="8" width="12" bestFit="1" customWidth="1"/>
    <col min="10" max="10" width="12" bestFit="1" customWidth="1"/>
  </cols>
  <sheetData>
    <row r="3" spans="2:10" x14ac:dyDescent="0.25">
      <c r="B3" t="s">
        <v>0</v>
      </c>
      <c r="H3" t="s">
        <v>11</v>
      </c>
    </row>
    <row r="4" spans="2:10" x14ac:dyDescent="0.25">
      <c r="H4" t="s">
        <v>12</v>
      </c>
      <c r="I4" t="s">
        <v>13</v>
      </c>
    </row>
    <row r="5" spans="2:10" x14ac:dyDescent="0.25">
      <c r="B5" t="s">
        <v>1</v>
      </c>
      <c r="C5">
        <v>81</v>
      </c>
      <c r="H5" t="s">
        <v>14</v>
      </c>
      <c r="I5" t="s">
        <v>15</v>
      </c>
    </row>
    <row r="6" spans="2:10" x14ac:dyDescent="0.25">
      <c r="B6" t="s">
        <v>2</v>
      </c>
      <c r="C6" t="s">
        <v>3</v>
      </c>
      <c r="H6" t="s">
        <v>16</v>
      </c>
      <c r="I6">
        <v>30.2</v>
      </c>
    </row>
    <row r="7" spans="2:10" x14ac:dyDescent="0.25">
      <c r="B7" t="s">
        <v>4</v>
      </c>
      <c r="C7" t="s">
        <v>5</v>
      </c>
    </row>
    <row r="8" spans="2:10" x14ac:dyDescent="0.25">
      <c r="B8" t="s">
        <v>6</v>
      </c>
      <c r="C8" t="s">
        <v>7</v>
      </c>
    </row>
    <row r="9" spans="2:10" x14ac:dyDescent="0.25">
      <c r="B9" t="s">
        <v>8</v>
      </c>
      <c r="C9">
        <v>95</v>
      </c>
      <c r="D9" t="s">
        <v>9</v>
      </c>
      <c r="E9">
        <v>1</v>
      </c>
    </row>
    <row r="12" spans="2:10" x14ac:dyDescent="0.25">
      <c r="B12" t="s">
        <v>10</v>
      </c>
      <c r="H12" t="s">
        <v>17</v>
      </c>
    </row>
    <row r="13" spans="2:10" x14ac:dyDescent="0.25">
      <c r="B13">
        <f>81/(1.4*10^6*60*0.0011/(PI()*4*0.95^2))</f>
        <v>9.9419167514739337E-3</v>
      </c>
      <c r="D13">
        <f>SQRT((2*C5*4*PI()*0.95/(1.4*10^6*60*0.0011))^2*0.005^2+(1/2*C5*4*PI()*0.95^2/((1.4*10^6)^2*60*0.0011))^2*(36300)^2)</f>
        <v>1.6602585081555455E-4</v>
      </c>
      <c r="H13">
        <f>3.7*10^6*EXP(-(531)/((30.2*12)/LN(2)))</f>
        <v>1340056.1778813393</v>
      </c>
      <c r="I13" t="s">
        <v>9</v>
      </c>
      <c r="J13">
        <f>SQRT((EXP(-1*531/(30.2*12/LN(2))))^2*(0.1*10^6)^2+(3.7*10^6*EXP(-1*531/(30.2*12/LN(2)))*1/(30.2*12/LN(2)))^2*(1)^2)</f>
        <v>36308.313333059021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2022-03-26T10:48:54Z</dcterms:created>
  <dcterms:modified xsi:type="dcterms:W3CDTF">2022-03-26T11:52:24Z</dcterms:modified>
</cp:coreProperties>
</file>