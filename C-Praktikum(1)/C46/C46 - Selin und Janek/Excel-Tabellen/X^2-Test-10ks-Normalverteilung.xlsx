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lin\Nextcloud\Physik\Experimentalphysik\Physikalisches Praktikum\C\C46\C46 - Selin und Janek\Excel-Tabellen\"/>
    </mc:Choice>
  </mc:AlternateContent>
  <xr:revisionPtr revIDLastSave="0" documentId="13_ncr:1_{28BBCB28-ED0F-4FCB-8386-C50686F8CF2B}" xr6:coauthVersionLast="47" xr6:coauthVersionMax="47" xr10:uidLastSave="{00000000-0000-0000-0000-000000000000}"/>
  <bookViews>
    <workbookView xWindow="-120" yWindow="-120" windowWidth="29040" windowHeight="15840" xr2:uid="{0C16CD6E-63A3-45BA-AC94-E76CA500794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3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2" i="1"/>
  <c r="D24" i="1"/>
  <c r="E17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3" i="1"/>
  <c r="E2" i="1"/>
  <c r="G16" i="1" l="1"/>
  <c r="G17" i="1"/>
  <c r="G4" i="1" l="1"/>
  <c r="G14" i="1" l="1"/>
  <c r="G5" i="1"/>
  <c r="G15" i="1"/>
  <c r="G8" i="1"/>
  <c r="G10" i="1"/>
  <c r="G3" i="1"/>
  <c r="G11" i="1"/>
  <c r="G13" i="1"/>
  <c r="G7" i="1"/>
  <c r="G9" i="1"/>
  <c r="G6" i="1"/>
  <c r="G12" i="1"/>
  <c r="G2" i="1" l="1"/>
  <c r="G24" i="1" s="1"/>
</calcChain>
</file>

<file path=xl/sharedStrings.xml><?xml version="1.0" encoding="utf-8"?>
<sst xmlns="http://schemas.openxmlformats.org/spreadsheetml/2006/main" count="16" uniqueCount="16">
  <si>
    <t>Mittelwert:</t>
  </si>
  <si>
    <t>Gesamtanzahl:</t>
  </si>
  <si>
    <t>Klassen:</t>
  </si>
  <si>
    <t>Theo.:</t>
  </si>
  <si>
    <t>x^2-Gesamt:</t>
  </si>
  <si>
    <t>Exp:</t>
  </si>
  <si>
    <t>Qk:</t>
  </si>
  <si>
    <t>&lt;2</t>
  </si>
  <si>
    <t>Standardabweichung</t>
  </si>
  <si>
    <t>&gt;15</t>
  </si>
  <si>
    <t>Standardfehler</t>
  </si>
  <si>
    <t>Korrelierte Wahrscheinlichkeiten</t>
  </si>
  <si>
    <t>Fit-Parameter</t>
  </si>
  <si>
    <t>Steigung:</t>
  </si>
  <si>
    <t>Schittpunkt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</si>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</sst>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A73A0-5DED-448F-A985-BA27EA087C38}">
  <dimension ref="A1:N26"/>
  <sheetViews>
    <sheetView tabSelected="1" workbookViewId="0">
      <selection activeCell="N4" sqref="N4"/>
    </sheetView>
  </sheetViews>
  <sheetFormatPr defaultColWidth="11.42578125" defaultRowHeight="15" x14ac:dyDescent="0.25"/>
  <cols>
    <col min="2" max="2" width="14" bestFit="1" customWidth="1"/>
    <col min="3" max="3" width="19.85546875" bestFit="1" customWidth="1"/>
    <col min="4" max="4" width="14.42578125" bestFit="1" customWidth="1"/>
    <col min="5" max="5" width="12" bestFit="1" customWidth="1"/>
    <col min="11" max="11" width="31.140625" bestFit="1" customWidth="1"/>
    <col min="13" max="13" width="13.42578125" bestFit="1" customWidth="1"/>
  </cols>
  <sheetData>
    <row r="1" spans="1:14" x14ac:dyDescent="0.25">
      <c r="A1" s="1" t="s">
        <v>2</v>
      </c>
      <c r="B1" s="1" t="s">
        <v>5</v>
      </c>
      <c r="C1" s="1"/>
      <c r="D1" s="1"/>
      <c r="E1" s="1" t="s">
        <v>3</v>
      </c>
      <c r="F1" s="1"/>
      <c r="G1" s="1" t="s">
        <v>6</v>
      </c>
      <c r="K1" s="2" t="s">
        <v>11</v>
      </c>
      <c r="M1" s="2" t="s">
        <v>12</v>
      </c>
    </row>
    <row r="2" spans="1:14" x14ac:dyDescent="0.25">
      <c r="A2" t="s">
        <v>7</v>
      </c>
      <c r="B2">
        <v>6</v>
      </c>
      <c r="E2">
        <f>1019*(1/(C$24*SQRT(2*PI()))*EXP(-1*(0-B$24)^2/(2*C$24^2))+1/(C$24*SQRT(2*PI()))*EXP(-1*(1-B$24)^2/(2*C$24^2)))</f>
        <v>12.595480505041575</v>
      </c>
      <c r="G2">
        <f>(E2-B2)^2/E2</f>
        <v>3.4536485587010071</v>
      </c>
      <c r="J2">
        <f>B2/$B$26*100</f>
        <v>0.58881256133464177</v>
      </c>
    </row>
    <row r="3" spans="1:14" x14ac:dyDescent="0.25">
      <c r="A3">
        <v>2</v>
      </c>
      <c r="B3">
        <v>11</v>
      </c>
      <c r="E3">
        <f>1019/(C$24*SQRT(2*PI()))*EXP(-1*(A3-B$24)^2/(2*C$24^2))</f>
        <v>19.129897495555934</v>
      </c>
      <c r="G3">
        <f t="shared" ref="G3:G17" si="0">(E3-B3)^2/E3</f>
        <v>3.4550751410770095</v>
      </c>
      <c r="J3">
        <f t="shared" ref="J3:J17" si="1">B3/$B$26*100</f>
        <v>1.0794896957801767</v>
      </c>
      <c r="K3">
        <f>SUM($J$2:J3)</f>
        <v>1.6683022571148185</v>
      </c>
      <c r="M3" t="s">
        <v>13</v>
      </c>
      <c r="N3">
        <v>0.34991</v>
      </c>
    </row>
    <row r="4" spans="1:14" x14ac:dyDescent="0.25">
      <c r="A4">
        <v>3</v>
      </c>
      <c r="B4">
        <v>33</v>
      </c>
      <c r="E4">
        <f t="shared" ref="E4:E16" si="2">1019/(C$24*SQRT(2*PI()))*EXP(-1*(A4-B$24)^2/(2*C$24^2))</f>
        <v>36.297041906693693</v>
      </c>
      <c r="G4">
        <f t="shared" si="0"/>
        <v>0.29948681114120512</v>
      </c>
      <c r="J4">
        <f t="shared" si="1"/>
        <v>3.2384690873405302</v>
      </c>
      <c r="K4">
        <f>SUM($J$2:J4)</f>
        <v>4.9067713444553487</v>
      </c>
      <c r="M4" t="s">
        <v>14</v>
      </c>
      <c r="N4">
        <v>-2.6201099999999999</v>
      </c>
    </row>
    <row r="5" spans="1:14" x14ac:dyDescent="0.25">
      <c r="A5">
        <v>4</v>
      </c>
      <c r="B5">
        <v>79</v>
      </c>
      <c r="E5">
        <f t="shared" si="2"/>
        <v>60.918042856418012</v>
      </c>
      <c r="G5">
        <f t="shared" si="0"/>
        <v>5.3671647809330301</v>
      </c>
      <c r="J5">
        <f t="shared" si="1"/>
        <v>7.7526987242394503</v>
      </c>
      <c r="K5">
        <f>SUM($J$2:J5)</f>
        <v>12.659470068694798</v>
      </c>
    </row>
    <row r="6" spans="1:14" x14ac:dyDescent="0.25">
      <c r="A6">
        <v>5</v>
      </c>
      <c r="B6">
        <v>110</v>
      </c>
      <c r="E6">
        <f t="shared" si="2"/>
        <v>90.435047420550021</v>
      </c>
      <c r="G6">
        <f t="shared" si="0"/>
        <v>4.232732556174275</v>
      </c>
      <c r="J6">
        <f t="shared" si="1"/>
        <v>10.794896957801766</v>
      </c>
      <c r="K6">
        <f>SUM($J$2:J6)</f>
        <v>23.454367026496563</v>
      </c>
      <c r="M6" t="s">
        <v>15</v>
      </c>
      <c r="N6">
        <v>0.99021999999999999</v>
      </c>
    </row>
    <row r="7" spans="1:14" x14ac:dyDescent="0.25">
      <c r="A7">
        <v>6</v>
      </c>
      <c r="B7">
        <v>121</v>
      </c>
      <c r="E7">
        <f t="shared" si="2"/>
        <v>118.75276175350017</v>
      </c>
      <c r="G7">
        <f t="shared" si="0"/>
        <v>4.2525998233323592E-2</v>
      </c>
      <c r="J7">
        <f t="shared" si="1"/>
        <v>11.874386653581944</v>
      </c>
      <c r="K7">
        <f>SUM($J$2:J7)</f>
        <v>35.328753680078506</v>
      </c>
    </row>
    <row r="8" spans="1:14" x14ac:dyDescent="0.25">
      <c r="A8">
        <v>7</v>
      </c>
      <c r="B8">
        <v>140</v>
      </c>
      <c r="E8">
        <f t="shared" si="2"/>
        <v>137.93255650207442</v>
      </c>
      <c r="G8">
        <f t="shared" si="0"/>
        <v>3.0988497027171956E-2</v>
      </c>
      <c r="J8">
        <f t="shared" si="1"/>
        <v>13.738959764474975</v>
      </c>
      <c r="K8">
        <f>SUM($J$2:J8)</f>
        <v>49.067713444553483</v>
      </c>
    </row>
    <row r="9" spans="1:14" x14ac:dyDescent="0.25">
      <c r="A9">
        <v>8</v>
      </c>
      <c r="B9">
        <v>146</v>
      </c>
      <c r="E9">
        <f t="shared" si="2"/>
        <v>141.71178621898719</v>
      </c>
      <c r="G9">
        <f t="shared" si="0"/>
        <v>0.12976180684965782</v>
      </c>
      <c r="J9">
        <f t="shared" si="1"/>
        <v>14.327772325809619</v>
      </c>
      <c r="K9">
        <f>SUM($J$2:J9)</f>
        <v>63.395485770363102</v>
      </c>
    </row>
    <row r="10" spans="1:14" x14ac:dyDescent="0.25">
      <c r="A10">
        <v>9</v>
      </c>
      <c r="B10">
        <v>108</v>
      </c>
      <c r="E10">
        <f t="shared" si="2"/>
        <v>128.783812567843</v>
      </c>
      <c r="G10">
        <f t="shared" si="0"/>
        <v>3.3542015587375902</v>
      </c>
      <c r="J10">
        <f t="shared" si="1"/>
        <v>10.598626104023552</v>
      </c>
      <c r="K10">
        <f>SUM($J$2:J10)</f>
        <v>73.994111874386647</v>
      </c>
    </row>
    <row r="11" spans="1:14" x14ac:dyDescent="0.25">
      <c r="A11">
        <v>10</v>
      </c>
      <c r="B11">
        <v>104</v>
      </c>
      <c r="E11">
        <f t="shared" si="2"/>
        <v>103.52201175224862</v>
      </c>
      <c r="G11">
        <f t="shared" si="0"/>
        <v>2.2069969576636972E-3</v>
      </c>
      <c r="J11">
        <f t="shared" si="1"/>
        <v>10.206084396467125</v>
      </c>
      <c r="K11">
        <f>SUM($J$2:J11)</f>
        <v>84.200196270853766</v>
      </c>
    </row>
    <row r="12" spans="1:14" x14ac:dyDescent="0.25">
      <c r="A12">
        <v>11</v>
      </c>
      <c r="B12">
        <v>64</v>
      </c>
      <c r="E12">
        <f t="shared" si="2"/>
        <v>73.607191513194067</v>
      </c>
      <c r="G12">
        <f t="shared" si="0"/>
        <v>1.2539281403589986</v>
      </c>
      <c r="J12">
        <f t="shared" si="1"/>
        <v>6.2806673209028459</v>
      </c>
      <c r="K12">
        <f>SUM($J$2:J12)</f>
        <v>90.480863591756616</v>
      </c>
    </row>
    <row r="13" spans="1:14" x14ac:dyDescent="0.25">
      <c r="A13">
        <v>12</v>
      </c>
      <c r="B13">
        <v>36</v>
      </c>
      <c r="E13">
        <f t="shared" si="2"/>
        <v>46.293915144089368</v>
      </c>
      <c r="G13">
        <f t="shared" si="0"/>
        <v>2.2889550098300901</v>
      </c>
      <c r="J13">
        <f t="shared" si="1"/>
        <v>3.5328753680078511</v>
      </c>
      <c r="K13">
        <f>SUM($J$2:J13)</f>
        <v>94.013738959764467</v>
      </c>
    </row>
    <row r="14" spans="1:14" x14ac:dyDescent="0.25">
      <c r="A14">
        <v>13</v>
      </c>
      <c r="B14">
        <v>27</v>
      </c>
      <c r="E14">
        <f t="shared" si="2"/>
        <v>25.753940874188924</v>
      </c>
      <c r="G14">
        <f t="shared" si="0"/>
        <v>6.0288378877702983E-2</v>
      </c>
      <c r="J14">
        <f t="shared" si="1"/>
        <v>2.649656526005888</v>
      </c>
      <c r="K14">
        <f>SUM($J$2:J14)</f>
        <v>96.663395485770351</v>
      </c>
    </row>
    <row r="15" spans="1:14" x14ac:dyDescent="0.25">
      <c r="A15">
        <v>14</v>
      </c>
      <c r="B15">
        <v>18</v>
      </c>
      <c r="E15">
        <f t="shared" si="2"/>
        <v>12.67300472153563</v>
      </c>
      <c r="G15">
        <f t="shared" si="0"/>
        <v>2.2391594827199883</v>
      </c>
      <c r="J15">
        <f t="shared" si="1"/>
        <v>1.7664376840039255</v>
      </c>
      <c r="K15">
        <f>SUM($J$2:J15)</f>
        <v>98.429833169774284</v>
      </c>
    </row>
    <row r="16" spans="1:14" x14ac:dyDescent="0.25">
      <c r="A16">
        <v>15</v>
      </c>
      <c r="B16">
        <v>8</v>
      </c>
      <c r="E16">
        <f t="shared" si="2"/>
        <v>5.5160934913493813</v>
      </c>
      <c r="G16">
        <f t="shared" si="0"/>
        <v>1.1185074280181595</v>
      </c>
      <c r="J16">
        <f t="shared" si="1"/>
        <v>0.78508341511285573</v>
      </c>
      <c r="K16">
        <f>SUM($J$2:J16)</f>
        <v>99.214916584887135</v>
      </c>
    </row>
    <row r="17" spans="1:11" x14ac:dyDescent="0.25">
      <c r="A17" t="s">
        <v>9</v>
      </c>
      <c r="B17">
        <v>8</v>
      </c>
      <c r="E17">
        <f>1019-SUM(E2:E16)</f>
        <v>5.0774152767298801</v>
      </c>
      <c r="G17">
        <f t="shared" si="0"/>
        <v>1.6822538632674251</v>
      </c>
      <c r="J17">
        <f t="shared" si="1"/>
        <v>0.78508341511285573</v>
      </c>
      <c r="K17">
        <f>SUM($J$2:J17)</f>
        <v>99.999999999999986</v>
      </c>
    </row>
    <row r="23" spans="1:11" x14ac:dyDescent="0.25">
      <c r="B23" s="2" t="s">
        <v>0</v>
      </c>
      <c r="C23" s="2" t="s">
        <v>8</v>
      </c>
      <c r="D23" t="s">
        <v>10</v>
      </c>
      <c r="G23" s="2" t="s">
        <v>4</v>
      </c>
    </row>
    <row r="24" spans="1:11" x14ac:dyDescent="0.25">
      <c r="B24">
        <v>7.7203140299999999</v>
      </c>
      <c r="C24">
        <v>2.8549218999999999</v>
      </c>
      <c r="D24">
        <f>C24/SQRT(B26)</f>
        <v>8.9434923545872971E-2</v>
      </c>
      <c r="G24">
        <f>SUM(G2:G15)</f>
        <v>26.210123717618711</v>
      </c>
    </row>
    <row r="25" spans="1:11" x14ac:dyDescent="0.25">
      <c r="B25" s="2" t="s">
        <v>1</v>
      </c>
    </row>
    <row r="26" spans="1:11" x14ac:dyDescent="0.25">
      <c r="B26">
        <v>1019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selin</dc:creator>
  <cp:lastModifiedBy>selin</cp:lastModifiedBy>
  <dcterms:created xsi:type="dcterms:W3CDTF">2022-03-20T14:33:00Z</dcterms:created>
  <dcterms:modified xsi:type="dcterms:W3CDTF">2022-03-25T09:21:35Z</dcterms:modified>
</cp:coreProperties>
</file>