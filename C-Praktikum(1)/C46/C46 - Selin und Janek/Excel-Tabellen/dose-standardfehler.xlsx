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46\C46 - Selin und Janek\Excel-Tabellen\"/>
    </mc:Choice>
  </mc:AlternateContent>
  <xr:revisionPtr revIDLastSave="0" documentId="13_ncr:1_{D318E443-4A89-4FAE-A734-04AD0D56692F}" xr6:coauthVersionLast="47" xr6:coauthVersionMax="47" xr10:uidLastSave="{00000000-0000-0000-0000-000000000000}"/>
  <bookViews>
    <workbookView xWindow="-96" yWindow="0" windowWidth="13944" windowHeight="17376" xr2:uid="{127E3593-4E3D-41E3-B701-B5623DF3845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1" l="1"/>
  <c r="D32" i="1"/>
  <c r="B32" i="1"/>
  <c r="C28" i="1"/>
  <c r="B28" i="1"/>
  <c r="D24" i="1"/>
  <c r="B24" i="1"/>
  <c r="B2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" i="1"/>
  <c r="B17" i="1"/>
  <c r="B19" i="1"/>
</calcChain>
</file>

<file path=xl/sharedStrings.xml><?xml version="1.0" encoding="utf-8"?>
<sst xmlns="http://schemas.openxmlformats.org/spreadsheetml/2006/main" count="5" uniqueCount="5">
  <si>
    <t>Mittel</t>
  </si>
  <si>
    <t>fehler</t>
  </si>
  <si>
    <t>zeit</t>
  </si>
  <si>
    <t>H0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</si>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</sst>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72EC-D5AB-4FA9-84CD-FDDE13547991}">
  <dimension ref="A1:D36"/>
  <sheetViews>
    <sheetView tabSelected="1" workbookViewId="0">
      <selection activeCell="B37" sqref="B37"/>
    </sheetView>
  </sheetViews>
  <sheetFormatPr baseColWidth="10" defaultRowHeight="15" x14ac:dyDescent="0.25"/>
  <sheetData>
    <row r="1" spans="1:3" x14ac:dyDescent="0.25">
      <c r="A1">
        <v>0.11</v>
      </c>
      <c r="C1">
        <f>(A1-B$17)^2</f>
        <v>2.4999999999999767E-5</v>
      </c>
    </row>
    <row r="2" spans="1:3" x14ac:dyDescent="0.25">
      <c r="A2">
        <v>0.1</v>
      </c>
      <c r="C2">
        <f t="shared" ref="C2:C14" si="0">(A2-B$17)^2</f>
        <v>2.5000000000000184E-5</v>
      </c>
    </row>
    <row r="3" spans="1:3" x14ac:dyDescent="0.25">
      <c r="A3">
        <v>0.08</v>
      </c>
      <c r="C3">
        <f t="shared" si="0"/>
        <v>6.250000000000011E-4</v>
      </c>
    </row>
    <row r="4" spans="1:3" x14ac:dyDescent="0.25">
      <c r="A4">
        <v>0.15</v>
      </c>
      <c r="C4">
        <f t="shared" si="0"/>
        <v>2.0249999999999973E-3</v>
      </c>
    </row>
    <row r="5" spans="1:3" x14ac:dyDescent="0.25">
      <c r="A5">
        <v>0.11</v>
      </c>
      <c r="C5">
        <f t="shared" si="0"/>
        <v>2.4999999999999767E-5</v>
      </c>
    </row>
    <row r="6" spans="1:3" x14ac:dyDescent="0.25">
      <c r="A6">
        <v>0.13</v>
      </c>
      <c r="C6">
        <f t="shared" si="0"/>
        <v>6.2499999999999904E-4</v>
      </c>
    </row>
    <row r="7" spans="1:3" x14ac:dyDescent="0.25">
      <c r="A7">
        <v>0.09</v>
      </c>
      <c r="C7">
        <f t="shared" si="0"/>
        <v>2.2500000000000081E-4</v>
      </c>
    </row>
    <row r="8" spans="1:3" x14ac:dyDescent="0.25">
      <c r="A8">
        <v>0.12</v>
      </c>
      <c r="C8">
        <f t="shared" si="0"/>
        <v>2.2499999999999915E-4</v>
      </c>
    </row>
    <row r="9" spans="1:3" x14ac:dyDescent="0.25">
      <c r="A9">
        <v>0.11</v>
      </c>
      <c r="C9">
        <f t="shared" si="0"/>
        <v>2.4999999999999767E-5</v>
      </c>
    </row>
    <row r="10" spans="1:3" x14ac:dyDescent="0.25">
      <c r="A10">
        <v>0.09</v>
      </c>
      <c r="C10">
        <f t="shared" si="0"/>
        <v>2.2500000000000081E-4</v>
      </c>
    </row>
    <row r="11" spans="1:3" x14ac:dyDescent="0.25">
      <c r="A11">
        <v>0.1</v>
      </c>
      <c r="C11">
        <f t="shared" si="0"/>
        <v>2.5000000000000184E-5</v>
      </c>
    </row>
    <row r="12" spans="1:3" x14ac:dyDescent="0.25">
      <c r="A12">
        <v>0.09</v>
      </c>
      <c r="C12">
        <f t="shared" si="0"/>
        <v>2.2500000000000081E-4</v>
      </c>
    </row>
    <row r="13" spans="1:3" x14ac:dyDescent="0.25">
      <c r="A13">
        <v>0.08</v>
      </c>
      <c r="C13">
        <f t="shared" si="0"/>
        <v>6.250000000000011E-4</v>
      </c>
    </row>
    <row r="14" spans="1:3" x14ac:dyDescent="0.25">
      <c r="A14">
        <v>0.11</v>
      </c>
      <c r="C14">
        <f t="shared" si="0"/>
        <v>2.4999999999999767E-5</v>
      </c>
    </row>
    <row r="17" spans="1:4" x14ac:dyDescent="0.25">
      <c r="A17" t="s">
        <v>0</v>
      </c>
      <c r="B17">
        <f>SUM(A1:A14)/14</f>
        <v>0.10500000000000002</v>
      </c>
    </row>
    <row r="19" spans="1:4" x14ac:dyDescent="0.25">
      <c r="A19" t="s">
        <v>1</v>
      </c>
      <c r="B19">
        <f>1/SQRT(14)*SQRT(1/14*SUM(C1:C14))</f>
        <v>5.0254454569536745E-3</v>
      </c>
    </row>
    <row r="21" spans="1:4" x14ac:dyDescent="0.25">
      <c r="A21" t="s">
        <v>2</v>
      </c>
      <c r="B21">
        <f>12+33/60-9-17/60</f>
        <v>3.2666666666666675</v>
      </c>
    </row>
    <row r="24" spans="1:4" x14ac:dyDescent="0.25">
      <c r="A24" t="s">
        <v>3</v>
      </c>
      <c r="B24">
        <f>B17*B21</f>
        <v>0.34300000000000014</v>
      </c>
      <c r="C24" t="s">
        <v>4</v>
      </c>
      <c r="D24">
        <f>B19*B21</f>
        <v>1.6416455159382008E-2</v>
      </c>
    </row>
    <row r="28" spans="1:4" x14ac:dyDescent="0.25">
      <c r="B28">
        <f>0.3-0.105</f>
        <v>0.19500000000000001</v>
      </c>
      <c r="C28">
        <f>SQRT(0.1^2+0.016^2)</f>
        <v>0.10127191120937731</v>
      </c>
    </row>
    <row r="32" spans="1:4" x14ac:dyDescent="0.25">
      <c r="B32">
        <f>25000/365.25/24</f>
        <v>2.8519279032626055</v>
      </c>
      <c r="D32">
        <f>0.5*25000/365.25/24</f>
        <v>1.4259639516313027</v>
      </c>
    </row>
    <row r="36" spans="2:2" x14ac:dyDescent="0.25">
      <c r="B36">
        <f>4/25000/2</f>
        <v>8.0000000000000007E-5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Fortuna Plays</cp:lastModifiedBy>
  <dcterms:created xsi:type="dcterms:W3CDTF">2022-03-25T14:55:41Z</dcterms:created>
  <dcterms:modified xsi:type="dcterms:W3CDTF">2022-03-25T15:33:45Z</dcterms:modified>
</cp:coreProperties>
</file>