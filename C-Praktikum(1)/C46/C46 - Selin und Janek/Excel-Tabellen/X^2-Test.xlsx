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in\Nextcloud\Physik\Experimentalphysik\Physikalisches Praktikum\C\C46\C46 - Selin und Janek\"/>
    </mc:Choice>
  </mc:AlternateContent>
  <xr:revisionPtr revIDLastSave="0" documentId="8_{E3EDDF70-0A9E-4B78-AADE-73CD13151830}" xr6:coauthVersionLast="47" xr6:coauthVersionMax="47" xr10:uidLastSave="{00000000-0000-0000-0000-000000000000}"/>
  <bookViews>
    <workbookView xWindow="3120" yWindow="3120" windowWidth="21600" windowHeight="11325" xr2:uid="{0C16CD6E-63A3-45BA-AC94-E76CA500794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2" i="1"/>
  <c r="B20" i="1"/>
  <c r="B18" i="1" l="1"/>
  <c r="E4" i="1" s="1"/>
  <c r="G4" i="1" s="1"/>
  <c r="E14" i="1" l="1"/>
  <c r="G14" i="1" s="1"/>
  <c r="E5" i="1"/>
  <c r="G5" i="1" s="1"/>
  <c r="E15" i="1"/>
  <c r="G15" i="1" s="1"/>
  <c r="E8" i="1"/>
  <c r="G8" i="1" s="1"/>
  <c r="E10" i="1"/>
  <c r="G10" i="1" s="1"/>
  <c r="E3" i="1"/>
  <c r="G3" i="1" s="1"/>
  <c r="E11" i="1"/>
  <c r="G11" i="1" s="1"/>
  <c r="E13" i="1"/>
  <c r="G13" i="1" s="1"/>
  <c r="E7" i="1"/>
  <c r="G7" i="1" s="1"/>
  <c r="E9" i="1"/>
  <c r="G9" i="1" s="1"/>
  <c r="E6" i="1"/>
  <c r="G6" i="1" s="1"/>
  <c r="E2" i="1"/>
  <c r="G2" i="1" s="1"/>
  <c r="E12" i="1"/>
  <c r="G12" i="1" s="1"/>
  <c r="G18" i="1" l="1"/>
</calcChain>
</file>

<file path=xl/sharedStrings.xml><?xml version="1.0" encoding="utf-8"?>
<sst xmlns="http://schemas.openxmlformats.org/spreadsheetml/2006/main" count="7" uniqueCount="7">
  <si>
    <t>Mittelwert:</t>
  </si>
  <si>
    <t>Gesamtanzahl:</t>
  </si>
  <si>
    <t>Klassen:</t>
  </si>
  <si>
    <t>Theo.:</t>
  </si>
  <si>
    <t>x^2-Gesamt:</t>
  </si>
  <si>
    <t>Exp:</t>
  </si>
  <si>
    <t>Qk: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</si>
</sst>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73A0-5DED-448F-A985-BA27EA087C38}">
  <dimension ref="A1:G20"/>
  <sheetViews>
    <sheetView tabSelected="1" workbookViewId="0">
      <selection activeCell="L22" sqref="L22"/>
    </sheetView>
  </sheetViews>
  <sheetFormatPr baseColWidth="10" defaultRowHeight="15" x14ac:dyDescent="0.25"/>
  <cols>
    <col min="2" max="2" width="14" bestFit="1" customWidth="1"/>
    <col min="5" max="5" width="12" bestFit="1" customWidth="1"/>
  </cols>
  <sheetData>
    <row r="1" spans="1:7" x14ac:dyDescent="0.25">
      <c r="A1" s="1" t="s">
        <v>2</v>
      </c>
      <c r="B1" s="1" t="s">
        <v>5</v>
      </c>
      <c r="C1" s="1"/>
      <c r="D1" s="1"/>
      <c r="E1" s="1" t="s">
        <v>3</v>
      </c>
      <c r="F1" s="1"/>
      <c r="G1" s="1" t="s">
        <v>6</v>
      </c>
    </row>
    <row r="2" spans="1:7" x14ac:dyDescent="0.25">
      <c r="A2">
        <v>1</v>
      </c>
      <c r="B2">
        <v>84</v>
      </c>
      <c r="C2">
        <f>A2*B2</f>
        <v>84</v>
      </c>
      <c r="E2">
        <f>B$20*(((B$18^A2)*EXP(-B$18))/FACT(A2))</f>
        <v>83.912101848727701</v>
      </c>
      <c r="G2">
        <f>(E2-B2)^2/E2</f>
        <v>9.2073548711913889E-5</v>
      </c>
    </row>
    <row r="3" spans="1:7" x14ac:dyDescent="0.25">
      <c r="A3">
        <v>2</v>
      </c>
      <c r="B3">
        <v>240</v>
      </c>
      <c r="C3">
        <f t="shared" ref="C3:C15" si="0">A3*B3</f>
        <v>480</v>
      </c>
      <c r="E3">
        <f>B$20*(((B$18^A3)*EXP(-B$18))/FACT(A3))</f>
        <v>240.46439197558439</v>
      </c>
      <c r="G3">
        <f t="shared" ref="G3:G15" si="1">(E3-B3)^2/E3</f>
        <v>8.9684757570705417E-4</v>
      </c>
    </row>
    <row r="4" spans="1:7" x14ac:dyDescent="0.25">
      <c r="A4">
        <v>3</v>
      </c>
      <c r="B4">
        <v>460</v>
      </c>
      <c r="C4">
        <f t="shared" si="0"/>
        <v>1380</v>
      </c>
      <c r="E4">
        <f>B$20*(((B$18^A4)*EXP(-B$18))/FACT(A4))</f>
        <v>459.39439432648192</v>
      </c>
      <c r="G4">
        <f t="shared" si="1"/>
        <v>7.983515609392602E-4</v>
      </c>
    </row>
    <row r="5" spans="1:7" x14ac:dyDescent="0.25">
      <c r="A5">
        <v>4</v>
      </c>
      <c r="B5">
        <v>670</v>
      </c>
      <c r="C5">
        <f t="shared" si="0"/>
        <v>2680</v>
      </c>
      <c r="E5">
        <f>B$20*(((B$18^A5)*EXP(-B$18))/FACT(A5))</f>
        <v>658.23636445107275</v>
      </c>
      <c r="G5">
        <f t="shared" si="1"/>
        <v>0.2102331758036306</v>
      </c>
    </row>
    <row r="6" spans="1:7" x14ac:dyDescent="0.25">
      <c r="A6">
        <v>5</v>
      </c>
      <c r="B6">
        <v>760</v>
      </c>
      <c r="C6">
        <f t="shared" si="0"/>
        <v>3800</v>
      </c>
      <c r="E6">
        <f>B$20*(((B$18^A6)*EXP(-B$18))/FACT(A6))</f>
        <v>754.51527809082654</v>
      </c>
      <c r="G6">
        <f t="shared" si="1"/>
        <v>3.9869536501746142E-2</v>
      </c>
    </row>
    <row r="7" spans="1:7" x14ac:dyDescent="0.25">
      <c r="A7">
        <v>6</v>
      </c>
      <c r="B7">
        <v>720</v>
      </c>
      <c r="C7">
        <f t="shared" si="0"/>
        <v>4320</v>
      </c>
      <c r="E7">
        <f>B$20*(((B$18^A7)*EXP(-B$18))/FACT(A7))</f>
        <v>720.73059620362937</v>
      </c>
      <c r="G7">
        <f t="shared" si="1"/>
        <v>7.4059685487092583E-4</v>
      </c>
    </row>
    <row r="8" spans="1:7" x14ac:dyDescent="0.25">
      <c r="A8">
        <v>7</v>
      </c>
      <c r="B8">
        <v>600</v>
      </c>
      <c r="C8">
        <f t="shared" si="0"/>
        <v>4200</v>
      </c>
      <c r="E8">
        <f>B$20*(((B$18^A8)*EXP(-B$18))/FACT(A8))</f>
        <v>590.10743989752643</v>
      </c>
      <c r="G8">
        <f t="shared" si="1"/>
        <v>0.16583886045911558</v>
      </c>
    </row>
    <row r="9" spans="1:7" x14ac:dyDescent="0.25">
      <c r="A9">
        <v>8</v>
      </c>
      <c r="B9">
        <v>420</v>
      </c>
      <c r="C9">
        <f t="shared" si="0"/>
        <v>3360</v>
      </c>
      <c r="E9">
        <f>B$20*(((B$18^A9)*EXP(-B$18))/FACT(A9))</f>
        <v>422.76329518904464</v>
      </c>
      <c r="G9">
        <f t="shared" si="1"/>
        <v>1.8061644396973487E-2</v>
      </c>
    </row>
    <row r="10" spans="1:7" x14ac:dyDescent="0.25">
      <c r="A10">
        <v>9</v>
      </c>
      <c r="B10">
        <v>269</v>
      </c>
      <c r="C10">
        <f t="shared" si="0"/>
        <v>2421</v>
      </c>
      <c r="E10">
        <f>B$20*(((B$18^A10)*EXP(-B$18))/FACT(A10))</f>
        <v>269.2222416539168</v>
      </c>
      <c r="G10">
        <f t="shared" si="1"/>
        <v>1.8345940674235013E-4</v>
      </c>
    </row>
    <row r="11" spans="1:7" x14ac:dyDescent="0.25">
      <c r="A11">
        <v>10</v>
      </c>
      <c r="B11">
        <v>150</v>
      </c>
      <c r="C11">
        <f t="shared" si="0"/>
        <v>1500</v>
      </c>
      <c r="E11">
        <f>B$20*(((B$18^A11)*EXP(-B$18))/FACT(A11))</f>
        <v>154.30041965179191</v>
      </c>
      <c r="G11">
        <f t="shared" si="1"/>
        <v>0.11985456179090376</v>
      </c>
    </row>
    <row r="12" spans="1:7" x14ac:dyDescent="0.25">
      <c r="A12">
        <v>11</v>
      </c>
      <c r="B12">
        <v>80</v>
      </c>
      <c r="C12">
        <f t="shared" si="0"/>
        <v>880</v>
      </c>
      <c r="E12">
        <f>B$20*(((B$18^A12)*EXP(-B$18))/FACT(A12))</f>
        <v>80.395287613599507</v>
      </c>
      <c r="G12">
        <f t="shared" si="1"/>
        <v>1.9435504505709582E-3</v>
      </c>
    </row>
    <row r="13" spans="1:7" x14ac:dyDescent="0.25">
      <c r="A13">
        <v>12</v>
      </c>
      <c r="B13">
        <v>40</v>
      </c>
      <c r="C13">
        <f t="shared" si="0"/>
        <v>480</v>
      </c>
      <c r="E13">
        <f>B$20*(((B$18^A13)*EXP(-B$18))/FACT(A13))</f>
        <v>38.397727160891741</v>
      </c>
      <c r="G13">
        <f t="shared" si="1"/>
        <v>6.6860161805587986E-2</v>
      </c>
    </row>
    <row r="14" spans="1:7" x14ac:dyDescent="0.25">
      <c r="A14">
        <v>13</v>
      </c>
      <c r="B14">
        <v>16</v>
      </c>
      <c r="C14">
        <f t="shared" si="0"/>
        <v>208</v>
      </c>
      <c r="E14">
        <f>B$20*(((B$18^A14)*EXP(-B$18))/FACT(A14))</f>
        <v>16.92849451814287</v>
      </c>
      <c r="G14">
        <f t="shared" si="1"/>
        <v>5.0926092057236055E-2</v>
      </c>
    </row>
    <row r="15" spans="1:7" x14ac:dyDescent="0.25">
      <c r="A15">
        <v>14</v>
      </c>
      <c r="B15">
        <v>6</v>
      </c>
      <c r="C15">
        <f t="shared" si="0"/>
        <v>84</v>
      </c>
      <c r="E15">
        <f>B$20*(((B$18^A15)*EXP(-B$18))/FACT(A15))</f>
        <v>6.9302112426195706</v>
      </c>
      <c r="G15">
        <f t="shared" si="1"/>
        <v>0.12485809243078295</v>
      </c>
    </row>
    <row r="17" spans="2:7" x14ac:dyDescent="0.25">
      <c r="B17" s="2" t="s">
        <v>0</v>
      </c>
      <c r="G17" s="2" t="s">
        <v>4</v>
      </c>
    </row>
    <row r="18" spans="2:7" x14ac:dyDescent="0.25">
      <c r="B18">
        <f>SUM(C2:C15)/B20</f>
        <v>5.7313399778516061</v>
      </c>
      <c r="G18">
        <f>SUM(G2:G15)</f>
        <v>0.80115700464351902</v>
      </c>
    </row>
    <row r="19" spans="2:7" x14ac:dyDescent="0.25">
      <c r="B19" s="2" t="s">
        <v>1</v>
      </c>
    </row>
    <row r="20" spans="2:7" x14ac:dyDescent="0.25">
      <c r="B20">
        <f>SUM(B2:B15)</f>
        <v>4515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selin</cp:lastModifiedBy>
  <dcterms:created xsi:type="dcterms:W3CDTF">2022-03-20T14:33:00Z</dcterms:created>
  <dcterms:modified xsi:type="dcterms:W3CDTF">2022-03-20T15:02:14Z</dcterms:modified>
</cp:coreProperties>
</file>