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6\C46 - Selin und Janek\Excel-Tabellen\"/>
    </mc:Choice>
  </mc:AlternateContent>
  <xr:revisionPtr revIDLastSave="0" documentId="13_ncr:1_{00E7B322-9A3B-4FA8-9E5B-3C403E9EF2E4}" xr6:coauthVersionLast="47" xr6:coauthVersionMax="47" xr10:uidLastSave="{00000000-0000-0000-0000-000000000000}"/>
  <bookViews>
    <workbookView xWindow="-21670" yWindow="-13610" windowWidth="21740" windowHeight="19270" xr2:uid="{0C16CD6E-63A3-45BA-AC94-E76CA50079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3" i="1" l="1"/>
  <c r="G17" i="1" l="1"/>
  <c r="E16" i="1"/>
  <c r="G16" i="1" s="1"/>
  <c r="E4" i="1" l="1"/>
  <c r="G4" i="1" s="1"/>
  <c r="E14" i="1" l="1"/>
  <c r="G14" i="1" s="1"/>
  <c r="E5" i="1"/>
  <c r="G5" i="1" s="1"/>
  <c r="E15" i="1"/>
  <c r="G15" i="1" s="1"/>
  <c r="E8" i="1"/>
  <c r="G8" i="1" s="1"/>
  <c r="E10" i="1"/>
  <c r="G10" i="1" s="1"/>
  <c r="E11" i="1"/>
  <c r="G11" i="1" s="1"/>
  <c r="E13" i="1"/>
  <c r="G13" i="1" s="1"/>
  <c r="E7" i="1"/>
  <c r="G7" i="1" s="1"/>
  <c r="E9" i="1"/>
  <c r="G9" i="1" s="1"/>
  <c r="E6" i="1"/>
  <c r="G6" i="1" s="1"/>
  <c r="E12" i="1"/>
  <c r="G12" i="1" s="1"/>
  <c r="G3" i="1" l="1"/>
  <c r="G24" i="1"/>
</calcChain>
</file>

<file path=xl/sharedStrings.xml><?xml version="1.0" encoding="utf-8"?>
<sst xmlns="http://schemas.openxmlformats.org/spreadsheetml/2006/main" count="9" uniqueCount="9">
  <si>
    <t>Mittelwert:</t>
  </si>
  <si>
    <t>Gesamtanzahl:</t>
  </si>
  <si>
    <t>Klassen:</t>
  </si>
  <si>
    <t>Theo.:</t>
  </si>
  <si>
    <t>x^2-Gesamt:</t>
  </si>
  <si>
    <t>Exp:</t>
  </si>
  <si>
    <t>Qk:</t>
  </si>
  <si>
    <t>&gt;15</t>
  </si>
  <si>
    <t>&lt;3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</si>
</sst>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73A0-5DED-448F-A985-BA27EA087C38}">
  <dimension ref="A1:G26"/>
  <sheetViews>
    <sheetView tabSelected="1" workbookViewId="0">
      <selection activeCell="J6" sqref="J6"/>
    </sheetView>
  </sheetViews>
  <sheetFormatPr baseColWidth="10" defaultColWidth="11.42578125" defaultRowHeight="15" x14ac:dyDescent="0.25"/>
  <cols>
    <col min="2" max="2" width="14" bestFit="1" customWidth="1"/>
    <col min="5" max="5" width="12" bestFit="1" customWidth="1"/>
  </cols>
  <sheetData>
    <row r="1" spans="1:7" x14ac:dyDescent="0.25">
      <c r="A1" s="1" t="s">
        <v>2</v>
      </c>
      <c r="B1" s="1" t="s">
        <v>5</v>
      </c>
      <c r="C1" s="1"/>
      <c r="D1" s="1"/>
      <c r="E1" s="1" t="s">
        <v>3</v>
      </c>
      <c r="F1" s="1"/>
      <c r="G1" s="1" t="s">
        <v>6</v>
      </c>
    </row>
    <row r="3" spans="1:7" x14ac:dyDescent="0.25">
      <c r="A3" t="s">
        <v>8</v>
      </c>
      <c r="B3">
        <v>17</v>
      </c>
      <c r="E3">
        <f>B$26*(((B$24^2)*EXP(-B$24))/FACT(2))+B$26*(((B$24^1)*EXP(-B$24))/FACT(1))+B$26*(((B$24^0)*EXP(-B$24))/FACT(0))</f>
        <v>17.417769322598168</v>
      </c>
      <c r="G3">
        <f t="shared" ref="G3:G19" si="0">(E3-B3)^2/E3</f>
        <v>1.0020296151108868E-2</v>
      </c>
    </row>
    <row r="4" spans="1:7" x14ac:dyDescent="0.25">
      <c r="A4">
        <v>3</v>
      </c>
      <c r="B4">
        <v>33</v>
      </c>
      <c r="E4">
        <f t="shared" ref="E3:E18" si="1">B$26*(((B$24^A4)*EXP(-B$24))/FACT(A4))</f>
        <v>34.67672303680822</v>
      </c>
      <c r="G4">
        <f t="shared" si="0"/>
        <v>8.1074562298726074E-2</v>
      </c>
    </row>
    <row r="5" spans="1:7" x14ac:dyDescent="0.25">
      <c r="A5">
        <v>4</v>
      </c>
      <c r="B5">
        <v>79</v>
      </c>
      <c r="E5">
        <f t="shared" si="1"/>
        <v>66.928797843873696</v>
      </c>
      <c r="G5">
        <f t="shared" si="0"/>
        <v>2.1771483455295053</v>
      </c>
    </row>
    <row r="6" spans="1:7" x14ac:dyDescent="0.25">
      <c r="A6">
        <v>5</v>
      </c>
      <c r="B6">
        <v>110</v>
      </c>
      <c r="E6">
        <f t="shared" si="1"/>
        <v>103.34226740101835</v>
      </c>
      <c r="G6">
        <f t="shared" si="0"/>
        <v>0.42891843264420387</v>
      </c>
    </row>
    <row r="7" spans="1:7" x14ac:dyDescent="0.25">
      <c r="A7">
        <v>6</v>
      </c>
      <c r="B7">
        <v>121</v>
      </c>
      <c r="E7">
        <f t="shared" si="1"/>
        <v>132.97245948468228</v>
      </c>
      <c r="G7">
        <f t="shared" si="0"/>
        <v>1.077965968801762</v>
      </c>
    </row>
    <row r="8" spans="1:7" x14ac:dyDescent="0.25">
      <c r="A8">
        <v>7</v>
      </c>
      <c r="B8">
        <v>140</v>
      </c>
      <c r="E8">
        <f t="shared" si="1"/>
        <v>146.65559208045701</v>
      </c>
      <c r="G8">
        <f t="shared" si="0"/>
        <v>0.30204716583286018</v>
      </c>
    </row>
    <row r="9" spans="1:7" x14ac:dyDescent="0.25">
      <c r="A9">
        <v>8</v>
      </c>
      <c r="B9">
        <v>146</v>
      </c>
      <c r="E9">
        <f t="shared" si="1"/>
        <v>141.52840313958865</v>
      </c>
      <c r="G9">
        <f t="shared" si="0"/>
        <v>0.14128032280785038</v>
      </c>
    </row>
    <row r="10" spans="1:7" x14ac:dyDescent="0.25">
      <c r="A10">
        <v>9</v>
      </c>
      <c r="B10">
        <v>108</v>
      </c>
      <c r="E10">
        <f t="shared" si="1"/>
        <v>121.40485737800692</v>
      </c>
      <c r="G10">
        <f t="shared" si="0"/>
        <v>1.4800907081108139</v>
      </c>
    </row>
    <row r="11" spans="1:7" x14ac:dyDescent="0.25">
      <c r="A11">
        <v>10</v>
      </c>
      <c r="B11">
        <v>104</v>
      </c>
      <c r="E11">
        <f t="shared" si="1"/>
        <v>93.728362372557598</v>
      </c>
      <c r="G11">
        <f t="shared" si="0"/>
        <v>1.1256628930538264</v>
      </c>
    </row>
    <row r="12" spans="1:7" x14ac:dyDescent="0.25">
      <c r="A12">
        <v>11</v>
      </c>
      <c r="B12">
        <v>64</v>
      </c>
      <c r="E12">
        <f t="shared" si="1"/>
        <v>65.782944639434575</v>
      </c>
      <c r="G12">
        <f t="shared" si="0"/>
        <v>4.8323947866919487E-2</v>
      </c>
    </row>
    <row r="13" spans="1:7" x14ac:dyDescent="0.25">
      <c r="A13">
        <v>12</v>
      </c>
      <c r="B13">
        <v>36</v>
      </c>
      <c r="E13">
        <f t="shared" si="1"/>
        <v>42.322082536211674</v>
      </c>
      <c r="G13">
        <f t="shared" si="0"/>
        <v>0.94439416019933664</v>
      </c>
    </row>
    <row r="14" spans="1:7" x14ac:dyDescent="0.25">
      <c r="A14">
        <v>13</v>
      </c>
      <c r="B14">
        <v>27</v>
      </c>
      <c r="E14">
        <f t="shared" si="1"/>
        <v>25.133828275625618</v>
      </c>
      <c r="G14">
        <f t="shared" si="0"/>
        <v>0.13856213493078656</v>
      </c>
    </row>
    <row r="15" spans="1:7" x14ac:dyDescent="0.25">
      <c r="A15">
        <v>14</v>
      </c>
      <c r="B15">
        <v>18</v>
      </c>
      <c r="E15">
        <f t="shared" si="1"/>
        <v>13.860074790280228</v>
      </c>
      <c r="G15">
        <f t="shared" si="0"/>
        <v>1.2365720244231651</v>
      </c>
    </row>
    <row r="16" spans="1:7" x14ac:dyDescent="0.25">
      <c r="A16">
        <v>15</v>
      </c>
      <c r="B16">
        <v>8</v>
      </c>
      <c r="E16">
        <f t="shared" si="1"/>
        <v>7.1336086573499804</v>
      </c>
      <c r="G16">
        <f t="shared" si="0"/>
        <v>0.10522499826865356</v>
      </c>
    </row>
    <row r="17" spans="1:7" x14ac:dyDescent="0.25">
      <c r="A17" t="s">
        <v>7</v>
      </c>
      <c r="B17">
        <v>8</v>
      </c>
      <c r="E17">
        <f>B26-SUM(E3:E16)</f>
        <v>6.1122290415067937</v>
      </c>
      <c r="G17">
        <f t="shared" si="0"/>
        <v>0.58304084606944584</v>
      </c>
    </row>
    <row r="23" spans="1:7" x14ac:dyDescent="0.25">
      <c r="B23" s="2" t="s">
        <v>0</v>
      </c>
      <c r="G23" s="2" t="s">
        <v>4</v>
      </c>
    </row>
    <row r="24" spans="1:7" x14ac:dyDescent="0.25">
      <c r="B24">
        <v>7.7203140299999999</v>
      </c>
      <c r="G24">
        <f>SUM(G2:G15)</f>
        <v>9.1920609626508654</v>
      </c>
    </row>
    <row r="25" spans="1:7" x14ac:dyDescent="0.25">
      <c r="B25" s="2" t="s">
        <v>1</v>
      </c>
    </row>
    <row r="26" spans="1:7" x14ac:dyDescent="0.25">
      <c r="B26">
        <v>1019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2022-03-20T14:33:00Z</dcterms:created>
  <dcterms:modified xsi:type="dcterms:W3CDTF">2022-03-24T13:21:36Z</dcterms:modified>
</cp:coreProperties>
</file>