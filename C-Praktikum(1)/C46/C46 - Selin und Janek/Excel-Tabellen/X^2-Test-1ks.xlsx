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46\C46 - Selin und Janek\Excel-Tabellen\"/>
    </mc:Choice>
  </mc:AlternateContent>
  <xr:revisionPtr revIDLastSave="0" documentId="13_ncr:1_{7E1C766C-32AA-4112-ADE1-1CABAF2DF167}" xr6:coauthVersionLast="47" xr6:coauthVersionMax="47" xr10:uidLastSave="{00000000-0000-0000-0000-000000000000}"/>
  <bookViews>
    <workbookView xWindow="-120" yWindow="-120" windowWidth="29040" windowHeight="15840" xr2:uid="{0C16CD6E-63A3-45BA-AC94-E76CA50079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D24" i="1"/>
  <c r="D25" i="1"/>
  <c r="D26" i="1"/>
  <c r="D27" i="1"/>
  <c r="D28" i="1"/>
  <c r="D29" i="1"/>
  <c r="C19" i="1" l="1"/>
  <c r="E6" i="1"/>
  <c r="C2" i="1"/>
  <c r="E2" i="1"/>
  <c r="C4" i="1"/>
  <c r="C5" i="1"/>
  <c r="C7" i="1"/>
  <c r="C8" i="1"/>
  <c r="C9" i="1"/>
  <c r="C10" i="1"/>
  <c r="C11" i="1"/>
  <c r="C12" i="1"/>
  <c r="C13" i="1"/>
  <c r="C14" i="1"/>
  <c r="C15" i="1"/>
  <c r="C16" i="1"/>
  <c r="C3" i="1"/>
  <c r="E24" i="1" l="1"/>
  <c r="G2" i="1"/>
  <c r="E5" i="1"/>
  <c r="G5" i="1" s="1"/>
  <c r="F24" i="1" l="1"/>
  <c r="E4" i="1"/>
  <c r="G4" i="1" s="1"/>
  <c r="E3" i="1"/>
  <c r="G6" i="1" s="1"/>
  <c r="G3" i="1" l="1"/>
  <c r="G19" i="1" s="1"/>
</calcChain>
</file>

<file path=xl/sharedStrings.xml><?xml version="1.0" encoding="utf-8"?>
<sst xmlns="http://schemas.openxmlformats.org/spreadsheetml/2006/main" count="9" uniqueCount="9">
  <si>
    <t>Mittelwert:</t>
  </si>
  <si>
    <t>Gesamtanzahl:</t>
  </si>
  <si>
    <t>Klassen:</t>
  </si>
  <si>
    <t>Theo.:</t>
  </si>
  <si>
    <t>x^2-Gesamt:</t>
  </si>
  <si>
    <t>Exp:</t>
  </si>
  <si>
    <t>Qk:</t>
  </si>
  <si>
    <t>&gt;3</t>
  </si>
  <si>
    <t xml:space="preserve">Fehler Mittelwert: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</si>
</sst>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73A0-5DED-448F-A985-BA27EA087C38}">
  <dimension ref="A1:G29"/>
  <sheetViews>
    <sheetView tabSelected="1" workbookViewId="0">
      <selection activeCell="B25" sqref="B25"/>
    </sheetView>
  </sheetViews>
  <sheetFormatPr defaultColWidth="11.42578125" defaultRowHeight="15" x14ac:dyDescent="0.25"/>
  <cols>
    <col min="2" max="2" width="14" bestFit="1" customWidth="1"/>
    <col min="5" max="5" width="12" bestFit="1" customWidth="1"/>
  </cols>
  <sheetData>
    <row r="1" spans="1:7" x14ac:dyDescent="0.25">
      <c r="A1" s="1" t="s">
        <v>2</v>
      </c>
      <c r="B1" s="1" t="s">
        <v>5</v>
      </c>
      <c r="C1" s="1"/>
      <c r="D1" s="1"/>
      <c r="E1" s="1" t="s">
        <v>3</v>
      </c>
      <c r="F1" s="1"/>
      <c r="G1" s="1" t="s">
        <v>6</v>
      </c>
    </row>
    <row r="2" spans="1:7" s="4" customFormat="1" x14ac:dyDescent="0.25">
      <c r="A2" s="3">
        <v>0</v>
      </c>
      <c r="B2" s="3">
        <v>458</v>
      </c>
      <c r="C2" s="3">
        <f>A2*B2</f>
        <v>0</v>
      </c>
      <c r="D2" s="3"/>
      <c r="E2">
        <f t="shared" ref="E2:E5" si="0">B$21*(((B$19^A2)*EXP(-B$19))/FACT(A2))</f>
        <v>460.75333754766564</v>
      </c>
      <c r="F2" s="3"/>
      <c r="G2">
        <f>(E2-B2)^2/E2</f>
        <v>1.6453201818860778E-2</v>
      </c>
    </row>
    <row r="3" spans="1:7" x14ac:dyDescent="0.25">
      <c r="A3">
        <v>1</v>
      </c>
      <c r="B3">
        <v>365</v>
      </c>
      <c r="C3">
        <f>A3*B3</f>
        <v>365</v>
      </c>
      <c r="E3">
        <f t="shared" si="0"/>
        <v>358.8736145090113</v>
      </c>
      <c r="G3">
        <f>(E3-B3)^2/E3</f>
        <v>0.10458444886104705</v>
      </c>
    </row>
    <row r="4" spans="1:7" x14ac:dyDescent="0.25">
      <c r="A4">
        <v>2</v>
      </c>
      <c r="B4">
        <v>138</v>
      </c>
      <c r="C4">
        <f t="shared" ref="C4:C16" si="1">A4*B4</f>
        <v>276</v>
      </c>
      <c r="E4">
        <f t="shared" si="0"/>
        <v>139.76054072254971</v>
      </c>
      <c r="G4">
        <f t="shared" ref="G4:G6" si="2">(E4-B4)^2/E4</f>
        <v>2.2177244161561482E-2</v>
      </c>
    </row>
    <row r="5" spans="1:7" x14ac:dyDescent="0.25">
      <c r="A5">
        <v>3</v>
      </c>
      <c r="B5">
        <v>32</v>
      </c>
      <c r="C5">
        <f t="shared" si="1"/>
        <v>96</v>
      </c>
      <c r="E5">
        <f t="shared" si="0"/>
        <v>36.285771096663709</v>
      </c>
      <c r="G5">
        <f t="shared" si="2"/>
        <v>0.50619935412332673</v>
      </c>
    </row>
    <row r="6" spans="1:7" x14ac:dyDescent="0.25">
      <c r="A6" t="s">
        <v>7</v>
      </c>
      <c r="B6">
        <v>11</v>
      </c>
      <c r="C6">
        <v>45</v>
      </c>
      <c r="E6">
        <f>1004-E2-E3-E4-E5</f>
        <v>8.3267361241096438</v>
      </c>
      <c r="G6">
        <f t="shared" si="2"/>
        <v>0.85824020884347041</v>
      </c>
    </row>
    <row r="7" spans="1:7" x14ac:dyDescent="0.25">
      <c r="A7">
        <v>5</v>
      </c>
      <c r="C7">
        <f t="shared" si="1"/>
        <v>0</v>
      </c>
    </row>
    <row r="8" spans="1:7" x14ac:dyDescent="0.25">
      <c r="A8">
        <v>6</v>
      </c>
      <c r="C8">
        <f t="shared" si="1"/>
        <v>0</v>
      </c>
    </row>
    <row r="9" spans="1:7" x14ac:dyDescent="0.25">
      <c r="A9">
        <v>7</v>
      </c>
      <c r="C9">
        <f t="shared" si="1"/>
        <v>0</v>
      </c>
    </row>
    <row r="10" spans="1:7" x14ac:dyDescent="0.25">
      <c r="A10">
        <v>8</v>
      </c>
      <c r="C10">
        <f t="shared" si="1"/>
        <v>0</v>
      </c>
    </row>
    <row r="11" spans="1:7" x14ac:dyDescent="0.25">
      <c r="A11">
        <v>9</v>
      </c>
      <c r="C11">
        <f t="shared" si="1"/>
        <v>0</v>
      </c>
    </row>
    <row r="12" spans="1:7" x14ac:dyDescent="0.25">
      <c r="A12">
        <v>10</v>
      </c>
      <c r="C12">
        <f t="shared" si="1"/>
        <v>0</v>
      </c>
    </row>
    <row r="13" spans="1:7" x14ac:dyDescent="0.25">
      <c r="A13">
        <v>11</v>
      </c>
      <c r="C13">
        <f t="shared" si="1"/>
        <v>0</v>
      </c>
    </row>
    <row r="14" spans="1:7" x14ac:dyDescent="0.25">
      <c r="A14">
        <v>12</v>
      </c>
      <c r="C14">
        <f t="shared" si="1"/>
        <v>0</v>
      </c>
    </row>
    <row r="15" spans="1:7" x14ac:dyDescent="0.25">
      <c r="A15">
        <v>13</v>
      </c>
      <c r="C15">
        <f t="shared" si="1"/>
        <v>0</v>
      </c>
    </row>
    <row r="16" spans="1:7" x14ac:dyDescent="0.25">
      <c r="A16">
        <v>14</v>
      </c>
      <c r="C16">
        <f t="shared" si="1"/>
        <v>0</v>
      </c>
    </row>
    <row r="18" spans="2:7" x14ac:dyDescent="0.25">
      <c r="B18" s="2" t="s">
        <v>0</v>
      </c>
      <c r="G18" s="2" t="s">
        <v>4</v>
      </c>
    </row>
    <row r="19" spans="2:7" x14ac:dyDescent="0.25">
      <c r="B19">
        <v>0.77888446</v>
      </c>
      <c r="C19">
        <f>SUM(C2:C6)/1004</f>
        <v>0.7788844621513944</v>
      </c>
      <c r="G19">
        <f>SUM(G2:G16)</f>
        <v>1.5076544578082665</v>
      </c>
    </row>
    <row r="20" spans="2:7" x14ac:dyDescent="0.25">
      <c r="B20" s="2" t="s">
        <v>1</v>
      </c>
    </row>
    <row r="21" spans="2:7" x14ac:dyDescent="0.25">
      <c r="B21">
        <v>1004</v>
      </c>
    </row>
    <row r="24" spans="2:7" x14ac:dyDescent="0.25">
      <c r="B24" t="s">
        <v>8</v>
      </c>
      <c r="D24">
        <f t="shared" ref="D24:D26" si="3">C2*(A2-$C$19)^2</f>
        <v>0</v>
      </c>
      <c r="E24">
        <f>SUM(D24:D27)</f>
        <v>902.99760718083849</v>
      </c>
      <c r="F24">
        <f>SQRT(1/1003*E24)</f>
        <v>0.94883966876904402</v>
      </c>
    </row>
    <row r="25" spans="2:7" x14ac:dyDescent="0.25">
      <c r="B25">
        <f>F24/SQRT(1004)</f>
        <v>2.9945114418209701E-2</v>
      </c>
      <c r="D25">
        <f t="shared" si="3"/>
        <v>17.845609593498519</v>
      </c>
    </row>
    <row r="26" spans="2:7" x14ac:dyDescent="0.25">
      <c r="D26">
        <f t="shared" si="3"/>
        <v>411.5499912699799</v>
      </c>
    </row>
    <row r="27" spans="2:7" x14ac:dyDescent="0.25">
      <c r="D27">
        <f>C5*(A5-$C$19)^2</f>
        <v>473.60200631736012</v>
      </c>
    </row>
    <row r="28" spans="2:7" x14ac:dyDescent="0.25">
      <c r="D28">
        <f>10*(4-$C$19)^2</f>
        <v>103.75585308169713</v>
      </c>
    </row>
    <row r="29" spans="2:7" x14ac:dyDescent="0.25">
      <c r="D29">
        <f>1*(5-$C$19)^2</f>
        <v>17.817816383866926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selin</cp:lastModifiedBy>
  <dcterms:created xsi:type="dcterms:W3CDTF">2022-03-20T14:33:00Z</dcterms:created>
  <dcterms:modified xsi:type="dcterms:W3CDTF">2022-03-24T17:48:30Z</dcterms:modified>
</cp:coreProperties>
</file>