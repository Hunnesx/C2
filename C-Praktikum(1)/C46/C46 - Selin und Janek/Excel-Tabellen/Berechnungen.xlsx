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aube\Nextcloud\Physik\Experimentalphysik\Physikalisches Praktikum\C\C46\C46 - Selin und Janek\Excel-Tabellen\"/>
    </mc:Choice>
  </mc:AlternateContent>
  <xr:revisionPtr revIDLastSave="0" documentId="13_ncr:1_{161B88CD-4FC0-487A-B085-6A60043C2504}" xr6:coauthVersionLast="47" xr6:coauthVersionMax="47" xr10:uidLastSave="{00000000-0000-0000-0000-000000000000}"/>
  <bookViews>
    <workbookView xWindow="-110" yWindow="-110" windowWidth="19420" windowHeight="10300" xr2:uid="{D7CF3B02-8D2B-4DE6-817A-4860DDEA4A8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35" i="1" l="1"/>
  <c r="A39" i="1"/>
  <c r="B50" i="1"/>
  <c r="E50" i="1" s="1"/>
  <c r="E46" i="1"/>
  <c r="D42" i="1"/>
  <c r="E42" i="1" s="1"/>
  <c r="C42" i="1"/>
  <c r="B42" i="1"/>
  <c r="A27" i="1"/>
  <c r="A29" i="1" s="1"/>
  <c r="A33" i="1"/>
  <c r="A37" i="1" s="1"/>
  <c r="A42" i="1" l="1"/>
  <c r="F50" i="1" s="1"/>
  <c r="H50" i="1" s="1"/>
  <c r="A50" i="1" s="1"/>
  <c r="A35" i="1"/>
</calcChain>
</file>

<file path=xl/sharedStrings.xml><?xml version="1.0" encoding="utf-8"?>
<sst xmlns="http://schemas.openxmlformats.org/spreadsheetml/2006/main" count="23" uniqueCount="23">
  <si>
    <t>Dosisleistung direkt über dem Präparat:</t>
  </si>
  <si>
    <t>Ortsäquivalenzdosis in 4h:</t>
  </si>
  <si>
    <t>Dosisleistung in 1m Entfernung:</t>
  </si>
  <si>
    <t>Anteil in 4 Stunden:</t>
  </si>
  <si>
    <t>Stunden bis zum Grenzwert von 5mSv:</t>
  </si>
  <si>
    <t>Dosisleistung ohne natürliche Strahlenbelastung:</t>
  </si>
  <si>
    <t>A_0</t>
  </si>
  <si>
    <t>t</t>
  </si>
  <si>
    <t>t_1/2</t>
  </si>
  <si>
    <t>lambda</t>
  </si>
  <si>
    <t>Aktivität in Bq:</t>
  </si>
  <si>
    <t>Nulleffekt:</t>
  </si>
  <si>
    <t>ohne</t>
  </si>
  <si>
    <t>Bleiabschirmung</t>
  </si>
  <si>
    <t>N in imp pro 5min</t>
  </si>
  <si>
    <t>Reduktion</t>
  </si>
  <si>
    <t>Ansprechvermögen:</t>
  </si>
  <si>
    <t>Fläche:</t>
  </si>
  <si>
    <t xml:space="preserve">Abstand: </t>
  </si>
  <si>
    <t>N:</t>
  </si>
  <si>
    <t>Flächenanteil</t>
  </si>
  <si>
    <t>Erwartete Anzahl:</t>
  </si>
  <si>
    <t>Jahre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</si>
</sst>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6BFE4A-F7B4-4E0C-BD53-FD006731A8CA}">
  <dimension ref="A26:H50"/>
  <sheetViews>
    <sheetView tabSelected="1" topLeftCell="A16" workbookViewId="0">
      <selection activeCell="A26" sqref="A26:I50"/>
    </sheetView>
  </sheetViews>
  <sheetFormatPr baseColWidth="10" defaultColWidth="8.90625" defaultRowHeight="14.5" x14ac:dyDescent="0.35"/>
  <cols>
    <col min="1" max="1" width="40.90625" bestFit="1" customWidth="1"/>
    <col min="3" max="3" width="14.36328125" bestFit="1" customWidth="1"/>
    <col min="5" max="5" width="12" bestFit="1" customWidth="1"/>
    <col min="6" max="6" width="11" bestFit="1" customWidth="1"/>
  </cols>
  <sheetData>
    <row r="26" spans="1:1" x14ac:dyDescent="0.35">
      <c r="A26" t="s">
        <v>0</v>
      </c>
    </row>
    <row r="27" spans="1:1" x14ac:dyDescent="0.35">
      <c r="A27">
        <f xml:space="preserve"> 5.6 * 10^(-6)</f>
        <v>5.5999999999999997E-6</v>
      </c>
    </row>
    <row r="28" spans="1:1" x14ac:dyDescent="0.35">
      <c r="A28" t="s">
        <v>1</v>
      </c>
    </row>
    <row r="29" spans="1:1" x14ac:dyDescent="0.35">
      <c r="A29">
        <f>A27*4</f>
        <v>2.2399999999999999E-5</v>
      </c>
    </row>
    <row r="32" spans="1:1" x14ac:dyDescent="0.35">
      <c r="A32" t="s">
        <v>2</v>
      </c>
    </row>
    <row r="33" spans="1:5" x14ac:dyDescent="0.35">
      <c r="A33">
        <f>0.3 * 10^(-6)</f>
        <v>2.9999999999999999E-7</v>
      </c>
    </row>
    <row r="34" spans="1:5" x14ac:dyDescent="0.35">
      <c r="A34" t="s">
        <v>4</v>
      </c>
      <c r="C34" t="s">
        <v>22</v>
      </c>
    </row>
    <row r="35" spans="1:5" x14ac:dyDescent="0.35">
      <c r="A35">
        <f>(5*10^(-3))/A33</f>
        <v>16666.666666666668</v>
      </c>
      <c r="C35">
        <f xml:space="preserve"> 16667/(24*12)</f>
        <v>57.871527777777779</v>
      </c>
    </row>
    <row r="36" spans="1:5" x14ac:dyDescent="0.35">
      <c r="A36" t="s">
        <v>3</v>
      </c>
    </row>
    <row r="37" spans="1:5" x14ac:dyDescent="0.35">
      <c r="A37">
        <f>(A33*4)/(5*10^(-3))*100</f>
        <v>2.3999999999999997E-2</v>
      </c>
    </row>
    <row r="38" spans="1:5" x14ac:dyDescent="0.35">
      <c r="A38" t="s">
        <v>5</v>
      </c>
    </row>
    <row r="39" spans="1:5" x14ac:dyDescent="0.35">
      <c r="A39">
        <f>0.3-0.105</f>
        <v>0.19500000000000001</v>
      </c>
    </row>
    <row r="41" spans="1:5" x14ac:dyDescent="0.35">
      <c r="A41" t="s">
        <v>10</v>
      </c>
      <c r="B41" t="s">
        <v>6</v>
      </c>
      <c r="C41" t="s">
        <v>7</v>
      </c>
      <c r="D41" t="s">
        <v>8</v>
      </c>
      <c r="E41" t="s">
        <v>9</v>
      </c>
    </row>
    <row r="42" spans="1:5" x14ac:dyDescent="0.35">
      <c r="A42">
        <f>B42*EXP(-1*E42*C42)</f>
        <v>1360718.4048511998</v>
      </c>
      <c r="B42">
        <f>3.7*10^6</f>
        <v>3700000</v>
      </c>
      <c r="C42">
        <f>(2022-1978)*12-5</f>
        <v>523</v>
      </c>
      <c r="D42">
        <f>30.2*12</f>
        <v>362.4</v>
      </c>
      <c r="E42">
        <f>LN(2)/D42</f>
        <v>1.9126577830020568E-3</v>
      </c>
    </row>
    <row r="45" spans="1:5" x14ac:dyDescent="0.35">
      <c r="A45" t="s">
        <v>11</v>
      </c>
      <c r="B45" t="s">
        <v>12</v>
      </c>
      <c r="C45" t="s">
        <v>13</v>
      </c>
      <c r="E45" t="s">
        <v>15</v>
      </c>
    </row>
    <row r="46" spans="1:5" x14ac:dyDescent="0.35">
      <c r="A46" t="s">
        <v>14</v>
      </c>
      <c r="B46">
        <v>136</v>
      </c>
      <c r="C46">
        <v>86</v>
      </c>
      <c r="E46">
        <f>100-86/136*100</f>
        <v>36.764705882352942</v>
      </c>
    </row>
    <row r="49" spans="1:8" x14ac:dyDescent="0.35">
      <c r="A49" t="s">
        <v>16</v>
      </c>
      <c r="B49" t="s">
        <v>17</v>
      </c>
      <c r="C49" t="s">
        <v>18</v>
      </c>
      <c r="E49" t="s">
        <v>20</v>
      </c>
      <c r="F49" t="s">
        <v>19</v>
      </c>
      <c r="H49" t="s">
        <v>21</v>
      </c>
    </row>
    <row r="50" spans="1:8" x14ac:dyDescent="0.35">
      <c r="A50">
        <f>81/H50*100</f>
        <v>1.0228914113186121</v>
      </c>
      <c r="B50">
        <f>11*10^-4</f>
        <v>1.1000000000000001E-3</v>
      </c>
      <c r="C50">
        <v>0.95</v>
      </c>
      <c r="E50">
        <f>B50/(4*3.14159*(C50)^2)</f>
        <v>9.6992014003812794E-5</v>
      </c>
      <c r="F50">
        <f>A42*60</f>
        <v>81643104.291071996</v>
      </c>
      <c r="H50">
        <f>F50*E50</f>
        <v>7918.7291147144033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selin</dc:creator>
  <cp:lastModifiedBy>Frederik Taube</cp:lastModifiedBy>
  <dcterms:created xsi:type="dcterms:W3CDTF">2022-03-23T10:42:13Z</dcterms:created>
  <dcterms:modified xsi:type="dcterms:W3CDTF">2022-03-28T20:08:16Z</dcterms:modified>
</cp:coreProperties>
</file>