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ke\OneDrive\Dokumente\Uni\Next Cloud\Physik\Experimentalphysik\Physikalisches Praktikum\C\C45\Helke und Maria\"/>
    </mc:Choice>
  </mc:AlternateContent>
  <xr:revisionPtr revIDLastSave="0" documentId="13_ncr:1_{D37E6C2C-3E75-4AE7-9B94-1CA006DC7EBD}" xr6:coauthVersionLast="47" xr6:coauthVersionMax="47" xr10:uidLastSave="{00000000-0000-0000-0000-000000000000}"/>
  <bookViews>
    <workbookView xWindow="-110" yWindow="-110" windowWidth="19420" windowHeight="10560" xr2:uid="{E29AD14C-BB5B-4CB4-BCD7-1D6561604FB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5" i="1" l="1"/>
  <c r="AW18" i="1"/>
  <c r="AU18" i="1"/>
  <c r="AU16" i="1" a="1"/>
  <c r="AU16" i="1" s="1"/>
  <c r="AU15" i="1"/>
  <c r="AW12" i="1"/>
  <c r="AW11" i="1"/>
  <c r="AV12" i="1"/>
  <c r="AV11" i="1"/>
  <c r="AU12" i="1"/>
  <c r="AU11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4" i="1"/>
  <c r="AG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4" i="1"/>
  <c r="X5" i="1"/>
  <c r="X6" i="1"/>
  <c r="X7" i="1"/>
  <c r="X8" i="1"/>
  <c r="X9" i="1"/>
  <c r="X10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W4" i="1"/>
  <c r="W17" i="1"/>
  <c r="W18" i="1"/>
  <c r="W19" i="1"/>
  <c r="W20" i="1"/>
  <c r="W21" i="1"/>
  <c r="W22" i="1"/>
  <c r="W23" i="1"/>
  <c r="W24" i="1"/>
  <c r="W25" i="1"/>
  <c r="W26" i="1"/>
  <c r="W27" i="1"/>
  <c r="W28" i="1"/>
  <c r="W5" i="1"/>
  <c r="W6" i="1"/>
  <c r="W7" i="1"/>
  <c r="W8" i="1"/>
  <c r="W9" i="1"/>
  <c r="W10" i="1"/>
  <c r="W11" i="1"/>
  <c r="W12" i="1"/>
  <c r="W13" i="1"/>
  <c r="W14" i="1"/>
  <c r="W15" i="1"/>
  <c r="W16" i="1"/>
  <c r="T5" i="1"/>
  <c r="T6" i="1"/>
  <c r="T7" i="1"/>
  <c r="T8" i="1"/>
  <c r="T9" i="1"/>
  <c r="T10" i="1"/>
  <c r="T11" i="1"/>
  <c r="X11" i="1" s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4" i="1"/>
  <c r="AC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4" i="1"/>
  <c r="AF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<sst xmlns="http://schemas.openxmlformats.org/spreadsheetml/2006/main" count="35" uniqueCount="26">
  <si>
    <t>Plank</t>
  </si>
  <si>
    <t>\lambda 366nm</t>
  </si>
  <si>
    <t>Strom I</t>
  </si>
  <si>
    <t xml:space="preserve"> Volt U/</t>
  </si>
  <si>
    <t>10V</t>
  </si>
  <si>
    <t>range änderung</t>
  </si>
  <si>
    <t xml:space="preserve">Boltzmann </t>
  </si>
  <si>
    <t xml:space="preserve">40 Grad </t>
  </si>
  <si>
    <t xml:space="preserve">80 Grad </t>
  </si>
  <si>
    <t xml:space="preserve">120 Grad </t>
  </si>
  <si>
    <t>I</t>
  </si>
  <si>
    <t>U</t>
  </si>
  <si>
    <t>Kollektor Strom I/ 10mA</t>
  </si>
  <si>
    <t>Emitter Sp. U/ 1V</t>
  </si>
  <si>
    <t>dI</t>
  </si>
  <si>
    <t>dU</t>
  </si>
  <si>
    <t>R</t>
  </si>
  <si>
    <t>dR</t>
  </si>
  <si>
    <t>korr. Spannung</t>
  </si>
  <si>
    <t>dU_kor.</t>
  </si>
  <si>
    <t>dU_korr.</t>
  </si>
  <si>
    <t>Boltzmann-Konstanten</t>
  </si>
  <si>
    <t>k_B</t>
  </si>
  <si>
    <t>dk_B</t>
  </si>
  <si>
    <t>Mittelwert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</si>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</sst>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E+00"/>
    <numFmt numFmtId="167" formatCode="0.000000E+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 applyBorder="1"/>
    <xf numFmtId="0" fontId="0" fillId="0" borderId="0" xfId="0" applyFill="1"/>
    <xf numFmtId="0" fontId="0" fillId="4" borderId="0" xfId="0" applyFill="1"/>
    <xf numFmtId="0" fontId="0" fillId="4" borderId="0" xfId="0" applyFill="1" applyBorder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F6BB-206E-4C73-B856-DCC8C7C49CE7}">
  <dimension ref="A1:AW79"/>
  <sheetViews>
    <sheetView tabSelected="1" topLeftCell="AJ3" zoomScale="85" zoomScaleNormal="85" workbookViewId="0">
      <selection activeCell="AW16" sqref="AW16"/>
    </sheetView>
  </sheetViews>
  <sheetFormatPr baseColWidth="10" defaultRowHeight="14.5" x14ac:dyDescent="0.35"/>
  <cols>
    <col min="2" max="2" width="14.7265625" customWidth="1"/>
    <col min="3" max="3" width="11" bestFit="1" customWidth="1"/>
    <col min="5" max="5" width="11" style="1" bestFit="1" customWidth="1"/>
    <col min="6" max="6" width="11" bestFit="1" customWidth="1"/>
    <col min="8" max="8" width="11" style="1" bestFit="1" customWidth="1"/>
    <col min="9" max="9" width="11" bestFit="1" customWidth="1"/>
    <col min="11" max="11" width="11" style="1" bestFit="1" customWidth="1"/>
    <col min="12" max="12" width="11" bestFit="1" customWidth="1"/>
    <col min="14" max="14" width="11" style="1" bestFit="1" customWidth="1"/>
    <col min="15" max="15" width="11" bestFit="1" customWidth="1"/>
    <col min="19" max="19" width="15.26953125" style="1" customWidth="1"/>
    <col min="20" max="20" width="14" style="2" customWidth="1"/>
    <col min="21" max="21" width="11" bestFit="1" customWidth="1"/>
    <col min="22" max="22" width="11" style="1" bestFit="1" customWidth="1"/>
    <col min="23" max="23" width="14.6328125" style="2" customWidth="1"/>
    <col min="24" max="24" width="11.08984375" bestFit="1" customWidth="1"/>
    <col min="25" max="25" width="10.90625" style="1"/>
    <col min="26" max="26" width="10.90625" style="2"/>
    <col min="28" max="28" width="12" bestFit="1" customWidth="1"/>
    <col min="29" max="31" width="11.08984375" bestFit="1" customWidth="1"/>
    <col min="32" max="32" width="14.7265625" bestFit="1" customWidth="1"/>
    <col min="33" max="33" width="15.453125" customWidth="1"/>
    <col min="34" max="34" width="14.7265625" bestFit="1" customWidth="1"/>
    <col min="35" max="36" width="11" bestFit="1" customWidth="1"/>
    <col min="37" max="37" width="11.90625" bestFit="1" customWidth="1"/>
    <col min="38" max="39" width="11" bestFit="1" customWidth="1"/>
    <col min="40" max="40" width="14.7265625" bestFit="1" customWidth="1"/>
    <col min="41" max="41" width="13.26953125" customWidth="1"/>
    <col min="42" max="42" width="14.7265625" bestFit="1" customWidth="1"/>
    <col min="47" max="47" width="15.453125" customWidth="1"/>
    <col min="48" max="48" width="12.453125" bestFit="1" customWidth="1"/>
    <col min="49" max="49" width="27.6328125" customWidth="1"/>
  </cols>
  <sheetData>
    <row r="1" spans="1:49" x14ac:dyDescent="0.35">
      <c r="A1" t="s">
        <v>0</v>
      </c>
      <c r="B1" t="s">
        <v>1</v>
      </c>
      <c r="E1" s="1">
        <v>405</v>
      </c>
      <c r="H1" s="1">
        <v>436</v>
      </c>
      <c r="K1" s="1">
        <v>546</v>
      </c>
      <c r="N1" s="1">
        <v>578</v>
      </c>
      <c r="R1" t="s">
        <v>6</v>
      </c>
      <c r="S1" s="3" t="s">
        <v>7</v>
      </c>
      <c r="T1" s="4"/>
      <c r="U1" s="3"/>
      <c r="V1" s="3"/>
      <c r="W1" s="4"/>
      <c r="Y1" s="4"/>
      <c r="Z1" s="4"/>
      <c r="AB1" s="3" t="s">
        <v>8</v>
      </c>
      <c r="AC1" s="4"/>
      <c r="AD1" s="3"/>
      <c r="AE1" s="3"/>
      <c r="AK1" s="3" t="s">
        <v>9</v>
      </c>
      <c r="AM1" s="3"/>
    </row>
    <row r="2" spans="1:49" x14ac:dyDescent="0.35">
      <c r="S2" s="3"/>
      <c r="T2" s="4"/>
      <c r="U2" s="3"/>
      <c r="V2" s="3"/>
      <c r="W2" s="4"/>
      <c r="Y2" s="4"/>
      <c r="Z2" s="4"/>
      <c r="AB2" s="3"/>
      <c r="AC2" s="4"/>
      <c r="AD2" s="3"/>
      <c r="AE2" s="3"/>
      <c r="AK2" s="3"/>
      <c r="AM2" s="3"/>
      <c r="AU2" s="5">
        <v>40</v>
      </c>
      <c r="AV2" s="5">
        <v>80</v>
      </c>
      <c r="AW2" s="5">
        <v>120</v>
      </c>
    </row>
    <row r="3" spans="1:49" x14ac:dyDescent="0.35">
      <c r="B3" t="s">
        <v>2</v>
      </c>
      <c r="C3" t="s">
        <v>3</v>
      </c>
      <c r="S3" s="6" t="s">
        <v>12</v>
      </c>
      <c r="T3" s="5"/>
      <c r="U3" s="6" t="s">
        <v>13</v>
      </c>
      <c r="V3" s="6" t="s">
        <v>15</v>
      </c>
      <c r="W3" s="6" t="s">
        <v>18</v>
      </c>
      <c r="X3" s="6" t="s">
        <v>19</v>
      </c>
      <c r="Y3" s="4"/>
      <c r="Z3" s="4"/>
      <c r="AB3" s="6" t="s">
        <v>10</v>
      </c>
      <c r="AC3" s="5" t="s">
        <v>14</v>
      </c>
      <c r="AD3" s="6" t="s">
        <v>11</v>
      </c>
      <c r="AE3" s="6"/>
      <c r="AF3" s="6" t="s">
        <v>15</v>
      </c>
      <c r="AG3" s="6" t="s">
        <v>18</v>
      </c>
      <c r="AH3" s="6" t="s">
        <v>20</v>
      </c>
      <c r="AK3" s="6" t="s">
        <v>10</v>
      </c>
      <c r="AL3" s="5" t="s">
        <v>14</v>
      </c>
      <c r="AM3" s="6" t="s">
        <v>11</v>
      </c>
      <c r="AN3" s="6" t="s">
        <v>15</v>
      </c>
      <c r="AO3" s="6" t="s">
        <v>18</v>
      </c>
      <c r="AP3" s="6" t="s">
        <v>20</v>
      </c>
      <c r="AT3" s="5" t="s">
        <v>16</v>
      </c>
      <c r="AU3">
        <v>0.56769999999999998</v>
      </c>
      <c r="AV3">
        <v>0.48530000000000001</v>
      </c>
      <c r="AW3">
        <v>0.66196999999999995</v>
      </c>
    </row>
    <row r="4" spans="1:49" x14ac:dyDescent="0.35">
      <c r="B4" s="1">
        <v>-2.08</v>
      </c>
      <c r="C4">
        <v>-3.0190000000000001</v>
      </c>
      <c r="D4" t="s">
        <v>4</v>
      </c>
      <c r="E4" s="1">
        <v>-0.60524999999999995</v>
      </c>
      <c r="F4">
        <v>-2.82</v>
      </c>
      <c r="H4" s="1">
        <v>-0.25806000000000001</v>
      </c>
      <c r="I4">
        <v>-3.0171999999999999</v>
      </c>
      <c r="K4" s="1">
        <v>-0.25197999999999998</v>
      </c>
      <c r="L4">
        <v>-3.0034999999999998</v>
      </c>
      <c r="N4" s="1">
        <v>-7.4950000000000003E-2</v>
      </c>
      <c r="O4">
        <v>-2.9948000000000001</v>
      </c>
      <c r="S4" s="3">
        <v>3.5000000000000001E-3</v>
      </c>
      <c r="T4" s="4">
        <f>0.0025*S4+0.00007*10</f>
        <v>7.0874999999999985E-4</v>
      </c>
      <c r="U4" s="3">
        <v>0.30053000000000002</v>
      </c>
      <c r="V4" s="3">
        <f>0.00025*U4+0.00006*1</f>
        <v>1.351325E-4</v>
      </c>
      <c r="W4" s="4">
        <f>U4-S4*0.001*AU$3</f>
        <v>0.30052801305000004</v>
      </c>
      <c r="X4">
        <f>SQRT(V4^2+AU$4^2*(0.001*S4)^2+(0.001*T4)^2*AU$3^2)</f>
        <v>1.3513311369426525E-4</v>
      </c>
      <c r="Y4" s="4"/>
      <c r="Z4" s="4"/>
      <c r="AB4" s="3">
        <v>5.0000000000000001E-4</v>
      </c>
      <c r="AC4" s="4">
        <f>0.0025*AB4+0.00007*10</f>
        <v>7.0124999999999983E-4</v>
      </c>
      <c r="AD4" s="3">
        <v>2.0570000000000001E-2</v>
      </c>
      <c r="AE4" s="3"/>
      <c r="AF4">
        <f>0.00025*AD4+0.00006*1</f>
        <v>6.5142500000000002E-5</v>
      </c>
      <c r="AG4">
        <f>AD4-AB4*0.001*AV$3</f>
        <v>2.0569757350000002E-2</v>
      </c>
      <c r="AH4">
        <f>SQRT(AF4^2+AV$4^2*(0.001*AB4)^2+(0.001*AC4)^2*AV$3^2)</f>
        <v>6.5143389779050124E-5</v>
      </c>
      <c r="AK4" s="3">
        <v>8.0000000000000004E-4</v>
      </c>
      <c r="AL4">
        <f>0.0025*AK4+0.00007*10</f>
        <v>7.0199999999999993E-4</v>
      </c>
      <c r="AM4" s="3">
        <v>1.009E-2</v>
      </c>
      <c r="AN4">
        <f>0.00025*AM4+0.00006*1</f>
        <v>6.2522500000000003E-5</v>
      </c>
      <c r="AO4">
        <f>AM4-AK4*0.001*AW$3</f>
        <v>1.0089470424E-2</v>
      </c>
      <c r="AP4">
        <f>SQRT(AN4^2+AW$4^2*(0.001*AK4)^2+(0.001*AL4)^2*AW$3^2)</f>
        <v>6.2524227809965363E-5</v>
      </c>
      <c r="AT4" s="5" t="s">
        <v>17</v>
      </c>
      <c r="AU4">
        <v>1.7999999999999999E-2</v>
      </c>
      <c r="AV4">
        <v>2.1000000000000001E-2</v>
      </c>
      <c r="AW4">
        <v>1.2999999999999999E-2</v>
      </c>
    </row>
    <row r="5" spans="1:49" x14ac:dyDescent="0.35">
      <c r="B5" s="1">
        <v>-2.0699999999999998</v>
      </c>
      <c r="C5">
        <v>-2.8050999999999999</v>
      </c>
      <c r="E5" s="1">
        <v>-0.59963999999999995</v>
      </c>
      <c r="F5">
        <v>-2.7012</v>
      </c>
      <c r="H5" s="1">
        <v>-0.29471000000000003</v>
      </c>
      <c r="I5">
        <v>-2.6968999999999999</v>
      </c>
      <c r="K5" s="1">
        <v>-0.24676999999999999</v>
      </c>
      <c r="L5">
        <v>-2.7010000000000001</v>
      </c>
      <c r="N5" s="1">
        <v>-7.392E-2</v>
      </c>
      <c r="O5">
        <v>-2.6013000000000002</v>
      </c>
      <c r="S5" s="3">
        <v>4.7999999999999996E-3</v>
      </c>
      <c r="T5" s="4">
        <f t="shared" ref="T5:T28" si="0">0.0025*S5+0.00007*10</f>
        <v>7.1199999999999985E-4</v>
      </c>
      <c r="U5" s="3">
        <v>0.31042999999999998</v>
      </c>
      <c r="V5" s="3">
        <f t="shared" ref="V5:V28" si="1">0.00025*U5+0.00006*1</f>
        <v>1.3760749999999999E-4</v>
      </c>
      <c r="W5" s="4">
        <f>U5-S5*0.001*AU$3</f>
        <v>0.31042727504000001</v>
      </c>
      <c r="X5">
        <f>SQRT(V5^2+AU$4^2*(0.001*S5)^2+(0.001*T5)^2*AU$3^2)</f>
        <v>1.3760812076614578E-4</v>
      </c>
      <c r="Y5" s="4"/>
      <c r="Z5" s="4"/>
      <c r="AB5" s="3">
        <v>5.9999999999999995E-4</v>
      </c>
      <c r="AC5" s="4">
        <f t="shared" ref="AC5:AC23" si="2">0.0025*AB5+0.00007*10</f>
        <v>7.0149999999999987E-4</v>
      </c>
      <c r="AD5" s="3">
        <v>2.5360000000000001E-2</v>
      </c>
      <c r="AE5" s="3" t="b">
        <v>0</v>
      </c>
      <c r="AF5">
        <f t="shared" ref="AF5:AF23" si="3">0.00025*AD5+0.00006*1</f>
        <v>6.6340000000000005E-5</v>
      </c>
      <c r="AG5">
        <f>AD5-AB5*0.001*AV$3</f>
        <v>2.535970882E-2</v>
      </c>
      <c r="AH5">
        <f t="shared" ref="AH5:AH23" si="4">SQRT(AF5^2+AV$4^2*(0.001*AB5)^2+(0.001*AC5)^2*AV$3^2)</f>
        <v>6.63408747060046E-5</v>
      </c>
      <c r="AK5" s="3">
        <v>1.4E-3</v>
      </c>
      <c r="AL5">
        <f t="shared" ref="AL5:AL24" si="5">0.0025*AK5+0.00007*10</f>
        <v>7.0349999999999992E-4</v>
      </c>
      <c r="AM5" s="3">
        <v>3.0880000000000001E-2</v>
      </c>
      <c r="AN5">
        <f t="shared" ref="AN5:AN24" si="6">0.00025*AM5+0.00006*1</f>
        <v>6.7720000000000009E-5</v>
      </c>
      <c r="AO5">
        <f t="shared" ref="AO5:AO24" si="7">AM5-AK5*0.001*AW$3</f>
        <v>3.0879073242E-2</v>
      </c>
      <c r="AP5">
        <f t="shared" ref="AP5:AP24" si="8">SQRT(AN5^2+AW$4^2*(0.001*AK5)^2+(0.001*AL5)^2*AW$3^2)</f>
        <v>6.7721603671993914E-5</v>
      </c>
      <c r="AT5" s="4"/>
    </row>
    <row r="6" spans="1:49" x14ac:dyDescent="0.35">
      <c r="B6" s="1">
        <v>-2.085</v>
      </c>
      <c r="C6">
        <v>-2.6019999999999999</v>
      </c>
      <c r="E6" s="1">
        <v>-0.60009999999999997</v>
      </c>
      <c r="F6">
        <v>-2.3029999999999999</v>
      </c>
      <c r="H6" s="1">
        <v>-0.29441000000000001</v>
      </c>
      <c r="I6">
        <v>-2.2915000000000001</v>
      </c>
      <c r="K6" s="1">
        <v>-0.24399999999999999</v>
      </c>
      <c r="L6">
        <v>-2.3988</v>
      </c>
      <c r="N6" s="1">
        <v>-4.2790000000000002E-2</v>
      </c>
      <c r="O6">
        <v>-2.2450999999999999</v>
      </c>
      <c r="S6" s="3">
        <v>9.5999999999999992E-3</v>
      </c>
      <c r="T6" s="4">
        <f t="shared" si="0"/>
        <v>7.2399999999999993E-4</v>
      </c>
      <c r="U6" s="3">
        <v>0.33037</v>
      </c>
      <c r="V6" s="3">
        <f t="shared" si="1"/>
        <v>1.4259250000000001E-4</v>
      </c>
      <c r="W6" s="4">
        <f>U6-S6*0.001*AU$3</f>
        <v>0.33036455007999999</v>
      </c>
      <c r="X6">
        <f>SQRT(V6^2+AU$4^2*(0.001*S6)^2+(0.001*T6)^2*AU$3^2)</f>
        <v>1.425931970651329E-4</v>
      </c>
      <c r="Y6" s="4"/>
      <c r="Z6" s="4"/>
      <c r="AB6" s="3">
        <v>5.9999999999999995E-4</v>
      </c>
      <c r="AC6" s="4">
        <f t="shared" si="2"/>
        <v>7.0149999999999987E-4</v>
      </c>
      <c r="AD6" s="3">
        <v>5.0529999999999999E-2</v>
      </c>
      <c r="AE6" s="3"/>
      <c r="AF6">
        <f t="shared" si="3"/>
        <v>7.26325E-5</v>
      </c>
      <c r="AG6">
        <f>AD6-AB6*0.001*AV$3</f>
        <v>5.0529708819999998E-2</v>
      </c>
      <c r="AH6">
        <f t="shared" si="4"/>
        <v>7.2633298926923315E-5</v>
      </c>
      <c r="AK6" s="3">
        <v>2.5000000000000001E-3</v>
      </c>
      <c r="AL6">
        <f t="shared" si="5"/>
        <v>7.0624999999999985E-4</v>
      </c>
      <c r="AM6" s="3">
        <v>5.0619999999999998E-2</v>
      </c>
      <c r="AN6">
        <f t="shared" si="6"/>
        <v>7.2655000000000001E-5</v>
      </c>
      <c r="AO6">
        <f t="shared" si="7"/>
        <v>5.0618345075000001E-2</v>
      </c>
      <c r="AP6">
        <f t="shared" si="8"/>
        <v>7.2656511427073437E-5</v>
      </c>
    </row>
    <row r="7" spans="1:49" x14ac:dyDescent="0.35">
      <c r="B7" s="1">
        <v>-2.0507</v>
      </c>
      <c r="C7">
        <v>-2.4035000000000002</v>
      </c>
      <c r="E7" s="1">
        <v>-0.59175999999999995</v>
      </c>
      <c r="F7">
        <v>-2.0011000000000001</v>
      </c>
      <c r="H7" s="1">
        <v>-0.29213</v>
      </c>
      <c r="I7">
        <v>-2.0074000000000001</v>
      </c>
      <c r="K7" s="1">
        <v>-0.24532999999999999</v>
      </c>
      <c r="L7">
        <v>-2.0022000000000002</v>
      </c>
      <c r="N7" s="1">
        <v>-7.3660000000000003E-2</v>
      </c>
      <c r="O7">
        <v>-1.9853000000000001</v>
      </c>
      <c r="S7" s="3">
        <v>1.37E-2</v>
      </c>
      <c r="T7" s="4">
        <f t="shared" si="0"/>
        <v>7.3424999999999988E-4</v>
      </c>
      <c r="U7" s="3">
        <v>0.34040999999999999</v>
      </c>
      <c r="V7" s="3">
        <f t="shared" si="1"/>
        <v>1.4510249999999999E-4</v>
      </c>
      <c r="W7" s="4">
        <f>U7-S7*0.001*AU$3</f>
        <v>0.34040222250999996</v>
      </c>
      <c r="X7">
        <f>SQRT(V7^2+AU$4^2*(0.001*S7)^2+(0.001*T7)^2*AU$3^2)</f>
        <v>1.4510330826057789E-4</v>
      </c>
      <c r="Y7" s="4"/>
      <c r="Z7" s="4"/>
      <c r="AB7" s="3">
        <v>8.0000000000000004E-4</v>
      </c>
      <c r="AC7" s="4">
        <f t="shared" si="2"/>
        <v>7.0199999999999993E-4</v>
      </c>
      <c r="AD7" s="3">
        <v>0.10048</v>
      </c>
      <c r="AE7" s="3"/>
      <c r="AF7">
        <f t="shared" si="3"/>
        <v>8.5119999999999998E-5</v>
      </c>
      <c r="AG7">
        <f>AD7-AB7*0.001*AV$3</f>
        <v>0.10047961176</v>
      </c>
      <c r="AH7">
        <f t="shared" si="4"/>
        <v>8.512068341778757E-5</v>
      </c>
      <c r="AK7" s="3">
        <v>4.4999999999999997E-3</v>
      </c>
      <c r="AL7">
        <f t="shared" si="5"/>
        <v>7.1124999999999986E-4</v>
      </c>
      <c r="AM7" s="3">
        <v>7.0599999999999996E-2</v>
      </c>
      <c r="AN7">
        <f t="shared" si="6"/>
        <v>7.7650000000000004E-5</v>
      </c>
      <c r="AO7">
        <f t="shared" si="7"/>
        <v>7.0597021134999993E-2</v>
      </c>
      <c r="AP7">
        <f t="shared" si="8"/>
        <v>7.7651449436087771E-5</v>
      </c>
    </row>
    <row r="8" spans="1:49" x14ac:dyDescent="0.35">
      <c r="B8" s="1">
        <v>-2.0569999999999999</v>
      </c>
      <c r="C8">
        <v>-2.202</v>
      </c>
      <c r="E8" s="1">
        <v>-0.58287999999999995</v>
      </c>
      <c r="F8">
        <v>-1.7074</v>
      </c>
      <c r="H8" s="1">
        <v>-0.28376000000000001</v>
      </c>
      <c r="I8">
        <v>-1.704</v>
      </c>
      <c r="K8" s="1">
        <v>-0.24051</v>
      </c>
      <c r="L8">
        <v>-1.7050000000000001</v>
      </c>
      <c r="N8" s="1">
        <v>-7.0980000000000001E-2</v>
      </c>
      <c r="O8">
        <v>-1.5017</v>
      </c>
      <c r="S8" s="3">
        <v>1.9400000000000001E-2</v>
      </c>
      <c r="T8" s="4">
        <f t="shared" si="0"/>
        <v>7.4849999999999992E-4</v>
      </c>
      <c r="U8" s="3">
        <v>0.35024</v>
      </c>
      <c r="V8" s="3">
        <f t="shared" si="1"/>
        <v>1.4756E-4</v>
      </c>
      <c r="W8" s="4">
        <f>U8-S8*0.001*AU$3</f>
        <v>0.35022898662000002</v>
      </c>
      <c r="X8">
        <f>SQRT(V8^2+AU$4^2*(0.001*S8)^2+(0.001*T8)^2*AU$3^2)</f>
        <v>1.4756102500517663E-4</v>
      </c>
      <c r="Y8" s="4"/>
      <c r="Z8" s="4"/>
      <c r="AB8" s="3">
        <v>1.6999999999999999E-3</v>
      </c>
      <c r="AC8" s="4">
        <f t="shared" si="2"/>
        <v>7.0424999999999991E-4</v>
      </c>
      <c r="AD8" s="3">
        <v>0.15012</v>
      </c>
      <c r="AE8" s="3"/>
      <c r="AF8">
        <f t="shared" si="3"/>
        <v>9.7529999999999996E-5</v>
      </c>
      <c r="AG8">
        <f>AD8-AB8*0.001*AV$3</f>
        <v>0.15011917498999999</v>
      </c>
      <c r="AH8">
        <f t="shared" si="4"/>
        <v>9.7530605365438194E-5</v>
      </c>
      <c r="AK8" s="3">
        <v>8.0000000000000002E-3</v>
      </c>
      <c r="AL8">
        <f t="shared" si="5"/>
        <v>7.1999999999999994E-4</v>
      </c>
      <c r="AM8" s="3">
        <v>9.0649999999999994E-2</v>
      </c>
      <c r="AN8">
        <f t="shared" si="6"/>
        <v>8.2662499999999997E-5</v>
      </c>
      <c r="AO8">
        <f t="shared" si="7"/>
        <v>9.0644704239999999E-2</v>
      </c>
      <c r="AP8">
        <f t="shared" si="8"/>
        <v>8.2663939461830748E-5</v>
      </c>
      <c r="AT8" t="s">
        <v>21</v>
      </c>
    </row>
    <row r="9" spans="1:49" x14ac:dyDescent="0.35">
      <c r="B9" s="1">
        <v>-1.9924999999999999</v>
      </c>
      <c r="C9">
        <v>-2.0023</v>
      </c>
      <c r="E9" s="1">
        <v>-0.57889999999999997</v>
      </c>
      <c r="F9">
        <v>-1.6426000000000001</v>
      </c>
      <c r="H9" s="1">
        <v>-0.27994999999999998</v>
      </c>
      <c r="I9">
        <v>-1.4008</v>
      </c>
      <c r="K9" s="1">
        <v>-0.24060000000000001</v>
      </c>
      <c r="L9">
        <v>-1.4000999999999999</v>
      </c>
      <c r="N9" s="1">
        <v>-7.1360000000000007E-2</v>
      </c>
      <c r="O9">
        <v>-1.3013999999999999</v>
      </c>
      <c r="S9" s="3">
        <v>2.8400000000000002E-2</v>
      </c>
      <c r="T9" s="4">
        <f t="shared" si="0"/>
        <v>7.7099999999999988E-4</v>
      </c>
      <c r="U9" s="3">
        <v>0.36083999999999999</v>
      </c>
      <c r="V9" s="3">
        <f t="shared" si="1"/>
        <v>1.5021000000000001E-4</v>
      </c>
      <c r="W9" s="4">
        <f>U9-S9*0.001*AU$3</f>
        <v>0.36082387731999999</v>
      </c>
      <c r="X9">
        <f>SQRT(V9^2+AU$4^2*(0.001*S9)^2+(0.001*T9)^2*AU$3^2)</f>
        <v>1.5021150756130901E-4</v>
      </c>
      <c r="Y9" s="4"/>
      <c r="Z9" s="4"/>
      <c r="AB9" s="3">
        <v>3.0999999999999999E-3</v>
      </c>
      <c r="AC9" s="4">
        <f t="shared" si="2"/>
        <v>7.0774999999999994E-4</v>
      </c>
      <c r="AD9" s="3">
        <v>0.17555000000000001</v>
      </c>
      <c r="AE9" s="3"/>
      <c r="AF9">
        <f t="shared" si="3"/>
        <v>1.038875E-4</v>
      </c>
      <c r="AG9">
        <f>AD9-AB9*0.001*AV$3</f>
        <v>0.17554849557000002</v>
      </c>
      <c r="AH9">
        <f t="shared" si="4"/>
        <v>1.0388808818454288E-4</v>
      </c>
      <c r="AK9" s="3">
        <v>1.44E-2</v>
      </c>
      <c r="AL9">
        <f t="shared" si="5"/>
        <v>7.3599999999999989E-4</v>
      </c>
      <c r="AM9" s="3">
        <v>0.11015999999999999</v>
      </c>
      <c r="AN9">
        <f t="shared" si="6"/>
        <v>8.7540000000000006E-5</v>
      </c>
      <c r="AO9">
        <f t="shared" si="7"/>
        <v>0.110150467632</v>
      </c>
      <c r="AP9">
        <f t="shared" si="8"/>
        <v>8.7541555945425974E-5</v>
      </c>
    </row>
    <row r="10" spans="1:49" x14ac:dyDescent="0.35">
      <c r="B10" s="1">
        <v>-1.9842</v>
      </c>
      <c r="C10">
        <v>-1.9500999999999999</v>
      </c>
      <c r="E10" s="1">
        <v>-0.56510000000000005</v>
      </c>
      <c r="F10">
        <v>-1.5993999999999999</v>
      </c>
      <c r="H10" s="1">
        <v>-0.27605000000000002</v>
      </c>
      <c r="I10">
        <v>-1.3543000000000001</v>
      </c>
      <c r="K10" s="1">
        <v>-0.23813000000000001</v>
      </c>
      <c r="L10">
        <v>-1.0994999999999999</v>
      </c>
      <c r="N10" s="1">
        <v>-7.145E-2</v>
      </c>
      <c r="O10">
        <v>-1.0027999999999999</v>
      </c>
      <c r="S10" s="3">
        <v>3.9800000000000002E-2</v>
      </c>
      <c r="T10" s="4">
        <f t="shared" si="0"/>
        <v>7.9949999999999986E-4</v>
      </c>
      <c r="U10" s="3">
        <v>0.37025999999999998</v>
      </c>
      <c r="V10" s="3">
        <f t="shared" si="1"/>
        <v>1.5256499999999999E-4</v>
      </c>
      <c r="W10" s="4">
        <f>U10-S10*0.001*AU$3</f>
        <v>0.37023740553999995</v>
      </c>
      <c r="X10">
        <f>SQRT(V10^2+AU$4^2*(0.001*S10)^2+(0.001*T10)^2*AU$3^2)</f>
        <v>1.5256735711651932E-4</v>
      </c>
      <c r="Y10" s="4"/>
      <c r="Z10" s="4"/>
      <c r="AB10" s="3">
        <v>6.4999999999999997E-3</v>
      </c>
      <c r="AC10" s="4">
        <f t="shared" si="2"/>
        <v>7.1624999999999987E-4</v>
      </c>
      <c r="AD10" s="3">
        <v>0.20044000000000001</v>
      </c>
      <c r="AE10" s="3"/>
      <c r="AF10">
        <f t="shared" si="3"/>
        <v>1.1011E-4</v>
      </c>
      <c r="AG10">
        <f>AD10-AB10*0.001*AV$3</f>
        <v>0.20043684555000002</v>
      </c>
      <c r="AH10">
        <f t="shared" si="4"/>
        <v>1.1011063325272503E-4</v>
      </c>
      <c r="AK10" s="3">
        <v>2.6200000000000001E-2</v>
      </c>
      <c r="AL10">
        <f t="shared" si="5"/>
        <v>7.654999999999999E-4</v>
      </c>
      <c r="AM10" s="3">
        <v>0.13031999999999999</v>
      </c>
      <c r="AN10">
        <f t="shared" si="6"/>
        <v>9.2579999999999998E-5</v>
      </c>
      <c r="AO10">
        <f t="shared" si="7"/>
        <v>0.130302656386</v>
      </c>
      <c r="AP10">
        <f t="shared" si="8"/>
        <v>9.2582013327622753E-5</v>
      </c>
      <c r="AU10" s="5">
        <v>40</v>
      </c>
      <c r="AV10" s="5">
        <v>80</v>
      </c>
      <c r="AW10" s="5">
        <v>120</v>
      </c>
    </row>
    <row r="11" spans="1:49" x14ac:dyDescent="0.35">
      <c r="B11" s="1">
        <v>-1.9639</v>
      </c>
      <c r="C11">
        <v>-1.9457</v>
      </c>
      <c r="E11" s="1">
        <v>-0.57098000000000004</v>
      </c>
      <c r="F11">
        <v>-1.5584</v>
      </c>
      <c r="H11" s="1">
        <v>-0.26989000000000002</v>
      </c>
      <c r="I11">
        <v>-1.3045</v>
      </c>
      <c r="K11" s="1">
        <v>-0.22835</v>
      </c>
      <c r="L11">
        <v>-0.89939999999999998</v>
      </c>
      <c r="N11" s="1">
        <v>-6.9320000000000007E-2</v>
      </c>
      <c r="O11">
        <v>-0.89439999999999997</v>
      </c>
      <c r="S11" s="3">
        <v>6.0600000000000001E-2</v>
      </c>
      <c r="T11" s="4">
        <f t="shared" si="0"/>
        <v>8.5149999999999983E-4</v>
      </c>
      <c r="U11" s="3">
        <v>0.38096999999999998</v>
      </c>
      <c r="V11" s="3">
        <f t="shared" si="1"/>
        <v>1.552425E-4</v>
      </c>
      <c r="W11" s="4">
        <f>U11-S11*0.001*AU$3</f>
        <v>0.38093559737999999</v>
      </c>
      <c r="X11">
        <f>SQRT(V11^2+AU$4^2*(0.001*S11)^2+(0.001*T11)^2*AU$3^2)</f>
        <v>1.5524708474916544E-4</v>
      </c>
      <c r="Y11" s="4"/>
      <c r="Z11" s="4"/>
      <c r="AB11" s="3">
        <v>1.67E-2</v>
      </c>
      <c r="AC11" s="4">
        <f t="shared" si="2"/>
        <v>7.417499999999999E-4</v>
      </c>
      <c r="AD11" s="3">
        <v>0.23005</v>
      </c>
      <c r="AE11" s="3"/>
      <c r="AF11">
        <f t="shared" si="3"/>
        <v>1.175125E-4</v>
      </c>
      <c r="AG11">
        <f>AD11-AB11*0.001*AV$3</f>
        <v>0.23004189549000001</v>
      </c>
      <c r="AH11">
        <f t="shared" si="4"/>
        <v>1.1751357464590559E-4</v>
      </c>
      <c r="AK11" s="3">
        <v>4.7100000000000003E-2</v>
      </c>
      <c r="AL11">
        <f t="shared" si="5"/>
        <v>8.177499999999999E-4</v>
      </c>
      <c r="AM11" s="3">
        <v>0.15003</v>
      </c>
      <c r="AN11">
        <f t="shared" si="6"/>
        <v>9.7507499999999994E-5</v>
      </c>
      <c r="AO11">
        <f t="shared" si="7"/>
        <v>0.14999882121299998</v>
      </c>
      <c r="AP11">
        <f t="shared" si="8"/>
        <v>9.7510925035829138E-5</v>
      </c>
      <c r="AT11" s="5" t="s">
        <v>22</v>
      </c>
      <c r="AU11" s="9">
        <f>1.602176634*10^-19/((AU10+273.15)*36.77237)</f>
        <v>1.3913498848143647E-23</v>
      </c>
      <c r="AV11" s="7">
        <f>1.602176634*10^-19/((AV10+273.15)*32.29386)</f>
        <v>1.4048541054223451E-23</v>
      </c>
      <c r="AW11" s="7">
        <f>1.602176634*10^-19/((AW10+273.15)*29.58245)</f>
        <v>1.3775836338727469E-23</v>
      </c>
    </row>
    <row r="12" spans="1:49" x14ac:dyDescent="0.35">
      <c r="B12" s="1">
        <v>-1.9511000000000001</v>
      </c>
      <c r="C12">
        <v>-1.9377</v>
      </c>
      <c r="E12" s="1">
        <v>-0.55700000000000005</v>
      </c>
      <c r="F12">
        <v>-1.5129999999999999</v>
      </c>
      <c r="H12" s="1">
        <v>-0.26594000000000001</v>
      </c>
      <c r="I12">
        <v>-1.2542</v>
      </c>
      <c r="K12" s="1">
        <v>-0.22700999999999999</v>
      </c>
      <c r="L12">
        <v>-0.85060000000000002</v>
      </c>
      <c r="N12" s="1">
        <v>-6.9400000000000003E-2</v>
      </c>
      <c r="O12">
        <v>-0.80500000000000005</v>
      </c>
      <c r="S12" s="3">
        <v>8.4500000000000006E-2</v>
      </c>
      <c r="T12" s="4">
        <f t="shared" si="0"/>
        <v>9.1124999999999995E-4</v>
      </c>
      <c r="U12" s="3">
        <v>0.39082</v>
      </c>
      <c r="V12" s="3">
        <f t="shared" si="1"/>
        <v>1.5770500000000001E-4</v>
      </c>
      <c r="W12" s="4">
        <f>U12-S12*0.001*AU$3</f>
        <v>0.39077202934999999</v>
      </c>
      <c r="X12">
        <f>SQRT(V12^2+AU$4^2*(0.001*S12)^2+(0.001*T12)^2*AU$3^2)</f>
        <v>1.5771318296987891E-4</v>
      </c>
      <c r="Y12" s="4"/>
      <c r="Z12" s="4"/>
      <c r="AB12" s="3">
        <v>4.2799999999999998E-2</v>
      </c>
      <c r="AC12" s="4">
        <f t="shared" si="2"/>
        <v>8.0699999999999988E-4</v>
      </c>
      <c r="AD12" s="3">
        <v>0.26012000000000002</v>
      </c>
      <c r="AE12" s="3"/>
      <c r="AF12">
        <f t="shared" si="3"/>
        <v>1.2503000000000001E-4</v>
      </c>
      <c r="AG12">
        <f>AD12-AB12*0.001*AV$3</f>
        <v>0.26009922916</v>
      </c>
      <c r="AH12">
        <f t="shared" si="4"/>
        <v>1.2503384390259343E-4</v>
      </c>
      <c r="AK12" s="3">
        <v>8.5999999999999993E-2</v>
      </c>
      <c r="AL12">
        <f t="shared" si="5"/>
        <v>9.1499999999999991E-4</v>
      </c>
      <c r="AM12" s="3">
        <v>0.17039000000000001</v>
      </c>
      <c r="AN12">
        <f t="shared" si="6"/>
        <v>1.0259750000000002E-4</v>
      </c>
      <c r="AO12">
        <f t="shared" si="7"/>
        <v>0.17033307058000002</v>
      </c>
      <c r="AP12">
        <f t="shared" si="8"/>
        <v>1.0260537902970332E-4</v>
      </c>
      <c r="AT12" s="5" t="s">
        <v>23</v>
      </c>
      <c r="AU12" s="8">
        <f>1.602176634*10^-19/((AU10+273.15)*36.77237^2)*0.02477</f>
        <v>9.3721826052690654E-27</v>
      </c>
      <c r="AV12" s="8">
        <f>1.602176634*10^-19/((AV10+273.15)*32.29378^2)*0.21577</f>
        <v>9.3865171945338929E-26</v>
      </c>
      <c r="AW12" s="8">
        <f>1.602176634*10^-19/((AW10+273.15)*29.58245^2)*0.0123</f>
        <v>5.7278145307892968E-27</v>
      </c>
    </row>
    <row r="13" spans="1:49" x14ac:dyDescent="0.35">
      <c r="B13" s="1">
        <v>-1.95</v>
      </c>
      <c r="C13">
        <v>-1.9246000000000001</v>
      </c>
      <c r="E13" s="1">
        <v>-0.55940000000000001</v>
      </c>
      <c r="F13">
        <v>-1.5</v>
      </c>
      <c r="H13" s="1">
        <v>-0.25955</v>
      </c>
      <c r="I13">
        <v>-1.2059</v>
      </c>
      <c r="K13" s="1">
        <v>-0.22867000000000001</v>
      </c>
      <c r="L13">
        <v>-0.82050000000000001</v>
      </c>
      <c r="N13" s="1">
        <v>-6.5000000000000002E-2</v>
      </c>
      <c r="O13">
        <v>-0.75109999999999999</v>
      </c>
      <c r="S13" s="3">
        <v>0.1222</v>
      </c>
      <c r="T13" s="4">
        <f t="shared" si="0"/>
        <v>1.0054999999999999E-3</v>
      </c>
      <c r="U13" s="3">
        <v>0.40072999999999998</v>
      </c>
      <c r="V13" s="3">
        <f t="shared" si="1"/>
        <v>1.6018249999999999E-4</v>
      </c>
      <c r="W13" s="4">
        <f>U13-S13*0.001*AU$3</f>
        <v>0.40066062706</v>
      </c>
      <c r="X13">
        <f>SQRT(V13^2+AU$4^2*(0.001*S13)^2+(0.001*T13)^2*AU$3^2)</f>
        <v>1.6019861854761811E-4</v>
      </c>
      <c r="Y13" s="4"/>
      <c r="Z13" s="4"/>
      <c r="AB13" s="3">
        <v>0.1147</v>
      </c>
      <c r="AC13" s="4">
        <f t="shared" si="2"/>
        <v>9.8674999999999978E-4</v>
      </c>
      <c r="AD13" s="3">
        <v>0.29025000000000001</v>
      </c>
      <c r="AE13" s="3"/>
      <c r="AF13">
        <f t="shared" si="3"/>
        <v>1.325625E-4</v>
      </c>
      <c r="AG13">
        <f>AD13-AB13*0.001*AV$3</f>
        <v>0.29019433609</v>
      </c>
      <c r="AH13">
        <f t="shared" si="4"/>
        <v>1.3258524638209718E-4</v>
      </c>
      <c r="AK13" s="3">
        <v>0.2127</v>
      </c>
      <c r="AL13">
        <f t="shared" si="5"/>
        <v>1.2317499999999998E-3</v>
      </c>
      <c r="AM13" s="3">
        <v>0.2009</v>
      </c>
      <c r="AN13">
        <f t="shared" si="6"/>
        <v>1.1022500000000001E-4</v>
      </c>
      <c r="AO13">
        <f t="shared" si="7"/>
        <v>0.200759198981</v>
      </c>
      <c r="AP13">
        <f t="shared" si="8"/>
        <v>1.102626920135637E-4</v>
      </c>
    </row>
    <row r="14" spans="1:49" x14ac:dyDescent="0.35">
      <c r="B14" s="1">
        <v>-1.92</v>
      </c>
      <c r="C14">
        <v>1.9075</v>
      </c>
      <c r="E14" s="1">
        <v>-0.56394999999999995</v>
      </c>
      <c r="F14">
        <v>-1.47</v>
      </c>
      <c r="H14" s="1">
        <v>-0.24592</v>
      </c>
      <c r="I14">
        <v>-1.1841999999999999</v>
      </c>
      <c r="K14" s="1">
        <v>-0.22142000000000001</v>
      </c>
      <c r="L14">
        <v>-0.80369999999999997</v>
      </c>
      <c r="N14" s="1">
        <v>-6.9129999999999997E-2</v>
      </c>
      <c r="O14">
        <v>-0.72989999999999999</v>
      </c>
      <c r="S14" s="3">
        <v>0.1744</v>
      </c>
      <c r="T14" s="4">
        <f t="shared" si="0"/>
        <v>1.1359999999999999E-3</v>
      </c>
      <c r="U14" s="3">
        <v>0.41038999999999998</v>
      </c>
      <c r="V14" s="3">
        <f t="shared" si="1"/>
        <v>1.6259750000000001E-4</v>
      </c>
      <c r="W14" s="4">
        <f>U14-S14*0.001*AU$3</f>
        <v>0.41029099312</v>
      </c>
      <c r="X14">
        <f>SQRT(V14^2+AU$4^2*(0.001*S14)^2+(0.001*T14)^2*AU$3^2)</f>
        <v>1.626290794667012E-4</v>
      </c>
      <c r="Y14" s="4"/>
      <c r="Z14" s="4"/>
      <c r="AB14" s="3">
        <v>0.30549999999999999</v>
      </c>
      <c r="AC14" s="4">
        <f t="shared" si="2"/>
        <v>1.4637499999999998E-3</v>
      </c>
      <c r="AD14" s="3">
        <v>0.32024999999999998</v>
      </c>
      <c r="AE14" s="3"/>
      <c r="AF14">
        <f t="shared" si="3"/>
        <v>1.400625E-4</v>
      </c>
      <c r="AG14">
        <f>AD14-AB14*0.001*AV$3</f>
        <v>0.32010174084999998</v>
      </c>
      <c r="AH14">
        <f t="shared" si="4"/>
        <v>1.402111520343891E-4</v>
      </c>
      <c r="AK14" s="3">
        <v>0.51</v>
      </c>
      <c r="AL14">
        <f t="shared" si="5"/>
        <v>1.9750000000000002E-3</v>
      </c>
      <c r="AM14" s="3">
        <v>0.23064000000000001</v>
      </c>
      <c r="AN14">
        <f t="shared" si="6"/>
        <v>1.1766000000000001E-4</v>
      </c>
      <c r="AO14">
        <f t="shared" si="7"/>
        <v>0.23030239530000002</v>
      </c>
      <c r="AP14">
        <f t="shared" si="8"/>
        <v>1.1785390010760436E-4</v>
      </c>
    </row>
    <row r="15" spans="1:49" x14ac:dyDescent="0.35">
      <c r="B15" s="1">
        <v>-1.9034</v>
      </c>
      <c r="C15">
        <v>-1.9024000000000001</v>
      </c>
      <c r="E15" s="1">
        <v>-0.54903999999999997</v>
      </c>
      <c r="F15">
        <v>-1.4353</v>
      </c>
      <c r="H15" s="1">
        <v>-0.25103999999999999</v>
      </c>
      <c r="I15">
        <v>-1.1499999999999999</v>
      </c>
      <c r="K15" s="1">
        <v>-0.22508</v>
      </c>
      <c r="L15">
        <v>-0.77310000000000001</v>
      </c>
      <c r="N15" s="1">
        <v>-6.5759999999999999E-2</v>
      </c>
      <c r="O15">
        <v>-0.70899999999999996</v>
      </c>
      <c r="S15" s="3">
        <v>0.25469999999999998</v>
      </c>
      <c r="T15" s="4">
        <f t="shared" si="0"/>
        <v>1.3367499999999998E-3</v>
      </c>
      <c r="U15" s="3">
        <v>0.42059999999999997</v>
      </c>
      <c r="V15" s="3">
        <f t="shared" si="1"/>
        <v>1.6515E-4</v>
      </c>
      <c r="W15" s="4">
        <f>U15-S15*0.001*AU$3</f>
        <v>0.42045540680999999</v>
      </c>
      <c r="X15">
        <f>SQRT(V15^2+AU$4^2*(0.001*S15)^2+(0.001*T15)^2*AU$3^2)</f>
        <v>1.6521536534279185E-4</v>
      </c>
      <c r="Y15" s="4"/>
      <c r="Z15" s="4"/>
      <c r="AB15" s="3">
        <v>0.80269999999999997</v>
      </c>
      <c r="AC15" s="4">
        <f t="shared" si="2"/>
        <v>2.70675E-3</v>
      </c>
      <c r="AD15" s="3">
        <v>0.35009000000000001</v>
      </c>
      <c r="AE15" s="3"/>
      <c r="AF15">
        <f t="shared" si="3"/>
        <v>1.4752250000000001E-4</v>
      </c>
      <c r="AG15">
        <f>AD15-AB15*0.001*AV$3</f>
        <v>0.34970044969000003</v>
      </c>
      <c r="AH15">
        <f t="shared" si="4"/>
        <v>1.4848825491845571E-4</v>
      </c>
      <c r="AK15" s="3">
        <v>0.9</v>
      </c>
      <c r="AL15">
        <f t="shared" si="5"/>
        <v>2.9500000000000004E-3</v>
      </c>
      <c r="AM15" s="3">
        <v>0.25009999999999999</v>
      </c>
      <c r="AN15">
        <f t="shared" si="6"/>
        <v>1.2252500000000001E-4</v>
      </c>
      <c r="AO15">
        <f t="shared" si="7"/>
        <v>0.249504227</v>
      </c>
      <c r="AP15">
        <f t="shared" si="8"/>
        <v>1.2309784359506277E-4</v>
      </c>
      <c r="AT15" t="s">
        <v>24</v>
      </c>
      <c r="AU15" s="9">
        <f>SUM(AU11:AW11)/3</f>
        <v>1.3912625413698191E-23</v>
      </c>
      <c r="AW15" s="9">
        <f>AU15-AU16</f>
        <v>1.3818119772753252E-23</v>
      </c>
    </row>
    <row r="16" spans="1:49" x14ac:dyDescent="0.35">
      <c r="B16" s="1">
        <v>-1.8811</v>
      </c>
      <c r="C16">
        <v>-1.8549</v>
      </c>
      <c r="E16" s="1">
        <v>-0.53995000000000004</v>
      </c>
      <c r="F16">
        <v>-1.4065000000000001</v>
      </c>
      <c r="H16" s="1">
        <v>-0.24967</v>
      </c>
      <c r="I16">
        <v>-1.1279999999999999</v>
      </c>
      <c r="K16" s="1">
        <v>-0.22409999999999999</v>
      </c>
      <c r="L16">
        <v>-0.75600000000000001</v>
      </c>
      <c r="N16" s="1">
        <v>-6.4409999999999995E-2</v>
      </c>
      <c r="O16">
        <v>-0.69950000000000001</v>
      </c>
      <c r="S16" s="3">
        <v>0.3695</v>
      </c>
      <c r="T16" s="4">
        <f t="shared" si="0"/>
        <v>1.6237499999999998E-3</v>
      </c>
      <c r="U16" s="3">
        <v>0.43081999999999998</v>
      </c>
      <c r="V16" s="3">
        <f t="shared" si="1"/>
        <v>1.6770500000000001E-4</v>
      </c>
      <c r="W16" s="4">
        <f>U16-S16*0.001*AU$3</f>
        <v>0.43061023485</v>
      </c>
      <c r="X16">
        <f>SQRT(V16^2+AU$4^2*(0.001*S16)^2+(0.001*T16)^2*AU$3^2)</f>
        <v>1.6783936530665375E-4</v>
      </c>
      <c r="Y16" s="4"/>
      <c r="Z16" s="4"/>
      <c r="AB16" s="3">
        <v>2.0760999999999998</v>
      </c>
      <c r="AC16" s="4">
        <f t="shared" si="2"/>
        <v>5.8902499999999997E-3</v>
      </c>
      <c r="AD16" s="3">
        <v>0.38003999999999999</v>
      </c>
      <c r="AE16" s="3"/>
      <c r="AF16">
        <f t="shared" si="3"/>
        <v>1.5500999999999999E-4</v>
      </c>
      <c r="AG16">
        <f>AD16-AB16*0.001*AV$3</f>
        <v>0.37903246867000001</v>
      </c>
      <c r="AH16">
        <f t="shared" si="4"/>
        <v>1.6104988564095751E-4</v>
      </c>
      <c r="AK16" s="3">
        <v>1.6093</v>
      </c>
      <c r="AL16">
        <f t="shared" si="5"/>
        <v>4.72325E-3</v>
      </c>
      <c r="AM16" s="3">
        <v>0.27021000000000001</v>
      </c>
      <c r="AN16">
        <f t="shared" si="6"/>
        <v>1.275525E-4</v>
      </c>
      <c r="AO16">
        <f t="shared" si="7"/>
        <v>0.26914469167900001</v>
      </c>
      <c r="AP16">
        <f t="shared" si="8"/>
        <v>1.2929462576629963E-4</v>
      </c>
      <c r="AT16" t="s">
        <v>25</v>
      </c>
      <c r="AU16" cm="1">
        <f t="array" ref="AU16">SQRT(SUM(AU12:AW12^2))</f>
        <v>9.4505640944938681E-26</v>
      </c>
    </row>
    <row r="17" spans="2:49" x14ac:dyDescent="0.35">
      <c r="B17" s="1">
        <v>-1.8807</v>
      </c>
      <c r="C17">
        <v>-1.8242</v>
      </c>
      <c r="E17" s="1">
        <v>-0.53247</v>
      </c>
      <c r="F17">
        <v>-1.3713</v>
      </c>
      <c r="H17" s="1">
        <v>-0.24360000000000001</v>
      </c>
      <c r="I17">
        <v>-1.1016300000000001</v>
      </c>
      <c r="K17" s="1">
        <v>-0.219</v>
      </c>
      <c r="L17">
        <v>-0.7298</v>
      </c>
      <c r="N17" s="1">
        <v>-6.7299999999999999E-2</v>
      </c>
      <c r="O17">
        <v>-0.67349999999999999</v>
      </c>
      <c r="S17" s="3">
        <v>0.46479999999999999</v>
      </c>
      <c r="T17" s="4">
        <f t="shared" si="0"/>
        <v>1.8619999999999999E-3</v>
      </c>
      <c r="U17" s="3">
        <v>0.43708000000000002</v>
      </c>
      <c r="V17" s="3">
        <f t="shared" si="1"/>
        <v>1.6927000000000001E-4</v>
      </c>
      <c r="W17" s="4">
        <f>U17-S17*0.001*AU$3</f>
        <v>0.43681613304</v>
      </c>
      <c r="X17">
        <f>SQRT(V17^2+AU$4^2*(0.001*S17)^2+(0.001*T17)^2*AU$3^2)</f>
        <v>1.6947993072723063E-4</v>
      </c>
      <c r="Y17" s="4"/>
      <c r="Z17" s="4"/>
      <c r="AB17" s="3">
        <v>3.8658999999999999</v>
      </c>
      <c r="AC17" s="4">
        <f t="shared" si="2"/>
        <v>1.0364749999999999E-2</v>
      </c>
      <c r="AD17" s="3">
        <v>0.40031</v>
      </c>
      <c r="AE17" s="3"/>
      <c r="AF17">
        <f t="shared" si="3"/>
        <v>1.6007750000000001E-4</v>
      </c>
      <c r="AG17">
        <f>AD17-AB17*0.001*AV$3</f>
        <v>0.39843387873000002</v>
      </c>
      <c r="AH17">
        <f t="shared" si="4"/>
        <v>1.7955760261821464E-4</v>
      </c>
      <c r="AK17" s="3">
        <v>2.8298999999999999</v>
      </c>
      <c r="AL17">
        <f t="shared" si="5"/>
        <v>7.7747499999999995E-3</v>
      </c>
      <c r="AM17" s="3">
        <v>0.29019</v>
      </c>
      <c r="AN17">
        <f t="shared" si="6"/>
        <v>1.3254750000000001E-4</v>
      </c>
      <c r="AO17">
        <f t="shared" si="7"/>
        <v>0.28831669109699998</v>
      </c>
      <c r="AP17">
        <f t="shared" si="8"/>
        <v>1.3765440865844554E-4</v>
      </c>
    </row>
    <row r="18" spans="2:49" x14ac:dyDescent="0.35">
      <c r="B18" s="1">
        <v>-1.8560000000000001</v>
      </c>
      <c r="C18">
        <v>-1.8110999999999999</v>
      </c>
      <c r="E18" s="1">
        <v>-0.52464999999999995</v>
      </c>
      <c r="F18">
        <v>-1.3013999999999999</v>
      </c>
      <c r="K18" s="1">
        <v>-0.20982000000000001</v>
      </c>
      <c r="L18">
        <v>-0.70009999999999994</v>
      </c>
      <c r="N18" s="1">
        <v>-6.6769999999999996E-2</v>
      </c>
      <c r="O18">
        <v>-0.66300000000000003</v>
      </c>
      <c r="S18" s="3">
        <v>0.53420000000000001</v>
      </c>
      <c r="T18" s="4">
        <f t="shared" si="0"/>
        <v>2.0355E-3</v>
      </c>
      <c r="U18" s="3">
        <v>0.44087999999999999</v>
      </c>
      <c r="V18" s="3">
        <f t="shared" si="1"/>
        <v>1.7022000000000001E-4</v>
      </c>
      <c r="W18" s="4">
        <f>U18-S18*0.001*AU$3</f>
        <v>0.44057673465999997</v>
      </c>
      <c r="X18">
        <f>SQRT(V18^2+AU$4^2*(0.001*S18)^2+(0.001*T18)^2*AU$3^2)</f>
        <v>1.7049528869415924E-4</v>
      </c>
      <c r="Y18" s="4"/>
      <c r="Z18" s="4"/>
      <c r="AB18" s="3">
        <v>5.0057</v>
      </c>
      <c r="AC18" s="4">
        <f t="shared" si="2"/>
        <v>1.321425E-2</v>
      </c>
      <c r="AD18" s="3">
        <v>0.40872000000000003</v>
      </c>
      <c r="AE18" s="3"/>
      <c r="AF18">
        <f t="shared" si="3"/>
        <v>1.6218000000000002E-4</v>
      </c>
      <c r="AG18">
        <f>AD18-AB18*0.001*AV$3</f>
        <v>0.40629073379000002</v>
      </c>
      <c r="AH18">
        <f t="shared" si="4"/>
        <v>1.9337432275405429E-4</v>
      </c>
      <c r="AK18" s="3">
        <v>3.7189999999999999</v>
      </c>
      <c r="AL18">
        <f t="shared" si="5"/>
        <v>9.9974999999999994E-3</v>
      </c>
      <c r="AM18" s="3">
        <v>0.30001</v>
      </c>
      <c r="AN18">
        <f t="shared" si="6"/>
        <v>1.3500250000000001E-4</v>
      </c>
      <c r="AO18">
        <f t="shared" si="7"/>
        <v>0.29754813356999998</v>
      </c>
      <c r="AP18">
        <f t="shared" si="8"/>
        <v>1.4355105689567294E-4</v>
      </c>
      <c r="AU18">
        <f>1.380649*10^-23</f>
        <v>1.3806490000000001E-23</v>
      </c>
      <c r="AW18" s="9">
        <f>1-AU18/AU15</f>
        <v>7.6287120900768723E-3</v>
      </c>
    </row>
    <row r="19" spans="2:49" x14ac:dyDescent="0.35">
      <c r="B19" s="1">
        <v>-1.8907</v>
      </c>
      <c r="C19">
        <v>-1.8024</v>
      </c>
      <c r="E19" s="1">
        <v>-0.51254999999999995</v>
      </c>
      <c r="F19">
        <v>-1.2712000000000001</v>
      </c>
      <c r="K19" s="1">
        <v>-0.20909</v>
      </c>
      <c r="L19">
        <v>-0.6865</v>
      </c>
      <c r="N19" s="1">
        <v>-6.6000000000000003E-2</v>
      </c>
      <c r="O19">
        <v>-0.65200000000000002</v>
      </c>
      <c r="S19" s="3">
        <v>0.75509999999999999</v>
      </c>
      <c r="T19" s="4">
        <f t="shared" si="0"/>
        <v>2.5877499999999998E-3</v>
      </c>
      <c r="U19" s="3">
        <v>0.45044000000000001</v>
      </c>
      <c r="V19" s="3">
        <f t="shared" si="1"/>
        <v>1.7261000000000002E-4</v>
      </c>
      <c r="W19" s="4">
        <f>U19-S19*0.001*AU$3</f>
        <v>0.45001132973000002</v>
      </c>
      <c r="X19">
        <f>SQRT(V19^2+AU$4^2*(0.001*S19)^2+(0.001*T19)^2*AU$3^2)</f>
        <v>1.7315053358623377E-4</v>
      </c>
      <c r="Y19" s="4"/>
      <c r="Z19" s="4"/>
      <c r="AB19" s="3">
        <v>6.9257999999999997</v>
      </c>
      <c r="AC19" s="4">
        <f t="shared" si="2"/>
        <v>1.8014499999999999E-2</v>
      </c>
      <c r="AD19" s="3">
        <v>0.42014000000000001</v>
      </c>
      <c r="AE19" s="3"/>
      <c r="AF19">
        <f t="shared" si="3"/>
        <v>1.6503500000000001E-4</v>
      </c>
      <c r="AG19">
        <f>AD19-AB19*0.001*AV$3</f>
        <v>0.41677890926</v>
      </c>
      <c r="AH19">
        <f t="shared" si="4"/>
        <v>2.2015062710407219E-4</v>
      </c>
      <c r="AK19" s="3">
        <v>5.0034999999999998</v>
      </c>
      <c r="AL19">
        <f t="shared" si="5"/>
        <v>1.3208749999999998E-2</v>
      </c>
      <c r="AM19" s="3">
        <v>0.31093999999999999</v>
      </c>
      <c r="AN19">
        <f t="shared" si="6"/>
        <v>1.37735E-4</v>
      </c>
      <c r="AO19">
        <f t="shared" si="7"/>
        <v>0.30762783310499997</v>
      </c>
      <c r="AP19">
        <f t="shared" si="8"/>
        <v>1.5257228210881858E-4</v>
      </c>
    </row>
    <row r="20" spans="2:49" x14ac:dyDescent="0.35">
      <c r="B20" s="1">
        <v>-1.851</v>
      </c>
      <c r="C20">
        <v>-1.7553000000000001</v>
      </c>
      <c r="E20" s="1">
        <v>-0.34486</v>
      </c>
      <c r="F20">
        <v>-0.99809999999999999</v>
      </c>
      <c r="K20" s="1">
        <v>-0.19885</v>
      </c>
      <c r="L20">
        <v>-0.66910000000000003</v>
      </c>
      <c r="N20" s="1">
        <v>-6.5890000000000004E-2</v>
      </c>
      <c r="O20">
        <v>-0.63980000000000004</v>
      </c>
      <c r="S20" s="3">
        <v>1.0847</v>
      </c>
      <c r="T20" s="4">
        <f t="shared" si="0"/>
        <v>3.4117499999999999E-3</v>
      </c>
      <c r="U20" s="3">
        <v>0.46055000000000001</v>
      </c>
      <c r="V20" s="3">
        <f t="shared" si="1"/>
        <v>1.7513749999999999E-4</v>
      </c>
      <c r="W20" s="4">
        <f>U20-S20*0.001*AU$3</f>
        <v>0.45993421580999999</v>
      </c>
      <c r="X20">
        <f>SQRT(V20^2+AU$4^2*(0.001*S20)^2+(0.001*T20)^2*AU$3^2)</f>
        <v>1.7623309933486532E-4</v>
      </c>
      <c r="Y20" s="4"/>
      <c r="Z20" s="4"/>
      <c r="AB20" s="3">
        <v>9.0027000000000008</v>
      </c>
      <c r="AC20" s="4">
        <f t="shared" si="2"/>
        <v>2.3206750000000002E-2</v>
      </c>
      <c r="AD20" s="3">
        <v>0.42499999999999999</v>
      </c>
      <c r="AE20" s="3"/>
      <c r="AF20">
        <f t="shared" si="3"/>
        <v>1.6625E-4</v>
      </c>
      <c r="AG20">
        <f>AD20-AB20*0.001*AV$3</f>
        <v>0.42063098969000001</v>
      </c>
      <c r="AH20">
        <f t="shared" si="4"/>
        <v>2.5200860356254051E-4</v>
      </c>
      <c r="AK20" s="3">
        <v>6.0073999999999996</v>
      </c>
      <c r="AL20">
        <f t="shared" si="5"/>
        <v>1.57185E-2</v>
      </c>
      <c r="AM20" s="3">
        <v>0.31777</v>
      </c>
      <c r="AN20">
        <f t="shared" si="6"/>
        <v>1.3944249999999999E-4</v>
      </c>
      <c r="AO20">
        <f t="shared" si="7"/>
        <v>0.31379328142200003</v>
      </c>
      <c r="AP20">
        <f t="shared" si="8"/>
        <v>1.6016084083424146E-4</v>
      </c>
      <c r="AW20">
        <v>7.6287120900768723E-3</v>
      </c>
    </row>
    <row r="21" spans="2:49" x14ac:dyDescent="0.35">
      <c r="B21" s="1">
        <v>-1.8254999999999999</v>
      </c>
      <c r="C21">
        <v>-1.7246999999999999</v>
      </c>
      <c r="E21" s="1">
        <v>7.3099999999999998E-2</v>
      </c>
      <c r="F21">
        <v>-0.7</v>
      </c>
      <c r="K21" s="1">
        <v>-0.19308</v>
      </c>
      <c r="L21">
        <v>-0.63900000000000001</v>
      </c>
      <c r="N21" s="1">
        <v>-6.4460000000000003E-2</v>
      </c>
      <c r="O21">
        <v>-0.60880000000000001</v>
      </c>
      <c r="S21" s="3">
        <v>1.5408999999999999</v>
      </c>
      <c r="T21" s="4">
        <f t="shared" si="0"/>
        <v>4.5522499999999999E-3</v>
      </c>
      <c r="U21" s="3">
        <v>0.47027000000000002</v>
      </c>
      <c r="V21" s="3">
        <f t="shared" si="1"/>
        <v>1.7756750000000001E-4</v>
      </c>
      <c r="W21" s="4">
        <f>U21-S21*0.001*AU$3</f>
        <v>0.46939523107000003</v>
      </c>
      <c r="X21">
        <f>SQRT(V21^2+AU$4^2*(0.001*S21)^2+(0.001*T21)^2*AU$3^2)</f>
        <v>1.797392347732769E-4</v>
      </c>
      <c r="Y21" s="4"/>
      <c r="Z21" s="4"/>
      <c r="AB21" s="3">
        <v>9.0090000000000003</v>
      </c>
      <c r="AC21" s="4">
        <f t="shared" si="2"/>
        <v>2.32225E-2</v>
      </c>
      <c r="AD21" s="3">
        <v>0.42937999999999998</v>
      </c>
      <c r="AE21" s="3"/>
      <c r="AF21">
        <f t="shared" si="3"/>
        <v>1.67345E-4</v>
      </c>
      <c r="AG21">
        <f>AD21-AB21*0.001*AV$3</f>
        <v>0.4250079323</v>
      </c>
      <c r="AH21">
        <f t="shared" si="4"/>
        <v>2.5283163750668071E-4</v>
      </c>
      <c r="AK21" s="3">
        <v>7.0083000000000002</v>
      </c>
      <c r="AL21">
        <f t="shared" si="5"/>
        <v>1.8220750000000001E-2</v>
      </c>
      <c r="AM21" s="3">
        <v>0.32362000000000002</v>
      </c>
      <c r="AN21">
        <f t="shared" si="6"/>
        <v>1.4090500000000001E-4</v>
      </c>
      <c r="AO21">
        <f t="shared" si="7"/>
        <v>0.31898071564900005</v>
      </c>
      <c r="AP21">
        <f t="shared" si="8"/>
        <v>1.6822707991813628E-4</v>
      </c>
      <c r="AW21" s="9"/>
    </row>
    <row r="22" spans="2:49" x14ac:dyDescent="0.35">
      <c r="B22" s="1">
        <v>-1.7849999999999999</v>
      </c>
      <c r="C22">
        <v>-1.7037</v>
      </c>
      <c r="E22" s="1">
        <v>0.57116</v>
      </c>
      <c r="F22">
        <v>-0.49390000000000001</v>
      </c>
      <c r="K22" s="1">
        <v>-0.17699999999999999</v>
      </c>
      <c r="L22">
        <v>-0.60060000000000002</v>
      </c>
      <c r="N22" s="1">
        <v>-6.2759999999999996E-2</v>
      </c>
      <c r="O22">
        <v>-0.57850000000000001</v>
      </c>
      <c r="S22" s="3">
        <v>2.1938</v>
      </c>
      <c r="T22" s="4">
        <f t="shared" si="0"/>
        <v>6.1844999999999999E-3</v>
      </c>
      <c r="U22" s="3">
        <v>0.48032999999999998</v>
      </c>
      <c r="V22" s="3">
        <f t="shared" si="1"/>
        <v>1.8008250000000001E-4</v>
      </c>
      <c r="W22" s="4">
        <f>U22-S22*0.001*AU$3</f>
        <v>0.47908457973999996</v>
      </c>
      <c r="X22">
        <f>SQRT(V22^2+AU$4^2*(0.001*S22)^2+(0.001*T22)^2*AU$3^2)</f>
        <v>1.8439459657229064E-4</v>
      </c>
      <c r="Y22" s="4"/>
      <c r="Z22" s="4"/>
      <c r="AB22" s="3">
        <v>9.5059000000000005</v>
      </c>
      <c r="AC22" s="4">
        <f t="shared" si="2"/>
        <v>2.446475E-2</v>
      </c>
      <c r="AD22" s="3">
        <v>0.43125999999999998</v>
      </c>
      <c r="AE22" s="3"/>
      <c r="AF22">
        <f t="shared" si="3"/>
        <v>1.6781500000000001E-4</v>
      </c>
      <c r="AG22">
        <f>AD22-AB22*0.001*AV$3</f>
        <v>0.42664678672999995</v>
      </c>
      <c r="AH22">
        <f t="shared" si="4"/>
        <v>2.6106041007151876E-4</v>
      </c>
      <c r="AK22" s="3">
        <v>8.0086999999999993</v>
      </c>
      <c r="AL22">
        <f t="shared" si="5"/>
        <v>2.0721749999999997E-2</v>
      </c>
      <c r="AM22" s="3">
        <v>0.32874999999999999</v>
      </c>
      <c r="AN22">
        <f t="shared" si="6"/>
        <v>1.4218750000000001E-4</v>
      </c>
      <c r="AO22">
        <f t="shared" si="7"/>
        <v>0.32344848086099998</v>
      </c>
      <c r="AP22">
        <f t="shared" si="8"/>
        <v>1.7676250645576845E-4</v>
      </c>
    </row>
    <row r="23" spans="2:49" x14ac:dyDescent="0.35">
      <c r="B23" s="1">
        <v>-1.7633000000000001</v>
      </c>
      <c r="C23">
        <v>-1.6819</v>
      </c>
      <c r="E23" s="1">
        <v>1.6887000000000001</v>
      </c>
      <c r="F23">
        <v>-0.2041</v>
      </c>
      <c r="K23" s="1">
        <v>-0.14927000000000001</v>
      </c>
      <c r="L23">
        <v>-0.54900000000000004</v>
      </c>
      <c r="N23" s="1">
        <v>-5.9119999999999999E-2</v>
      </c>
      <c r="O23">
        <v>-0.53959999999999997</v>
      </c>
      <c r="S23" s="3">
        <v>3.0933999999999999</v>
      </c>
      <c r="T23" s="4">
        <f t="shared" si="0"/>
        <v>8.4335E-3</v>
      </c>
      <c r="U23" s="3">
        <v>0.49026999999999998</v>
      </c>
      <c r="V23" s="3">
        <f t="shared" si="1"/>
        <v>1.825675E-4</v>
      </c>
      <c r="W23" s="4">
        <f>U23-S23*0.001*AU$3</f>
        <v>0.48851387681999997</v>
      </c>
      <c r="X23">
        <f>SQRT(V23^2+AU$4^2*(0.001*S23)^2+(0.001*T23)^2*AU$3^2)</f>
        <v>1.9092985660014108E-4</v>
      </c>
      <c r="Y23" s="4"/>
      <c r="Z23" s="4"/>
      <c r="AB23" s="3">
        <v>9.9946000000000002</v>
      </c>
      <c r="AC23" s="4">
        <f t="shared" si="2"/>
        <v>2.5686500000000001E-2</v>
      </c>
      <c r="AD23" s="3">
        <v>0.43303999999999998</v>
      </c>
      <c r="AE23" s="3"/>
      <c r="AF23">
        <f t="shared" si="3"/>
        <v>1.6825999999999999E-4</v>
      </c>
      <c r="AG23">
        <f>AD23-AB23*0.001*AV$3</f>
        <v>0.42818962061999999</v>
      </c>
      <c r="AH23">
        <f t="shared" si="4"/>
        <v>2.6929390097095045E-4</v>
      </c>
      <c r="AK23" s="3">
        <v>9.0048999999999992</v>
      </c>
      <c r="AL23">
        <f t="shared" si="5"/>
        <v>2.3212249999999997E-2</v>
      </c>
      <c r="AM23" s="3">
        <v>0.33331</v>
      </c>
      <c r="AN23">
        <f t="shared" si="6"/>
        <v>1.4332750000000001E-4</v>
      </c>
      <c r="AO23">
        <f t="shared" si="7"/>
        <v>0.32734902634699997</v>
      </c>
      <c r="AP23">
        <f t="shared" si="8"/>
        <v>1.8569542354932418E-4</v>
      </c>
    </row>
    <row r="24" spans="2:49" x14ac:dyDescent="0.35">
      <c r="B24" s="1">
        <v>-1.7561</v>
      </c>
      <c r="C24">
        <v>-1.66</v>
      </c>
      <c r="K24" s="1">
        <v>-0.12186</v>
      </c>
      <c r="L24">
        <v>-0.50539999999999996</v>
      </c>
      <c r="N24" s="1">
        <v>-5.4960000000000002E-2</v>
      </c>
      <c r="O24">
        <v>-0.50519999999999998</v>
      </c>
      <c r="S24" s="3">
        <v>4.3381999999999996</v>
      </c>
      <c r="T24" s="4">
        <f t="shared" si="0"/>
        <v>1.1545499999999998E-2</v>
      </c>
      <c r="U24" s="3">
        <v>0.50022999999999995</v>
      </c>
      <c r="V24" s="3">
        <f t="shared" si="1"/>
        <v>1.8505749999999998E-4</v>
      </c>
      <c r="W24" s="4">
        <f>U24-S24*0.001*AU$3</f>
        <v>0.49776720385999995</v>
      </c>
      <c r="X24">
        <f>SQRT(V24^2+AU$4^2*(0.001*S24)^2+(0.001*T24)^2*AU$3^2)</f>
        <v>2.0096495087895913E-4</v>
      </c>
      <c r="Y24" s="4"/>
      <c r="Z24" s="4"/>
      <c r="AB24" s="3"/>
      <c r="AC24" s="4"/>
      <c r="AD24" s="3"/>
      <c r="AE24" s="3"/>
      <c r="AK24" s="3">
        <v>9.9915000000000003</v>
      </c>
      <c r="AL24">
        <f t="shared" si="5"/>
        <v>2.567875E-2</v>
      </c>
      <c r="AM24" s="3">
        <v>0.33744000000000002</v>
      </c>
      <c r="AN24">
        <f t="shared" si="6"/>
        <v>1.4436000000000001E-4</v>
      </c>
      <c r="AO24">
        <f t="shared" si="7"/>
        <v>0.330825926745</v>
      </c>
      <c r="AP24">
        <f t="shared" si="8"/>
        <v>1.9493599699643073E-4</v>
      </c>
    </row>
    <row r="25" spans="2:49" x14ac:dyDescent="0.35">
      <c r="B25" s="1">
        <v>-1.6917</v>
      </c>
      <c r="C25">
        <v>-1.621</v>
      </c>
      <c r="H25" s="1">
        <v>-0.24343999999999999</v>
      </c>
      <c r="I25">
        <v>-1.0982000000000001</v>
      </c>
      <c r="K25" s="1">
        <v>-2.3939999999999999E-2</v>
      </c>
      <c r="L25">
        <v>-0.40060000000000001</v>
      </c>
      <c r="N25" s="1">
        <v>-5.0430000000000003E-2</v>
      </c>
      <c r="O25">
        <v>-0.47089999999999999</v>
      </c>
      <c r="S25" s="3">
        <v>6.0664999999999996</v>
      </c>
      <c r="T25" s="4">
        <f t="shared" si="0"/>
        <v>1.5866249999999998E-2</v>
      </c>
      <c r="U25" s="3">
        <v>0.51031000000000004</v>
      </c>
      <c r="V25" s="3">
        <f t="shared" si="1"/>
        <v>1.875775E-4</v>
      </c>
      <c r="W25" s="4">
        <f>U25-S25*0.001*AU$3</f>
        <v>0.50686604795000001</v>
      </c>
      <c r="X25">
        <f>SQRT(V25^2+AU$4^2*(0.001*S25)^2+(0.001*T25)^2*AU$3^2)</f>
        <v>2.1723359369663504E-4</v>
      </c>
      <c r="Y25" s="4"/>
      <c r="Z25" s="4"/>
      <c r="AB25" s="3"/>
      <c r="AC25" s="4"/>
      <c r="AD25" s="3"/>
      <c r="AE25" s="3"/>
      <c r="AK25" s="3"/>
      <c r="AL25" s="3"/>
    </row>
    <row r="26" spans="2:49" x14ac:dyDescent="0.35">
      <c r="B26" s="1">
        <v>-1.6655</v>
      </c>
      <c r="C26">
        <v>-1.6</v>
      </c>
      <c r="H26" s="1">
        <v>-0.22320000000000001</v>
      </c>
      <c r="I26">
        <v>-1.0377000000000001</v>
      </c>
      <c r="K26" s="1">
        <v>0.31902000000000003</v>
      </c>
      <c r="L26">
        <v>-0.20300000000000001</v>
      </c>
      <c r="N26" s="1">
        <v>-4.7730000000000002E-2</v>
      </c>
      <c r="O26">
        <v>-0.44890000000000002</v>
      </c>
      <c r="S26" s="3">
        <v>8.3280999999999992</v>
      </c>
      <c r="T26" s="4">
        <f t="shared" si="0"/>
        <v>2.1520249999999998E-2</v>
      </c>
      <c r="U26" s="3">
        <v>0.52007999999999999</v>
      </c>
      <c r="V26" s="3">
        <f t="shared" si="1"/>
        <v>1.9002E-4</v>
      </c>
      <c r="W26" s="4">
        <f>U26-S26*0.001*AU$3</f>
        <v>0.51535213762999998</v>
      </c>
      <c r="X26">
        <f>SQRT(V26^2+AU$4^2*(0.001*S26)^2+(0.001*T26)^2*AU$3^2)</f>
        <v>2.4233985533703191E-4</v>
      </c>
      <c r="Y26" s="4"/>
      <c r="Z26" s="4"/>
      <c r="AB26" s="3"/>
      <c r="AC26" s="4"/>
      <c r="AD26" s="3"/>
      <c r="AE26" s="3"/>
      <c r="AF26" s="3"/>
      <c r="AG26" s="3"/>
    </row>
    <row r="27" spans="2:49" x14ac:dyDescent="0.35">
      <c r="B27" s="1">
        <v>-1.6435</v>
      </c>
      <c r="C27">
        <v>-1.5808</v>
      </c>
      <c r="H27" s="1">
        <v>-0.21060999999999999</v>
      </c>
      <c r="I27">
        <v>-0.99839999999999995</v>
      </c>
      <c r="K27" s="1">
        <v>0.76032</v>
      </c>
      <c r="L27">
        <v>-4.36E-2</v>
      </c>
      <c r="N27" s="1">
        <v>-4.2220000000000001E-2</v>
      </c>
      <c r="O27">
        <v>-0.41889999999999999</v>
      </c>
      <c r="S27" s="3">
        <v>9.0310000000000006</v>
      </c>
      <c r="T27" s="4">
        <f t="shared" si="0"/>
        <v>2.32775E-2</v>
      </c>
      <c r="U27" s="3">
        <v>0.52259</v>
      </c>
      <c r="V27" s="3">
        <f t="shared" si="1"/>
        <v>1.9064749999999999E-4</v>
      </c>
      <c r="W27" s="4">
        <f>U27-S27*0.001*AU$3</f>
        <v>0.51746310129999995</v>
      </c>
      <c r="X27">
        <f>SQRT(V27^2+AU$4^2*(0.001*S27)^2+(0.001*T27)^2*AU$3^2)</f>
        <v>2.5089081139947005E-4</v>
      </c>
      <c r="Y27" s="4"/>
      <c r="Z27" s="4"/>
      <c r="AB27" s="3"/>
      <c r="AC27" s="3"/>
      <c r="AD27" s="3"/>
      <c r="AE27" s="3"/>
      <c r="AF27" s="3"/>
    </row>
    <row r="28" spans="2:49" x14ac:dyDescent="0.35">
      <c r="B28" s="1">
        <v>-1.6154999999999999</v>
      </c>
      <c r="C28">
        <v>-1.5603</v>
      </c>
      <c r="H28" s="1">
        <v>-0.16386999999999999</v>
      </c>
      <c r="I28">
        <v>-0.89449999999999996</v>
      </c>
      <c r="N28" s="1">
        <v>-3.8019999999999998E-2</v>
      </c>
      <c r="O28">
        <v>-0.40200000000000002</v>
      </c>
      <c r="S28" s="3">
        <v>10.023899999999999</v>
      </c>
      <c r="T28" s="4">
        <f t="shared" si="0"/>
        <v>2.5759749999999998E-2</v>
      </c>
      <c r="U28" s="3">
        <v>0.52588999999999997</v>
      </c>
      <c r="V28" s="3">
        <f t="shared" si="1"/>
        <v>1.9147249999999999E-4</v>
      </c>
      <c r="W28" s="4">
        <f>U28-S28*0.001*AU$3</f>
        <v>0.52019943196999996</v>
      </c>
      <c r="X28">
        <f>SQRT(V28^2+AU$4^2*(0.001*S28)^2+(0.001*T28)^2*AU$3^2)</f>
        <v>2.6349692815932343E-4</v>
      </c>
      <c r="Y28" s="4"/>
      <c r="Z28" s="4"/>
      <c r="AB28" s="3"/>
      <c r="AC28" s="3"/>
      <c r="AD28" s="3"/>
      <c r="AE28" s="3"/>
    </row>
    <row r="29" spans="2:49" x14ac:dyDescent="0.35">
      <c r="B29" s="1">
        <v>-1.5787</v>
      </c>
      <c r="C29">
        <v>-1.5395000000000001</v>
      </c>
      <c r="H29" s="1">
        <v>-1.371E-2</v>
      </c>
      <c r="I29">
        <v>-0.69940000000000002</v>
      </c>
      <c r="N29" s="1">
        <v>-3.3820000000000003E-2</v>
      </c>
      <c r="O29">
        <v>-0.37990000000000002</v>
      </c>
      <c r="S29" s="3"/>
      <c r="T29" s="4"/>
      <c r="U29" s="3"/>
      <c r="V29" s="3"/>
      <c r="W29" s="3"/>
      <c r="X29" s="3"/>
      <c r="Y29" s="4"/>
      <c r="Z29" s="4"/>
      <c r="AB29" s="3"/>
      <c r="AC29" s="3"/>
      <c r="AD29" s="3"/>
    </row>
    <row r="30" spans="2:49" x14ac:dyDescent="0.35">
      <c r="B30" s="1">
        <v>-1.5476000000000001</v>
      </c>
      <c r="C30">
        <v>-1.5087999999999999</v>
      </c>
      <c r="H30" s="1">
        <v>0.43013000000000001</v>
      </c>
      <c r="I30">
        <v>-0.4027</v>
      </c>
      <c r="N30" s="1">
        <v>-2.9760000000000002E-2</v>
      </c>
      <c r="O30">
        <v>-0.36270000000000002</v>
      </c>
      <c r="S30" s="3"/>
      <c r="T30" s="4"/>
      <c r="U30" s="3"/>
      <c r="V30" s="3"/>
      <c r="W30" s="3"/>
      <c r="X30" s="3"/>
      <c r="Y30" s="3"/>
      <c r="Z30" s="3"/>
      <c r="AA30" s="3"/>
    </row>
    <row r="31" spans="2:49" x14ac:dyDescent="0.35">
      <c r="B31" s="1">
        <v>-1.5129999999999999</v>
      </c>
      <c r="C31">
        <v>-1.4890000000000001</v>
      </c>
      <c r="H31" s="1">
        <v>0.95018000000000002</v>
      </c>
      <c r="I31">
        <v>-0.20449999999999999</v>
      </c>
      <c r="N31" s="1">
        <v>-2.35E-2</v>
      </c>
      <c r="O31">
        <v>-0.3412</v>
      </c>
      <c r="S31" s="3"/>
      <c r="T31" s="4"/>
      <c r="U31" s="3"/>
      <c r="V31" s="3"/>
      <c r="W31" s="3"/>
      <c r="X31" s="3"/>
      <c r="Y31" s="3"/>
      <c r="Z31" s="3"/>
      <c r="AA31" s="3"/>
    </row>
    <row r="32" spans="2:49" x14ac:dyDescent="0.35">
      <c r="B32" s="1">
        <v>-1.4510000000000001</v>
      </c>
      <c r="C32">
        <v>-1.4573</v>
      </c>
      <c r="N32" s="1">
        <v>-1.074E-2</v>
      </c>
      <c r="O32">
        <v>-0.30220000000000002</v>
      </c>
      <c r="S32" s="3"/>
      <c r="T32" s="3"/>
      <c r="U32" s="3"/>
      <c r="V32" s="3"/>
      <c r="W32" s="3"/>
      <c r="X32" s="3"/>
      <c r="Y32" s="3"/>
      <c r="Z32" s="3"/>
    </row>
    <row r="33" spans="1:26" x14ac:dyDescent="0.35">
      <c r="B33" s="1">
        <v>-1.5412999999999999</v>
      </c>
      <c r="C33">
        <v>-1.4096</v>
      </c>
      <c r="N33" s="1">
        <v>5.4800000000000001E-2</v>
      </c>
      <c r="O33">
        <v>-0.25469999999999998</v>
      </c>
      <c r="S33" s="3"/>
      <c r="T33" s="3"/>
      <c r="U33" s="3"/>
      <c r="V33" s="3"/>
      <c r="W33" s="3"/>
      <c r="X33" s="3"/>
      <c r="Y33" s="3"/>
      <c r="Z33" s="3"/>
    </row>
    <row r="34" spans="1:26" x14ac:dyDescent="0.35">
      <c r="B34" s="1">
        <v>-1.1961999999999999</v>
      </c>
      <c r="C34">
        <v>-1.3532999999999999</v>
      </c>
      <c r="N34" s="1">
        <v>2.9909999999999999E-2</v>
      </c>
      <c r="O34">
        <v>-0.20419999999999999</v>
      </c>
      <c r="S34" s="3"/>
      <c r="T34" s="3"/>
      <c r="U34" s="3"/>
      <c r="V34" s="3"/>
      <c r="W34" s="3"/>
      <c r="X34" s="3"/>
      <c r="Y34" s="3"/>
      <c r="Z34" s="3"/>
    </row>
    <row r="35" spans="1:26" x14ac:dyDescent="0.35">
      <c r="B35" s="1">
        <v>-0.88139999999999996</v>
      </c>
      <c r="C35">
        <v>-1.2529999999999999</v>
      </c>
      <c r="N35" s="1">
        <v>5.4350000000000002E-2</v>
      </c>
      <c r="O35">
        <v>-0.1696</v>
      </c>
      <c r="S35" s="3"/>
      <c r="T35" s="3"/>
      <c r="U35" s="3"/>
      <c r="V35" s="3"/>
      <c r="W35" s="3"/>
      <c r="X35" s="3"/>
      <c r="Y35" s="3"/>
      <c r="Z35" s="3"/>
    </row>
    <row r="36" spans="1:26" x14ac:dyDescent="0.35">
      <c r="B36" s="1">
        <v>-0.5111</v>
      </c>
      <c r="C36">
        <v>-1.1508</v>
      </c>
      <c r="N36" s="1">
        <v>9.0279999999999999E-2</v>
      </c>
      <c r="O36">
        <v>-0.1022</v>
      </c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t="s">
        <v>5</v>
      </c>
      <c r="B37" s="1">
        <v>-7.6109999999999997E-2</v>
      </c>
      <c r="C37">
        <v>-1.05</v>
      </c>
      <c r="N37" s="1">
        <v>0.12512000000000001</v>
      </c>
      <c r="O37">
        <v>-5.6099999999999997E-2</v>
      </c>
      <c r="S37" s="3"/>
      <c r="T37" s="3"/>
      <c r="U37" s="3"/>
      <c r="V37" s="3"/>
      <c r="W37" s="3"/>
      <c r="X37" s="3"/>
      <c r="Y37" s="3"/>
      <c r="Z37" s="3"/>
    </row>
    <row r="38" spans="1:26" x14ac:dyDescent="0.35">
      <c r="B38" s="1">
        <v>0.19177</v>
      </c>
      <c r="C38">
        <v>-0.99780000000000002</v>
      </c>
      <c r="S38" s="3"/>
      <c r="T38" s="3"/>
      <c r="U38" s="3"/>
      <c r="V38" s="3"/>
      <c r="W38" s="3"/>
      <c r="X38" s="3"/>
      <c r="Y38" s="3"/>
      <c r="Z38" s="3"/>
    </row>
    <row r="39" spans="1:26" x14ac:dyDescent="0.35">
      <c r="B39" s="1">
        <v>1.3740000000000001</v>
      </c>
      <c r="C39">
        <v>-0.80740000000000001</v>
      </c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t="s">
        <v>5</v>
      </c>
      <c r="B40" s="1">
        <v>3.1015999999999999</v>
      </c>
      <c r="C40">
        <v>-0.59619999999999995</v>
      </c>
      <c r="S40" s="3"/>
      <c r="T40" s="3"/>
      <c r="U40" s="3"/>
      <c r="V40" s="3"/>
      <c r="W40" s="3"/>
      <c r="X40" s="3"/>
      <c r="Y40" s="3"/>
      <c r="Z40" s="3"/>
    </row>
    <row r="41" spans="1:26" x14ac:dyDescent="0.35">
      <c r="B41" s="1">
        <v>5.2534000000000001</v>
      </c>
      <c r="C41">
        <v>-0.39269999999999999</v>
      </c>
      <c r="S41" s="3"/>
      <c r="T41" s="3"/>
      <c r="U41" s="3"/>
      <c r="V41" s="3"/>
      <c r="W41" s="3"/>
      <c r="X41" s="3"/>
      <c r="Y41" s="3"/>
      <c r="Z41" s="3"/>
    </row>
    <row r="42" spans="1:26" x14ac:dyDescent="0.35">
      <c r="B42" s="1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B43" s="1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B44" s="1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B45" s="1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B46" s="1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B47" s="1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B48" s="1"/>
      <c r="S48" s="3"/>
      <c r="T48" s="3"/>
      <c r="U48" s="3"/>
      <c r="V48" s="3"/>
      <c r="W48" s="3"/>
      <c r="X48" s="3"/>
      <c r="Y48" s="3"/>
      <c r="Z48" s="3"/>
    </row>
    <row r="49" spans="2:26" x14ac:dyDescent="0.35">
      <c r="B49" s="1"/>
      <c r="S49" s="3"/>
      <c r="T49" s="3"/>
      <c r="U49" s="3"/>
      <c r="V49" s="3"/>
      <c r="W49" s="3"/>
      <c r="X49" s="3"/>
      <c r="Y49" s="3"/>
      <c r="Z49" s="3"/>
    </row>
    <row r="50" spans="2:26" x14ac:dyDescent="0.35">
      <c r="B50" s="1"/>
      <c r="S50" s="3"/>
      <c r="T50" s="3"/>
      <c r="U50" s="3"/>
      <c r="V50" s="3"/>
      <c r="W50" s="3"/>
      <c r="X50" s="3"/>
      <c r="Y50" s="3"/>
      <c r="Z50" s="3"/>
    </row>
    <row r="51" spans="2:26" x14ac:dyDescent="0.35">
      <c r="B51" s="1"/>
      <c r="S51" s="3"/>
      <c r="T51" s="3"/>
      <c r="U51" s="3"/>
      <c r="V51" s="3"/>
      <c r="W51" s="3"/>
      <c r="X51" s="3"/>
      <c r="Y51" s="3"/>
      <c r="Z51" s="3"/>
    </row>
    <row r="52" spans="2:26" x14ac:dyDescent="0.35">
      <c r="B52" s="1"/>
      <c r="S52" s="3"/>
      <c r="T52" s="3"/>
      <c r="U52" s="3"/>
      <c r="V52" s="3"/>
      <c r="W52" s="3"/>
      <c r="X52" s="3"/>
      <c r="Y52" s="3"/>
      <c r="Z52" s="3"/>
    </row>
    <row r="53" spans="2:26" x14ac:dyDescent="0.35">
      <c r="B53" s="1"/>
      <c r="S53" s="3"/>
      <c r="T53" s="3"/>
      <c r="U53" s="3"/>
      <c r="V53" s="3"/>
      <c r="W53" s="3"/>
      <c r="X53" s="3"/>
      <c r="Y53" s="3"/>
      <c r="Z53" s="3"/>
    </row>
    <row r="54" spans="2:26" x14ac:dyDescent="0.35">
      <c r="B54" s="1"/>
      <c r="S54" s="3"/>
      <c r="T54" s="3"/>
      <c r="U54" s="3"/>
      <c r="V54" s="3"/>
      <c r="W54" s="3"/>
      <c r="X54" s="3"/>
      <c r="Y54" s="3"/>
      <c r="Z54" s="3"/>
    </row>
    <row r="55" spans="2:26" x14ac:dyDescent="0.35">
      <c r="B55" s="1"/>
      <c r="S55" s="3"/>
      <c r="T55" s="3"/>
      <c r="U55" s="3"/>
      <c r="V55" s="3"/>
      <c r="W55" s="3"/>
      <c r="X55" s="3"/>
      <c r="Y55" s="3"/>
      <c r="Z55" s="3"/>
    </row>
    <row r="56" spans="2:26" x14ac:dyDescent="0.35">
      <c r="B56" s="1"/>
      <c r="S56" s="3"/>
      <c r="T56" s="3"/>
      <c r="U56" s="3"/>
      <c r="V56" s="3"/>
      <c r="W56" s="3"/>
      <c r="X56" s="3"/>
      <c r="Y56" s="3"/>
      <c r="Z56" s="3"/>
    </row>
    <row r="57" spans="2:26" x14ac:dyDescent="0.35">
      <c r="B57" s="1"/>
      <c r="S57" s="3"/>
      <c r="T57" s="3"/>
      <c r="U57" s="3"/>
      <c r="V57" s="3"/>
      <c r="W57" s="3"/>
      <c r="X57" s="3"/>
      <c r="Y57" s="3"/>
      <c r="Z57" s="3"/>
    </row>
    <row r="58" spans="2:26" x14ac:dyDescent="0.35">
      <c r="B58" s="1"/>
      <c r="S58" s="3"/>
      <c r="T58" s="3"/>
      <c r="U58" s="3"/>
      <c r="V58" s="3"/>
      <c r="W58" s="3"/>
      <c r="X58" s="3"/>
      <c r="Y58" s="3"/>
      <c r="Z58" s="3"/>
    </row>
    <row r="59" spans="2:26" x14ac:dyDescent="0.35">
      <c r="B59" s="1"/>
      <c r="S59" s="3"/>
      <c r="T59" s="3"/>
      <c r="U59" s="3"/>
      <c r="V59" s="3"/>
      <c r="W59" s="3"/>
      <c r="X59" s="3"/>
      <c r="Y59" s="3"/>
      <c r="Z59" s="3"/>
    </row>
    <row r="60" spans="2:26" x14ac:dyDescent="0.35">
      <c r="B60" s="1"/>
      <c r="S60" s="3"/>
      <c r="T60" s="3"/>
      <c r="U60" s="3"/>
      <c r="V60" s="3"/>
      <c r="W60" s="3"/>
      <c r="X60" s="3"/>
      <c r="Y60" s="3"/>
      <c r="Z60" s="3"/>
    </row>
    <row r="61" spans="2:26" x14ac:dyDescent="0.35">
      <c r="B61" s="1"/>
      <c r="S61" s="3"/>
      <c r="T61" s="3"/>
      <c r="U61" s="3"/>
      <c r="V61" s="3"/>
      <c r="W61" s="3"/>
      <c r="X61" s="3"/>
      <c r="Y61" s="3"/>
      <c r="Z61" s="3"/>
    </row>
    <row r="62" spans="2:26" x14ac:dyDescent="0.35">
      <c r="B62" s="1"/>
      <c r="S62" s="3"/>
      <c r="T62" s="3"/>
      <c r="U62" s="3"/>
      <c r="V62" s="3"/>
      <c r="W62" s="3"/>
      <c r="X62" s="3"/>
      <c r="Y62" s="3"/>
      <c r="Z62" s="3"/>
    </row>
    <row r="63" spans="2:26" x14ac:dyDescent="0.35">
      <c r="B63" s="1"/>
      <c r="S63" s="3"/>
      <c r="T63" s="3"/>
      <c r="U63" s="3"/>
      <c r="V63" s="3"/>
      <c r="W63" s="3"/>
      <c r="X63" s="3"/>
      <c r="Y63" s="3"/>
      <c r="Z63" s="3"/>
    </row>
    <row r="64" spans="2:26" x14ac:dyDescent="0.35">
      <c r="B64" s="1"/>
      <c r="S64" s="3"/>
      <c r="T64" s="3"/>
      <c r="U64" s="3"/>
      <c r="V64" s="3"/>
      <c r="W64" s="3"/>
      <c r="X64" s="3"/>
      <c r="Y64" s="3"/>
      <c r="Z64" s="3"/>
    </row>
    <row r="65" spans="2:26" x14ac:dyDescent="0.35">
      <c r="B65" s="1"/>
      <c r="S65" s="3"/>
      <c r="T65" s="3"/>
      <c r="U65" s="3"/>
      <c r="V65" s="3"/>
      <c r="W65" s="3"/>
      <c r="X65" s="3"/>
      <c r="Y65" s="3"/>
      <c r="Z65" s="3"/>
    </row>
    <row r="66" spans="2:26" x14ac:dyDescent="0.35">
      <c r="B66" s="1"/>
      <c r="S66" s="3"/>
      <c r="T66" s="3"/>
      <c r="U66" s="3"/>
      <c r="V66" s="3"/>
      <c r="W66" s="3"/>
      <c r="X66" s="3"/>
      <c r="Y66" s="3"/>
      <c r="Z66" s="3"/>
    </row>
    <row r="67" spans="2:26" x14ac:dyDescent="0.35">
      <c r="B67" s="1"/>
      <c r="S67" s="3"/>
      <c r="T67" s="3"/>
      <c r="U67" s="3"/>
      <c r="V67" s="3"/>
      <c r="W67" s="3"/>
      <c r="X67" s="3"/>
      <c r="Y67" s="3"/>
      <c r="Z67" s="3"/>
    </row>
    <row r="68" spans="2:26" x14ac:dyDescent="0.35">
      <c r="B68" s="1"/>
      <c r="S68" s="3"/>
      <c r="T68" s="3"/>
      <c r="U68" s="3"/>
      <c r="V68" s="3"/>
      <c r="W68" s="3"/>
      <c r="X68" s="3"/>
      <c r="Y68" s="3"/>
      <c r="Z68" s="3"/>
    </row>
    <row r="69" spans="2:26" x14ac:dyDescent="0.35">
      <c r="B69" s="1"/>
      <c r="S69" s="3"/>
      <c r="T69" s="3"/>
      <c r="U69" s="3"/>
      <c r="V69" s="3"/>
      <c r="W69" s="3"/>
      <c r="X69" s="3"/>
      <c r="Y69" s="3"/>
      <c r="Z69" s="3"/>
    </row>
    <row r="70" spans="2:26" x14ac:dyDescent="0.35">
      <c r="B70" s="1"/>
      <c r="S70" s="3"/>
      <c r="T70" s="3"/>
      <c r="U70" s="3"/>
      <c r="V70" s="3"/>
      <c r="W70" s="3"/>
      <c r="X70" s="3"/>
      <c r="Y70" s="3"/>
      <c r="Z70" s="3"/>
    </row>
    <row r="71" spans="2:26" x14ac:dyDescent="0.35">
      <c r="B71" s="1"/>
      <c r="S71" s="3"/>
      <c r="T71" s="3"/>
      <c r="U71" s="3"/>
      <c r="V71" s="3"/>
      <c r="W71" s="3"/>
      <c r="X71" s="3"/>
      <c r="Y71" s="3"/>
      <c r="Z71" s="3"/>
    </row>
    <row r="72" spans="2:26" x14ac:dyDescent="0.35">
      <c r="B72" s="1"/>
      <c r="S72" s="3"/>
      <c r="T72" s="3"/>
      <c r="U72" s="3"/>
      <c r="V72" s="3"/>
      <c r="W72" s="3"/>
      <c r="X72" s="3"/>
      <c r="Y72" s="3"/>
      <c r="Z72" s="3"/>
    </row>
    <row r="73" spans="2:26" x14ac:dyDescent="0.35">
      <c r="B73" s="1"/>
      <c r="S73" s="3"/>
      <c r="T73" s="3"/>
      <c r="U73" s="3"/>
      <c r="V73" s="3"/>
      <c r="W73" s="3"/>
      <c r="X73" s="3"/>
      <c r="Y73" s="3"/>
      <c r="Z73" s="3"/>
    </row>
    <row r="74" spans="2:26" x14ac:dyDescent="0.35">
      <c r="B74" s="1"/>
    </row>
    <row r="75" spans="2:26" x14ac:dyDescent="0.35">
      <c r="B75" s="1"/>
    </row>
    <row r="76" spans="2:26" x14ac:dyDescent="0.35">
      <c r="B76" s="1"/>
    </row>
    <row r="77" spans="2:26" x14ac:dyDescent="0.35">
      <c r="B77" s="1"/>
    </row>
    <row r="78" spans="2:26" x14ac:dyDescent="0.35">
      <c r="B78" s="1"/>
    </row>
    <row r="79" spans="2:26" x14ac:dyDescent="0.35">
      <c r="B7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Scholl</dc:creator>
  <cp:lastModifiedBy>Helke Parussel</cp:lastModifiedBy>
  <dcterms:created xsi:type="dcterms:W3CDTF">2022-03-30T05:46:59Z</dcterms:created>
  <dcterms:modified xsi:type="dcterms:W3CDTF">2022-04-04T20:21:56Z</dcterms:modified>
</cp:coreProperties>
</file>