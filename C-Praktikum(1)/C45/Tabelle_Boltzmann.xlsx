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um\C Praktikum\45\"/>
    </mc:Choice>
  </mc:AlternateContent>
  <xr:revisionPtr revIDLastSave="0" documentId="13_ncr:1_{346E8CC4-79E6-42CE-AFBB-1C64B2FE3089}" xr6:coauthVersionLast="47" xr6:coauthVersionMax="47" xr10:uidLastSave="{00000000-0000-0000-0000-000000000000}"/>
  <bookViews>
    <workbookView xWindow="-110" yWindow="-110" windowWidth="19420" windowHeight="10420" xr2:uid="{536DD896-15B0-4583-9E8E-79CA2848850A}"/>
  </bookViews>
  <sheets>
    <sheet name="Messfehler und Berechnu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3" i="2" l="1"/>
  <c r="R13" i="2"/>
  <c r="T12" i="2"/>
  <c r="AC6" i="2"/>
  <c r="AD6" i="2" s="1"/>
  <c r="AE6" i="2" s="1"/>
  <c r="B11" i="2"/>
  <c r="U12" i="2"/>
  <c r="S14" i="2"/>
  <c r="S13" i="2"/>
  <c r="S12" i="2"/>
  <c r="R14" i="2"/>
  <c r="R12" i="2"/>
  <c r="Q14" i="2"/>
  <c r="Q13" i="2"/>
  <c r="Q12" i="2"/>
  <c r="O14" i="2"/>
  <c r="O13" i="2"/>
  <c r="O12" i="2"/>
  <c r="O5" i="2"/>
  <c r="AD20" i="2"/>
  <c r="AE21" i="2" s="1"/>
  <c r="AG18" i="2"/>
  <c r="AF18" i="2"/>
  <c r="AB16" i="2"/>
  <c r="AB15" i="2"/>
  <c r="AB14" i="2"/>
  <c r="AC8" i="2"/>
  <c r="AD8" i="2" s="1"/>
  <c r="AE8" i="2" s="1"/>
  <c r="D6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AC16" i="2"/>
  <c r="AD16" i="2" s="1"/>
  <c r="AC15" i="2"/>
  <c r="AD15" i="2" s="1"/>
  <c r="AC14" i="2"/>
  <c r="AD14" i="2" s="1"/>
  <c r="AC7" i="2"/>
  <c r="AD7" i="2" s="1"/>
  <c r="AE7" i="2" s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6" i="2"/>
  <c r="D22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U13" i="2" l="1"/>
  <c r="T14" i="2"/>
  <c r="U14" i="2" s="1"/>
  <c r="AE14" i="2"/>
  <c r="AD18" i="2"/>
  <c r="AE16" i="2"/>
  <c r="AE15" i="2"/>
  <c r="T17" i="2" l="1"/>
  <c r="U17" i="2" s="1"/>
  <c r="AE18" i="2"/>
</calcChain>
</file>

<file path=xl/sharedStrings.xml><?xml version="1.0" encoding="utf-8"?>
<sst xmlns="http://schemas.openxmlformats.org/spreadsheetml/2006/main" count="51" uniqueCount="38">
  <si>
    <t>U in V</t>
  </si>
  <si>
    <t>Messfehler Agilent 34405A</t>
  </si>
  <si>
    <t>Messwert</t>
  </si>
  <si>
    <t>Bereich 10mA</t>
  </si>
  <si>
    <t>m</t>
  </si>
  <si>
    <t>Dm</t>
  </si>
  <si>
    <t>1,602176634</t>
  </si>
  <si>
    <t>*10^-19</t>
  </si>
  <si>
    <t>kB *10^(-19)</t>
  </si>
  <si>
    <t>DTemp in K</t>
  </si>
  <si>
    <t>kB *10^-23</t>
  </si>
  <si>
    <t>DD Temp</t>
  </si>
  <si>
    <t>I</t>
  </si>
  <si>
    <t>DI</t>
  </si>
  <si>
    <t>U</t>
  </si>
  <si>
    <t>DU</t>
  </si>
  <si>
    <t>Messbereich 1 V</t>
  </si>
  <si>
    <t>T in K</t>
  </si>
  <si>
    <t>DT</t>
  </si>
  <si>
    <t>q_e</t>
  </si>
  <si>
    <t>B</t>
  </si>
  <si>
    <t>DB</t>
  </si>
  <si>
    <t>k</t>
  </si>
  <si>
    <t>Dk</t>
  </si>
  <si>
    <t>DU in V</t>
  </si>
  <si>
    <t>Elementarladung e</t>
  </si>
  <si>
    <t>Origin</t>
  </si>
  <si>
    <t>Handbuch</t>
  </si>
  <si>
    <t>berechnet</t>
  </si>
  <si>
    <t>Fehler kB</t>
  </si>
  <si>
    <t>eingestellt</t>
  </si>
  <si>
    <t>woher?</t>
  </si>
  <si>
    <t>was?</t>
  </si>
  <si>
    <t>Konstante</t>
  </si>
  <si>
    <t>origin</t>
  </si>
  <si>
    <t>ermittelter Wert:</t>
  </si>
  <si>
    <t>irgendwelcher Krams</t>
  </si>
  <si>
    <t>k=qB/T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</si>
</sst>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E+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5" xfId="0" applyFill="1" applyBorder="1"/>
    <xf numFmtId="165" fontId="0" fillId="2" borderId="0" xfId="0" applyNumberFormat="1" applyFill="1" applyBorder="1"/>
    <xf numFmtId="165" fontId="0" fillId="2" borderId="5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0" fontId="0" fillId="3" borderId="0" xfId="0" applyFill="1" applyBorder="1"/>
    <xf numFmtId="0" fontId="0" fillId="3" borderId="5" xfId="0" applyFill="1" applyBorder="1"/>
    <xf numFmtId="49" fontId="0" fillId="0" borderId="0" xfId="0" applyNumberFormat="1" applyBorder="1"/>
    <xf numFmtId="164" fontId="0" fillId="0" borderId="0" xfId="0" applyNumberFormat="1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</xdr:row>
      <xdr:rowOff>0</xdr:rowOff>
    </xdr:from>
    <xdr:to>
      <xdr:col>29</xdr:col>
      <xdr:colOff>304800</xdr:colOff>
      <xdr:row>2</xdr:row>
      <xdr:rowOff>120650</xdr:rowOff>
    </xdr:to>
    <xdr:sp macro="" textlink="">
      <xdr:nvSpPr>
        <xdr:cNvPr id="2049" name="AutoShape 1" descr="{\displaystyle e=1{,}602\,176\,634\cdot 10^{-19}\,\mathrm {C} \,}">
          <a:extLst>
            <a:ext uri="{FF2B5EF4-FFF2-40B4-BE49-F238E27FC236}">
              <a16:creationId xmlns:a16="http://schemas.microsoft.com/office/drawing/2014/main" id="{5004C259-5263-4DF4-8781-F43F4190D678}"/>
            </a:ext>
          </a:extLst>
        </xdr:cNvPr>
        <xdr:cNvSpPr>
          <a:spLocks noChangeAspect="1" noChangeArrowheads="1"/>
        </xdr:cNvSpPr>
      </xdr:nvSpPr>
      <xdr:spPr bwMode="auto">
        <a:xfrm>
          <a:off x="847725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0978-A8E1-4C9A-B432-946DC71055D7}">
  <dimension ref="A1:AG132"/>
  <sheetViews>
    <sheetView tabSelected="1" zoomScale="77" zoomScaleNormal="130" workbookViewId="0">
      <selection activeCell="F14" sqref="F14"/>
    </sheetView>
  </sheetViews>
  <sheetFormatPr baseColWidth="10" defaultRowHeight="14.5" x14ac:dyDescent="0.35"/>
  <cols>
    <col min="2" max="2" width="12.26953125" bestFit="1" customWidth="1"/>
    <col min="14" max="14" width="16.54296875" bestFit="1" customWidth="1"/>
    <col min="20" max="20" width="15.1796875" bestFit="1" customWidth="1"/>
    <col min="21" max="21" width="14.36328125" bestFit="1" customWidth="1"/>
  </cols>
  <sheetData>
    <row r="1" spans="1:33" x14ac:dyDescent="0.35">
      <c r="A1" t="s">
        <v>1</v>
      </c>
    </row>
    <row r="2" spans="1:33" x14ac:dyDescent="0.35">
      <c r="A2" t="s">
        <v>2</v>
      </c>
      <c r="B2" t="s">
        <v>3</v>
      </c>
      <c r="D2" t="s">
        <v>2</v>
      </c>
      <c r="E2" t="s">
        <v>16</v>
      </c>
      <c r="Y2" s="3" t="s">
        <v>36</v>
      </c>
      <c r="Z2" s="4"/>
      <c r="AA2" s="4"/>
      <c r="AB2" s="2" t="s">
        <v>25</v>
      </c>
      <c r="AC2" s="2"/>
      <c r="AD2" s="1" t="s">
        <v>6</v>
      </c>
      <c r="AE2" t="s">
        <v>7</v>
      </c>
      <c r="AF2" s="4"/>
      <c r="AG2" s="5"/>
    </row>
    <row r="3" spans="1:33" x14ac:dyDescent="0.35">
      <c r="A3">
        <v>0.05</v>
      </c>
      <c r="B3">
        <v>1.4999999999999999E-2</v>
      </c>
      <c r="D3">
        <v>2.5000000000000001E-2</v>
      </c>
      <c r="E3">
        <v>6.0000000000000001E-3</v>
      </c>
      <c r="Y3" s="6"/>
      <c r="Z3" s="7"/>
      <c r="AA3" s="7"/>
      <c r="AD3" s="1"/>
      <c r="AF3" s="7"/>
      <c r="AG3" s="8"/>
    </row>
    <row r="4" spans="1:33" x14ac:dyDescent="0.35">
      <c r="Y4" s="6"/>
      <c r="Z4" s="7" t="s">
        <v>27</v>
      </c>
      <c r="AA4" s="7" t="s">
        <v>26</v>
      </c>
      <c r="AB4" s="7" t="s">
        <v>26</v>
      </c>
      <c r="AC4" s="7" t="s">
        <v>28</v>
      </c>
      <c r="AD4" s="7"/>
      <c r="AE4" s="7"/>
      <c r="AF4" s="7"/>
      <c r="AG4" s="8"/>
    </row>
    <row r="5" spans="1:33" x14ac:dyDescent="0.35">
      <c r="A5" t="s">
        <v>0</v>
      </c>
      <c r="B5" t="s">
        <v>24</v>
      </c>
      <c r="C5" t="s">
        <v>12</v>
      </c>
      <c r="D5" t="s">
        <v>13</v>
      </c>
      <c r="E5" t="s">
        <v>14</v>
      </c>
      <c r="F5" t="s">
        <v>15</v>
      </c>
      <c r="G5" t="s">
        <v>12</v>
      </c>
      <c r="H5" t="s">
        <v>13</v>
      </c>
      <c r="I5" t="s">
        <v>14</v>
      </c>
      <c r="J5" t="s">
        <v>15</v>
      </c>
      <c r="K5" t="s">
        <v>12</v>
      </c>
      <c r="L5" t="s">
        <v>13</v>
      </c>
      <c r="N5" t="s">
        <v>25</v>
      </c>
      <c r="O5">
        <f>1.602*10^(-19)</f>
        <v>1.602E-19</v>
      </c>
      <c r="Y5" s="6" t="s">
        <v>9</v>
      </c>
      <c r="Z5" s="7" t="s">
        <v>11</v>
      </c>
      <c r="AA5" s="7" t="s">
        <v>4</v>
      </c>
      <c r="AB5" s="7" t="s">
        <v>5</v>
      </c>
      <c r="AC5" s="7" t="s">
        <v>8</v>
      </c>
      <c r="AD5" s="7" t="s">
        <v>10</v>
      </c>
      <c r="AE5" s="7" t="s">
        <v>29</v>
      </c>
      <c r="AF5" s="7"/>
      <c r="AG5" s="8"/>
    </row>
    <row r="6" spans="1:33" x14ac:dyDescent="0.35">
      <c r="C6">
        <v>0</v>
      </c>
      <c r="D6">
        <f>(C6*0.05+0.015*10)*0.01</f>
        <v>1.5E-3</v>
      </c>
      <c r="G6">
        <v>-1E-3</v>
      </c>
      <c r="H6">
        <f>(G6*0.05+0.015*10)*0.01</f>
        <v>1.4995E-3</v>
      </c>
      <c r="K6">
        <v>2E-3</v>
      </c>
      <c r="L6">
        <f>(K6*0.05+0.015*10)*0.01</f>
        <v>1.5009999999999999E-3</v>
      </c>
      <c r="Y6" s="6">
        <v>40</v>
      </c>
      <c r="Z6" s="7">
        <v>0.4</v>
      </c>
      <c r="AA6" s="7">
        <v>33.605229999999999</v>
      </c>
      <c r="AB6" s="7">
        <v>0.15837999999999999</v>
      </c>
      <c r="AC6" s="21">
        <f>AD$2/(AA6*(Y6+273.15))</f>
        <v>1.5224782798347518E-4</v>
      </c>
      <c r="AD6" s="22">
        <f>AC6*10^4</f>
        <v>1.5224782798347518</v>
      </c>
      <c r="AE6" s="7">
        <f>(Z6/(Y6+273.15)+AB6/AA6)*AD6</f>
        <v>9.1201016523404892E-3</v>
      </c>
      <c r="AF6" s="7"/>
      <c r="AG6" s="8"/>
    </row>
    <row r="7" spans="1:33" x14ac:dyDescent="0.35">
      <c r="C7">
        <v>1E-3</v>
      </c>
      <c r="D7">
        <f t="shared" ref="D7:D21" si="0">(C7*0.05+0.015*10)*0.01</f>
        <v>1.5004999999999999E-3</v>
      </c>
      <c r="G7">
        <v>1E-3</v>
      </c>
      <c r="H7">
        <f t="shared" ref="H7:H50" si="1">(G7*0.05+0.015*10)*0.01</f>
        <v>1.5004999999999999E-3</v>
      </c>
      <c r="K7">
        <v>7.0000000000000001E-3</v>
      </c>
      <c r="L7">
        <f t="shared" ref="L7:L70" si="2">(K7*0.05+0.015*10)*0.01</f>
        <v>1.5034999999999998E-3</v>
      </c>
      <c r="N7" t="s">
        <v>37</v>
      </c>
      <c r="Y7" s="6">
        <v>80</v>
      </c>
      <c r="Z7" s="7">
        <v>0.4</v>
      </c>
      <c r="AA7" s="7">
        <v>30.09384</v>
      </c>
      <c r="AB7" s="7">
        <v>0.13730999999999999</v>
      </c>
      <c r="AC7" s="21">
        <f>AD$2/(AA7*(Y7+273.15))</f>
        <v>1.5075564235383205E-4</v>
      </c>
      <c r="AD7" s="22">
        <f t="shared" ref="AD7:AD8" si="3">AC7*10^4</f>
        <v>1.5075564235383205</v>
      </c>
      <c r="AE7" s="7">
        <f t="shared" ref="AE7:AE8" si="4">(Z7/(Y7+273.15)+AB7/AA7)*AD7</f>
        <v>8.5861232289774093E-3</v>
      </c>
      <c r="AF7" s="7"/>
      <c r="AG7" s="8"/>
    </row>
    <row r="8" spans="1:33" x14ac:dyDescent="0.35">
      <c r="C8">
        <v>1E-3</v>
      </c>
      <c r="D8">
        <f t="shared" si="0"/>
        <v>1.5004999999999999E-3</v>
      </c>
      <c r="G8">
        <v>3.0000000000000001E-3</v>
      </c>
      <c r="H8">
        <f t="shared" si="1"/>
        <v>1.5015E-3</v>
      </c>
      <c r="K8">
        <v>8.9999999999999993E-3</v>
      </c>
      <c r="L8">
        <f t="shared" si="2"/>
        <v>1.5045E-3</v>
      </c>
      <c r="Y8" s="6">
        <v>120</v>
      </c>
      <c r="Z8" s="7">
        <v>0.4</v>
      </c>
      <c r="AA8" s="7">
        <v>26.935179999999999</v>
      </c>
      <c r="AB8" s="7">
        <v>6.8459999999999993E-2</v>
      </c>
      <c r="AC8" s="21">
        <f>AD$2/(AA8*(Y8+273.15))</f>
        <v>1.5129766710249881E-4</v>
      </c>
      <c r="AD8" s="22">
        <f t="shared" si="3"/>
        <v>1.5129766710249881</v>
      </c>
      <c r="AE8" s="7">
        <f t="shared" si="4"/>
        <v>5.3848062076289312E-3</v>
      </c>
      <c r="AF8" s="7"/>
      <c r="AG8" s="8"/>
    </row>
    <row r="9" spans="1:33" x14ac:dyDescent="0.35">
      <c r="C9">
        <v>1E-3</v>
      </c>
      <c r="D9">
        <f t="shared" si="0"/>
        <v>1.5004999999999999E-3</v>
      </c>
      <c r="G9">
        <v>6.0000000000000001E-3</v>
      </c>
      <c r="H9">
        <f t="shared" si="1"/>
        <v>1.503E-3</v>
      </c>
      <c r="K9">
        <v>1.0999999999999999E-2</v>
      </c>
      <c r="L9">
        <f t="shared" si="2"/>
        <v>1.5054999999999999E-3</v>
      </c>
      <c r="Y9" s="6"/>
      <c r="Z9" s="7"/>
      <c r="AA9" s="7"/>
      <c r="AB9" s="7"/>
      <c r="AC9" s="21"/>
      <c r="AD9" s="22"/>
      <c r="AE9" s="7"/>
      <c r="AF9" s="7"/>
      <c r="AG9" s="8"/>
    </row>
    <row r="10" spans="1:33" x14ac:dyDescent="0.35">
      <c r="C10">
        <v>2E-3</v>
      </c>
      <c r="D10">
        <f t="shared" si="0"/>
        <v>1.5009999999999999E-3</v>
      </c>
      <c r="G10">
        <v>0.01</v>
      </c>
      <c r="H10">
        <f t="shared" si="1"/>
        <v>1.505E-3</v>
      </c>
      <c r="K10">
        <v>1.7000000000000001E-2</v>
      </c>
      <c r="L10">
        <f t="shared" si="2"/>
        <v>1.5084999999999999E-3</v>
      </c>
      <c r="N10" s="3" t="s">
        <v>31</v>
      </c>
      <c r="O10" s="4" t="s">
        <v>30</v>
      </c>
      <c r="P10" s="4" t="s">
        <v>27</v>
      </c>
      <c r="Q10" s="4" t="s">
        <v>33</v>
      </c>
      <c r="R10" s="4" t="s">
        <v>34</v>
      </c>
      <c r="S10" s="4" t="s">
        <v>34</v>
      </c>
      <c r="T10" s="11" t="s">
        <v>28</v>
      </c>
      <c r="U10" s="12" t="s">
        <v>28</v>
      </c>
      <c r="Y10" s="6"/>
      <c r="Z10" s="7"/>
      <c r="AA10" s="7"/>
      <c r="AB10" s="7"/>
      <c r="AC10" s="7"/>
      <c r="AD10" s="7"/>
      <c r="AE10" s="7"/>
      <c r="AF10" s="7"/>
      <c r="AG10" s="8"/>
    </row>
    <row r="11" spans="1:33" x14ac:dyDescent="0.35">
      <c r="A11">
        <v>0.30959999999999999</v>
      </c>
      <c r="B11">
        <f>(D$3*A11+0.006*1)*0.01</f>
        <v>1.3740000000000001E-4</v>
      </c>
      <c r="C11">
        <v>4.0000000000000001E-3</v>
      </c>
      <c r="D11">
        <f t="shared" si="0"/>
        <v>1.5020000000000001E-3</v>
      </c>
      <c r="G11">
        <v>3.3000000000000002E-2</v>
      </c>
      <c r="H11">
        <f t="shared" si="1"/>
        <v>1.5165000000000001E-3</v>
      </c>
      <c r="K11">
        <v>2.1999999999999999E-2</v>
      </c>
      <c r="L11">
        <f t="shared" si="2"/>
        <v>1.511E-3</v>
      </c>
      <c r="N11" s="6" t="s">
        <v>32</v>
      </c>
      <c r="O11" s="7" t="s">
        <v>17</v>
      </c>
      <c r="P11" s="7" t="s">
        <v>18</v>
      </c>
      <c r="Q11" s="7" t="s">
        <v>19</v>
      </c>
      <c r="R11" s="7" t="s">
        <v>20</v>
      </c>
      <c r="S11" s="7" t="s">
        <v>21</v>
      </c>
      <c r="T11" s="13" t="s">
        <v>22</v>
      </c>
      <c r="U11" s="14" t="s">
        <v>23</v>
      </c>
      <c r="Y11" s="6"/>
      <c r="Z11" s="7"/>
      <c r="AA11" s="7"/>
      <c r="AB11" s="7"/>
      <c r="AC11" s="7"/>
      <c r="AD11" s="7"/>
      <c r="AE11" s="7"/>
      <c r="AF11" s="7"/>
      <c r="AG11" s="8"/>
    </row>
    <row r="12" spans="1:33" x14ac:dyDescent="0.35">
      <c r="A12">
        <v>0.318</v>
      </c>
      <c r="B12">
        <f t="shared" ref="B11:B38" si="5">(D$3*A12+0.006*1)*0.01</f>
        <v>1.395E-4</v>
      </c>
      <c r="C12">
        <v>5.0000000000000001E-3</v>
      </c>
      <c r="D12">
        <f t="shared" si="0"/>
        <v>1.5024999999999999E-3</v>
      </c>
      <c r="G12">
        <v>5.2999999999999999E-2</v>
      </c>
      <c r="H12">
        <f t="shared" si="1"/>
        <v>1.5265000000000001E-3</v>
      </c>
      <c r="K12">
        <v>2.5000000000000001E-2</v>
      </c>
      <c r="L12">
        <f t="shared" si="2"/>
        <v>1.5125E-3</v>
      </c>
      <c r="N12" s="6"/>
      <c r="O12" s="7">
        <f>40+273.15</f>
        <v>313.14999999999998</v>
      </c>
      <c r="P12" s="7">
        <v>0.4</v>
      </c>
      <c r="Q12" s="7">
        <f>1.602*10^(-19)</f>
        <v>1.602E-19</v>
      </c>
      <c r="R12" s="7">
        <f>26.59*10^(-3)</f>
        <v>2.6589999999999999E-2</v>
      </c>
      <c r="S12" s="7">
        <f>0.15*10^-3</f>
        <v>1.4999999999999999E-4</v>
      </c>
      <c r="T12" s="15">
        <f>Q12*R12/O12</f>
        <v>1.3602803768162223E-23</v>
      </c>
      <c r="U12" s="16">
        <f>(S12/R12+P12/O12)*T12</f>
        <v>9.4111836203943442E-26</v>
      </c>
      <c r="Y12" s="6"/>
      <c r="Z12" s="7"/>
      <c r="AA12" s="7"/>
      <c r="AB12" s="7"/>
      <c r="AC12" s="7"/>
      <c r="AD12" s="7"/>
      <c r="AE12" s="7"/>
      <c r="AF12" s="7"/>
      <c r="AG12" s="8"/>
    </row>
    <row r="13" spans="1:33" x14ac:dyDescent="0.35">
      <c r="A13">
        <v>0.33289999999999997</v>
      </c>
      <c r="B13">
        <f t="shared" si="5"/>
        <v>1.43225E-4</v>
      </c>
      <c r="C13">
        <v>0.01</v>
      </c>
      <c r="D13">
        <f t="shared" si="0"/>
        <v>1.505E-3</v>
      </c>
      <c r="G13">
        <v>0.10100000000000001</v>
      </c>
      <c r="H13">
        <f t="shared" si="1"/>
        <v>1.5505E-3</v>
      </c>
      <c r="K13">
        <v>2.9000000000000001E-2</v>
      </c>
      <c r="L13">
        <f t="shared" si="2"/>
        <v>1.5145E-3</v>
      </c>
      <c r="N13" s="6"/>
      <c r="O13" s="7">
        <f>80+273.15</f>
        <v>353.15</v>
      </c>
      <c r="P13" s="7">
        <v>0.4</v>
      </c>
      <c r="Q13" s="7">
        <f>Q12</f>
        <v>1.602E-19</v>
      </c>
      <c r="R13" s="7">
        <f>29.91*10^(-3)</f>
        <v>2.9909999999999999E-2</v>
      </c>
      <c r="S13" s="7">
        <f>0.04*10^-3</f>
        <v>4.0000000000000003E-5</v>
      </c>
      <c r="T13" s="15">
        <f>Q13*R13/O13</f>
        <v>1.3568121194959648E-23</v>
      </c>
      <c r="U13" s="14">
        <f t="shared" ref="U13:U14" si="6">(S13/R13+P13/O13)*T13</f>
        <v>3.3513375273917206E-26</v>
      </c>
      <c r="Y13" s="6"/>
      <c r="Z13" s="7"/>
      <c r="AA13" s="7"/>
      <c r="AB13" s="7"/>
      <c r="AC13" s="7"/>
      <c r="AD13" s="7"/>
      <c r="AE13" s="7"/>
      <c r="AF13" s="7"/>
      <c r="AG13" s="8"/>
    </row>
    <row r="14" spans="1:33" x14ac:dyDescent="0.35">
      <c r="A14">
        <v>0.34849999999999998</v>
      </c>
      <c r="B14">
        <f t="shared" si="5"/>
        <v>1.4712500000000001E-4</v>
      </c>
      <c r="C14">
        <v>1.7999999999999999E-2</v>
      </c>
      <c r="D14">
        <f t="shared" si="0"/>
        <v>1.5090000000000001E-3</v>
      </c>
      <c r="G14">
        <v>0.20499999999999999</v>
      </c>
      <c r="H14">
        <f t="shared" si="1"/>
        <v>1.6025E-3</v>
      </c>
      <c r="K14">
        <v>3.3000000000000002E-2</v>
      </c>
      <c r="L14">
        <f t="shared" si="2"/>
        <v>1.5165000000000001E-3</v>
      </c>
      <c r="N14" s="6"/>
      <c r="O14" s="7">
        <f>120+273.15</f>
        <v>393.15</v>
      </c>
      <c r="P14" s="7">
        <v>0.4</v>
      </c>
      <c r="Q14" s="7">
        <f>Q12</f>
        <v>1.602E-19</v>
      </c>
      <c r="R14" s="7">
        <f>33.13*10^(-3)</f>
        <v>3.3130000000000007E-2</v>
      </c>
      <c r="S14" s="7">
        <f>0.05*10^-3</f>
        <v>5.0000000000000002E-5</v>
      </c>
      <c r="T14" s="15">
        <f t="shared" ref="T13:T14" si="7">Q14*R14/O14</f>
        <v>1.3499748187714616E-23</v>
      </c>
      <c r="U14" s="14">
        <f t="shared" si="6"/>
        <v>3.410886245729581E-26</v>
      </c>
      <c r="Y14" s="6">
        <v>40</v>
      </c>
      <c r="Z14" s="7">
        <v>0.4</v>
      </c>
      <c r="AA14" s="7">
        <v>34.700000000000003</v>
      </c>
      <c r="AB14" s="7">
        <f>0.1*AA14</f>
        <v>3.4700000000000006</v>
      </c>
      <c r="AC14" s="21">
        <f>AD$2/(AA14*(Y14+273.15))</f>
        <v>1.4744447482377865E-4</v>
      </c>
      <c r="AD14" s="22">
        <f>AC14*10^4</f>
        <v>1.4744447482377865</v>
      </c>
      <c r="AE14" s="7">
        <f>(Z14/(Y14+273.15)+AB14/AA14)*AD14</f>
        <v>0.14932784668804536</v>
      </c>
      <c r="AF14" s="7"/>
      <c r="AG14" s="8"/>
    </row>
    <row r="15" spans="1:33" x14ac:dyDescent="0.35">
      <c r="A15">
        <v>0.37390000000000001</v>
      </c>
      <c r="B15">
        <f t="shared" si="5"/>
        <v>1.53475E-4</v>
      </c>
      <c r="C15">
        <v>4.5999999999999999E-2</v>
      </c>
      <c r="D15">
        <f t="shared" si="0"/>
        <v>1.523E-3</v>
      </c>
      <c r="G15">
        <v>0.33</v>
      </c>
      <c r="H15">
        <f t="shared" si="1"/>
        <v>1.6649999999999998E-3</v>
      </c>
      <c r="K15">
        <v>3.9E-2</v>
      </c>
      <c r="L15">
        <f t="shared" si="2"/>
        <v>1.5195E-3</v>
      </c>
      <c r="N15" s="6"/>
      <c r="O15" s="7"/>
      <c r="P15" s="7"/>
      <c r="Q15" s="7"/>
      <c r="R15" s="7"/>
      <c r="S15" s="7"/>
      <c r="T15" s="19"/>
      <c r="U15" s="20"/>
      <c r="Y15" s="6">
        <v>80</v>
      </c>
      <c r="Z15" s="7">
        <v>0.4</v>
      </c>
      <c r="AA15" s="7">
        <v>30.7989</v>
      </c>
      <c r="AB15" s="7">
        <f>0.1*AA15</f>
        <v>3.0798900000000002</v>
      </c>
      <c r="AC15" s="21">
        <f>AD$2/(AA15*(Y15+273.15))</f>
        <v>1.4730448750096417E-4</v>
      </c>
      <c r="AD15" s="22">
        <f t="shared" ref="AD15:AD16" si="8">AC15*10^4</f>
        <v>1.4730448750096417</v>
      </c>
      <c r="AE15" s="7">
        <f t="shared" ref="AE15:AE16" si="9">(Z15/(Y15+273.15)+AB15/AA15)*AD15</f>
        <v>0.14897295118496207</v>
      </c>
      <c r="AF15" s="7"/>
      <c r="AG15" s="8"/>
    </row>
    <row r="16" spans="1:33" x14ac:dyDescent="0.35">
      <c r="A16">
        <v>0.39960000000000001</v>
      </c>
      <c r="B16">
        <f t="shared" si="5"/>
        <v>1.5990000000000001E-4</v>
      </c>
      <c r="C16">
        <v>0.12</v>
      </c>
      <c r="D16">
        <f t="shared" si="0"/>
        <v>1.56E-3</v>
      </c>
      <c r="G16">
        <v>0.41199999999999998</v>
      </c>
      <c r="H16">
        <f t="shared" si="1"/>
        <v>1.7060000000000001E-3</v>
      </c>
      <c r="K16">
        <v>4.4999999999999998E-2</v>
      </c>
      <c r="L16">
        <f t="shared" si="2"/>
        <v>1.5225E-3</v>
      </c>
      <c r="N16" s="6"/>
      <c r="O16" s="7"/>
      <c r="P16" s="7"/>
      <c r="Q16" s="7"/>
      <c r="R16" s="7"/>
      <c r="S16" s="7"/>
      <c r="T16" s="19"/>
      <c r="U16" s="20"/>
      <c r="Y16" s="6">
        <v>120</v>
      </c>
      <c r="Z16" s="7">
        <v>0.4</v>
      </c>
      <c r="AA16" s="7">
        <v>27.609000000000002</v>
      </c>
      <c r="AB16" s="7">
        <f>0.1*AA16</f>
        <v>2.7609000000000004</v>
      </c>
      <c r="AC16" s="21">
        <f>AD$2/(AA16*(Y16+273.15))</f>
        <v>1.4760512503118127E-4</v>
      </c>
      <c r="AD16" s="22">
        <f t="shared" si="8"/>
        <v>1.4760512503118126</v>
      </c>
      <c r="AE16" s="7">
        <f t="shared" si="9"/>
        <v>0.14910689407639233</v>
      </c>
      <c r="AF16" s="7"/>
      <c r="AG16" s="8"/>
    </row>
    <row r="17" spans="1:33" x14ac:dyDescent="0.35">
      <c r="A17">
        <v>0.42030000000000001</v>
      </c>
      <c r="B17">
        <f t="shared" si="5"/>
        <v>1.6507500000000001E-4</v>
      </c>
      <c r="C17">
        <v>0.25700000000000001</v>
      </c>
      <c r="D17">
        <f t="shared" si="0"/>
        <v>1.6285E-3</v>
      </c>
      <c r="G17">
        <v>0.51900000000000002</v>
      </c>
      <c r="H17">
        <f t="shared" si="1"/>
        <v>1.7595E-3</v>
      </c>
      <c r="K17">
        <v>5.1999999999999998E-2</v>
      </c>
      <c r="L17">
        <f t="shared" si="2"/>
        <v>1.5259999999999998E-3</v>
      </c>
      <c r="N17" s="9"/>
      <c r="O17" s="10"/>
      <c r="P17" s="10"/>
      <c r="Q17" s="10"/>
      <c r="R17" s="10" t="s">
        <v>35</v>
      </c>
      <c r="S17" s="10"/>
      <c r="T17" s="17">
        <f>AVERAGE(T12:T14)</f>
        <v>1.3556891050278831E-23</v>
      </c>
      <c r="U17" s="18">
        <f>((U12/T12)^2+(U13/T13)^2+(U14/T14)^2)^(1/2)*T17</f>
        <v>1.0531819300507701E-25</v>
      </c>
      <c r="Y17" s="6"/>
      <c r="Z17" s="7"/>
      <c r="AA17" s="7"/>
      <c r="AB17" s="7"/>
      <c r="AC17" s="7"/>
      <c r="AD17" s="7"/>
      <c r="AE17" s="7"/>
      <c r="AF17" s="7"/>
      <c r="AG17" s="8"/>
    </row>
    <row r="18" spans="1:33" x14ac:dyDescent="0.35">
      <c r="A18">
        <v>0.44450000000000001</v>
      </c>
      <c r="B18">
        <f t="shared" si="5"/>
        <v>1.7112500000000003E-4</v>
      </c>
      <c r="C18">
        <v>0.623</v>
      </c>
      <c r="D18">
        <f t="shared" si="0"/>
        <v>1.8115000000000002E-3</v>
      </c>
      <c r="G18">
        <v>0.60899999999999999</v>
      </c>
      <c r="H18">
        <f t="shared" si="1"/>
        <v>1.8045000000000001E-3</v>
      </c>
      <c r="K18">
        <v>6.2E-2</v>
      </c>
      <c r="L18">
        <f t="shared" si="2"/>
        <v>1.5309999999999998E-3</v>
      </c>
      <c r="Y18" s="6"/>
      <c r="Z18" s="7"/>
      <c r="AA18" s="7"/>
      <c r="AB18" s="7"/>
      <c r="AC18" s="7"/>
      <c r="AD18" s="22">
        <f>AVERAGE(AD14:AD16)</f>
        <v>1.4745136245197468</v>
      </c>
      <c r="AE18" s="7">
        <f>SQRT(AE14^2+AE15^2+AE16^2)/3</f>
        <v>8.6103691908428356E-2</v>
      </c>
      <c r="AF18" s="7">
        <f>0.15^2</f>
        <v>2.2499999999999999E-2</v>
      </c>
      <c r="AG18" s="8">
        <f>SQRT(AF18/3)</f>
        <v>8.6602540378443865E-2</v>
      </c>
    </row>
    <row r="19" spans="1:33" x14ac:dyDescent="0.35">
      <c r="A19">
        <v>0.46100000000000002</v>
      </c>
      <c r="B19">
        <f t="shared" si="5"/>
        <v>1.7525E-4</v>
      </c>
      <c r="C19">
        <v>1.129</v>
      </c>
      <c r="D19">
        <f t="shared" si="0"/>
        <v>2.0644999999999999E-3</v>
      </c>
      <c r="G19">
        <v>0.65400000000000003</v>
      </c>
      <c r="H19">
        <f t="shared" si="1"/>
        <v>1.8270000000000001E-3</v>
      </c>
      <c r="K19">
        <v>7.8E-2</v>
      </c>
      <c r="L19">
        <f t="shared" si="2"/>
        <v>1.5389999999999998E-3</v>
      </c>
      <c r="Y19" s="6"/>
      <c r="Z19" s="7"/>
      <c r="AA19" s="7"/>
      <c r="AB19" s="7">
        <v>4.8</v>
      </c>
      <c r="AC19" s="7"/>
      <c r="AD19" s="7"/>
      <c r="AE19" s="7"/>
      <c r="AF19" s="7"/>
      <c r="AG19" s="8"/>
    </row>
    <row r="20" spans="1:33" x14ac:dyDescent="0.35">
      <c r="A20">
        <v>0.47060000000000002</v>
      </c>
      <c r="B20">
        <f t="shared" si="5"/>
        <v>1.7765000000000004E-4</v>
      </c>
      <c r="C20">
        <v>1.5880000000000001</v>
      </c>
      <c r="D20">
        <f t="shared" si="0"/>
        <v>2.294E-3</v>
      </c>
      <c r="G20">
        <v>0.70099999999999996</v>
      </c>
      <c r="H20">
        <f t="shared" si="1"/>
        <v>1.8504999999999999E-3</v>
      </c>
      <c r="K20">
        <v>9.7000000000000003E-2</v>
      </c>
      <c r="L20">
        <f t="shared" si="2"/>
        <v>1.5485E-3</v>
      </c>
      <c r="Y20" s="6"/>
      <c r="Z20" s="7"/>
      <c r="AA20" s="7"/>
      <c r="AB20" s="7">
        <v>4.2</v>
      </c>
      <c r="AC20" s="7"/>
      <c r="AD20" s="7">
        <f>1.475-0.086</f>
        <v>1.389</v>
      </c>
      <c r="AE20" s="7">
        <v>1.381</v>
      </c>
      <c r="AF20" s="7"/>
      <c r="AG20" s="8"/>
    </row>
    <row r="21" spans="1:33" x14ac:dyDescent="0.35">
      <c r="A21">
        <v>0.48</v>
      </c>
      <c r="B21">
        <f t="shared" si="5"/>
        <v>1.8000000000000001E-4</v>
      </c>
      <c r="C21">
        <v>2.2080000000000002</v>
      </c>
      <c r="D21">
        <f t="shared" si="0"/>
        <v>2.6040000000000004E-3</v>
      </c>
      <c r="G21">
        <v>0.79800000000000004</v>
      </c>
      <c r="H21">
        <f t="shared" si="1"/>
        <v>1.8990000000000001E-3</v>
      </c>
      <c r="K21">
        <v>0.11700000000000001</v>
      </c>
      <c r="L21">
        <f t="shared" si="2"/>
        <v>1.5585E-3</v>
      </c>
      <c r="Y21" s="9"/>
      <c r="Z21" s="10"/>
      <c r="AA21" s="10"/>
      <c r="AB21" s="10">
        <v>1.83</v>
      </c>
      <c r="AC21" s="10"/>
      <c r="AD21" s="10"/>
      <c r="AE21" s="10">
        <f>AD20-AE20</f>
        <v>8.0000000000000071E-3</v>
      </c>
      <c r="AF21" s="10"/>
      <c r="AG21" s="23"/>
    </row>
    <row r="22" spans="1:33" x14ac:dyDescent="0.35">
      <c r="A22">
        <v>0.48570000000000002</v>
      </c>
      <c r="B22">
        <f t="shared" si="5"/>
        <v>1.8142500000000001E-4</v>
      </c>
      <c r="C22">
        <v>2.7010000000000001</v>
      </c>
      <c r="D22">
        <f t="shared" ref="D22:D38" si="10">(C22*0.05+0.015*10)*0.01</f>
        <v>2.8505000000000002E-3</v>
      </c>
      <c r="G22">
        <v>0.85499999999999998</v>
      </c>
      <c r="H22">
        <f t="shared" si="1"/>
        <v>1.9275000000000002E-3</v>
      </c>
      <c r="K22">
        <v>0.13100000000000001</v>
      </c>
      <c r="L22">
        <f t="shared" si="2"/>
        <v>1.5655000000000001E-3</v>
      </c>
    </row>
    <row r="23" spans="1:33" x14ac:dyDescent="0.35">
      <c r="A23">
        <v>0.49059999999999998</v>
      </c>
      <c r="B23">
        <f t="shared" si="5"/>
        <v>1.8264999999999999E-4</v>
      </c>
      <c r="C23">
        <v>3.1949999999999998</v>
      </c>
      <c r="D23">
        <f t="shared" si="10"/>
        <v>3.0974999999999996E-3</v>
      </c>
      <c r="G23">
        <v>0.90800000000000003</v>
      </c>
      <c r="H23">
        <f t="shared" si="1"/>
        <v>1.954E-3</v>
      </c>
      <c r="K23">
        <v>0.14799999999999999</v>
      </c>
      <c r="L23">
        <f t="shared" si="2"/>
        <v>1.5739999999999999E-3</v>
      </c>
    </row>
    <row r="24" spans="1:33" x14ac:dyDescent="0.35">
      <c r="A24">
        <v>0.49640000000000001</v>
      </c>
      <c r="B24">
        <f t="shared" si="5"/>
        <v>1.8410000000000003E-4</v>
      </c>
      <c r="C24">
        <v>3.895</v>
      </c>
      <c r="D24">
        <f t="shared" si="10"/>
        <v>3.4475E-3</v>
      </c>
      <c r="G24">
        <v>0.94099999999999995</v>
      </c>
      <c r="H24">
        <f t="shared" si="1"/>
        <v>1.9705E-3</v>
      </c>
      <c r="K24">
        <v>0.16300000000000001</v>
      </c>
      <c r="L24">
        <f t="shared" si="2"/>
        <v>1.5814999999999998E-3</v>
      </c>
    </row>
    <row r="25" spans="1:33" x14ac:dyDescent="0.35">
      <c r="A25">
        <v>0.50029999999999997</v>
      </c>
      <c r="B25">
        <f t="shared" si="5"/>
        <v>1.8507500000000001E-4</v>
      </c>
      <c r="C25">
        <v>4.444</v>
      </c>
      <c r="D25">
        <f t="shared" si="10"/>
        <v>3.7219999999999996E-3</v>
      </c>
      <c r="G25">
        <v>1.276</v>
      </c>
      <c r="H25">
        <f t="shared" si="1"/>
        <v>2.1380000000000001E-3</v>
      </c>
      <c r="K25">
        <v>0.19</v>
      </c>
      <c r="L25">
        <f t="shared" si="2"/>
        <v>1.5950000000000001E-3</v>
      </c>
    </row>
    <row r="26" spans="1:33" x14ac:dyDescent="0.35">
      <c r="A26">
        <v>0.50419999999999998</v>
      </c>
      <c r="B26">
        <f t="shared" si="5"/>
        <v>1.8605E-4</v>
      </c>
      <c r="C26">
        <v>5.0830000000000002</v>
      </c>
      <c r="D26">
        <f t="shared" si="10"/>
        <v>4.0415E-3</v>
      </c>
      <c r="G26">
        <v>1.7150000000000001</v>
      </c>
      <c r="H26">
        <f t="shared" si="1"/>
        <v>2.3575000000000002E-3</v>
      </c>
      <c r="K26">
        <v>0.219</v>
      </c>
      <c r="L26">
        <f t="shared" si="2"/>
        <v>1.6094999999999998E-3</v>
      </c>
    </row>
    <row r="27" spans="1:33" x14ac:dyDescent="0.35">
      <c r="A27">
        <v>0.50800000000000001</v>
      </c>
      <c r="B27">
        <f t="shared" si="5"/>
        <v>1.8700000000000002E-4</v>
      </c>
      <c r="C27">
        <v>5.7690000000000001</v>
      </c>
      <c r="D27">
        <f t="shared" si="10"/>
        <v>4.3845000000000004E-3</v>
      </c>
      <c r="G27">
        <v>2.0129999999999999</v>
      </c>
      <c r="H27">
        <f t="shared" si="1"/>
        <v>2.5065E-3</v>
      </c>
      <c r="K27">
        <v>0.25700000000000001</v>
      </c>
      <c r="L27">
        <f t="shared" si="2"/>
        <v>1.6285E-3</v>
      </c>
    </row>
    <row r="28" spans="1:33" x14ac:dyDescent="0.35">
      <c r="A28">
        <v>0.51019999999999999</v>
      </c>
      <c r="B28">
        <f t="shared" si="5"/>
        <v>1.8755000000000001E-4</v>
      </c>
      <c r="C28">
        <v>6.19</v>
      </c>
      <c r="D28">
        <f t="shared" si="10"/>
        <v>4.5950000000000001E-3</v>
      </c>
      <c r="G28">
        <v>2.5299999999999998</v>
      </c>
      <c r="H28">
        <f t="shared" si="1"/>
        <v>2.7649999999999997E-3</v>
      </c>
      <c r="K28">
        <v>0.28399999999999997</v>
      </c>
      <c r="L28">
        <f t="shared" si="2"/>
        <v>1.6419999999999998E-3</v>
      </c>
    </row>
    <row r="29" spans="1:33" x14ac:dyDescent="0.35">
      <c r="A29">
        <v>0.51180000000000003</v>
      </c>
      <c r="B29">
        <f t="shared" si="5"/>
        <v>1.8794999999999999E-4</v>
      </c>
      <c r="C29">
        <v>6.532</v>
      </c>
      <c r="D29">
        <f t="shared" si="10"/>
        <v>4.7660000000000003E-3</v>
      </c>
      <c r="G29">
        <v>3.0579999999999998</v>
      </c>
      <c r="H29">
        <f t="shared" si="1"/>
        <v>3.029E-3</v>
      </c>
      <c r="K29">
        <v>0.33600000000000002</v>
      </c>
      <c r="L29">
        <f t="shared" si="2"/>
        <v>1.668E-3</v>
      </c>
    </row>
    <row r="30" spans="1:33" x14ac:dyDescent="0.35">
      <c r="A30">
        <v>0.51390000000000002</v>
      </c>
      <c r="B30">
        <f t="shared" si="5"/>
        <v>1.8847500000000004E-4</v>
      </c>
      <c r="C30">
        <v>7</v>
      </c>
      <c r="D30">
        <f t="shared" si="10"/>
        <v>5.0000000000000001E-3</v>
      </c>
      <c r="G30">
        <v>3.4119999999999999</v>
      </c>
      <c r="H30">
        <f t="shared" si="1"/>
        <v>3.2060000000000001E-3</v>
      </c>
      <c r="K30">
        <v>0.45100000000000001</v>
      </c>
      <c r="L30">
        <f t="shared" si="2"/>
        <v>1.7254999999999998E-3</v>
      </c>
    </row>
    <row r="31" spans="1:33" x14ac:dyDescent="0.35">
      <c r="A31">
        <v>0.51570000000000005</v>
      </c>
      <c r="B31">
        <f t="shared" si="5"/>
        <v>1.88925E-4</v>
      </c>
      <c r="C31">
        <v>7.4009999999999998</v>
      </c>
      <c r="D31">
        <f t="shared" si="10"/>
        <v>5.2005000000000003E-3</v>
      </c>
      <c r="G31">
        <v>3.6829999999999998</v>
      </c>
      <c r="H31">
        <f t="shared" si="1"/>
        <v>3.3415000000000003E-3</v>
      </c>
      <c r="K31">
        <v>0.50700000000000001</v>
      </c>
      <c r="L31">
        <f t="shared" si="2"/>
        <v>1.7535000000000001E-3</v>
      </c>
    </row>
    <row r="32" spans="1:33" x14ac:dyDescent="0.35">
      <c r="A32">
        <v>0.51790000000000003</v>
      </c>
      <c r="B32">
        <f t="shared" si="5"/>
        <v>1.8947499999999998E-4</v>
      </c>
      <c r="C32">
        <v>7.9619999999999997</v>
      </c>
      <c r="D32">
        <f t="shared" si="10"/>
        <v>5.4810000000000006E-3</v>
      </c>
      <c r="G32">
        <v>4.0279999999999996</v>
      </c>
      <c r="H32">
        <f t="shared" si="1"/>
        <v>3.5139999999999998E-3</v>
      </c>
      <c r="K32">
        <v>0.57699999999999996</v>
      </c>
      <c r="L32">
        <f t="shared" si="2"/>
        <v>1.7885000000000002E-3</v>
      </c>
    </row>
    <row r="33" spans="1:12" x14ac:dyDescent="0.35">
      <c r="A33">
        <v>0.51900000000000002</v>
      </c>
      <c r="B33">
        <f t="shared" si="5"/>
        <v>1.8975E-4</v>
      </c>
      <c r="C33">
        <v>8.2509999999999994</v>
      </c>
      <c r="D33">
        <f t="shared" si="10"/>
        <v>5.6255000000000003E-3</v>
      </c>
      <c r="G33">
        <v>4.34</v>
      </c>
      <c r="H33">
        <f t="shared" si="1"/>
        <v>3.6700000000000001E-3</v>
      </c>
      <c r="K33">
        <v>0.64</v>
      </c>
      <c r="L33">
        <f t="shared" si="2"/>
        <v>1.82E-3</v>
      </c>
    </row>
    <row r="34" spans="1:12" x14ac:dyDescent="0.35">
      <c r="A34">
        <v>0.5212</v>
      </c>
      <c r="B34">
        <f t="shared" si="5"/>
        <v>1.9029999999999999E-4</v>
      </c>
      <c r="C34">
        <v>8.8450000000000006</v>
      </c>
      <c r="D34">
        <f t="shared" si="10"/>
        <v>5.9225000000000007E-3</v>
      </c>
      <c r="G34">
        <v>4.6340000000000003</v>
      </c>
      <c r="H34">
        <f t="shared" si="1"/>
        <v>3.8170000000000005E-3</v>
      </c>
      <c r="K34">
        <v>0.71199999999999997</v>
      </c>
      <c r="L34">
        <f t="shared" si="2"/>
        <v>1.856E-3</v>
      </c>
    </row>
    <row r="35" spans="1:12" x14ac:dyDescent="0.35">
      <c r="A35">
        <v>0.52249999999999996</v>
      </c>
      <c r="B35">
        <f t="shared" si="5"/>
        <v>1.9062500000000001E-4</v>
      </c>
      <c r="C35">
        <v>9.24</v>
      </c>
      <c r="D35">
        <f t="shared" si="10"/>
        <v>6.1200000000000004E-3</v>
      </c>
      <c r="G35">
        <v>4.9539999999999997</v>
      </c>
      <c r="H35">
        <f t="shared" si="1"/>
        <v>3.9769999999999996E-3</v>
      </c>
      <c r="K35">
        <v>0.77</v>
      </c>
      <c r="L35">
        <f t="shared" si="2"/>
        <v>1.885E-3</v>
      </c>
    </row>
    <row r="36" spans="1:12" x14ac:dyDescent="0.35">
      <c r="A36">
        <v>0.52359999999999995</v>
      </c>
      <c r="B36">
        <f t="shared" si="5"/>
        <v>1.9090000000000001E-4</v>
      </c>
      <c r="C36">
        <v>9.57</v>
      </c>
      <c r="D36">
        <f t="shared" si="10"/>
        <v>6.2850000000000007E-3</v>
      </c>
      <c r="G36">
        <v>5.3040000000000003</v>
      </c>
      <c r="H36">
        <f t="shared" si="1"/>
        <v>4.1520000000000003E-3</v>
      </c>
      <c r="K36">
        <v>0.83099999999999996</v>
      </c>
      <c r="L36">
        <f t="shared" si="2"/>
        <v>1.9155000000000001E-3</v>
      </c>
    </row>
    <row r="37" spans="1:12" x14ac:dyDescent="0.35">
      <c r="A37">
        <v>0.52490000000000003</v>
      </c>
      <c r="B37">
        <f t="shared" si="5"/>
        <v>1.91225E-4</v>
      </c>
      <c r="C37">
        <v>9.9830000000000005</v>
      </c>
      <c r="D37">
        <f t="shared" si="10"/>
        <v>6.4914999999999999E-3</v>
      </c>
      <c r="G37">
        <v>5.5990000000000002</v>
      </c>
      <c r="H37">
        <f t="shared" si="1"/>
        <v>4.2995000000000004E-3</v>
      </c>
      <c r="K37">
        <v>0.90400000000000003</v>
      </c>
      <c r="L37">
        <f t="shared" si="2"/>
        <v>1.952E-3</v>
      </c>
    </row>
    <row r="38" spans="1:12" x14ac:dyDescent="0.35">
      <c r="A38">
        <v>0.52500000000000002</v>
      </c>
      <c r="B38">
        <f t="shared" si="5"/>
        <v>1.9125000000000004E-4</v>
      </c>
      <c r="C38">
        <v>10</v>
      </c>
      <c r="D38">
        <f t="shared" si="10"/>
        <v>6.5000000000000006E-3</v>
      </c>
      <c r="G38">
        <v>5.96</v>
      </c>
      <c r="H38">
        <f t="shared" si="1"/>
        <v>4.4799999999999996E-3</v>
      </c>
      <c r="K38">
        <v>0.98599999999999999</v>
      </c>
      <c r="L38">
        <f t="shared" si="2"/>
        <v>1.993E-3</v>
      </c>
    </row>
    <row r="39" spans="1:12" x14ac:dyDescent="0.35">
      <c r="G39">
        <v>6.298</v>
      </c>
      <c r="H39">
        <f t="shared" si="1"/>
        <v>4.6489999999999995E-3</v>
      </c>
      <c r="K39">
        <v>1.079</v>
      </c>
      <c r="L39">
        <f t="shared" si="2"/>
        <v>2.0395000000000001E-3</v>
      </c>
    </row>
    <row r="40" spans="1:12" x14ac:dyDescent="0.35">
      <c r="G40">
        <v>6.782</v>
      </c>
      <c r="H40">
        <f t="shared" si="1"/>
        <v>4.8909999999999995E-3</v>
      </c>
      <c r="K40">
        <v>1.1930000000000001</v>
      </c>
      <c r="L40">
        <f t="shared" si="2"/>
        <v>2.0965000000000003E-3</v>
      </c>
    </row>
    <row r="41" spans="1:12" x14ac:dyDescent="0.35">
      <c r="G41">
        <v>7.05</v>
      </c>
      <c r="H41">
        <f t="shared" si="1"/>
        <v>5.0250000000000008E-3</v>
      </c>
      <c r="K41">
        <v>1.284</v>
      </c>
      <c r="L41">
        <f t="shared" si="2"/>
        <v>2.1420000000000002E-3</v>
      </c>
    </row>
    <row r="42" spans="1:12" x14ac:dyDescent="0.35">
      <c r="G42">
        <v>7.4960000000000004</v>
      </c>
      <c r="H42">
        <f t="shared" si="1"/>
        <v>5.2480000000000009E-3</v>
      </c>
      <c r="K42">
        <v>1.3759999999999999</v>
      </c>
      <c r="L42">
        <f t="shared" si="2"/>
        <v>2.1879999999999998E-3</v>
      </c>
    </row>
    <row r="43" spans="1:12" x14ac:dyDescent="0.35">
      <c r="G43">
        <v>7.88</v>
      </c>
      <c r="H43">
        <f t="shared" si="1"/>
        <v>5.4400000000000004E-3</v>
      </c>
      <c r="K43">
        <v>1.4550000000000001</v>
      </c>
      <c r="L43">
        <f t="shared" si="2"/>
        <v>2.2274999999999999E-3</v>
      </c>
    </row>
    <row r="44" spans="1:12" x14ac:dyDescent="0.35">
      <c r="G44">
        <v>8.2449999999999992</v>
      </c>
      <c r="H44">
        <f t="shared" si="1"/>
        <v>5.6225000000000008E-3</v>
      </c>
      <c r="K44">
        <v>1.5449999999999999</v>
      </c>
      <c r="L44">
        <f t="shared" si="2"/>
        <v>2.2725000000000002E-3</v>
      </c>
    </row>
    <row r="45" spans="1:12" x14ac:dyDescent="0.35">
      <c r="G45">
        <v>8.5020000000000007</v>
      </c>
      <c r="H45">
        <f t="shared" si="1"/>
        <v>5.7510000000000009E-3</v>
      </c>
      <c r="K45">
        <v>1.619</v>
      </c>
      <c r="L45">
        <f t="shared" si="2"/>
        <v>2.3094999999999999E-3</v>
      </c>
    </row>
    <row r="46" spans="1:12" x14ac:dyDescent="0.35">
      <c r="G46">
        <v>8.8049999999999997</v>
      </c>
      <c r="H46">
        <f t="shared" si="1"/>
        <v>5.9025000000000006E-3</v>
      </c>
      <c r="K46">
        <v>1.7</v>
      </c>
      <c r="L46">
        <f t="shared" si="2"/>
        <v>2.3500000000000001E-3</v>
      </c>
    </row>
    <row r="47" spans="1:12" x14ac:dyDescent="0.35">
      <c r="G47">
        <v>9.1349999999999998</v>
      </c>
      <c r="H47">
        <f t="shared" si="1"/>
        <v>6.0675E-3</v>
      </c>
      <c r="K47">
        <v>1.8029999999999999</v>
      </c>
      <c r="L47">
        <f t="shared" si="2"/>
        <v>2.4015E-3</v>
      </c>
    </row>
    <row r="48" spans="1:12" x14ac:dyDescent="0.35">
      <c r="G48">
        <v>9.5609999999999999</v>
      </c>
      <c r="H48">
        <f t="shared" si="1"/>
        <v>6.2805000000000005E-3</v>
      </c>
      <c r="K48">
        <v>1.901</v>
      </c>
      <c r="L48">
        <f t="shared" si="2"/>
        <v>2.4505E-3</v>
      </c>
    </row>
    <row r="49" spans="7:12" x14ac:dyDescent="0.35">
      <c r="G49">
        <v>9.8610000000000007</v>
      </c>
      <c r="H49">
        <f t="shared" si="1"/>
        <v>6.4305000000000005E-3</v>
      </c>
      <c r="K49">
        <v>1.9890000000000001</v>
      </c>
      <c r="L49">
        <f t="shared" si="2"/>
        <v>2.4945000000000002E-3</v>
      </c>
    </row>
    <row r="50" spans="7:12" x14ac:dyDescent="0.35">
      <c r="G50">
        <v>10.003</v>
      </c>
      <c r="H50">
        <f t="shared" si="1"/>
        <v>6.5015000000000003E-3</v>
      </c>
      <c r="K50">
        <v>2.0710000000000002</v>
      </c>
      <c r="L50">
        <f t="shared" si="2"/>
        <v>2.5355E-3</v>
      </c>
    </row>
    <row r="51" spans="7:12" x14ac:dyDescent="0.35">
      <c r="K51">
        <v>2.1560000000000001</v>
      </c>
      <c r="L51">
        <f t="shared" si="2"/>
        <v>2.5780000000000004E-3</v>
      </c>
    </row>
    <row r="52" spans="7:12" x14ac:dyDescent="0.35">
      <c r="K52">
        <v>2.2490000000000001</v>
      </c>
      <c r="L52">
        <f t="shared" si="2"/>
        <v>2.6245000000000001E-3</v>
      </c>
    </row>
    <row r="53" spans="7:12" x14ac:dyDescent="0.35">
      <c r="K53">
        <v>2.363</v>
      </c>
      <c r="L53">
        <f t="shared" si="2"/>
        <v>2.6814999999999999E-3</v>
      </c>
    </row>
    <row r="54" spans="7:12" x14ac:dyDescent="0.35">
      <c r="K54">
        <v>2.468</v>
      </c>
      <c r="L54">
        <f t="shared" si="2"/>
        <v>2.7339999999999999E-3</v>
      </c>
    </row>
    <row r="55" spans="7:12" x14ac:dyDescent="0.35">
      <c r="K55">
        <v>2.5979999999999999</v>
      </c>
      <c r="L55">
        <f t="shared" si="2"/>
        <v>2.7989999999999998E-3</v>
      </c>
    </row>
    <row r="56" spans="7:12" x14ac:dyDescent="0.35">
      <c r="K56">
        <v>2.6949999999999998</v>
      </c>
      <c r="L56">
        <f t="shared" si="2"/>
        <v>2.8475000000000002E-3</v>
      </c>
    </row>
    <row r="57" spans="7:12" x14ac:dyDescent="0.35">
      <c r="K57">
        <v>2.7879999999999998</v>
      </c>
      <c r="L57">
        <f t="shared" si="2"/>
        <v>2.8939999999999999E-3</v>
      </c>
    </row>
    <row r="58" spans="7:12" x14ac:dyDescent="0.35">
      <c r="K58">
        <v>2.8839999999999999</v>
      </c>
      <c r="L58">
        <f t="shared" si="2"/>
        <v>2.9420000000000002E-3</v>
      </c>
    </row>
    <row r="59" spans="7:12" x14ac:dyDescent="0.35">
      <c r="K59">
        <v>2.97</v>
      </c>
      <c r="L59">
        <f t="shared" si="2"/>
        <v>2.9849999999999998E-3</v>
      </c>
    </row>
    <row r="60" spans="7:12" x14ac:dyDescent="0.35">
      <c r="K60">
        <v>3.0470000000000002</v>
      </c>
      <c r="L60">
        <f t="shared" si="2"/>
        <v>3.0235000000000001E-3</v>
      </c>
    </row>
    <row r="61" spans="7:12" x14ac:dyDescent="0.35">
      <c r="K61">
        <v>3.1579999999999999</v>
      </c>
      <c r="L61">
        <f t="shared" si="2"/>
        <v>3.0790000000000001E-3</v>
      </c>
    </row>
    <row r="62" spans="7:12" x14ac:dyDescent="0.35">
      <c r="K62">
        <v>3.25</v>
      </c>
      <c r="L62">
        <f t="shared" si="2"/>
        <v>3.1250000000000002E-3</v>
      </c>
    </row>
    <row r="63" spans="7:12" x14ac:dyDescent="0.35">
      <c r="K63">
        <v>3.3490000000000002</v>
      </c>
      <c r="L63">
        <f t="shared" si="2"/>
        <v>3.1745000000000002E-3</v>
      </c>
    </row>
    <row r="64" spans="7:12" x14ac:dyDescent="0.35">
      <c r="K64">
        <v>3.5009999999999999</v>
      </c>
      <c r="L64">
        <f t="shared" si="2"/>
        <v>3.2504999999999999E-3</v>
      </c>
    </row>
    <row r="65" spans="11:12" x14ac:dyDescent="0.35">
      <c r="K65">
        <v>3.67</v>
      </c>
      <c r="L65">
        <f t="shared" si="2"/>
        <v>3.3350000000000003E-3</v>
      </c>
    </row>
    <row r="66" spans="11:12" x14ac:dyDescent="0.35">
      <c r="K66">
        <v>3.827</v>
      </c>
      <c r="L66">
        <f t="shared" si="2"/>
        <v>3.4135000000000003E-3</v>
      </c>
    </row>
    <row r="67" spans="11:12" x14ac:dyDescent="0.35">
      <c r="K67">
        <v>3.9889999999999999</v>
      </c>
      <c r="L67">
        <f t="shared" si="2"/>
        <v>3.4945000000000006E-3</v>
      </c>
    </row>
    <row r="68" spans="11:12" x14ac:dyDescent="0.35">
      <c r="K68">
        <v>4.1479999999999997</v>
      </c>
      <c r="L68">
        <f t="shared" si="2"/>
        <v>3.5739999999999999E-3</v>
      </c>
    </row>
    <row r="69" spans="11:12" x14ac:dyDescent="0.35">
      <c r="K69">
        <v>4.3109999999999999</v>
      </c>
      <c r="L69">
        <f t="shared" si="2"/>
        <v>3.6555000000000003E-3</v>
      </c>
    </row>
    <row r="70" spans="11:12" x14ac:dyDescent="0.35">
      <c r="K70">
        <v>4.4329999999999998</v>
      </c>
      <c r="L70">
        <f t="shared" si="2"/>
        <v>3.7165000000000006E-3</v>
      </c>
    </row>
    <row r="71" spans="11:12" x14ac:dyDescent="0.35">
      <c r="K71">
        <v>4.5519999999999996</v>
      </c>
      <c r="L71">
        <f t="shared" ref="L71:L132" si="11">(K71*0.05+0.015*10)*0.01</f>
        <v>3.7759999999999998E-3</v>
      </c>
    </row>
    <row r="72" spans="11:12" x14ac:dyDescent="0.35">
      <c r="K72">
        <v>4.673</v>
      </c>
      <c r="L72">
        <f t="shared" si="11"/>
        <v>3.8365000000000005E-3</v>
      </c>
    </row>
    <row r="73" spans="11:12" x14ac:dyDescent="0.35">
      <c r="K73">
        <v>4.7830000000000004</v>
      </c>
      <c r="L73">
        <f t="shared" si="11"/>
        <v>3.8915E-3</v>
      </c>
    </row>
    <row r="74" spans="11:12" x14ac:dyDescent="0.35">
      <c r="K74">
        <v>4.9020000000000001</v>
      </c>
      <c r="L74">
        <f t="shared" si="11"/>
        <v>3.9510000000000005E-3</v>
      </c>
    </row>
    <row r="75" spans="11:12" x14ac:dyDescent="0.35">
      <c r="K75">
        <v>5.0049999999999999</v>
      </c>
      <c r="L75">
        <f t="shared" si="11"/>
        <v>4.0025E-3</v>
      </c>
    </row>
    <row r="76" spans="11:12" x14ac:dyDescent="0.35">
      <c r="K76">
        <v>5.1130000000000004</v>
      </c>
      <c r="L76">
        <f t="shared" si="11"/>
        <v>4.0565000000000011E-3</v>
      </c>
    </row>
    <row r="77" spans="11:12" x14ac:dyDescent="0.35">
      <c r="K77">
        <v>5.2270000000000003</v>
      </c>
      <c r="L77">
        <f t="shared" si="11"/>
        <v>4.1135E-3</v>
      </c>
    </row>
    <row r="78" spans="11:12" x14ac:dyDescent="0.35">
      <c r="K78">
        <v>5.327</v>
      </c>
      <c r="L78">
        <f t="shared" si="11"/>
        <v>4.1634999999999997E-3</v>
      </c>
    </row>
    <row r="79" spans="11:12" x14ac:dyDescent="0.35">
      <c r="K79">
        <v>5.4370000000000003</v>
      </c>
      <c r="L79">
        <f t="shared" si="11"/>
        <v>4.2185000000000009E-3</v>
      </c>
    </row>
    <row r="80" spans="11:12" x14ac:dyDescent="0.35">
      <c r="K80">
        <v>5.5330000000000004</v>
      </c>
      <c r="L80">
        <f t="shared" si="11"/>
        <v>4.2664999999999995E-3</v>
      </c>
    </row>
    <row r="81" spans="11:12" x14ac:dyDescent="0.35">
      <c r="K81">
        <v>5.5970000000000004</v>
      </c>
      <c r="L81">
        <f t="shared" si="11"/>
        <v>4.2985000000000011E-3</v>
      </c>
    </row>
    <row r="82" spans="11:12" x14ac:dyDescent="0.35">
      <c r="K82">
        <v>5.6740000000000004</v>
      </c>
      <c r="L82">
        <f t="shared" si="11"/>
        <v>4.3369999999999997E-3</v>
      </c>
    </row>
    <row r="83" spans="11:12" x14ac:dyDescent="0.35">
      <c r="K83">
        <v>5.77</v>
      </c>
      <c r="L83">
        <f t="shared" si="11"/>
        <v>4.385E-3</v>
      </c>
    </row>
    <row r="84" spans="11:12" x14ac:dyDescent="0.35">
      <c r="K84">
        <v>5.851</v>
      </c>
      <c r="L84">
        <f t="shared" si="11"/>
        <v>4.4254999999999997E-3</v>
      </c>
    </row>
    <row r="85" spans="11:12" x14ac:dyDescent="0.35">
      <c r="K85">
        <v>5.9139999999999997</v>
      </c>
      <c r="L85">
        <f t="shared" si="11"/>
        <v>4.457E-3</v>
      </c>
    </row>
    <row r="86" spans="11:12" x14ac:dyDescent="0.35">
      <c r="K86">
        <v>5.9619999999999997</v>
      </c>
      <c r="L86">
        <f t="shared" si="11"/>
        <v>4.4809999999999997E-3</v>
      </c>
    </row>
    <row r="87" spans="11:12" x14ac:dyDescent="0.35">
      <c r="K87">
        <v>6.0369999999999999</v>
      </c>
      <c r="L87">
        <f t="shared" si="11"/>
        <v>4.5184999999999999E-3</v>
      </c>
    </row>
    <row r="88" spans="11:12" x14ac:dyDescent="0.35">
      <c r="K88">
        <v>6.1120000000000001</v>
      </c>
      <c r="L88">
        <f t="shared" si="11"/>
        <v>4.5560000000000002E-3</v>
      </c>
    </row>
    <row r="89" spans="11:12" x14ac:dyDescent="0.35">
      <c r="K89">
        <v>6.2009999999999996</v>
      </c>
      <c r="L89">
        <f t="shared" si="11"/>
        <v>4.6004999999999996E-3</v>
      </c>
    </row>
    <row r="90" spans="11:12" x14ac:dyDescent="0.35">
      <c r="K90">
        <v>6.2830000000000004</v>
      </c>
      <c r="L90">
        <f t="shared" si="11"/>
        <v>4.6415000000000007E-3</v>
      </c>
    </row>
    <row r="91" spans="11:12" x14ac:dyDescent="0.35">
      <c r="K91">
        <v>6.3730000000000002</v>
      </c>
      <c r="L91">
        <f t="shared" si="11"/>
        <v>4.6865000000000006E-3</v>
      </c>
    </row>
    <row r="92" spans="11:12" x14ac:dyDescent="0.35">
      <c r="K92">
        <v>6.4509999999999996</v>
      </c>
      <c r="L92">
        <f t="shared" si="11"/>
        <v>4.7255000000000005E-3</v>
      </c>
    </row>
    <row r="93" spans="11:12" x14ac:dyDescent="0.35">
      <c r="K93">
        <v>6.5510000000000002</v>
      </c>
      <c r="L93">
        <f t="shared" si="11"/>
        <v>4.7755000000000002E-3</v>
      </c>
    </row>
    <row r="94" spans="11:12" x14ac:dyDescent="0.35">
      <c r="K94">
        <v>6.6749999999999998</v>
      </c>
      <c r="L94">
        <f t="shared" si="11"/>
        <v>4.8375000000000007E-3</v>
      </c>
    </row>
    <row r="95" spans="11:12" x14ac:dyDescent="0.35">
      <c r="K95">
        <v>6.7880000000000003</v>
      </c>
      <c r="L95">
        <f t="shared" si="11"/>
        <v>4.8940000000000008E-3</v>
      </c>
    </row>
    <row r="96" spans="11:12" x14ac:dyDescent="0.35">
      <c r="K96">
        <v>6.8620000000000001</v>
      </c>
      <c r="L96">
        <f t="shared" si="11"/>
        <v>4.9309999999999996E-3</v>
      </c>
    </row>
    <row r="97" spans="11:12" x14ac:dyDescent="0.35">
      <c r="K97">
        <v>6.968</v>
      </c>
      <c r="L97">
        <f t="shared" si="11"/>
        <v>4.9840000000000006E-3</v>
      </c>
    </row>
    <row r="98" spans="11:12" x14ac:dyDescent="0.35">
      <c r="K98">
        <v>7.0810000000000004</v>
      </c>
      <c r="L98">
        <f t="shared" si="11"/>
        <v>5.0404999999999998E-3</v>
      </c>
    </row>
    <row r="99" spans="11:12" x14ac:dyDescent="0.35">
      <c r="K99">
        <v>7.1820000000000004</v>
      </c>
      <c r="L99">
        <f t="shared" si="11"/>
        <v>5.091E-3</v>
      </c>
    </row>
    <row r="100" spans="11:12" x14ac:dyDescent="0.35">
      <c r="K100">
        <v>7.3070000000000004</v>
      </c>
      <c r="L100">
        <f t="shared" si="11"/>
        <v>5.153500000000001E-3</v>
      </c>
    </row>
    <row r="101" spans="11:12" x14ac:dyDescent="0.35">
      <c r="K101">
        <v>7.4130000000000003</v>
      </c>
      <c r="L101">
        <f t="shared" si="11"/>
        <v>5.2065000000000011E-3</v>
      </c>
    </row>
    <row r="102" spans="11:12" x14ac:dyDescent="0.35">
      <c r="K102">
        <v>7.5039999999999996</v>
      </c>
      <c r="L102">
        <f t="shared" si="11"/>
        <v>5.2519999999999997E-3</v>
      </c>
    </row>
    <row r="103" spans="11:12" x14ac:dyDescent="0.35">
      <c r="K103">
        <v>7.5839999999999996</v>
      </c>
      <c r="L103">
        <f t="shared" si="11"/>
        <v>5.2919999999999998E-3</v>
      </c>
    </row>
    <row r="104" spans="11:12" x14ac:dyDescent="0.35">
      <c r="K104">
        <v>7.6479999999999997</v>
      </c>
      <c r="L104">
        <f t="shared" si="11"/>
        <v>5.3239999999999997E-3</v>
      </c>
    </row>
    <row r="105" spans="11:12" x14ac:dyDescent="0.35">
      <c r="K105">
        <v>7.6980000000000004</v>
      </c>
      <c r="L105">
        <f t="shared" si="11"/>
        <v>5.3490000000000005E-3</v>
      </c>
    </row>
    <row r="106" spans="11:12" x14ac:dyDescent="0.35">
      <c r="K106">
        <v>7.7770000000000001</v>
      </c>
      <c r="L106">
        <f t="shared" si="11"/>
        <v>5.3885000000000009E-3</v>
      </c>
    </row>
    <row r="107" spans="11:12" x14ac:dyDescent="0.35">
      <c r="K107">
        <v>7.8380000000000001</v>
      </c>
      <c r="L107">
        <f t="shared" si="11"/>
        <v>5.4190000000000002E-3</v>
      </c>
    </row>
    <row r="108" spans="11:12" x14ac:dyDescent="0.35">
      <c r="K108">
        <v>7.899</v>
      </c>
      <c r="L108">
        <f t="shared" si="11"/>
        <v>5.4495000000000004E-3</v>
      </c>
    </row>
    <row r="109" spans="11:12" x14ac:dyDescent="0.35">
      <c r="K109">
        <v>8.0180000000000007</v>
      </c>
      <c r="L109">
        <f t="shared" si="11"/>
        <v>5.5090000000000009E-3</v>
      </c>
    </row>
    <row r="110" spans="11:12" x14ac:dyDescent="0.35">
      <c r="K110">
        <v>8.0980000000000008</v>
      </c>
      <c r="L110">
        <f t="shared" si="11"/>
        <v>5.549000000000001E-3</v>
      </c>
    </row>
    <row r="111" spans="11:12" x14ac:dyDescent="0.35">
      <c r="K111">
        <v>8.2880000000000003</v>
      </c>
      <c r="L111">
        <f t="shared" si="11"/>
        <v>5.6440000000000006E-3</v>
      </c>
    </row>
    <row r="112" spans="11:12" x14ac:dyDescent="0.35">
      <c r="K112">
        <v>8.2910000000000004</v>
      </c>
      <c r="L112">
        <f t="shared" si="11"/>
        <v>5.6455000000000003E-3</v>
      </c>
    </row>
    <row r="113" spans="11:12" x14ac:dyDescent="0.35">
      <c r="K113">
        <v>8.3719999999999999</v>
      </c>
      <c r="L113">
        <f t="shared" si="11"/>
        <v>5.6860000000000001E-3</v>
      </c>
    </row>
    <row r="114" spans="11:12" x14ac:dyDescent="0.35">
      <c r="K114">
        <v>8.4670000000000005</v>
      </c>
      <c r="L114">
        <f t="shared" si="11"/>
        <v>5.7335000000000007E-3</v>
      </c>
    </row>
    <row r="115" spans="11:12" x14ac:dyDescent="0.35">
      <c r="K115">
        <v>8.5670000000000002</v>
      </c>
      <c r="L115">
        <f t="shared" si="11"/>
        <v>5.7835000000000004E-3</v>
      </c>
    </row>
    <row r="116" spans="11:12" x14ac:dyDescent="0.35">
      <c r="K116">
        <v>8.6709999999999994</v>
      </c>
      <c r="L116">
        <f t="shared" si="11"/>
        <v>5.8355000000000004E-3</v>
      </c>
    </row>
    <row r="117" spans="11:12" x14ac:dyDescent="0.35">
      <c r="K117">
        <v>8.7899999999999991</v>
      </c>
      <c r="L117">
        <f t="shared" si="11"/>
        <v>5.8950000000000001E-3</v>
      </c>
    </row>
    <row r="118" spans="11:12" x14ac:dyDescent="0.35">
      <c r="K118">
        <v>8.8829999999999991</v>
      </c>
      <c r="L118">
        <f t="shared" si="11"/>
        <v>5.9414999999999997E-3</v>
      </c>
    </row>
    <row r="119" spans="11:12" x14ac:dyDescent="0.35">
      <c r="K119">
        <v>8.9670000000000005</v>
      </c>
      <c r="L119">
        <f t="shared" si="11"/>
        <v>5.983500000000001E-3</v>
      </c>
    </row>
    <row r="120" spans="11:12" x14ac:dyDescent="0.35">
      <c r="K120">
        <v>9.0399999999999991</v>
      </c>
      <c r="L120">
        <f t="shared" si="11"/>
        <v>6.0200000000000002E-3</v>
      </c>
    </row>
    <row r="121" spans="11:12" x14ac:dyDescent="0.35">
      <c r="K121">
        <v>9.1050000000000004</v>
      </c>
      <c r="L121">
        <f t="shared" si="11"/>
        <v>6.0525000000000006E-3</v>
      </c>
    </row>
    <row r="122" spans="11:12" x14ac:dyDescent="0.35">
      <c r="K122">
        <v>9.19</v>
      </c>
      <c r="L122">
        <f t="shared" si="11"/>
        <v>6.0950000000000006E-3</v>
      </c>
    </row>
    <row r="123" spans="11:12" x14ac:dyDescent="0.35">
      <c r="K123">
        <v>9.2680000000000007</v>
      </c>
      <c r="L123">
        <f t="shared" si="11"/>
        <v>6.1340000000000006E-3</v>
      </c>
    </row>
    <row r="124" spans="11:12" x14ac:dyDescent="0.35">
      <c r="K124">
        <v>9.3680000000000003</v>
      </c>
      <c r="L124">
        <f t="shared" si="11"/>
        <v>6.1840000000000011E-3</v>
      </c>
    </row>
    <row r="125" spans="11:12" x14ac:dyDescent="0.35">
      <c r="K125">
        <v>9.4589999999999996</v>
      </c>
      <c r="L125">
        <f t="shared" si="11"/>
        <v>6.2294999999999998E-3</v>
      </c>
    </row>
    <row r="126" spans="11:12" x14ac:dyDescent="0.35">
      <c r="K126">
        <v>9.5549999999999997</v>
      </c>
      <c r="L126">
        <f t="shared" si="11"/>
        <v>6.2775000000000001E-3</v>
      </c>
    </row>
    <row r="127" spans="11:12" x14ac:dyDescent="0.35">
      <c r="K127">
        <v>9.6240000000000006</v>
      </c>
      <c r="L127">
        <f t="shared" si="11"/>
        <v>6.3120000000000008E-3</v>
      </c>
    </row>
    <row r="128" spans="11:12" x14ac:dyDescent="0.35">
      <c r="K128">
        <v>9.7050000000000001</v>
      </c>
      <c r="L128">
        <f t="shared" si="11"/>
        <v>6.3524999999999996E-3</v>
      </c>
    </row>
    <row r="129" spans="11:12" x14ac:dyDescent="0.35">
      <c r="K129">
        <v>9.782</v>
      </c>
      <c r="L129">
        <f t="shared" si="11"/>
        <v>6.391E-3</v>
      </c>
    </row>
    <row r="130" spans="11:12" x14ac:dyDescent="0.35">
      <c r="K130">
        <v>9.8650000000000002</v>
      </c>
      <c r="L130">
        <f t="shared" si="11"/>
        <v>6.4324999999999998E-3</v>
      </c>
    </row>
    <row r="131" spans="11:12" x14ac:dyDescent="0.35">
      <c r="K131">
        <v>9.9309999999999992</v>
      </c>
      <c r="L131">
        <f t="shared" si="11"/>
        <v>6.4654999999999999E-3</v>
      </c>
    </row>
    <row r="132" spans="11:12" x14ac:dyDescent="0.35">
      <c r="K132">
        <v>10.013</v>
      </c>
      <c r="L132">
        <f t="shared" si="11"/>
        <v>6.506500000000001E-3</v>
      </c>
    </row>
  </sheetData>
  <mergeCells count="1">
    <mergeCell ref="AB2:AC2"/>
  </mergeCells>
  <phoneticPr fontId="1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Messfehler und Berechnung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Hollstein</dc:creator>
  <cp:lastModifiedBy>Katja</cp:lastModifiedBy>
  <dcterms:created xsi:type="dcterms:W3CDTF">2021-09-19T09:48:39Z</dcterms:created>
  <dcterms:modified xsi:type="dcterms:W3CDTF">2021-12-28T17:04:56Z</dcterms:modified>
</cp:coreProperties>
</file>