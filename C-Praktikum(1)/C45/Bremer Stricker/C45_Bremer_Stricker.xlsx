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5. Semester\C2 Praktikum\C45\"/>
    </mc:Choice>
  </mc:AlternateContent>
  <xr:revisionPtr revIDLastSave="14" documentId="13_ncr:1_{9BA8C3CE-4BEE-47F1-9A69-D10D011B8347}" xr6:coauthVersionLast="47" xr6:coauthVersionMax="47" xr10:uidLastSave="{2EF58BC2-E2BE-49FB-9E59-3C009546E1E2}"/>
  <bookViews>
    <workbookView xWindow="-120" yWindow="-120" windowWidth="29040" windowHeight="16440" firstSheet="1" xr2:uid="{0FB543D9-F046-45CA-B0E6-C5EDF32DF7A0}"/>
  </bookViews>
  <sheets>
    <sheet name="Planck" sheetId="1" r:id="rId1"/>
    <sheet name="Boltzman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C11" i="1"/>
  <c r="F24" i="2"/>
  <c r="F25" i="2"/>
  <c r="E24" i="2"/>
  <c r="C24" i="2"/>
  <c r="W9" i="2"/>
  <c r="C30" i="1"/>
  <c r="E48" i="1"/>
  <c r="C9" i="1"/>
  <c r="W40" i="2"/>
  <c r="X40" i="2"/>
  <c r="N10" i="2"/>
  <c r="O10" i="2"/>
  <c r="N11" i="2"/>
  <c r="O11" i="2"/>
  <c r="N12" i="2"/>
  <c r="O12" i="2"/>
  <c r="N13" i="2"/>
  <c r="O13" i="2"/>
  <c r="N14" i="2"/>
  <c r="O14" i="2"/>
  <c r="N15" i="2"/>
  <c r="O15" i="2"/>
  <c r="N16" i="2"/>
  <c r="O16" i="2"/>
  <c r="N17" i="2"/>
  <c r="O17" i="2"/>
  <c r="N18" i="2"/>
  <c r="O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O9" i="2"/>
  <c r="N9" i="2"/>
  <c r="X9" i="2"/>
  <c r="X39" i="2"/>
  <c r="W39" i="2"/>
  <c r="X38" i="2"/>
  <c r="W38" i="2"/>
  <c r="X37" i="2"/>
  <c r="W37" i="2"/>
  <c r="X36" i="2"/>
  <c r="W36" i="2"/>
  <c r="X35" i="2"/>
  <c r="W35" i="2"/>
  <c r="X34" i="2"/>
  <c r="W34" i="2"/>
  <c r="X33" i="2"/>
  <c r="W33" i="2"/>
  <c r="X32" i="2"/>
  <c r="W32" i="2"/>
  <c r="X31" i="2"/>
  <c r="W31" i="2"/>
  <c r="X30" i="2"/>
  <c r="W30" i="2"/>
  <c r="X29" i="2"/>
  <c r="W29" i="2"/>
  <c r="X28" i="2"/>
  <c r="W28" i="2"/>
  <c r="X27" i="2"/>
  <c r="W27" i="2"/>
  <c r="X26" i="2"/>
  <c r="W26" i="2"/>
  <c r="X25" i="2"/>
  <c r="W25" i="2"/>
  <c r="X24" i="2"/>
  <c r="W24" i="2"/>
  <c r="X23" i="2"/>
  <c r="W23" i="2"/>
  <c r="X22" i="2"/>
  <c r="W22" i="2"/>
  <c r="X21" i="2"/>
  <c r="W21" i="2"/>
  <c r="X20" i="2"/>
  <c r="W20" i="2"/>
  <c r="X19" i="2"/>
  <c r="W19" i="2"/>
  <c r="X18" i="2"/>
  <c r="W18" i="2"/>
  <c r="X17" i="2"/>
  <c r="W17" i="2"/>
  <c r="X16" i="2"/>
  <c r="W16" i="2"/>
  <c r="X15" i="2"/>
  <c r="W15" i="2"/>
  <c r="X14" i="2"/>
  <c r="W14" i="2"/>
  <c r="X13" i="2"/>
  <c r="W13" i="2"/>
  <c r="X12" i="2"/>
  <c r="W12" i="2"/>
  <c r="X11" i="2"/>
  <c r="W11" i="2"/>
  <c r="X10" i="2"/>
  <c r="W10" i="2"/>
  <c r="G50" i="1"/>
  <c r="G51" i="1"/>
  <c r="G52" i="1"/>
  <c r="F49" i="1"/>
  <c r="G49" i="1" s="1"/>
  <c r="F50" i="1"/>
  <c r="F51" i="1"/>
  <c r="F52" i="1"/>
  <c r="F48" i="1"/>
  <c r="G48" i="1" s="1"/>
  <c r="E50" i="1"/>
  <c r="E51" i="1"/>
  <c r="E52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9" i="1"/>
  <c r="C10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1" i="1"/>
  <c r="G47" i="2"/>
  <c r="G6" i="2"/>
  <c r="F6" i="2"/>
  <c r="F27" i="2" s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V13" i="2"/>
  <c r="T13" i="2"/>
  <c r="M12" i="2"/>
  <c r="V10" i="2"/>
  <c r="V11" i="2"/>
  <c r="V12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T10" i="2"/>
  <c r="T11" i="2"/>
  <c r="T12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V9" i="2"/>
  <c r="M9" i="2"/>
  <c r="T9" i="2"/>
  <c r="M10" i="2"/>
  <c r="M11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K29" i="2"/>
  <c r="K30" i="2"/>
  <c r="K31" i="2"/>
  <c r="K32" i="2"/>
  <c r="K33" i="2"/>
  <c r="K34" i="2"/>
  <c r="K35" i="2"/>
  <c r="K36" i="2"/>
  <c r="K37" i="2"/>
  <c r="K38" i="2"/>
  <c r="K39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C25" i="2"/>
  <c r="G25" i="2" s="1"/>
  <c r="C26" i="2"/>
  <c r="G26" i="2" s="1"/>
  <c r="C27" i="2"/>
  <c r="G27" i="2" s="1"/>
  <c r="C28" i="2"/>
  <c r="G28" i="2" s="1"/>
  <c r="C29" i="2"/>
  <c r="C30" i="2"/>
  <c r="C31" i="2"/>
  <c r="G31" i="2" s="1"/>
  <c r="C32" i="2"/>
  <c r="C33" i="2"/>
  <c r="G33" i="2" s="1"/>
  <c r="C34" i="2"/>
  <c r="G34" i="2" s="1"/>
  <c r="C35" i="2"/>
  <c r="G35" i="2" s="1"/>
  <c r="C36" i="2"/>
  <c r="G36" i="2" s="1"/>
  <c r="C37" i="2"/>
  <c r="C38" i="2"/>
  <c r="C39" i="2"/>
  <c r="G39" i="2" s="1"/>
  <c r="C40" i="2"/>
  <c r="C41" i="2"/>
  <c r="G41" i="2" s="1"/>
  <c r="C42" i="2"/>
  <c r="G42" i="2" s="1"/>
  <c r="C43" i="2"/>
  <c r="G43" i="2" s="1"/>
  <c r="C44" i="2"/>
  <c r="G44" i="2" s="1"/>
  <c r="C45" i="2"/>
  <c r="C46" i="2"/>
  <c r="C47" i="2"/>
  <c r="C48" i="2"/>
  <c r="C49" i="2"/>
  <c r="G49" i="2" s="1"/>
  <c r="C50" i="2"/>
  <c r="G50" i="2" s="1"/>
  <c r="C51" i="2"/>
  <c r="G51" i="2" s="1"/>
  <c r="G24" i="2" l="1"/>
  <c r="F47" i="2"/>
  <c r="G46" i="2"/>
  <c r="G38" i="2"/>
  <c r="G30" i="2"/>
  <c r="F35" i="2"/>
  <c r="F32" i="2"/>
  <c r="G48" i="2"/>
  <c r="G40" i="2"/>
  <c r="G32" i="2"/>
  <c r="F44" i="2"/>
  <c r="F43" i="2"/>
  <c r="F31" i="2"/>
  <c r="F40" i="2"/>
  <c r="G45" i="2"/>
  <c r="G37" i="2"/>
  <c r="G29" i="2"/>
  <c r="F51" i="2"/>
  <c r="F39" i="2"/>
  <c r="F48" i="2"/>
  <c r="F36" i="2"/>
  <c r="F50" i="2"/>
  <c r="F46" i="2"/>
  <c r="F42" i="2"/>
  <c r="F38" i="2"/>
  <c r="F34" i="2"/>
  <c r="F30" i="2"/>
  <c r="F26" i="2"/>
  <c r="F49" i="2"/>
  <c r="F45" i="2"/>
  <c r="F41" i="2"/>
  <c r="F37" i="2"/>
  <c r="F33" i="2"/>
  <c r="F29" i="2"/>
  <c r="F28" i="2"/>
</calcChain>
</file>

<file path=xl/sharedStrings.xml><?xml version="1.0" encoding="utf-8"?>
<sst xmlns="http://schemas.openxmlformats.org/spreadsheetml/2006/main" count="98" uniqueCount="40">
  <si>
    <t>lambda</t>
  </si>
  <si>
    <t>nm</t>
  </si>
  <si>
    <t>plankonvexe Linse mit planer Seite zur Hg-Lampe</t>
  </si>
  <si>
    <t>Bremspannung / V</t>
  </si>
  <si>
    <t>Fehler/V</t>
  </si>
  <si>
    <t>Anodenstrom/nA</t>
  </si>
  <si>
    <t>Bereich /nA</t>
  </si>
  <si>
    <t>Schwankung/nA</t>
  </si>
  <si>
    <t>Bereich /V</t>
  </si>
  <si>
    <t>O</t>
  </si>
  <si>
    <t>10V</t>
  </si>
  <si>
    <t xml:space="preserve">Voltmeter: </t>
  </si>
  <si>
    <t>Agilent 34405a</t>
  </si>
  <si>
    <t>Bereich/V</t>
  </si>
  <si>
    <t>Pikoampermeter:</t>
  </si>
  <si>
    <t xml:space="preserve">Keithley </t>
  </si>
  <si>
    <t>c/(m/s)</t>
  </si>
  <si>
    <t>1% des Werts</t>
  </si>
  <si>
    <t>lamda/nm</t>
  </si>
  <si>
    <t>Bremsspannung/V</t>
  </si>
  <si>
    <t>Frequenz/Hz</t>
  </si>
  <si>
    <t>Frequenz /(E14 Hz)</t>
  </si>
  <si>
    <t>Fehler/(E24 Hz)</t>
  </si>
  <si>
    <t>T</t>
  </si>
  <si>
    <t>°C</t>
  </si>
  <si>
    <t>Strom- und Spannungsmessung:</t>
  </si>
  <si>
    <t>Messbereiche</t>
  </si>
  <si>
    <t>V</t>
  </si>
  <si>
    <t>Widerstand/Ohm</t>
  </si>
  <si>
    <t>Fehler/Ohm</t>
  </si>
  <si>
    <t>mA</t>
  </si>
  <si>
    <t>U/V (negativ)</t>
  </si>
  <si>
    <t>Fehler /V</t>
  </si>
  <si>
    <t>I/mA (negativ)</t>
  </si>
  <si>
    <t>Fehler/mA</t>
  </si>
  <si>
    <t>U_korr/V</t>
  </si>
  <si>
    <t>1V</t>
  </si>
  <si>
    <t>10mA</t>
  </si>
  <si>
    <t>großer Fehler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</si>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</sst>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7FC3-5F46-4111-9FA8-2C62EFB36EEB}">
  <dimension ref="A3:AH52"/>
  <sheetViews>
    <sheetView tabSelected="1" topLeftCell="A23" workbookViewId="0">
      <selection activeCell="E50" sqref="E50"/>
    </sheetView>
  </sheetViews>
  <sheetFormatPr defaultColWidth="11.42578125" defaultRowHeight="15"/>
  <cols>
    <col min="2" max="3" width="17.42578125" bestFit="1" customWidth="1"/>
    <col min="4" max="4" width="16.5703125" bestFit="1" customWidth="1"/>
    <col min="5" max="5" width="12" bestFit="1" customWidth="1"/>
    <col min="6" max="6" width="17.7109375" bestFit="1" customWidth="1"/>
    <col min="7" max="7" width="14.5703125" bestFit="1" customWidth="1"/>
    <col min="9" max="9" width="17.42578125" bestFit="1" customWidth="1"/>
    <col min="11" max="11" width="16.5703125" bestFit="1" customWidth="1"/>
    <col min="13" max="13" width="15.28515625" bestFit="1" customWidth="1"/>
    <col min="16" max="16" width="17.42578125" bestFit="1" customWidth="1"/>
    <col min="18" max="18" width="16.5703125" bestFit="1" customWidth="1"/>
    <col min="20" max="20" width="15.28515625" bestFit="1" customWidth="1"/>
    <col min="23" max="23" width="17.42578125" bestFit="1" customWidth="1"/>
    <col min="25" max="25" width="16.5703125" bestFit="1" customWidth="1"/>
    <col min="27" max="27" width="15.28515625" bestFit="1" customWidth="1"/>
    <col min="30" max="30" width="17.42578125" bestFit="1" customWidth="1"/>
    <col min="32" max="32" width="16.5703125" bestFit="1" customWidth="1"/>
    <col min="34" max="34" width="15.28515625" bestFit="1" customWidth="1"/>
  </cols>
  <sheetData>
    <row r="3" spans="1:34">
      <c r="B3" s="1" t="s">
        <v>0</v>
      </c>
      <c r="C3" s="1">
        <v>366</v>
      </c>
      <c r="D3" s="1" t="s">
        <v>1</v>
      </c>
      <c r="E3" s="1" t="s">
        <v>2</v>
      </c>
      <c r="F3" s="1"/>
      <c r="I3" s="1" t="s">
        <v>0</v>
      </c>
      <c r="J3" s="1">
        <v>405</v>
      </c>
      <c r="K3" s="1" t="s">
        <v>1</v>
      </c>
      <c r="L3" s="1"/>
      <c r="M3" s="1"/>
      <c r="P3" s="1" t="s">
        <v>0</v>
      </c>
      <c r="Q3" s="1">
        <v>436</v>
      </c>
      <c r="R3" s="1" t="s">
        <v>1</v>
      </c>
      <c r="S3" s="1"/>
      <c r="T3" s="1"/>
      <c r="W3" s="1" t="s">
        <v>0</v>
      </c>
      <c r="X3" s="1">
        <v>546</v>
      </c>
      <c r="Y3" s="1" t="s">
        <v>1</v>
      </c>
      <c r="Z3" s="1"/>
      <c r="AA3" s="1"/>
      <c r="AD3" s="1" t="s">
        <v>0</v>
      </c>
      <c r="AE3" s="1">
        <v>578</v>
      </c>
      <c r="AF3" s="1" t="s">
        <v>1</v>
      </c>
      <c r="AG3" s="1"/>
      <c r="AH3" s="1"/>
    </row>
    <row r="5" spans="1:34">
      <c r="B5" t="s">
        <v>3</v>
      </c>
      <c r="C5" t="s">
        <v>4</v>
      </c>
      <c r="D5" t="s">
        <v>5</v>
      </c>
      <c r="E5" t="s">
        <v>6</v>
      </c>
      <c r="F5" t="s">
        <v>7</v>
      </c>
      <c r="I5" t="s">
        <v>3</v>
      </c>
      <c r="J5" t="s">
        <v>4</v>
      </c>
      <c r="K5" t="s">
        <v>5</v>
      </c>
      <c r="L5" t="s">
        <v>6</v>
      </c>
      <c r="M5" t="s">
        <v>7</v>
      </c>
      <c r="P5" t="s">
        <v>3</v>
      </c>
      <c r="Q5" t="s">
        <v>8</v>
      </c>
      <c r="R5" t="s">
        <v>5</v>
      </c>
      <c r="S5" t="s">
        <v>6</v>
      </c>
      <c r="T5" t="s">
        <v>7</v>
      </c>
      <c r="W5" t="s">
        <v>3</v>
      </c>
      <c r="X5" t="s">
        <v>8</v>
      </c>
      <c r="Y5" t="s">
        <v>5</v>
      </c>
      <c r="Z5" t="s">
        <v>6</v>
      </c>
      <c r="AA5" t="s">
        <v>7</v>
      </c>
      <c r="AD5" t="s">
        <v>3</v>
      </c>
      <c r="AE5" t="s">
        <v>8</v>
      </c>
      <c r="AF5" t="s">
        <v>5</v>
      </c>
      <c r="AG5" t="s">
        <v>6</v>
      </c>
      <c r="AH5" t="s">
        <v>7</v>
      </c>
    </row>
    <row r="6" spans="1:34">
      <c r="A6" t="s">
        <v>9</v>
      </c>
      <c r="B6">
        <v>-3.0276999999999998</v>
      </c>
      <c r="C6" t="s">
        <v>10</v>
      </c>
      <c r="D6">
        <v>-0.17249999999999999</v>
      </c>
      <c r="E6">
        <v>1</v>
      </c>
      <c r="F6">
        <v>2E-3</v>
      </c>
      <c r="H6" t="s">
        <v>9</v>
      </c>
      <c r="I6">
        <v>-3.0038</v>
      </c>
      <c r="J6">
        <v>10</v>
      </c>
      <c r="K6">
        <v>-6.0999999999999999E-2</v>
      </c>
      <c r="L6">
        <v>1</v>
      </c>
      <c r="M6">
        <v>5.0000000000000001E-4</v>
      </c>
      <c r="O6" t="s">
        <v>9</v>
      </c>
      <c r="P6">
        <v>-3.004</v>
      </c>
      <c r="Q6">
        <v>10</v>
      </c>
      <c r="R6">
        <v>-3.6999999999999998E-2</v>
      </c>
      <c r="S6">
        <v>1</v>
      </c>
      <c r="T6">
        <v>5.0000000000000001E-4</v>
      </c>
      <c r="W6">
        <v>-3.12</v>
      </c>
      <c r="X6">
        <v>10</v>
      </c>
      <c r="Y6">
        <v>-3.6999999999999998E-2</v>
      </c>
      <c r="Z6">
        <v>1</v>
      </c>
      <c r="AA6">
        <v>1E-3</v>
      </c>
      <c r="AD6">
        <v>-2.9967000000000001</v>
      </c>
      <c r="AE6">
        <v>10</v>
      </c>
      <c r="AF6">
        <v>-8.9999999999999993E-3</v>
      </c>
      <c r="AH6">
        <v>1E-3</v>
      </c>
    </row>
    <row r="7" spans="1:34">
      <c r="A7" t="s">
        <v>9</v>
      </c>
      <c r="B7">
        <v>-1.8032999999999999</v>
      </c>
      <c r="C7">
        <v>10</v>
      </c>
      <c r="D7">
        <v>-7.7999999999999996E-3</v>
      </c>
      <c r="E7">
        <v>1</v>
      </c>
      <c r="F7">
        <v>5.0000000000000001E-4</v>
      </c>
      <c r="H7" t="s">
        <v>9</v>
      </c>
      <c r="I7">
        <v>-1.3641000000000001</v>
      </c>
      <c r="J7">
        <v>10</v>
      </c>
      <c r="K7">
        <v>-2.9000000000000001E-2</v>
      </c>
      <c r="L7">
        <v>1</v>
      </c>
      <c r="M7">
        <v>1E-3</v>
      </c>
      <c r="O7" t="s">
        <v>9</v>
      </c>
      <c r="P7">
        <v>-1.1931</v>
      </c>
      <c r="R7">
        <v>-1.9E-2</v>
      </c>
      <c r="T7">
        <v>5.0000000000000001E-4</v>
      </c>
      <c r="W7">
        <v>-0.63200000000000001</v>
      </c>
      <c r="Y7">
        <v>-1.7000000000000001E-2</v>
      </c>
      <c r="AA7">
        <v>5.0000000000000001E-4</v>
      </c>
      <c r="AD7">
        <v>-0.59230000000000005</v>
      </c>
      <c r="AF7">
        <v>-5.3E-3</v>
      </c>
      <c r="AH7">
        <v>2.9999999999999997E-4</v>
      </c>
    </row>
    <row r="9" spans="1:34">
      <c r="B9">
        <v>-3.0276999999999998</v>
      </c>
      <c r="C9">
        <f>0.025%*ABS(B9)+0.005%*$E$35</f>
        <v>1.2569249999999999E-3</v>
      </c>
      <c r="D9">
        <v>-0.17249999999999999</v>
      </c>
      <c r="E9">
        <v>1</v>
      </c>
      <c r="F9">
        <v>2E-3</v>
      </c>
      <c r="I9">
        <v>-3.0038</v>
      </c>
      <c r="J9">
        <f>0.025%*ABS(I9)+0.005%*$E$35</f>
        <v>1.25095E-3</v>
      </c>
      <c r="K9">
        <v>-6.0999999999999999E-2</v>
      </c>
      <c r="L9">
        <v>1</v>
      </c>
      <c r="M9">
        <v>5.0000000000000001E-4</v>
      </c>
      <c r="P9">
        <v>-3.004</v>
      </c>
      <c r="Q9">
        <f>0.025%*ABS(P9)+0.005%*$E$35</f>
        <v>1.2509999999999999E-3</v>
      </c>
      <c r="R9">
        <v>-3.6999999999999998E-2</v>
      </c>
      <c r="S9">
        <v>1</v>
      </c>
      <c r="T9">
        <v>5.0000000000000001E-4</v>
      </c>
      <c r="W9">
        <v>-3.12</v>
      </c>
      <c r="X9">
        <f>0.025%*ABS(W9)+0.005%*$E$35</f>
        <v>1.2800000000000001E-3</v>
      </c>
      <c r="Y9">
        <v>-3.6999999999999998E-2</v>
      </c>
      <c r="Z9">
        <v>1</v>
      </c>
      <c r="AA9">
        <v>1E-3</v>
      </c>
      <c r="AD9">
        <v>-2.9967000000000001</v>
      </c>
      <c r="AE9">
        <f>0.025%*ABS(AD9)+0.005%*$E$35</f>
        <v>1.2491749999999999E-3</v>
      </c>
      <c r="AF9">
        <v>-8.9999999999999993E-3</v>
      </c>
      <c r="AH9">
        <v>1E-3</v>
      </c>
    </row>
    <row r="10" spans="1:34">
      <c r="B10">
        <v>-2.806</v>
      </c>
      <c r="C10">
        <f t="shared" ref="C10:C31" si="0">0.025%*ABS(B10)+0.005%*$E$35</f>
        <v>1.2014999999999999E-3</v>
      </c>
      <c r="D10">
        <v>-0.16950000000000001</v>
      </c>
      <c r="E10">
        <v>1</v>
      </c>
      <c r="F10">
        <v>1E-3</v>
      </c>
      <c r="I10">
        <v>-2.8086000000000002</v>
      </c>
      <c r="J10">
        <f t="shared" ref="J10:J36" si="1">0.025%*ABS(I10)+0.005%*$E$35</f>
        <v>1.2021499999999999E-3</v>
      </c>
      <c r="K10">
        <v>-0.06</v>
      </c>
      <c r="M10">
        <v>1E-3</v>
      </c>
      <c r="P10">
        <v>-2.75</v>
      </c>
      <c r="Q10">
        <f t="shared" ref="Q10:Q40" si="2">0.025%*ABS(P10)+0.005%*$E$35</f>
        <v>1.1875E-3</v>
      </c>
      <c r="R10">
        <v>-3.6499999999999998E-2</v>
      </c>
      <c r="T10">
        <v>5.0000000000000001E-4</v>
      </c>
      <c r="W10">
        <v>-2.6775000000000002</v>
      </c>
      <c r="X10">
        <f t="shared" ref="X10:X33" si="3">0.025%*ABS(W10)+0.005%*$E$35</f>
        <v>1.1693750000000001E-3</v>
      </c>
      <c r="Y10">
        <v>-3.5499999999999997E-2</v>
      </c>
      <c r="AA10">
        <v>5.0000000000000001E-4</v>
      </c>
      <c r="AD10">
        <v>-2.6063999999999998</v>
      </c>
      <c r="AE10">
        <f t="shared" ref="AE10:AE33" si="4">0.025%*ABS(AD10)+0.005%*$E$35</f>
        <v>1.1516E-3</v>
      </c>
      <c r="AF10">
        <v>-8.5000000000000006E-3</v>
      </c>
      <c r="AH10">
        <v>2.9999999999999997E-4</v>
      </c>
    </row>
    <row r="11" spans="1:34">
      <c r="B11">
        <v>-2.6006</v>
      </c>
      <c r="C11">
        <f>0.025%*ABS(B11)+0.005%*$E$35</f>
        <v>1.15015E-3</v>
      </c>
      <c r="D11">
        <v>-0.16850000000000001</v>
      </c>
      <c r="E11">
        <v>1</v>
      </c>
      <c r="F11">
        <v>1E-3</v>
      </c>
      <c r="I11">
        <v>-2.6023999999999998</v>
      </c>
      <c r="J11">
        <f t="shared" si="1"/>
        <v>1.1505999999999999E-3</v>
      </c>
      <c r="K11">
        <v>-0.06</v>
      </c>
      <c r="M11">
        <v>5.0000000000000001E-4</v>
      </c>
      <c r="P11">
        <v>-2.5935999999999999</v>
      </c>
      <c r="Q11">
        <f t="shared" si="2"/>
        <v>1.1483999999999999E-3</v>
      </c>
      <c r="R11">
        <v>-3.5999999999999997E-2</v>
      </c>
      <c r="T11">
        <v>1E-3</v>
      </c>
      <c r="W11">
        <v>-2.5089000000000001</v>
      </c>
      <c r="X11">
        <f t="shared" si="3"/>
        <v>1.1272249999999999E-3</v>
      </c>
      <c r="Y11">
        <v>-3.5299999999999998E-2</v>
      </c>
      <c r="AA11">
        <v>5.0000000000000001E-4</v>
      </c>
      <c r="AD11">
        <v>-2.4986999999999999</v>
      </c>
      <c r="AE11">
        <f t="shared" si="4"/>
        <v>1.1246749999999999E-3</v>
      </c>
      <c r="AF11">
        <v>-8.0000000000000002E-3</v>
      </c>
      <c r="AH11">
        <v>5.0000000000000001E-4</v>
      </c>
    </row>
    <row r="12" spans="1:34">
      <c r="B12">
        <v>-2.4037000000000002</v>
      </c>
      <c r="C12">
        <f t="shared" si="0"/>
        <v>1.100925E-3</v>
      </c>
      <c r="D12">
        <v>-0.16200000000000001</v>
      </c>
      <c r="E12">
        <v>1</v>
      </c>
      <c r="F12">
        <v>2E-3</v>
      </c>
      <c r="I12">
        <v>-2.4034</v>
      </c>
      <c r="J12">
        <f t="shared" si="1"/>
        <v>1.10085E-3</v>
      </c>
      <c r="K12">
        <v>-0.06</v>
      </c>
      <c r="M12">
        <v>5.0000000000000001E-4</v>
      </c>
      <c r="P12">
        <v>-2.3908999999999998</v>
      </c>
      <c r="Q12">
        <f t="shared" si="2"/>
        <v>1.0977249999999999E-3</v>
      </c>
      <c r="R12">
        <v>-3.5499999999999997E-2</v>
      </c>
      <c r="T12">
        <v>1E-3</v>
      </c>
      <c r="W12">
        <v>-2.2486999999999999</v>
      </c>
      <c r="X12">
        <f t="shared" si="3"/>
        <v>1.0621750000000001E-3</v>
      </c>
      <c r="Y12">
        <v>-3.5000000000000003E-2</v>
      </c>
      <c r="AA12">
        <v>5.0000000000000001E-4</v>
      </c>
      <c r="AD12">
        <v>-2.2486000000000002</v>
      </c>
      <c r="AE12">
        <f t="shared" si="4"/>
        <v>1.06215E-3</v>
      </c>
      <c r="AF12">
        <v>-7.7999999999999996E-3</v>
      </c>
      <c r="AH12">
        <v>5.0000000000000001E-4</v>
      </c>
    </row>
    <row r="13" spans="1:34">
      <c r="B13">
        <v>-2.2012</v>
      </c>
      <c r="C13">
        <f t="shared" si="0"/>
        <v>1.0503000000000001E-3</v>
      </c>
      <c r="D13">
        <v>-0.151</v>
      </c>
      <c r="E13">
        <v>1</v>
      </c>
      <c r="F13">
        <v>1E-3</v>
      </c>
      <c r="I13">
        <v>-2.2010999999999998</v>
      </c>
      <c r="J13">
        <f t="shared" si="1"/>
        <v>1.0502749999999998E-3</v>
      </c>
      <c r="K13">
        <v>-5.8999999999999997E-2</v>
      </c>
      <c r="M13">
        <v>5.0000000000000001E-4</v>
      </c>
      <c r="P13">
        <v>-2.2050000000000001</v>
      </c>
      <c r="Q13">
        <f t="shared" si="2"/>
        <v>1.0512500000000001E-3</v>
      </c>
      <c r="R13">
        <v>-3.5999999999999997E-2</v>
      </c>
      <c r="T13">
        <v>1E-3</v>
      </c>
      <c r="W13">
        <v>-2.0064000000000002</v>
      </c>
      <c r="X13">
        <f t="shared" si="3"/>
        <v>1.0016000000000001E-3</v>
      </c>
      <c r="Y13">
        <v>-3.4500000000000003E-2</v>
      </c>
      <c r="AA13">
        <v>2.9999999999999997E-4</v>
      </c>
      <c r="AD13">
        <v>-2.0028999999999999</v>
      </c>
      <c r="AE13">
        <f t="shared" si="4"/>
        <v>1.0007250000000001E-3</v>
      </c>
      <c r="AF13">
        <v>-7.7000000000000002E-3</v>
      </c>
      <c r="AH13">
        <v>5.0000000000000001E-4</v>
      </c>
    </row>
    <row r="14" spans="1:34">
      <c r="B14">
        <v>-2.0019999999999998</v>
      </c>
      <c r="C14">
        <f t="shared" si="0"/>
        <v>1.0005000000000001E-3</v>
      </c>
      <c r="D14">
        <v>-0.127</v>
      </c>
      <c r="E14">
        <v>1</v>
      </c>
      <c r="F14">
        <v>1E-3</v>
      </c>
      <c r="I14">
        <v>-2.0026000000000002</v>
      </c>
      <c r="J14">
        <f t="shared" si="1"/>
        <v>1.0006500000000001E-3</v>
      </c>
      <c r="K14">
        <v>-5.8500000000000003E-2</v>
      </c>
      <c r="M14">
        <v>5.0000000000000001E-4</v>
      </c>
      <c r="P14">
        <v>-1.9816</v>
      </c>
      <c r="Q14">
        <f t="shared" si="2"/>
        <v>9.9540000000000002E-4</v>
      </c>
      <c r="R14">
        <v>-3.5499999999999997E-2</v>
      </c>
      <c r="T14">
        <v>1E-3</v>
      </c>
      <c r="W14">
        <v>-1.7517</v>
      </c>
      <c r="X14">
        <f t="shared" si="3"/>
        <v>9.3792500000000004E-4</v>
      </c>
      <c r="Y14">
        <v>-3.4200000000000001E-2</v>
      </c>
      <c r="AA14">
        <v>2.9999999999999997E-4</v>
      </c>
      <c r="AD14">
        <v>-1.7508999999999999</v>
      </c>
      <c r="AE14">
        <f t="shared" si="4"/>
        <v>9.3772499999999993E-4</v>
      </c>
      <c r="AF14">
        <v>-7.4000000000000003E-3</v>
      </c>
      <c r="AH14">
        <v>2.9999999999999997E-4</v>
      </c>
    </row>
    <row r="15" spans="1:34">
      <c r="B15">
        <v>-1.8997999999999999</v>
      </c>
      <c r="C15">
        <f t="shared" si="0"/>
        <v>9.7495000000000004E-4</v>
      </c>
      <c r="D15">
        <v>-0.1065</v>
      </c>
      <c r="E15">
        <v>1</v>
      </c>
      <c r="F15">
        <v>1E-3</v>
      </c>
      <c r="I15">
        <v>-1.8029999999999999</v>
      </c>
      <c r="J15">
        <f t="shared" si="1"/>
        <v>9.5074999999999999E-4</v>
      </c>
      <c r="K15">
        <v>-5.6000000000000001E-2</v>
      </c>
      <c r="M15">
        <v>5.0000000000000001E-4</v>
      </c>
      <c r="P15">
        <v>-1.8029999999999999</v>
      </c>
      <c r="Q15">
        <f t="shared" si="2"/>
        <v>9.5074999999999999E-4</v>
      </c>
      <c r="R15">
        <v>-3.5000000000000003E-2</v>
      </c>
      <c r="T15">
        <v>5.0000000000000001E-4</v>
      </c>
      <c r="W15">
        <v>-1.5016</v>
      </c>
      <c r="X15">
        <f t="shared" si="3"/>
        <v>8.7540000000000003E-4</v>
      </c>
      <c r="Y15">
        <v>-3.3799999999999997E-2</v>
      </c>
      <c r="AA15">
        <v>5.0000000000000001E-4</v>
      </c>
      <c r="AD15">
        <v>-1.5008999999999999</v>
      </c>
      <c r="AE15">
        <f t="shared" si="4"/>
        <v>8.7522499999999998E-4</v>
      </c>
      <c r="AF15">
        <v>-7.4000000000000003E-3</v>
      </c>
      <c r="AH15">
        <v>2.9999999999999997E-4</v>
      </c>
    </row>
    <row r="16" spans="1:34">
      <c r="B16">
        <v>-1.7989999999999999</v>
      </c>
      <c r="C16">
        <f t="shared" si="0"/>
        <v>9.4975000000000007E-4</v>
      </c>
      <c r="D16">
        <v>-7.6999999999999999E-2</v>
      </c>
      <c r="E16">
        <v>1</v>
      </c>
      <c r="F16">
        <v>1.5E-3</v>
      </c>
      <c r="I16">
        <v>-1.6994</v>
      </c>
      <c r="J16">
        <f t="shared" si="1"/>
        <v>9.2485000000000006E-4</v>
      </c>
      <c r="K16">
        <v>-5.3499999999999999E-2</v>
      </c>
      <c r="M16">
        <v>5.0000000000000001E-4</v>
      </c>
      <c r="P16">
        <v>-1.5954999999999999</v>
      </c>
      <c r="Q16">
        <f t="shared" si="2"/>
        <v>8.9887499999999993E-4</v>
      </c>
      <c r="R16">
        <v>-3.3000000000000002E-2</v>
      </c>
      <c r="T16">
        <v>1E-3</v>
      </c>
      <c r="W16">
        <v>-1.2501</v>
      </c>
      <c r="X16">
        <f t="shared" si="3"/>
        <v>8.1252500000000003E-4</v>
      </c>
      <c r="Y16">
        <v>-3.32E-2</v>
      </c>
      <c r="AA16">
        <v>2.0000000000000001E-4</v>
      </c>
      <c r="AD16">
        <v>-1.2498</v>
      </c>
      <c r="AE16">
        <f t="shared" si="4"/>
        <v>8.1245000000000004E-4</v>
      </c>
      <c r="AF16">
        <v>-7.0000000000000001E-3</v>
      </c>
      <c r="AH16">
        <v>2.9999999999999997E-4</v>
      </c>
    </row>
    <row r="17" spans="2:34">
      <c r="B17">
        <v>-1.7226999999999999</v>
      </c>
      <c r="C17">
        <f t="shared" si="0"/>
        <v>9.3067499999999995E-4</v>
      </c>
      <c r="D17">
        <v>-4.3999999999999997E-2</v>
      </c>
      <c r="E17">
        <v>1</v>
      </c>
      <c r="F17">
        <v>1E-3</v>
      </c>
      <c r="I17">
        <v>-1.6</v>
      </c>
      <c r="J17">
        <f t="shared" si="1"/>
        <v>8.9999999999999998E-4</v>
      </c>
      <c r="K17">
        <v>-4.9000000000000002E-2</v>
      </c>
      <c r="M17">
        <v>5.0000000000000001E-4</v>
      </c>
      <c r="P17">
        <v>-1.5047999999999999</v>
      </c>
      <c r="Q17">
        <f t="shared" si="2"/>
        <v>8.7619999999999994E-4</v>
      </c>
      <c r="R17">
        <v>-3.2000000000000001E-2</v>
      </c>
      <c r="T17">
        <v>1E-3</v>
      </c>
      <c r="W17">
        <v>-1.0025999999999999</v>
      </c>
      <c r="X17">
        <f t="shared" si="3"/>
        <v>7.5065000000000006E-4</v>
      </c>
      <c r="Y17">
        <v>-3.2000000000000001E-2</v>
      </c>
      <c r="AA17">
        <v>5.0000000000000001E-4</v>
      </c>
      <c r="AD17">
        <v>-0.99629999999999996</v>
      </c>
      <c r="AE17">
        <f t="shared" si="4"/>
        <v>7.4907499999999998E-4</v>
      </c>
      <c r="AF17">
        <v>-7.0000000000000001E-3</v>
      </c>
      <c r="AH17">
        <v>2.9999999999999997E-4</v>
      </c>
    </row>
    <row r="18" spans="2:34">
      <c r="B18">
        <v>-1.7059</v>
      </c>
      <c r="C18">
        <f t="shared" si="0"/>
        <v>9.2647499999999995E-4</v>
      </c>
      <c r="D18">
        <v>-3.5000000000000003E-2</v>
      </c>
      <c r="E18">
        <v>1</v>
      </c>
      <c r="F18">
        <v>1.5E-3</v>
      </c>
      <c r="I18">
        <v>-1.5011000000000001</v>
      </c>
      <c r="J18">
        <f t="shared" si="1"/>
        <v>8.7527500000000001E-4</v>
      </c>
      <c r="K18">
        <v>-4.3999999999999997E-2</v>
      </c>
      <c r="M18">
        <v>5.0000000000000001E-4</v>
      </c>
      <c r="P18">
        <v>-1.4018999999999999</v>
      </c>
      <c r="Q18">
        <f t="shared" si="2"/>
        <v>8.5047500000000006E-4</v>
      </c>
      <c r="R18">
        <v>-0.03</v>
      </c>
      <c r="T18">
        <v>5.0000000000000001E-4</v>
      </c>
      <c r="W18">
        <v>-0.80359999999999998</v>
      </c>
      <c r="X18">
        <f t="shared" si="3"/>
        <v>7.0089999999999996E-4</v>
      </c>
      <c r="Y18">
        <v>-2.9000000000000001E-2</v>
      </c>
      <c r="AA18">
        <v>5.0000000000000001E-4</v>
      </c>
      <c r="AD18">
        <v>-0.79869999999999997</v>
      </c>
      <c r="AE18">
        <f t="shared" si="4"/>
        <v>6.9967499999999997E-4</v>
      </c>
      <c r="AF18">
        <v>-6.4999999999999997E-3</v>
      </c>
      <c r="AH18">
        <v>5.0000000000000001E-4</v>
      </c>
    </row>
    <row r="19" spans="2:34">
      <c r="B19">
        <v>-1.6589</v>
      </c>
      <c r="C19">
        <f t="shared" si="0"/>
        <v>9.1472500000000002E-4</v>
      </c>
      <c r="D19">
        <v>-9.4999999999999998E-3</v>
      </c>
      <c r="E19">
        <v>1</v>
      </c>
      <c r="F19">
        <v>1E-3</v>
      </c>
      <c r="I19">
        <v>-1.4540999999999999</v>
      </c>
      <c r="J19">
        <f t="shared" si="1"/>
        <v>8.6352499999999997E-4</v>
      </c>
      <c r="K19">
        <v>-3.95E-2</v>
      </c>
      <c r="M19">
        <v>5.0000000000000001E-4</v>
      </c>
      <c r="P19">
        <v>-1.3495999999999999</v>
      </c>
      <c r="Q19">
        <f t="shared" si="2"/>
        <v>8.3739999999999997E-4</v>
      </c>
      <c r="R19">
        <v>-2.8000000000000001E-2</v>
      </c>
      <c r="T19">
        <v>5.0000000000000001E-4</v>
      </c>
      <c r="W19">
        <v>-0.69530000000000003</v>
      </c>
      <c r="X19">
        <f t="shared" si="3"/>
        <v>6.7382500000000007E-4</v>
      </c>
      <c r="Y19">
        <v>-2.2800000000000001E-2</v>
      </c>
      <c r="AA19">
        <v>2.9999999999999997E-4</v>
      </c>
      <c r="AD19">
        <v>-0.69979999999999998</v>
      </c>
      <c r="AE19">
        <f t="shared" si="4"/>
        <v>6.7495000000000001E-4</v>
      </c>
      <c r="AF19">
        <v>-6.3E-3</v>
      </c>
      <c r="AH19">
        <v>2.0000000000000001E-4</v>
      </c>
    </row>
    <row r="20" spans="2:34">
      <c r="B20">
        <v>-1.5899000000000001</v>
      </c>
      <c r="C20">
        <f t="shared" si="0"/>
        <v>8.9747500000000001E-4</v>
      </c>
      <c r="D20">
        <v>3.7999999999999999E-2</v>
      </c>
      <c r="E20">
        <v>1</v>
      </c>
      <c r="F20">
        <v>2E-3</v>
      </c>
      <c r="I20">
        <v>-1.405</v>
      </c>
      <c r="J20">
        <f t="shared" si="1"/>
        <v>8.5125000000000001E-4</v>
      </c>
      <c r="K20">
        <v>-3.5000000000000003E-2</v>
      </c>
      <c r="M20">
        <v>5.0000000000000001E-4</v>
      </c>
      <c r="P20">
        <v>-1.3003</v>
      </c>
      <c r="Q20">
        <f t="shared" si="2"/>
        <v>8.2507499999999998E-4</v>
      </c>
      <c r="R20">
        <v>-2.63E-2</v>
      </c>
      <c r="T20">
        <v>2.9999999999999997E-4</v>
      </c>
      <c r="W20">
        <v>-0.64800000000000002</v>
      </c>
      <c r="X20">
        <f t="shared" si="3"/>
        <v>6.6200000000000005E-4</v>
      </c>
      <c r="Y20">
        <v>-1.7999999999999999E-2</v>
      </c>
      <c r="AA20">
        <v>2.9999999999999997E-4</v>
      </c>
      <c r="AD20">
        <v>-0.64629999999999999</v>
      </c>
      <c r="AE20">
        <f t="shared" si="4"/>
        <v>6.6157499999999997E-4</v>
      </c>
      <c r="AF20">
        <v>-6.0000000000000001E-3</v>
      </c>
      <c r="AH20">
        <v>2.9999999999999997E-4</v>
      </c>
    </row>
    <row r="21" spans="2:34">
      <c r="B21">
        <v>-1.5626</v>
      </c>
      <c r="C21">
        <f t="shared" si="0"/>
        <v>8.9064999999999999E-4</v>
      </c>
      <c r="D21">
        <v>6.0499999999999998E-2</v>
      </c>
      <c r="E21">
        <v>1</v>
      </c>
      <c r="F21">
        <v>1E-3</v>
      </c>
      <c r="I21">
        <v>-1.3495999999999999</v>
      </c>
      <c r="J21">
        <f t="shared" si="1"/>
        <v>8.3739999999999997E-4</v>
      </c>
      <c r="K21">
        <v>-2.6700000000000002E-2</v>
      </c>
      <c r="M21">
        <v>2.9999999999999997E-4</v>
      </c>
      <c r="P21">
        <v>-1.2471000000000001</v>
      </c>
      <c r="Q21">
        <f t="shared" si="2"/>
        <v>8.1177500000000004E-4</v>
      </c>
      <c r="R21">
        <v>-2.35E-2</v>
      </c>
      <c r="T21">
        <v>2.9999999999999997E-4</v>
      </c>
      <c r="W21">
        <v>-0.60019999999999996</v>
      </c>
      <c r="X21">
        <f t="shared" si="3"/>
        <v>6.5005E-4</v>
      </c>
      <c r="Y21">
        <v>-1.0500000000000001E-2</v>
      </c>
      <c r="AA21">
        <v>2.9999999999999997E-4</v>
      </c>
      <c r="AD21">
        <v>-0.60299999999999998</v>
      </c>
      <c r="AE21">
        <f t="shared" si="4"/>
        <v>6.5075000000000007E-4</v>
      </c>
      <c r="AF21">
        <v>-5.3E-3</v>
      </c>
      <c r="AH21">
        <v>2.9999999999999997E-4</v>
      </c>
    </row>
    <row r="22" spans="2:34">
      <c r="B22">
        <v>-1.5236000000000001</v>
      </c>
      <c r="C22">
        <f t="shared" si="0"/>
        <v>8.809E-4</v>
      </c>
      <c r="D22">
        <v>9.4500000000000001E-2</v>
      </c>
      <c r="E22">
        <v>1</v>
      </c>
      <c r="F22">
        <v>1E-3</v>
      </c>
      <c r="I22">
        <v>-1.2986</v>
      </c>
      <c r="J22">
        <f t="shared" si="1"/>
        <v>8.2465000000000001E-4</v>
      </c>
      <c r="K22">
        <v>-1.7500000000000002E-2</v>
      </c>
      <c r="M22">
        <v>5.0000000000000001E-4</v>
      </c>
      <c r="P22">
        <v>-1.2024999999999999</v>
      </c>
      <c r="Q22">
        <f t="shared" si="2"/>
        <v>8.0062500000000001E-4</v>
      </c>
      <c r="R22">
        <v>-0.02</v>
      </c>
      <c r="T22">
        <v>2.0000000000000001E-4</v>
      </c>
      <c r="W22">
        <v>-0.55279999999999996</v>
      </c>
      <c r="X22">
        <f t="shared" si="3"/>
        <v>6.3820000000000001E-4</v>
      </c>
      <c r="Y22">
        <v>-4.0000000000000002E-4</v>
      </c>
      <c r="AA22">
        <v>5.0000000000000001E-4</v>
      </c>
      <c r="AD22">
        <v>-0.54849999999999999</v>
      </c>
      <c r="AE22">
        <f t="shared" si="4"/>
        <v>6.37125E-4</v>
      </c>
      <c r="AF22">
        <v>-4.4000000000000003E-3</v>
      </c>
      <c r="AH22">
        <v>2.9999999999999997E-4</v>
      </c>
    </row>
    <row r="23" spans="2:34">
      <c r="B23">
        <v>-1.4516</v>
      </c>
      <c r="C23">
        <f t="shared" si="0"/>
        <v>8.629E-4</v>
      </c>
      <c r="D23">
        <v>0.17100000000000001</v>
      </c>
      <c r="E23">
        <v>1</v>
      </c>
      <c r="F23">
        <v>2E-3</v>
      </c>
      <c r="I23">
        <v>-1.2499</v>
      </c>
      <c r="J23">
        <f t="shared" si="1"/>
        <v>8.12475E-4</v>
      </c>
      <c r="K23">
        <v>-7.0000000000000001E-3</v>
      </c>
      <c r="M23">
        <v>5.0000000000000001E-4</v>
      </c>
      <c r="P23">
        <v>-1.1507000000000001</v>
      </c>
      <c r="Q23">
        <f t="shared" si="2"/>
        <v>7.8767500000000005E-4</v>
      </c>
      <c r="R23">
        <v>-1.4999999999999999E-2</v>
      </c>
      <c r="T23">
        <v>5.0000000000000001E-4</v>
      </c>
      <c r="W23">
        <v>-0.50119999999999998</v>
      </c>
      <c r="X23">
        <f t="shared" si="3"/>
        <v>6.2530000000000007E-4</v>
      </c>
      <c r="Y23">
        <v>1.4999999999999999E-2</v>
      </c>
      <c r="AA23">
        <v>5.0000000000000001E-4</v>
      </c>
      <c r="AD23">
        <v>-0.49659999999999999</v>
      </c>
      <c r="AE23">
        <f t="shared" si="4"/>
        <v>6.2414999999999997E-4</v>
      </c>
      <c r="AF23">
        <v>-3.0000000000000001E-3</v>
      </c>
      <c r="AH23">
        <v>2.9999999999999997E-4</v>
      </c>
    </row>
    <row r="24" spans="2:34">
      <c r="B24">
        <v>-1.4007000000000001</v>
      </c>
      <c r="C24">
        <f t="shared" si="0"/>
        <v>8.5017500000000011E-4</v>
      </c>
      <c r="D24">
        <v>0.23899999999999999</v>
      </c>
      <c r="E24">
        <v>1</v>
      </c>
      <c r="F24">
        <v>2E-3</v>
      </c>
      <c r="I24">
        <v>-1.2021999999999999</v>
      </c>
      <c r="J24">
        <f t="shared" si="1"/>
        <v>8.0055000000000002E-4</v>
      </c>
      <c r="K24">
        <v>5.3E-3</v>
      </c>
      <c r="M24">
        <v>2.9999999999999997E-4</v>
      </c>
      <c r="P24">
        <v>-1.1064000000000001</v>
      </c>
      <c r="Q24">
        <f t="shared" si="2"/>
        <v>7.7660000000000001E-4</v>
      </c>
      <c r="R24">
        <v>-9.4999999999999998E-3</v>
      </c>
      <c r="T24">
        <v>5.0000000000000001E-4</v>
      </c>
      <c r="W24">
        <v>-0.4516</v>
      </c>
      <c r="X24">
        <f t="shared" si="3"/>
        <v>6.1289999999999999E-4</v>
      </c>
      <c r="Y24">
        <v>3.4000000000000002E-2</v>
      </c>
      <c r="AA24">
        <v>5.0000000000000001E-4</v>
      </c>
      <c r="AD24">
        <v>-0.45079999999999998</v>
      </c>
      <c r="AE24">
        <f t="shared" si="4"/>
        <v>6.1269999999999999E-4</v>
      </c>
      <c r="AF24">
        <v>-8.9999999999999998E-4</v>
      </c>
      <c r="AH24">
        <v>2.9999999999999997E-4</v>
      </c>
    </row>
    <row r="25" spans="2:34">
      <c r="B25">
        <v>-1.3494999999999999</v>
      </c>
      <c r="C25">
        <f t="shared" si="0"/>
        <v>8.3737500000000001E-4</v>
      </c>
      <c r="D25">
        <v>0.309</v>
      </c>
      <c r="E25">
        <v>1</v>
      </c>
      <c r="F25">
        <v>2E-3</v>
      </c>
      <c r="I25">
        <v>-1.1549</v>
      </c>
      <c r="J25">
        <f t="shared" si="1"/>
        <v>7.887250000000001E-4</v>
      </c>
      <c r="K25">
        <v>0.02</v>
      </c>
      <c r="M25">
        <v>5.0000000000000001E-4</v>
      </c>
      <c r="P25">
        <v>-1.0512999999999999</v>
      </c>
      <c r="Q25">
        <f t="shared" si="2"/>
        <v>7.6282499999999996E-4</v>
      </c>
      <c r="R25">
        <v>-1E-3</v>
      </c>
      <c r="T25">
        <v>5.0000000000000001E-4</v>
      </c>
      <c r="W25">
        <v>-0.40279999999999999</v>
      </c>
      <c r="X25">
        <f t="shared" si="3"/>
        <v>6.0070000000000002E-4</v>
      </c>
      <c r="Y25">
        <v>5.7299999999999997E-2</v>
      </c>
      <c r="AA25">
        <v>5.0000000000000001E-4</v>
      </c>
      <c r="AD25">
        <v>-0.40200000000000002</v>
      </c>
      <c r="AE25">
        <f t="shared" si="4"/>
        <v>6.0050000000000001E-4</v>
      </c>
      <c r="AF25">
        <v>1.6000000000000001E-3</v>
      </c>
      <c r="AH25">
        <v>5.0000000000000001E-4</v>
      </c>
    </row>
    <row r="26" spans="2:34">
      <c r="B26">
        <v>-1.3015000000000001</v>
      </c>
      <c r="C26">
        <f t="shared" si="0"/>
        <v>8.2537500000000005E-4</v>
      </c>
      <c r="D26">
        <v>0.39</v>
      </c>
      <c r="E26">
        <v>1</v>
      </c>
      <c r="F26">
        <v>2E-3</v>
      </c>
      <c r="I26">
        <v>-1.1025</v>
      </c>
      <c r="J26">
        <f t="shared" si="1"/>
        <v>7.7562500000000006E-4</v>
      </c>
      <c r="K26">
        <v>0.04</v>
      </c>
      <c r="M26">
        <v>2.9999999999999997E-4</v>
      </c>
      <c r="P26">
        <v>-1.0031000000000001</v>
      </c>
      <c r="Q26">
        <f t="shared" si="2"/>
        <v>7.5077499999999997E-4</v>
      </c>
      <c r="R26">
        <v>8.5000000000000006E-3</v>
      </c>
      <c r="T26">
        <v>5.0000000000000001E-4</v>
      </c>
      <c r="W26">
        <v>-0.35039999999999999</v>
      </c>
      <c r="X26">
        <f t="shared" si="3"/>
        <v>5.8759999999999997E-4</v>
      </c>
      <c r="Y26">
        <v>0.09</v>
      </c>
      <c r="AA26">
        <v>1E-3</v>
      </c>
      <c r="AD26">
        <v>-0.35510000000000003</v>
      </c>
      <c r="AE26">
        <f t="shared" si="4"/>
        <v>5.8877500000000004E-4</v>
      </c>
      <c r="AF26">
        <v>5.0000000000000001E-3</v>
      </c>
      <c r="AH26">
        <v>5.0000000000000001E-4</v>
      </c>
    </row>
    <row r="27" spans="2:34">
      <c r="B27">
        <v>-1.2018</v>
      </c>
      <c r="C27">
        <f t="shared" si="0"/>
        <v>8.0045000000000008E-4</v>
      </c>
      <c r="D27">
        <v>0.58699999999999997</v>
      </c>
      <c r="E27">
        <v>1</v>
      </c>
      <c r="F27">
        <v>4.0000000000000001E-3</v>
      </c>
      <c r="I27">
        <v>-1.046</v>
      </c>
      <c r="J27">
        <f t="shared" si="1"/>
        <v>7.6150000000000002E-4</v>
      </c>
      <c r="K27">
        <v>6.6000000000000003E-2</v>
      </c>
      <c r="M27">
        <v>1E-3</v>
      </c>
      <c r="P27">
        <v>-0.95079999999999998</v>
      </c>
      <c r="Q27">
        <f t="shared" si="2"/>
        <v>7.3769999999999999E-4</v>
      </c>
      <c r="R27">
        <v>2.0500000000000001E-2</v>
      </c>
      <c r="T27">
        <v>5.0000000000000001E-4</v>
      </c>
      <c r="W27">
        <v>-0.30249999999999999</v>
      </c>
      <c r="X27">
        <f t="shared" si="3"/>
        <v>5.7562499999999996E-4</v>
      </c>
      <c r="Y27">
        <v>0.1265</v>
      </c>
      <c r="AA27">
        <v>1E-3</v>
      </c>
      <c r="AD27">
        <v>-0.30230000000000001</v>
      </c>
      <c r="AE27">
        <f t="shared" si="4"/>
        <v>5.7557500000000004E-4</v>
      </c>
      <c r="AF27">
        <v>1.0500000000000001E-2</v>
      </c>
      <c r="AH27">
        <v>5.0000000000000001E-4</v>
      </c>
    </row>
    <row r="28" spans="2:34">
      <c r="B28">
        <v>-1.1021000000000001</v>
      </c>
      <c r="C28">
        <f t="shared" si="0"/>
        <v>7.75525E-4</v>
      </c>
      <c r="D28">
        <v>0.82699999999999996</v>
      </c>
      <c r="E28">
        <v>1</v>
      </c>
      <c r="F28">
        <v>3.0000000000000001E-3</v>
      </c>
      <c r="I28">
        <v>-1.0023</v>
      </c>
      <c r="J28">
        <f t="shared" si="1"/>
        <v>7.5057500000000007E-4</v>
      </c>
      <c r="K28">
        <v>8.8999999999999996E-2</v>
      </c>
      <c r="M28">
        <v>1E-3</v>
      </c>
      <c r="P28">
        <v>-0.89659999999999995</v>
      </c>
      <c r="Q28">
        <f t="shared" si="2"/>
        <v>7.2415000000000001E-4</v>
      </c>
      <c r="R28">
        <v>3.6999999999999998E-2</v>
      </c>
      <c r="T28">
        <v>5.0000000000000001E-4</v>
      </c>
      <c r="W28">
        <v>-0.24740000000000001</v>
      </c>
      <c r="X28">
        <f t="shared" si="3"/>
        <v>5.6185000000000002E-4</v>
      </c>
      <c r="Y28">
        <v>0.17499999999999999</v>
      </c>
      <c r="AA28">
        <v>1E-3</v>
      </c>
      <c r="AD28">
        <v>-0.25280000000000002</v>
      </c>
      <c r="AE28">
        <f t="shared" si="4"/>
        <v>5.6320000000000003E-4</v>
      </c>
      <c r="AF28">
        <v>1.6500000000000001E-2</v>
      </c>
      <c r="AH28">
        <v>5.0000000000000001E-4</v>
      </c>
    </row>
    <row r="29" spans="2:34">
      <c r="B29">
        <v>-1.0024999999999999</v>
      </c>
      <c r="C29">
        <f t="shared" si="0"/>
        <v>7.5062499999999999E-4</v>
      </c>
      <c r="D29">
        <v>1.1100000000000001</v>
      </c>
      <c r="E29">
        <v>1</v>
      </c>
      <c r="F29">
        <v>5.0000000000000001E-3</v>
      </c>
      <c r="I29">
        <v>-0.90249999999999997</v>
      </c>
      <c r="J29">
        <f t="shared" si="1"/>
        <v>7.2562500000000003E-4</v>
      </c>
      <c r="K29">
        <v>0.153</v>
      </c>
      <c r="M29">
        <v>1E-3</v>
      </c>
      <c r="P29">
        <v>-0.85150000000000003</v>
      </c>
      <c r="Q29">
        <f t="shared" si="2"/>
        <v>7.1287499999999997E-4</v>
      </c>
      <c r="R29">
        <v>5.2699999999999997E-2</v>
      </c>
      <c r="T29">
        <v>5.0000000000000001E-4</v>
      </c>
      <c r="W29">
        <v>-0.20100000000000001</v>
      </c>
      <c r="X29">
        <f t="shared" si="3"/>
        <v>5.5024999999999996E-4</v>
      </c>
      <c r="Y29">
        <v>0.224</v>
      </c>
      <c r="AA29">
        <v>1E-3</v>
      </c>
      <c r="AD29">
        <v>-0.2024</v>
      </c>
      <c r="AE29">
        <f t="shared" si="4"/>
        <v>5.5060000000000005E-4</v>
      </c>
      <c r="AF29">
        <v>2.4799999999999999E-2</v>
      </c>
      <c r="AH29">
        <v>2.9999999999999997E-4</v>
      </c>
    </row>
    <row r="30" spans="2:34">
      <c r="B30">
        <v>-0.90310000000000001</v>
      </c>
      <c r="C30">
        <f>0.025%*ABS(B30)+0.005%*$E$35</f>
        <v>7.2577500000000001E-4</v>
      </c>
      <c r="D30">
        <v>1.45</v>
      </c>
      <c r="E30">
        <v>1</v>
      </c>
      <c r="F30">
        <v>0.01</v>
      </c>
      <c r="I30">
        <v>-0.80120000000000002</v>
      </c>
      <c r="J30">
        <f t="shared" si="1"/>
        <v>7.0030000000000005E-4</v>
      </c>
      <c r="K30">
        <v>0.23499999999999999</v>
      </c>
      <c r="M30">
        <v>2E-3</v>
      </c>
      <c r="P30">
        <v>-0.79759999999999998</v>
      </c>
      <c r="Q30">
        <f t="shared" si="2"/>
        <v>6.9939999999999998E-4</v>
      </c>
      <c r="R30">
        <v>7.3999999999999996E-2</v>
      </c>
      <c r="T30">
        <v>5.0000000000000001E-4</v>
      </c>
      <c r="W30">
        <v>-0.1507</v>
      </c>
      <c r="X30">
        <f t="shared" si="3"/>
        <v>5.3767500000000005E-4</v>
      </c>
      <c r="Y30">
        <v>0.28399999999999997</v>
      </c>
      <c r="AA30">
        <v>1E-3</v>
      </c>
      <c r="AD30">
        <v>-0.14699999999999999</v>
      </c>
      <c r="AE30">
        <f t="shared" si="4"/>
        <v>5.3675000000000001E-4</v>
      </c>
      <c r="AF30">
        <v>3.5499999999999997E-2</v>
      </c>
      <c r="AH30">
        <v>5.0000000000000001E-4</v>
      </c>
    </row>
    <row r="31" spans="2:34">
      <c r="B31">
        <v>-0.79890000000000005</v>
      </c>
      <c r="C31">
        <f t="shared" si="0"/>
        <v>6.99725E-4</v>
      </c>
      <c r="D31">
        <v>1.85</v>
      </c>
      <c r="E31">
        <v>1</v>
      </c>
      <c r="F31">
        <v>0.01</v>
      </c>
      <c r="I31">
        <v>-0.7</v>
      </c>
      <c r="J31">
        <f t="shared" si="1"/>
        <v>6.7500000000000004E-4</v>
      </c>
      <c r="K31">
        <v>0.33700000000000002</v>
      </c>
      <c r="M31">
        <v>2E-3</v>
      </c>
      <c r="P31">
        <v>-0.755</v>
      </c>
      <c r="Q31">
        <f t="shared" si="2"/>
        <v>6.8875000000000002E-4</v>
      </c>
      <c r="R31">
        <v>9.35E-2</v>
      </c>
      <c r="T31">
        <v>1E-3</v>
      </c>
      <c r="W31">
        <v>-9.6600000000000005E-2</v>
      </c>
      <c r="X31">
        <f t="shared" si="3"/>
        <v>5.2415000000000003E-4</v>
      </c>
      <c r="Y31">
        <v>0.35799999999999998</v>
      </c>
      <c r="AA31">
        <v>2E-3</v>
      </c>
      <c r="AD31">
        <v>-0.1036</v>
      </c>
      <c r="AE31">
        <f t="shared" si="4"/>
        <v>5.2590000000000004E-4</v>
      </c>
      <c r="AF31">
        <v>4.5499999999999999E-2</v>
      </c>
      <c r="AH31">
        <v>5.0000000000000001E-4</v>
      </c>
    </row>
    <row r="32" spans="2:34">
      <c r="I32">
        <v>-0.59650000000000003</v>
      </c>
      <c r="J32">
        <f t="shared" si="1"/>
        <v>6.4912499999999996E-4</v>
      </c>
      <c r="K32">
        <v>0.46300000000000002</v>
      </c>
      <c r="M32">
        <v>1E-3</v>
      </c>
      <c r="P32">
        <v>-0.70389999999999997</v>
      </c>
      <c r="Q32">
        <f t="shared" si="2"/>
        <v>6.7597499999999999E-4</v>
      </c>
      <c r="R32">
        <v>0.121</v>
      </c>
      <c r="T32">
        <v>1E-3</v>
      </c>
      <c r="W32">
        <v>-5.0799999999999998E-2</v>
      </c>
      <c r="X32">
        <f t="shared" si="3"/>
        <v>5.1270000000000005E-4</v>
      </c>
      <c r="Y32">
        <v>0.42199999999999999</v>
      </c>
      <c r="AA32">
        <v>2E-3</v>
      </c>
      <c r="AD32">
        <v>-5.2200000000000003E-2</v>
      </c>
      <c r="AE32">
        <f t="shared" si="4"/>
        <v>5.1305000000000003E-4</v>
      </c>
      <c r="AF32">
        <v>5.8999999999999997E-2</v>
      </c>
      <c r="AH32">
        <v>5.0000000000000001E-4</v>
      </c>
    </row>
    <row r="33" spans="2:34">
      <c r="I33">
        <v>-0.49819999999999998</v>
      </c>
      <c r="J33">
        <f t="shared" si="1"/>
        <v>6.2454999999999997E-4</v>
      </c>
      <c r="K33">
        <v>0.61499999999999999</v>
      </c>
      <c r="M33">
        <v>3.0000000000000001E-3</v>
      </c>
      <c r="P33">
        <v>-0.65190000000000003</v>
      </c>
      <c r="Q33">
        <f t="shared" si="2"/>
        <v>6.62975E-4</v>
      </c>
      <c r="R33">
        <v>0.153</v>
      </c>
      <c r="T33">
        <v>1E-3</v>
      </c>
      <c r="W33">
        <v>-1.5E-3</v>
      </c>
      <c r="X33">
        <f t="shared" si="3"/>
        <v>5.0037500000000006E-4</v>
      </c>
      <c r="Y33">
        <v>0.50600000000000001</v>
      </c>
      <c r="AA33">
        <v>3.0000000000000001E-3</v>
      </c>
      <c r="AD33">
        <v>-1.5E-3</v>
      </c>
      <c r="AE33">
        <f t="shared" si="4"/>
        <v>5.0037500000000006E-4</v>
      </c>
      <c r="AF33">
        <v>7.3999999999999996E-2</v>
      </c>
      <c r="AH33">
        <v>5.0000000000000001E-4</v>
      </c>
    </row>
    <row r="34" spans="2:34">
      <c r="I34">
        <v>-0.40179999999999999</v>
      </c>
      <c r="J34">
        <f t="shared" si="1"/>
        <v>6.0044999999999999E-4</v>
      </c>
      <c r="K34">
        <v>0.78</v>
      </c>
      <c r="M34">
        <v>3.0000000000000001E-3</v>
      </c>
      <c r="P34">
        <v>-0.60099999999999998</v>
      </c>
      <c r="Q34">
        <f t="shared" si="2"/>
        <v>6.5025E-4</v>
      </c>
      <c r="R34">
        <v>0.186</v>
      </c>
      <c r="T34">
        <v>2E-3</v>
      </c>
    </row>
    <row r="35" spans="2:34">
      <c r="B35" t="s">
        <v>11</v>
      </c>
      <c r="C35" t="s">
        <v>12</v>
      </c>
      <c r="D35" t="s">
        <v>13</v>
      </c>
      <c r="E35">
        <v>10</v>
      </c>
      <c r="I35">
        <v>-0.20749999999999999</v>
      </c>
      <c r="J35">
        <f t="shared" si="1"/>
        <v>5.5187500000000007E-4</v>
      </c>
      <c r="K35">
        <v>1.2150000000000001</v>
      </c>
      <c r="M35">
        <v>3.0000000000000001E-3</v>
      </c>
      <c r="P35">
        <v>-0.49669999999999997</v>
      </c>
      <c r="Q35">
        <f t="shared" si="2"/>
        <v>6.2417500000000003E-4</v>
      </c>
      <c r="R35">
        <v>0.27300000000000002</v>
      </c>
      <c r="T35">
        <v>1E-3</v>
      </c>
    </row>
    <row r="36" spans="2:34">
      <c r="B36" t="s">
        <v>14</v>
      </c>
      <c r="C36" t="s">
        <v>15</v>
      </c>
      <c r="I36">
        <v>-9.9600000000000001E-3</v>
      </c>
      <c r="J36">
        <f t="shared" si="1"/>
        <v>5.0248999999999997E-4</v>
      </c>
      <c r="K36">
        <v>1.49</v>
      </c>
      <c r="M36">
        <v>4.0000000000000001E-3</v>
      </c>
      <c r="P36">
        <v>-0.40289999999999998</v>
      </c>
      <c r="Q36">
        <f t="shared" si="2"/>
        <v>6.0072499999999998E-4</v>
      </c>
      <c r="R36">
        <v>0.372</v>
      </c>
      <c r="T36">
        <v>2E-3</v>
      </c>
    </row>
    <row r="37" spans="2:34">
      <c r="P37">
        <v>-0.3</v>
      </c>
      <c r="Q37">
        <f t="shared" si="2"/>
        <v>5.7499999999999999E-4</v>
      </c>
      <c r="R37">
        <v>0.5</v>
      </c>
      <c r="T37">
        <v>2E-3</v>
      </c>
    </row>
    <row r="38" spans="2:34">
      <c r="P38">
        <v>-0.19969999999999999</v>
      </c>
      <c r="Q38">
        <f t="shared" si="2"/>
        <v>5.4992500000000004E-4</v>
      </c>
      <c r="R38">
        <v>0.64700000000000002</v>
      </c>
      <c r="T38">
        <v>2E-3</v>
      </c>
    </row>
    <row r="39" spans="2:34">
      <c r="P39">
        <v>-0.1014</v>
      </c>
      <c r="Q39">
        <f t="shared" si="2"/>
        <v>5.2535000000000006E-4</v>
      </c>
      <c r="R39">
        <v>0.81799999999999995</v>
      </c>
      <c r="T39">
        <v>3.0000000000000001E-3</v>
      </c>
    </row>
    <row r="40" spans="2:34">
      <c r="P40">
        <v>-5.0000000000000001E-4</v>
      </c>
      <c r="Q40">
        <f t="shared" si="2"/>
        <v>5.0012500000000003E-4</v>
      </c>
      <c r="R40">
        <v>1.0029999999999999</v>
      </c>
      <c r="T40">
        <v>5.0000000000000001E-3</v>
      </c>
    </row>
    <row r="44" spans="2:34">
      <c r="B44" t="s">
        <v>16</v>
      </c>
      <c r="C44">
        <v>299792458</v>
      </c>
    </row>
    <row r="46" spans="2:34">
      <c r="G46" t="s">
        <v>17</v>
      </c>
    </row>
    <row r="47" spans="2:34">
      <c r="B47" t="s">
        <v>18</v>
      </c>
      <c r="C47" t="s">
        <v>19</v>
      </c>
      <c r="D47" t="s">
        <v>4</v>
      </c>
      <c r="E47" t="s">
        <v>20</v>
      </c>
      <c r="F47" t="s">
        <v>21</v>
      </c>
      <c r="G47" t="s">
        <v>22</v>
      </c>
    </row>
    <row r="48" spans="2:34">
      <c r="B48">
        <v>366</v>
      </c>
      <c r="C48">
        <v>-1.85876</v>
      </c>
      <c r="D48">
        <v>2.358E-2</v>
      </c>
      <c r="E48">
        <f>$C$44/(B48*10^(-9))</f>
        <v>819105076502732.25</v>
      </c>
      <c r="F48">
        <f>E48*10^(-14)</f>
        <v>8.1910507650273221</v>
      </c>
      <c r="G48">
        <f>1%*F48</f>
        <v>8.1910507650273218E-2</v>
      </c>
    </row>
    <row r="49" spans="2:7">
      <c r="B49">
        <v>405</v>
      </c>
      <c r="C49">
        <v>-1.36853</v>
      </c>
      <c r="D49">
        <v>2.707E-2</v>
      </c>
      <c r="E49">
        <f>$C$44/(B49*10^(-9))</f>
        <v>740228291358024.63</v>
      </c>
      <c r="F49">
        <f t="shared" ref="F49:F52" si="5">E49*10^(-14)</f>
        <v>7.4022829135802466</v>
      </c>
      <c r="G49">
        <f t="shared" ref="G49:G52" si="6">1%*F49</f>
        <v>7.4022829135802465E-2</v>
      </c>
    </row>
    <row r="50" spans="2:7">
      <c r="B50">
        <v>436</v>
      </c>
      <c r="C50">
        <v>-1.22359</v>
      </c>
      <c r="D50">
        <v>1.8429999999999998E-2</v>
      </c>
      <c r="E50">
        <f t="shared" ref="E49:E52" si="7">$C$44/(B50*10^(-9))</f>
        <v>687597380733944.88</v>
      </c>
      <c r="F50">
        <f t="shared" si="5"/>
        <v>6.8759738073394487</v>
      </c>
      <c r="G50">
        <f t="shared" si="6"/>
        <v>6.8759738073394486E-2</v>
      </c>
    </row>
    <row r="51" spans="2:7">
      <c r="B51">
        <v>546</v>
      </c>
      <c r="C51">
        <v>-0.72626000000000002</v>
      </c>
      <c r="D51">
        <v>1.6809999999999999E-2</v>
      </c>
      <c r="E51">
        <f t="shared" si="7"/>
        <v>549070435897435.88</v>
      </c>
      <c r="F51">
        <f t="shared" si="5"/>
        <v>5.4907043589743587</v>
      </c>
      <c r="G51">
        <f t="shared" si="6"/>
        <v>5.490704358974359E-2</v>
      </c>
    </row>
    <row r="52" spans="2:7">
      <c r="B52">
        <v>578</v>
      </c>
      <c r="C52">
        <v>-0.56840999999999997</v>
      </c>
      <c r="D52">
        <v>1.1610000000000001E-2</v>
      </c>
      <c r="E52">
        <f t="shared" si="7"/>
        <v>518672072664359.88</v>
      </c>
      <c r="F52">
        <f t="shared" si="5"/>
        <v>5.1867207266435988</v>
      </c>
      <c r="G52">
        <f t="shared" si="6"/>
        <v>5.186720726643599E-2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6DEC-23F7-48FD-9FD3-2974A4030CB6}">
  <dimension ref="B3:Z52"/>
  <sheetViews>
    <sheetView topLeftCell="A4" workbookViewId="0">
      <selection activeCell="F25" sqref="F25"/>
    </sheetView>
  </sheetViews>
  <sheetFormatPr defaultColWidth="11.42578125" defaultRowHeight="15"/>
  <cols>
    <col min="2" max="2" width="13.42578125" bestFit="1" customWidth="1"/>
    <col min="3" max="3" width="12.7109375" bestFit="1" customWidth="1"/>
    <col min="4" max="4" width="13.85546875" bestFit="1" customWidth="1"/>
    <col min="5" max="5" width="12.7109375" bestFit="1" customWidth="1"/>
    <col min="6" max="6" width="17.5703125" bestFit="1" customWidth="1"/>
    <col min="7" max="7" width="12.7109375" customWidth="1"/>
    <col min="10" max="10" width="12.85546875" bestFit="1" customWidth="1"/>
    <col min="11" max="11" width="12.7109375" bestFit="1" customWidth="1"/>
    <col min="12" max="12" width="13.85546875" bestFit="1" customWidth="1"/>
    <col min="15" max="15" width="12" bestFit="1" customWidth="1"/>
    <col min="20" max="20" width="12" bestFit="1" customWidth="1"/>
    <col min="21" max="21" width="13.85546875" bestFit="1" customWidth="1"/>
    <col min="24" max="24" width="12" bestFit="1" customWidth="1"/>
  </cols>
  <sheetData>
    <row r="3" spans="2:26">
      <c r="B3" t="s">
        <v>23</v>
      </c>
      <c r="C3">
        <v>40</v>
      </c>
      <c r="D3" t="s">
        <v>24</v>
      </c>
      <c r="J3" t="s">
        <v>23</v>
      </c>
      <c r="K3">
        <v>80</v>
      </c>
      <c r="L3" t="s">
        <v>24</v>
      </c>
      <c r="S3" t="s">
        <v>23</v>
      </c>
      <c r="T3">
        <v>120</v>
      </c>
      <c r="U3" t="s">
        <v>24</v>
      </c>
      <c r="Z3" t="s">
        <v>25</v>
      </c>
    </row>
    <row r="4" spans="2:26">
      <c r="Z4" t="s">
        <v>12</v>
      </c>
    </row>
    <row r="5" spans="2:26">
      <c r="B5" t="s">
        <v>26</v>
      </c>
      <c r="C5">
        <v>1</v>
      </c>
      <c r="D5" t="s">
        <v>27</v>
      </c>
      <c r="F5" t="s">
        <v>28</v>
      </c>
      <c r="G5" t="s">
        <v>29</v>
      </c>
      <c r="N5" t="s">
        <v>28</v>
      </c>
      <c r="O5" t="s">
        <v>29</v>
      </c>
      <c r="W5" t="s">
        <v>28</v>
      </c>
      <c r="X5" t="s">
        <v>29</v>
      </c>
    </row>
    <row r="6" spans="2:26">
      <c r="C6">
        <v>10</v>
      </c>
      <c r="D6" t="s">
        <v>30</v>
      </c>
      <c r="F6">
        <f>0.00627*10^3</f>
        <v>6.2700000000000005</v>
      </c>
      <c r="G6">
        <f>6.49969*10^(-4)*10^3</f>
        <v>0.64996900000000002</v>
      </c>
      <c r="N6">
        <v>0</v>
      </c>
      <c r="O6">
        <v>0</v>
      </c>
      <c r="W6">
        <v>4.6100000000000003</v>
      </c>
      <c r="X6">
        <v>0.85074799999999995</v>
      </c>
    </row>
    <row r="8" spans="2:26">
      <c r="B8" t="s">
        <v>31</v>
      </c>
      <c r="C8" t="s">
        <v>32</v>
      </c>
      <c r="D8" t="s">
        <v>33</v>
      </c>
      <c r="E8" t="s">
        <v>34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32</v>
      </c>
      <c r="S8" t="s">
        <v>31</v>
      </c>
      <c r="T8" t="s">
        <v>32</v>
      </c>
      <c r="U8" t="s">
        <v>33</v>
      </c>
      <c r="V8" t="s">
        <v>34</v>
      </c>
      <c r="W8" t="s">
        <v>35</v>
      </c>
      <c r="X8" t="s">
        <v>32</v>
      </c>
    </row>
    <row r="9" spans="2:26">
      <c r="B9" s="2">
        <v>1.01E-2</v>
      </c>
      <c r="C9" s="2" t="s">
        <v>36</v>
      </c>
      <c r="D9" s="2">
        <v>4.0000000000000002E-4</v>
      </c>
      <c r="E9" s="2" t="s">
        <v>37</v>
      </c>
      <c r="F9" s="2"/>
      <c r="G9" s="2"/>
      <c r="J9">
        <v>0.15009</v>
      </c>
      <c r="K9">
        <f>0.025%*J9+0.006%*$C$5</f>
        <v>9.75225E-5</v>
      </c>
      <c r="L9">
        <v>4.0000000000000002E-4</v>
      </c>
      <c r="M9">
        <f>0.05%*L9+0.015%*$C$6</f>
        <v>1.5001999999999997E-3</v>
      </c>
      <c r="N9" s="4">
        <f>J9-L9*10^(-3)*$N$6</f>
        <v>0.15009</v>
      </c>
      <c r="O9" s="4">
        <f>K9+M9*10^(-3)*$N$6*SQRT((M9/L9)^2+($O$6/$W$6)^2)</f>
        <v>9.75225E-5</v>
      </c>
      <c r="S9">
        <v>4.0259999999999997E-2</v>
      </c>
      <c r="T9">
        <f>0.025%*S9+0.006%*$C$5</f>
        <v>7.0065000000000001E-5</v>
      </c>
      <c r="U9">
        <v>5.0000000000000001E-4</v>
      </c>
      <c r="V9">
        <f>0.05%*U9+0.015%*$C$6</f>
        <v>1.5002499999999998E-3</v>
      </c>
      <c r="W9">
        <f>S9-U9*10^(-3)*$W$6</f>
        <v>4.0257694999999996E-2</v>
      </c>
      <c r="X9">
        <f>T9+V9*10^(-3)*$W$6*SQRT((V9/U9)^2+($X$6/$W$6)^2)</f>
        <v>9.0856128644617798E-5</v>
      </c>
    </row>
    <row r="10" spans="2:26">
      <c r="B10" s="2">
        <v>2.036E-2</v>
      </c>
      <c r="C10" s="2"/>
      <c r="D10" s="2">
        <v>5.0000000000000001E-4</v>
      </c>
      <c r="E10" s="2"/>
      <c r="F10" s="2"/>
      <c r="G10" s="2"/>
      <c r="J10">
        <v>0.16097</v>
      </c>
      <c r="K10">
        <f t="shared" ref="K10:K39" si="0">0.025%*J10+0.006%*$C$5</f>
        <v>1.002425E-4</v>
      </c>
      <c r="L10">
        <v>8.0000000000000004E-4</v>
      </c>
      <c r="M10">
        <f t="shared" ref="M10:M39" si="1">0.05%*L10+0.015%*$C$6</f>
        <v>1.5003999999999998E-3</v>
      </c>
      <c r="N10" s="4">
        <f t="shared" ref="N10:N39" si="2">J10-L10*10^(-3)*$N$6</f>
        <v>0.16097</v>
      </c>
      <c r="O10" s="4">
        <f t="shared" ref="O10:O39" si="3">K10+M10*10^(-3)*$N$6*SQRT((M10/L10)^2+($O$6/$W$6)^2)</f>
        <v>1.002425E-4</v>
      </c>
      <c r="S10">
        <v>5.058E-2</v>
      </c>
      <c r="T10">
        <f t="shared" ref="T10:T40" si="4">0.025%*S10+0.006%*$C$5</f>
        <v>7.2645000000000007E-5</v>
      </c>
      <c r="U10">
        <v>1.1999999999999999E-3</v>
      </c>
      <c r="V10">
        <f t="shared" ref="V10:V40" si="5">0.05%*U10+0.015%*$C$6</f>
        <v>1.5005999999999997E-3</v>
      </c>
      <c r="W10">
        <f>S10-U10*10^(-3)*$W$6</f>
        <v>5.0574467999999997E-2</v>
      </c>
      <c r="X10">
        <f>T10+V10*10^(-3)*$W$6*SQRT((V10/U10)^2+($X$6/$W$6)^2)</f>
        <v>8.1389359283520743E-5</v>
      </c>
    </row>
    <row r="11" spans="2:26">
      <c r="B11" s="2">
        <v>2.9829999999999999E-2</v>
      </c>
      <c r="C11" s="2"/>
      <c r="D11" s="2">
        <v>5.0000000000000001E-4</v>
      </c>
      <c r="E11" s="2"/>
      <c r="F11" s="2"/>
      <c r="G11" s="2"/>
      <c r="J11">
        <v>0.17299999999999999</v>
      </c>
      <c r="K11">
        <f t="shared" si="0"/>
        <v>1.0325E-4</v>
      </c>
      <c r="L11">
        <v>1.6000000000000001E-3</v>
      </c>
      <c r="M11">
        <f t="shared" si="1"/>
        <v>1.5007999999999998E-3</v>
      </c>
      <c r="N11" s="4">
        <f t="shared" si="2"/>
        <v>0.17299999999999999</v>
      </c>
      <c r="O11" s="4">
        <f t="shared" si="3"/>
        <v>1.0325E-4</v>
      </c>
      <c r="S11">
        <v>6.0019999999999997E-2</v>
      </c>
      <c r="T11">
        <f t="shared" si="4"/>
        <v>7.5005000000000004E-5</v>
      </c>
      <c r="U11">
        <v>2E-3</v>
      </c>
      <c r="V11">
        <f t="shared" si="5"/>
        <v>1.5009999999999997E-3</v>
      </c>
      <c r="W11">
        <f>S11-U11*10^(-3)*$W$6</f>
        <v>6.001078E-2</v>
      </c>
      <c r="X11">
        <f>T11+V11*10^(-3)*$W$6*SQRT((V11/U11)^2+($X$6/$W$6)^2)</f>
        <v>8.0352863690938246E-5</v>
      </c>
    </row>
    <row r="12" spans="2:26">
      <c r="B12" s="2">
        <v>4.0300000000000002E-2</v>
      </c>
      <c r="C12" s="2"/>
      <c r="D12" s="2">
        <v>5.0000000000000001E-4</v>
      </c>
      <c r="E12" s="2"/>
      <c r="F12" s="2"/>
      <c r="G12" s="2"/>
      <c r="J12">
        <v>0.18079999999999999</v>
      </c>
      <c r="K12">
        <f t="shared" si="0"/>
        <v>1.0520000000000001E-4</v>
      </c>
      <c r="L12">
        <v>2.3E-3</v>
      </c>
      <c r="M12">
        <f>0.05%*L12+0.015%*$C$6</f>
        <v>1.5011499999999997E-3</v>
      </c>
      <c r="N12" s="4">
        <f t="shared" si="2"/>
        <v>0.18079999999999999</v>
      </c>
      <c r="O12" s="4">
        <f t="shared" si="3"/>
        <v>1.0520000000000001E-4</v>
      </c>
      <c r="S12">
        <v>7.0809999999999998E-2</v>
      </c>
      <c r="T12">
        <f t="shared" si="4"/>
        <v>7.7702500000000004E-5</v>
      </c>
      <c r="U12">
        <v>3.2000000000000002E-3</v>
      </c>
      <c r="V12">
        <f t="shared" si="5"/>
        <v>1.5015999999999999E-3</v>
      </c>
      <c r="W12">
        <f>S12-U12*10^(-3)*$W$6</f>
        <v>7.0795247999999991E-2</v>
      </c>
      <c r="X12">
        <f>T12+V12*10^(-3)*$W$6*SQRT((V12/U12)^2+($X$6/$W$6)^2)</f>
        <v>8.1192998276885273E-5</v>
      </c>
    </row>
    <row r="13" spans="2:26">
      <c r="B13" s="2">
        <v>5.0279999999999998E-2</v>
      </c>
      <c r="C13" s="2"/>
      <c r="D13" s="2">
        <v>5.0000000000000001E-4</v>
      </c>
      <c r="E13" s="2"/>
      <c r="F13" s="2"/>
      <c r="G13" s="2"/>
      <c r="J13">
        <v>0.19040000000000001</v>
      </c>
      <c r="K13">
        <f t="shared" si="0"/>
        <v>1.0760000000000001E-4</v>
      </c>
      <c r="L13">
        <v>3.3999999999999998E-3</v>
      </c>
      <c r="M13">
        <f t="shared" si="1"/>
        <v>1.5016999999999999E-3</v>
      </c>
      <c r="N13" s="4">
        <f t="shared" si="2"/>
        <v>0.19040000000000001</v>
      </c>
      <c r="O13" s="4">
        <f t="shared" si="3"/>
        <v>1.0760000000000001E-4</v>
      </c>
      <c r="S13">
        <v>8.0159999999999995E-2</v>
      </c>
      <c r="T13">
        <f>0.025%*S13+0.006%*$C$5</f>
        <v>8.0039999999999999E-5</v>
      </c>
      <c r="U13">
        <v>4.5999999999999999E-3</v>
      </c>
      <c r="V13">
        <f>0.05%*U13+0.015%*$C$6</f>
        <v>1.5022999999999998E-3</v>
      </c>
      <c r="W13">
        <f>S13-U13*10^(-3)*$W$6</f>
        <v>8.0138793999999999E-2</v>
      </c>
      <c r="X13">
        <f>T13+V13*10^(-3)*$W$6*SQRT((V13/U13)^2+($X$6/$W$6)^2)</f>
        <v>8.263793705772238E-5</v>
      </c>
    </row>
    <row r="14" spans="2:26">
      <c r="B14" s="2">
        <v>6.037E-2</v>
      </c>
      <c r="C14" s="2"/>
      <c r="D14" s="2">
        <v>5.0000000000000001E-4</v>
      </c>
      <c r="E14" s="2"/>
      <c r="F14" s="2"/>
      <c r="G14" s="2"/>
      <c r="J14">
        <v>0.20177999999999999</v>
      </c>
      <c r="K14">
        <f>0.025%*J14+0.006%*$C$5</f>
        <v>1.10445E-4</v>
      </c>
      <c r="L14">
        <v>5.3E-3</v>
      </c>
      <c r="M14">
        <f t="shared" si="1"/>
        <v>1.5026499999999999E-3</v>
      </c>
      <c r="N14" s="4">
        <f t="shared" si="2"/>
        <v>0.20177999999999999</v>
      </c>
      <c r="O14" s="4">
        <f t="shared" si="3"/>
        <v>1.10445E-4</v>
      </c>
      <c r="S14">
        <v>9.0190000000000006E-2</v>
      </c>
      <c r="T14">
        <f t="shared" si="4"/>
        <v>8.2547500000000002E-5</v>
      </c>
      <c r="U14">
        <v>6.7000000000000002E-3</v>
      </c>
      <c r="V14">
        <f t="shared" si="5"/>
        <v>1.5033499999999999E-3</v>
      </c>
      <c r="W14">
        <f>S14-U14*10^(-3)*$W$6</f>
        <v>9.0159113000000013E-2</v>
      </c>
      <c r="X14">
        <f>T14+V14*10^(-3)*$W$6*SQRT((V14/U14)^2+($X$6/$W$6)^2)</f>
        <v>8.4560947744718334E-5</v>
      </c>
    </row>
    <row r="15" spans="2:26">
      <c r="B15" s="2">
        <v>7.0110000000000006E-2</v>
      </c>
      <c r="C15" s="2"/>
      <c r="D15" s="2">
        <v>5.0000000000000001E-4</v>
      </c>
      <c r="E15" s="2"/>
      <c r="F15" s="2"/>
      <c r="G15" s="2"/>
      <c r="J15">
        <v>0.21</v>
      </c>
      <c r="K15">
        <f t="shared" si="0"/>
        <v>1.125E-4</v>
      </c>
      <c r="L15">
        <v>7.1999999999999998E-3</v>
      </c>
      <c r="M15">
        <f t="shared" si="1"/>
        <v>1.5035999999999999E-3</v>
      </c>
      <c r="N15" s="4">
        <f t="shared" si="2"/>
        <v>0.21</v>
      </c>
      <c r="O15" s="4">
        <f t="shared" si="3"/>
        <v>1.125E-4</v>
      </c>
      <c r="S15">
        <v>0.1</v>
      </c>
      <c r="T15">
        <f t="shared" si="4"/>
        <v>8.5000000000000006E-5</v>
      </c>
      <c r="U15">
        <v>9.4000000000000004E-3</v>
      </c>
      <c r="V15">
        <f t="shared" si="5"/>
        <v>1.5046999999999999E-3</v>
      </c>
      <c r="W15">
        <f>S15-U15*10^(-3)*$W$6</f>
        <v>9.9956666E-2</v>
      </c>
      <c r="X15">
        <f>T15+V15*10^(-3)*$W$6*SQRT((V15/U15)^2+($X$6/$W$6)^2)</f>
        <v>8.6694597168547353E-5</v>
      </c>
    </row>
    <row r="16" spans="2:26">
      <c r="B16" s="2">
        <v>8.0360000000000001E-2</v>
      </c>
      <c r="C16" s="2"/>
      <c r="D16" s="2">
        <v>5.9999999999999995E-4</v>
      </c>
      <c r="E16" s="2"/>
      <c r="F16" s="2"/>
      <c r="G16" s="2"/>
      <c r="J16">
        <v>0.22031000000000001</v>
      </c>
      <c r="K16">
        <f t="shared" si="0"/>
        <v>1.150775E-4</v>
      </c>
      <c r="L16">
        <v>1.04E-2</v>
      </c>
      <c r="M16">
        <f t="shared" si="1"/>
        <v>1.5051999999999997E-3</v>
      </c>
      <c r="N16" s="4">
        <f t="shared" si="2"/>
        <v>0.22031000000000001</v>
      </c>
      <c r="O16" s="4">
        <f t="shared" si="3"/>
        <v>1.150775E-4</v>
      </c>
      <c r="S16">
        <v>0.11051</v>
      </c>
      <c r="T16">
        <f t="shared" si="4"/>
        <v>8.7627500000000001E-5</v>
      </c>
      <c r="U16">
        <v>1.3299999999999999E-2</v>
      </c>
      <c r="V16">
        <f t="shared" si="5"/>
        <v>1.5066499999999998E-3</v>
      </c>
      <c r="W16">
        <f>S16-U16*10^(-3)*$W$6</f>
        <v>0.110448687</v>
      </c>
      <c r="X16">
        <f>T16+V16*10^(-3)*$W$6*SQRT((V16/U16)^2+($X$6/$W$6)^2)</f>
        <v>8.9131508135496039E-5</v>
      </c>
    </row>
    <row r="17" spans="2:26">
      <c r="B17" s="2">
        <v>9.0609999999999996E-2</v>
      </c>
      <c r="C17" s="2"/>
      <c r="D17" s="2">
        <v>5.9999999999999995E-4</v>
      </c>
      <c r="E17" s="2"/>
      <c r="F17" s="2"/>
      <c r="G17" s="2"/>
      <c r="J17">
        <v>0.23139999999999999</v>
      </c>
      <c r="K17">
        <f t="shared" si="0"/>
        <v>1.1784999999999999E-4</v>
      </c>
      <c r="L17">
        <v>1.54E-2</v>
      </c>
      <c r="M17">
        <f t="shared" si="1"/>
        <v>1.5076999999999998E-3</v>
      </c>
      <c r="N17" s="4">
        <f t="shared" si="2"/>
        <v>0.23139999999999999</v>
      </c>
      <c r="O17" s="4">
        <f t="shared" si="3"/>
        <v>1.1784999999999999E-4</v>
      </c>
      <c r="S17">
        <v>0.12051000000000001</v>
      </c>
      <c r="T17">
        <f t="shared" si="4"/>
        <v>9.0127500000000007E-5</v>
      </c>
      <c r="U17">
        <v>1.8499999999999999E-2</v>
      </c>
      <c r="V17">
        <f t="shared" si="5"/>
        <v>1.5092499999999997E-3</v>
      </c>
      <c r="W17">
        <f>S17-U17*10^(-3)*$W$6</f>
        <v>0.120424715</v>
      </c>
      <c r="X17">
        <f>T17+V17*10^(-3)*$W$6*SQRT((V17/U17)^2+($X$6/$W$6)^2)</f>
        <v>9.1531358020997711E-5</v>
      </c>
    </row>
    <row r="18" spans="2:26">
      <c r="B18" s="2">
        <v>0.10095999999999999</v>
      </c>
      <c r="C18" s="2"/>
      <c r="D18" s="2">
        <v>5.9999999999999995E-4</v>
      </c>
      <c r="E18" s="2"/>
      <c r="F18" s="2"/>
      <c r="G18" s="2"/>
      <c r="J18">
        <v>0.2404</v>
      </c>
      <c r="K18">
        <f t="shared" si="0"/>
        <v>1.2010000000000001E-4</v>
      </c>
      <c r="L18">
        <v>2.1000000000000001E-2</v>
      </c>
      <c r="M18">
        <f t="shared" si="1"/>
        <v>1.5104999999999999E-3</v>
      </c>
      <c r="N18" s="4">
        <f t="shared" si="2"/>
        <v>0.2404</v>
      </c>
      <c r="O18" s="4">
        <f t="shared" si="3"/>
        <v>1.2010000000000001E-4</v>
      </c>
      <c r="S18">
        <v>0.12995000000000001</v>
      </c>
      <c r="T18">
        <f t="shared" si="4"/>
        <v>9.2487500000000005E-5</v>
      </c>
      <c r="U18">
        <v>2.4899999999999999E-2</v>
      </c>
      <c r="V18">
        <f t="shared" si="5"/>
        <v>1.5124499999999998E-3</v>
      </c>
      <c r="W18">
        <f>S18-U18*10^(-3)*$W$6</f>
        <v>0.12983521100000001</v>
      </c>
      <c r="X18">
        <f>T18+V18*10^(-3)*$W$6*SQRT((V18/U18)^2+($X$6/$W$6)^2)</f>
        <v>9.3842119180327689E-5</v>
      </c>
    </row>
    <row r="19" spans="2:26">
      <c r="B19" s="2">
        <v>0.11064</v>
      </c>
      <c r="C19" s="2"/>
      <c r="D19" s="2">
        <v>5.9999999999999995E-4</v>
      </c>
      <c r="E19" s="2"/>
      <c r="F19" s="2"/>
      <c r="G19" s="2"/>
      <c r="J19">
        <v>0.25009999999999999</v>
      </c>
      <c r="K19">
        <f t="shared" si="0"/>
        <v>1.2252500000000001E-4</v>
      </c>
      <c r="L19">
        <v>2.92E-2</v>
      </c>
      <c r="M19">
        <f t="shared" si="1"/>
        <v>1.5145999999999998E-3</v>
      </c>
      <c r="N19" s="4">
        <f t="shared" si="2"/>
        <v>0.25009999999999999</v>
      </c>
      <c r="O19" s="4">
        <f t="shared" si="3"/>
        <v>1.2252500000000001E-4</v>
      </c>
      <c r="S19">
        <v>0.14074</v>
      </c>
      <c r="T19">
        <f t="shared" si="4"/>
        <v>9.5185000000000004E-5</v>
      </c>
      <c r="U19">
        <v>3.4799999999999998E-2</v>
      </c>
      <c r="V19">
        <f t="shared" si="5"/>
        <v>1.5173999999999999E-3</v>
      </c>
      <c r="W19">
        <f>S19-U19*10^(-3)*$W$6</f>
        <v>0.14057957200000001</v>
      </c>
      <c r="X19">
        <f>T19+V19*10^(-3)*$W$6*SQRT((V19/U19)^2+($X$6/$W$6)^2)</f>
        <v>9.6511469683303289E-5</v>
      </c>
    </row>
    <row r="20" spans="2:26">
      <c r="B20" s="2">
        <v>0.13</v>
      </c>
      <c r="C20" s="2"/>
      <c r="D20" s="2">
        <v>5.9999999999999995E-4</v>
      </c>
      <c r="E20" s="2"/>
      <c r="F20" s="2"/>
      <c r="G20" s="2"/>
      <c r="J20">
        <v>0.26040000000000002</v>
      </c>
      <c r="K20">
        <f t="shared" si="0"/>
        <v>1.2510000000000001E-4</v>
      </c>
      <c r="L20">
        <v>4.1399999999999999E-2</v>
      </c>
      <c r="M20">
        <f t="shared" si="1"/>
        <v>1.5206999999999998E-3</v>
      </c>
      <c r="N20" s="4">
        <f t="shared" si="2"/>
        <v>0.26040000000000002</v>
      </c>
      <c r="O20" s="4">
        <f t="shared" si="3"/>
        <v>1.2510000000000001E-4</v>
      </c>
      <c r="S20">
        <v>0.15112</v>
      </c>
      <c r="T20">
        <f t="shared" si="4"/>
        <v>9.7780000000000002E-5</v>
      </c>
      <c r="U20">
        <v>4.7800000000000002E-2</v>
      </c>
      <c r="V20">
        <f t="shared" si="5"/>
        <v>1.5238999999999999E-3</v>
      </c>
      <c r="W20">
        <f>S20-U20*10^(-3)*$W$6</f>
        <v>0.150899642</v>
      </c>
      <c r="X20">
        <f>T20+V20*10^(-3)*$W$6*SQRT((V20/U20)^2+($X$6/$W$6)^2)</f>
        <v>9.9095658357058295E-5</v>
      </c>
    </row>
    <row r="21" spans="2:26">
      <c r="B21" s="2">
        <v>0.14032</v>
      </c>
      <c r="C21" s="2"/>
      <c r="D21" s="2">
        <v>5.9999999999999995E-4</v>
      </c>
      <c r="E21" s="2"/>
      <c r="F21" s="2"/>
      <c r="G21" s="2"/>
      <c r="J21">
        <v>0.26998</v>
      </c>
      <c r="K21">
        <f t="shared" si="0"/>
        <v>1.2749500000000001E-4</v>
      </c>
      <c r="L21">
        <v>5.7000000000000002E-2</v>
      </c>
      <c r="M21">
        <f t="shared" si="1"/>
        <v>1.5284999999999999E-3</v>
      </c>
      <c r="N21" s="4">
        <f t="shared" si="2"/>
        <v>0.26998</v>
      </c>
      <c r="O21" s="4">
        <f t="shared" si="3"/>
        <v>1.2749500000000001E-4</v>
      </c>
      <c r="S21">
        <v>0.15755</v>
      </c>
      <c r="T21">
        <f t="shared" si="4"/>
        <v>9.9387499999999997E-5</v>
      </c>
      <c r="U21">
        <v>5.8500000000000003E-2</v>
      </c>
      <c r="V21">
        <f t="shared" si="5"/>
        <v>1.5292499999999998E-3</v>
      </c>
      <c r="W21">
        <f>S21-U21*10^(-3)*$W$6</f>
        <v>0.157280315</v>
      </c>
      <c r="X21">
        <f>T21+V21*10^(-3)*$W$6*SQRT((V21/U21)^2+($X$6/$W$6)^2)</f>
        <v>1.007014940807149E-4</v>
      </c>
      <c r="Z21" t="s">
        <v>38</v>
      </c>
    </row>
    <row r="22" spans="2:26">
      <c r="B22" s="2">
        <v>0.15015999999999999</v>
      </c>
      <c r="C22" s="2"/>
      <c r="D22" s="2">
        <v>5.9999999999999995E-4</v>
      </c>
      <c r="E22" s="2"/>
      <c r="F22" s="2"/>
      <c r="G22" s="2"/>
      <c r="J22">
        <v>0.28051999999999999</v>
      </c>
      <c r="K22">
        <f t="shared" si="0"/>
        <v>1.3013E-4</v>
      </c>
      <c r="L22">
        <v>8.1000000000000003E-2</v>
      </c>
      <c r="M22">
        <f t="shared" si="1"/>
        <v>1.5404999999999998E-3</v>
      </c>
      <c r="N22" s="4">
        <f t="shared" si="2"/>
        <v>0.28051999999999999</v>
      </c>
      <c r="O22" s="4">
        <f t="shared" si="3"/>
        <v>1.3013E-4</v>
      </c>
      <c r="R22" t="s">
        <v>39</v>
      </c>
      <c r="S22">
        <v>0.16994999999999999</v>
      </c>
      <c r="T22">
        <f t="shared" si="4"/>
        <v>1.0248749999999999E-4</v>
      </c>
      <c r="U22">
        <v>8.6300000000000002E-2</v>
      </c>
      <c r="V22">
        <f t="shared" si="5"/>
        <v>1.5431499999999999E-3</v>
      </c>
      <c r="W22">
        <f>S22-U22*10^(-3)*$W$6</f>
        <v>0.16955215699999998</v>
      </c>
      <c r="X22">
        <f>T22+V22*10^(-3)*$W$6*SQRT((V22/U22)^2+($X$6/$W$6)^2)</f>
        <v>1.0380648011777146E-4</v>
      </c>
      <c r="Z22" t="s">
        <v>38</v>
      </c>
    </row>
    <row r="23" spans="2:26">
      <c r="F23" t="s">
        <v>35</v>
      </c>
      <c r="G23" t="s">
        <v>32</v>
      </c>
      <c r="J23">
        <v>0.29032999999999998</v>
      </c>
      <c r="K23">
        <f t="shared" si="0"/>
        <v>1.3258249999999999E-4</v>
      </c>
      <c r="L23">
        <v>0.1123</v>
      </c>
      <c r="M23">
        <f t="shared" si="1"/>
        <v>1.5561499999999999E-3</v>
      </c>
      <c r="N23" s="4">
        <f t="shared" si="2"/>
        <v>0.29032999999999998</v>
      </c>
      <c r="O23" s="4">
        <f t="shared" si="3"/>
        <v>1.3258249999999999E-4</v>
      </c>
      <c r="S23">
        <v>0.18074000000000001</v>
      </c>
      <c r="T23">
        <f t="shared" si="4"/>
        <v>1.05185E-4</v>
      </c>
      <c r="U23">
        <v>0.1193</v>
      </c>
      <c r="V23">
        <f t="shared" si="5"/>
        <v>1.5596499999999999E-3</v>
      </c>
      <c r="W23">
        <f>S23-U23*10^(-3)*$W$6</f>
        <v>0.180190027</v>
      </c>
      <c r="X23">
        <f>T23+V23*10^(-3)*$W$6*SQRT((V23/U23)^2+($X$6/$W$6)^2)</f>
        <v>1.0651519439365127E-4</v>
      </c>
    </row>
    <row r="24" spans="2:26">
      <c r="B24" s="3">
        <v>0.25044</v>
      </c>
      <c r="C24" s="3">
        <f>0.025%*B24+0.006%*$C$5</f>
        <v>1.2260999999999999E-4</v>
      </c>
      <c r="D24" s="3">
        <v>1E-4</v>
      </c>
      <c r="E24" s="3">
        <f>0.05%*D24+0.015%*$C$6</f>
        <v>1.5000499999999997E-3</v>
      </c>
      <c r="F24" s="3">
        <f>B24-$F$6*D24*10^(-3)</f>
        <v>0.25043937300000002</v>
      </c>
      <c r="G24" s="3">
        <f>C24+D24*10^(-3)*$F$6*SQRT((E24/D24)^2+($G$6/$F$6)^2)</f>
        <v>1.3201553808297493E-4</v>
      </c>
      <c r="J24">
        <v>0.30020000000000002</v>
      </c>
      <c r="K24">
        <f t="shared" si="0"/>
        <v>1.3505E-4</v>
      </c>
      <c r="L24">
        <v>0.15540000000000001</v>
      </c>
      <c r="M24">
        <f t="shared" si="1"/>
        <v>1.5776999999999998E-3</v>
      </c>
      <c r="N24" s="4">
        <f t="shared" si="2"/>
        <v>0.30020000000000002</v>
      </c>
      <c r="O24" s="4">
        <f t="shared" si="3"/>
        <v>1.3505E-4</v>
      </c>
      <c r="S24">
        <v>0.19059999999999999</v>
      </c>
      <c r="T24">
        <f t="shared" si="4"/>
        <v>1.0765E-4</v>
      </c>
      <c r="U24">
        <v>0.16</v>
      </c>
      <c r="V24">
        <f t="shared" si="5"/>
        <v>1.5799999999999998E-3</v>
      </c>
      <c r="W24">
        <f>S24-U24*10^(-3)*$W$6</f>
        <v>0.18986239999999999</v>
      </c>
      <c r="X24">
        <f>T24+V24*10^(-3)*$W$6*SQRT((V24/U24)^2+($X$6/$W$6)^2)</f>
        <v>1.0899610489481259E-4</v>
      </c>
    </row>
    <row r="25" spans="2:26">
      <c r="B25" s="3">
        <v>0.27542</v>
      </c>
      <c r="C25" s="3">
        <f t="shared" ref="C25:C51" si="6">0.025%*B25+0.006%*$C$5</f>
        <v>1.2885500000000001E-4</v>
      </c>
      <c r="D25" s="3">
        <v>5.0000000000000001E-4</v>
      </c>
      <c r="E25" s="3">
        <f t="shared" ref="E25:E51" si="7">0.05%*D25+0.015%*$C$6</f>
        <v>1.5002499999999998E-3</v>
      </c>
      <c r="F25" s="3">
        <f>B25-$F$6*D25*10^(-3)</f>
        <v>0.27541686500000001</v>
      </c>
      <c r="G25" s="3">
        <f t="shared" ref="G25:G51" si="8">C25+D25*10^(-3)*$F$6*SQRT((E25/D25)^2+($G$6/$F$6)^2)</f>
        <v>1.3826717971871004E-4</v>
      </c>
      <c r="J25">
        <v>0.31092999999999998</v>
      </c>
      <c r="K25">
        <f t="shared" si="0"/>
        <v>1.3773250000000001E-4</v>
      </c>
      <c r="L25">
        <v>0.221</v>
      </c>
      <c r="M25">
        <f t="shared" si="1"/>
        <v>1.6104999999999997E-3</v>
      </c>
      <c r="N25" s="4">
        <f t="shared" si="2"/>
        <v>0.31092999999999998</v>
      </c>
      <c r="O25" s="4">
        <f t="shared" si="3"/>
        <v>1.3773250000000001E-4</v>
      </c>
      <c r="S25">
        <v>0.20069000000000001</v>
      </c>
      <c r="T25">
        <f t="shared" si="4"/>
        <v>1.101725E-4</v>
      </c>
      <c r="U25">
        <v>0.2155</v>
      </c>
      <c r="V25">
        <f t="shared" si="5"/>
        <v>1.6077499999999998E-3</v>
      </c>
      <c r="W25">
        <f>S25-U25*10^(-3)*$W$6</f>
        <v>0.199696545</v>
      </c>
      <c r="X25">
        <f>T25+V25*10^(-3)*$W$6*SQRT((V25/U25)^2+($X$6/$W$6)^2)</f>
        <v>1.1154140735786444E-4</v>
      </c>
    </row>
    <row r="26" spans="2:26">
      <c r="B26" s="3">
        <v>0.28008</v>
      </c>
      <c r="C26" s="3">
        <f t="shared" si="6"/>
        <v>1.3002000000000001E-4</v>
      </c>
      <c r="D26" s="3">
        <v>8.0000000000000004E-4</v>
      </c>
      <c r="E26" s="3">
        <f t="shared" si="7"/>
        <v>1.5003999999999998E-3</v>
      </c>
      <c r="F26" s="3">
        <f t="shared" ref="F25:F51" si="9">B26-$F$6*D26*10^(-3)</f>
        <v>0.28007498399999997</v>
      </c>
      <c r="G26" s="3">
        <f t="shared" si="8"/>
        <v>1.3944186717050708E-4</v>
      </c>
      <c r="J26">
        <v>0.32045000000000001</v>
      </c>
      <c r="K26">
        <f t="shared" si="0"/>
        <v>1.401125E-4</v>
      </c>
      <c r="L26">
        <v>0.30109999999999998</v>
      </c>
      <c r="M26">
        <f t="shared" si="1"/>
        <v>1.6505499999999998E-3</v>
      </c>
      <c r="N26" s="4">
        <f t="shared" si="2"/>
        <v>0.32045000000000001</v>
      </c>
      <c r="O26" s="4">
        <f t="shared" si="3"/>
        <v>1.401125E-4</v>
      </c>
      <c r="R26" t="s">
        <v>39</v>
      </c>
      <c r="S26">
        <v>0.21178</v>
      </c>
      <c r="T26">
        <f t="shared" si="4"/>
        <v>1.1294500000000001E-4</v>
      </c>
      <c r="U26">
        <v>0.29899999999999999</v>
      </c>
      <c r="V26">
        <f t="shared" si="5"/>
        <v>1.6494999999999999E-3</v>
      </c>
      <c r="W26">
        <f>S26-U26*10^(-3)*$W$6</f>
        <v>0.21040160999999999</v>
      </c>
      <c r="X26">
        <f>T26+V26*10^(-3)*$W$6*SQRT((V26/U26)^2+($X$6/$W$6)^2)</f>
        <v>1.1434893571190928E-4</v>
      </c>
      <c r="Z26" t="s">
        <v>38</v>
      </c>
    </row>
    <row r="27" spans="2:26">
      <c r="B27" s="3">
        <v>0.29071999999999998</v>
      </c>
      <c r="C27" s="3">
        <f t="shared" si="6"/>
        <v>1.3268000000000001E-4</v>
      </c>
      <c r="D27" s="3">
        <v>1.5E-3</v>
      </c>
      <c r="E27" s="3">
        <f t="shared" si="7"/>
        <v>1.5007499999999999E-3</v>
      </c>
      <c r="F27" s="3">
        <f t="shared" si="9"/>
        <v>0.29071059499999996</v>
      </c>
      <c r="G27" s="3">
        <f t="shared" si="8"/>
        <v>1.4214007586997422E-4</v>
      </c>
      <c r="J27">
        <v>0.33006000000000002</v>
      </c>
      <c r="K27">
        <f t="shared" si="0"/>
        <v>1.4251500000000001E-4</v>
      </c>
      <c r="L27">
        <v>0.41049999999999998</v>
      </c>
      <c r="M27">
        <f t="shared" si="1"/>
        <v>1.7052499999999997E-3</v>
      </c>
      <c r="N27" s="4">
        <f t="shared" si="2"/>
        <v>0.33006000000000002</v>
      </c>
      <c r="O27" s="4">
        <f t="shared" si="3"/>
        <v>1.4251500000000001E-4</v>
      </c>
      <c r="S27">
        <v>0.22059000000000001</v>
      </c>
      <c r="T27">
        <f t="shared" si="4"/>
        <v>1.1514749999999999E-4</v>
      </c>
      <c r="U27">
        <v>0.38690000000000002</v>
      </c>
      <c r="V27">
        <f t="shared" si="5"/>
        <v>1.6934499999999998E-3</v>
      </c>
      <c r="W27">
        <f>S27-U27*10^(-3)*$W$6</f>
        <v>0.21880639100000002</v>
      </c>
      <c r="X27">
        <f>T27+V27*10^(-3)*$W$6*SQRT((V27/U27)^2+($X$6/$W$6)^2)</f>
        <v>1.1658860436336922E-4</v>
      </c>
    </row>
    <row r="28" spans="2:26">
      <c r="B28" s="3">
        <v>0.30020999999999998</v>
      </c>
      <c r="C28" s="3">
        <f t="shared" si="6"/>
        <v>1.3505249999999999E-4</v>
      </c>
      <c r="D28" s="3">
        <v>2.3999999999999998E-3</v>
      </c>
      <c r="E28" s="3">
        <f t="shared" si="7"/>
        <v>1.5011999999999998E-3</v>
      </c>
      <c r="F28" s="3">
        <f t="shared" si="9"/>
        <v>0.30019495199999996</v>
      </c>
      <c r="G28" s="3">
        <f t="shared" si="8"/>
        <v>1.4459341064459316E-4</v>
      </c>
      <c r="J28">
        <v>0.34001999999999999</v>
      </c>
      <c r="K28">
        <f t="shared" si="0"/>
        <v>1.45005E-4</v>
      </c>
      <c r="L28">
        <v>0.56520000000000004</v>
      </c>
      <c r="M28">
        <f t="shared" si="1"/>
        <v>1.7825999999999999E-3</v>
      </c>
      <c r="N28" s="4">
        <f t="shared" si="2"/>
        <v>0.34001999999999999</v>
      </c>
      <c r="O28" s="4">
        <f t="shared" si="3"/>
        <v>1.45005E-4</v>
      </c>
      <c r="S28">
        <v>0.23078000000000001</v>
      </c>
      <c r="T28">
        <f t="shared" si="4"/>
        <v>1.17695E-4</v>
      </c>
      <c r="U28">
        <v>0.51990000000000003</v>
      </c>
      <c r="V28">
        <f t="shared" si="5"/>
        <v>1.7599499999999997E-3</v>
      </c>
      <c r="W28">
        <f>S28-U28*10^(-3)*$W$6</f>
        <v>0.228383261</v>
      </c>
      <c r="X28">
        <f>T28+V28*10^(-3)*$W$6*SQRT((V28/U28)^2+($X$6/$W$6)^2)</f>
        <v>1.1919252582379453E-4</v>
      </c>
    </row>
    <row r="29" spans="2:26">
      <c r="B29" s="3">
        <v>0.31009999999999999</v>
      </c>
      <c r="C29" s="3">
        <f t="shared" si="6"/>
        <v>1.37525E-4</v>
      </c>
      <c r="D29" s="3">
        <v>3.7000000000000002E-3</v>
      </c>
      <c r="E29" s="3">
        <f t="shared" si="7"/>
        <v>1.5018499999999999E-3</v>
      </c>
      <c r="F29" s="3">
        <f t="shared" si="9"/>
        <v>0.31007680100000001</v>
      </c>
      <c r="G29" s="3">
        <f t="shared" si="8"/>
        <v>1.4724383837963964E-4</v>
      </c>
      <c r="J29">
        <v>0.35032999999999997</v>
      </c>
      <c r="K29">
        <f t="shared" si="0"/>
        <v>1.4758250000000001E-4</v>
      </c>
      <c r="L29">
        <v>0.78200000000000003</v>
      </c>
      <c r="M29">
        <f t="shared" si="1"/>
        <v>1.8909999999999999E-3</v>
      </c>
      <c r="N29" s="4">
        <f t="shared" si="2"/>
        <v>0.35032999999999997</v>
      </c>
      <c r="O29" s="4">
        <f t="shared" si="3"/>
        <v>1.4758250000000001E-4</v>
      </c>
      <c r="S29">
        <v>0.24010999999999999</v>
      </c>
      <c r="T29">
        <f t="shared" si="4"/>
        <v>1.200275E-4</v>
      </c>
      <c r="U29">
        <v>0.67889999999999995</v>
      </c>
      <c r="V29">
        <f t="shared" si="5"/>
        <v>1.8394499999999999E-3</v>
      </c>
      <c r="W29">
        <f>S29-U29*10^(-3)*$W$6</f>
        <v>0.23698027099999999</v>
      </c>
      <c r="X29">
        <f>T29+V29*10^(-3)*$W$6*SQRT((V29/U29)^2+($X$6/$W$6)^2)</f>
        <v>1.2159257706384853E-4</v>
      </c>
    </row>
    <row r="30" spans="2:26">
      <c r="B30" s="3">
        <v>0.32140000000000002</v>
      </c>
      <c r="C30" s="3">
        <f t="shared" si="6"/>
        <v>1.4035E-4</v>
      </c>
      <c r="D30" s="3">
        <v>6.0000000000000001E-3</v>
      </c>
      <c r="E30" s="3">
        <f t="shared" si="7"/>
        <v>1.5029999999999998E-3</v>
      </c>
      <c r="F30" s="3">
        <f t="shared" si="9"/>
        <v>0.32136238</v>
      </c>
      <c r="G30" s="3">
        <f t="shared" si="8"/>
        <v>1.5054885994367489E-4</v>
      </c>
      <c r="J30">
        <v>0.36076000000000003</v>
      </c>
      <c r="K30">
        <f t="shared" si="0"/>
        <v>1.5019E-4</v>
      </c>
      <c r="L30">
        <v>1.0797000000000001</v>
      </c>
      <c r="M30">
        <f t="shared" si="1"/>
        <v>2.0398499999999997E-3</v>
      </c>
      <c r="N30" s="4">
        <f t="shared" si="2"/>
        <v>0.36076000000000003</v>
      </c>
      <c r="O30" s="4">
        <f t="shared" si="3"/>
        <v>1.5019E-4</v>
      </c>
      <c r="S30">
        <v>0.25017</v>
      </c>
      <c r="T30">
        <f t="shared" si="4"/>
        <v>1.2254250000000001E-4</v>
      </c>
      <c r="U30">
        <v>0.90300000000000002</v>
      </c>
      <c r="V30">
        <f t="shared" si="5"/>
        <v>1.9514999999999999E-3</v>
      </c>
      <c r="W30">
        <f>S30-U30*10^(-3)*$W$6</f>
        <v>0.24600717</v>
      </c>
      <c r="X30">
        <f>T30+V30*10^(-3)*$W$6*SQRT((V30/U30)^2+($X$6/$W$6)^2)</f>
        <v>1.2420284855972177E-4</v>
      </c>
    </row>
    <row r="31" spans="2:26">
      <c r="B31" s="3">
        <v>0.33091999999999999</v>
      </c>
      <c r="C31" s="3">
        <f t="shared" si="6"/>
        <v>1.4273000000000001E-4</v>
      </c>
      <c r="D31" s="3">
        <v>8.8000000000000005E-3</v>
      </c>
      <c r="E31" s="3">
        <f t="shared" si="7"/>
        <v>1.5043999999999999E-3</v>
      </c>
      <c r="F31" s="3">
        <f t="shared" si="9"/>
        <v>0.330864824</v>
      </c>
      <c r="G31" s="3">
        <f t="shared" si="8"/>
        <v>1.537612735266679E-4</v>
      </c>
      <c r="J31">
        <v>0.37002000000000002</v>
      </c>
      <c r="K31">
        <f t="shared" si="0"/>
        <v>1.5250500000000002E-4</v>
      </c>
      <c r="L31">
        <v>1.4307000000000001</v>
      </c>
      <c r="M31">
        <f t="shared" si="1"/>
        <v>2.2153499999999996E-3</v>
      </c>
      <c r="N31" s="4">
        <f t="shared" si="2"/>
        <v>0.37002000000000002</v>
      </c>
      <c r="O31" s="4">
        <f t="shared" si="3"/>
        <v>1.5250500000000002E-4</v>
      </c>
      <c r="S31">
        <v>0.26045000000000001</v>
      </c>
      <c r="T31">
        <f t="shared" si="4"/>
        <v>1.2511250000000001E-4</v>
      </c>
      <c r="U31">
        <v>1.2042999999999999</v>
      </c>
      <c r="V31">
        <f t="shared" si="5"/>
        <v>2.1021499999999997E-3</v>
      </c>
      <c r="W31">
        <f>S31-U31*10^(-3)*$W$6</f>
        <v>0.254898177</v>
      </c>
      <c r="X31">
        <f>T31+V31*10^(-3)*$W$6*SQRT((V31/U31)^2+($X$6/$W$6)^2)</f>
        <v>1.2690097990690166E-4</v>
      </c>
    </row>
    <row r="32" spans="2:26">
      <c r="B32" s="3">
        <v>0.34126000000000001</v>
      </c>
      <c r="C32" s="3">
        <f t="shared" si="6"/>
        <v>1.45315E-4</v>
      </c>
      <c r="D32" s="3">
        <v>1.32E-2</v>
      </c>
      <c r="E32" s="3">
        <f t="shared" si="7"/>
        <v>1.5065999999999999E-3</v>
      </c>
      <c r="F32" s="3">
        <f t="shared" si="9"/>
        <v>0.34117723599999999</v>
      </c>
      <c r="G32" s="3">
        <f t="shared" si="8"/>
        <v>1.5807601528818803E-4</v>
      </c>
      <c r="J32">
        <v>0.38014999999999999</v>
      </c>
      <c r="K32">
        <f t="shared" si="0"/>
        <v>1.5503749999999999E-4</v>
      </c>
      <c r="L32">
        <v>1.9314</v>
      </c>
      <c r="M32">
        <f t="shared" si="1"/>
        <v>2.4656999999999999E-3</v>
      </c>
      <c r="N32" s="4">
        <f t="shared" si="2"/>
        <v>0.38014999999999999</v>
      </c>
      <c r="O32" s="4">
        <f t="shared" si="3"/>
        <v>1.5503749999999999E-4</v>
      </c>
      <c r="S32">
        <v>0.26819999999999999</v>
      </c>
      <c r="T32">
        <f t="shared" si="4"/>
        <v>1.2705E-4</v>
      </c>
      <c r="U32">
        <v>1.5163</v>
      </c>
      <c r="V32">
        <f t="shared" si="5"/>
        <v>2.2581499999999996E-3</v>
      </c>
      <c r="W32">
        <f>S32-U32*10^(-3)*$W$6</f>
        <v>0.26120985699999999</v>
      </c>
      <c r="X32">
        <f>T32+V32*10^(-3)*$W$6*SQRT((V32/U32)^2+($X$6/$W$6)^2)</f>
        <v>1.2897117914974674E-4</v>
      </c>
    </row>
    <row r="33" spans="2:24">
      <c r="B33" s="3">
        <v>0.35113</v>
      </c>
      <c r="C33" s="3">
        <f t="shared" si="6"/>
        <v>1.4778250000000001E-4</v>
      </c>
      <c r="D33" s="3">
        <v>1.9199999999999998E-2</v>
      </c>
      <c r="E33" s="3">
        <f t="shared" si="7"/>
        <v>1.5095999999999998E-3</v>
      </c>
      <c r="F33" s="3">
        <f t="shared" si="9"/>
        <v>0.35100961600000002</v>
      </c>
      <c r="G33" s="3">
        <f t="shared" si="8"/>
        <v>1.6344536703509697E-4</v>
      </c>
      <c r="J33">
        <v>0.39016000000000001</v>
      </c>
      <c r="K33">
        <f t="shared" si="0"/>
        <v>1.5754000000000001E-4</v>
      </c>
      <c r="L33">
        <v>2.5695999999999999</v>
      </c>
      <c r="M33">
        <f t="shared" si="1"/>
        <v>2.7847999999999996E-3</v>
      </c>
      <c r="N33" s="4">
        <f t="shared" si="2"/>
        <v>0.39016000000000001</v>
      </c>
      <c r="O33" s="4">
        <f t="shared" si="3"/>
        <v>1.5754000000000001E-4</v>
      </c>
      <c r="S33">
        <v>0.28005999999999998</v>
      </c>
      <c r="T33">
        <f t="shared" si="4"/>
        <v>1.3001500000000001E-4</v>
      </c>
      <c r="U33">
        <v>2.0506000000000002</v>
      </c>
      <c r="V33">
        <f t="shared" si="5"/>
        <v>2.5252999999999999E-3</v>
      </c>
      <c r="W33">
        <f>S33-U33*10^(-3)*$W$6</f>
        <v>0.27060673399999996</v>
      </c>
      <c r="X33">
        <f>T33+V33*10^(-3)*$W$6*SQRT((V33/U33)^2+($X$6/$W$6)^2)</f>
        <v>1.3216344175910651E-4</v>
      </c>
    </row>
    <row r="34" spans="2:24">
      <c r="B34" s="3">
        <v>0.35998999999999998</v>
      </c>
      <c r="C34" s="3">
        <f t="shared" si="6"/>
        <v>1.499975E-4</v>
      </c>
      <c r="D34" s="3">
        <v>2.7E-2</v>
      </c>
      <c r="E34" s="3">
        <f t="shared" si="7"/>
        <v>1.5134999999999999E-3</v>
      </c>
      <c r="F34" s="3">
        <f t="shared" si="9"/>
        <v>0.35982070999999999</v>
      </c>
      <c r="G34" s="3">
        <f t="shared" si="8"/>
        <v>1.6994810109938028E-4</v>
      </c>
      <c r="J34">
        <v>0.40028999999999998</v>
      </c>
      <c r="K34">
        <f t="shared" si="0"/>
        <v>1.6007249999999999E-4</v>
      </c>
      <c r="L34">
        <v>3.3921999999999999</v>
      </c>
      <c r="M34">
        <f t="shared" si="1"/>
        <v>3.1960999999999999E-3</v>
      </c>
      <c r="N34" s="4">
        <f t="shared" si="2"/>
        <v>0.40028999999999998</v>
      </c>
      <c r="O34" s="4">
        <f t="shared" si="3"/>
        <v>1.6007249999999999E-4</v>
      </c>
      <c r="S34">
        <v>0.29002</v>
      </c>
      <c r="T34">
        <f t="shared" si="4"/>
        <v>1.3250499999999999E-4</v>
      </c>
      <c r="U34">
        <v>2.6650999999999998</v>
      </c>
      <c r="V34">
        <f t="shared" si="5"/>
        <v>2.8325499999999997E-3</v>
      </c>
      <c r="W34">
        <f>S34-U34*10^(-3)*$W$6</f>
        <v>0.27773388900000001</v>
      </c>
      <c r="X34">
        <f>T34+V34*10^(-3)*$W$6*SQRT((V34/U34)^2+($X$6/$W$6)^2)</f>
        <v>1.3491482621177752E-4</v>
      </c>
    </row>
    <row r="35" spans="2:24">
      <c r="B35" s="3">
        <v>0.37063000000000001</v>
      </c>
      <c r="C35" s="3">
        <f t="shared" si="6"/>
        <v>1.5265750000000001E-4</v>
      </c>
      <c r="D35" s="3">
        <v>4.0300000000000002E-2</v>
      </c>
      <c r="E35" s="3">
        <f t="shared" si="7"/>
        <v>1.5201499999999998E-3</v>
      </c>
      <c r="F35" s="3">
        <f t="shared" si="9"/>
        <v>0.37037731900000004</v>
      </c>
      <c r="G35" s="3">
        <f t="shared" si="8"/>
        <v>1.8053148477901378E-4</v>
      </c>
      <c r="J35">
        <v>0.41044999999999998</v>
      </c>
      <c r="K35">
        <f t="shared" si="0"/>
        <v>1.626125E-4</v>
      </c>
      <c r="L35">
        <v>4.4301000000000004</v>
      </c>
      <c r="M35">
        <f t="shared" si="1"/>
        <v>3.7150500000000001E-3</v>
      </c>
      <c r="N35" s="4">
        <f t="shared" si="2"/>
        <v>0.41044999999999998</v>
      </c>
      <c r="O35" s="4">
        <f t="shared" si="3"/>
        <v>1.626125E-4</v>
      </c>
      <c r="S35">
        <v>0.30029</v>
      </c>
      <c r="T35">
        <f t="shared" si="4"/>
        <v>1.350725E-4</v>
      </c>
      <c r="U35">
        <v>3.4584999999999999</v>
      </c>
      <c r="V35">
        <f t="shared" si="5"/>
        <v>3.2292499999999995E-3</v>
      </c>
      <c r="W35">
        <f>S35-U35*10^(-3)*$W$6</f>
        <v>0.28434631500000002</v>
      </c>
      <c r="X35">
        <f>T35+V35*10^(-3)*$W$6*SQRT((V35/U35)^2+($X$6/$W$6)^2)</f>
        <v>1.3781981314294432E-4</v>
      </c>
    </row>
    <row r="36" spans="2:24">
      <c r="B36" s="3">
        <v>0.38064999999999999</v>
      </c>
      <c r="C36" s="3">
        <f t="shared" si="6"/>
        <v>1.5516250000000001E-4</v>
      </c>
      <c r="D36" s="3">
        <v>5.79E-2</v>
      </c>
      <c r="E36" s="3">
        <f t="shared" si="7"/>
        <v>1.5289499999999998E-3</v>
      </c>
      <c r="F36" s="3">
        <f t="shared" si="9"/>
        <v>0.38028696699999998</v>
      </c>
      <c r="G36" s="3">
        <f t="shared" si="8"/>
        <v>1.9399752832113606E-4</v>
      </c>
      <c r="J36">
        <v>0.42016999999999999</v>
      </c>
      <c r="K36">
        <f t="shared" si="0"/>
        <v>1.6504249999999999E-4</v>
      </c>
      <c r="L36">
        <v>5.6397000000000004</v>
      </c>
      <c r="M36">
        <f t="shared" si="1"/>
        <v>4.3198500000000001E-3</v>
      </c>
      <c r="N36" s="4">
        <f t="shared" si="2"/>
        <v>0.42016999999999999</v>
      </c>
      <c r="O36" s="4">
        <f t="shared" si="3"/>
        <v>1.6504249999999999E-4</v>
      </c>
      <c r="S36">
        <v>0.31020999999999999</v>
      </c>
      <c r="T36">
        <f t="shared" si="4"/>
        <v>1.3755249999999999E-4</v>
      </c>
      <c r="U36">
        <v>4.4044999999999996</v>
      </c>
      <c r="V36">
        <f t="shared" si="5"/>
        <v>3.7022499999999998E-3</v>
      </c>
      <c r="W36">
        <f>S36-U36*10^(-3)*$W$6</f>
        <v>0.28990525499999997</v>
      </c>
      <c r="X36">
        <f>T36+V36*10^(-3)*$W$6*SQRT((V36/U36)^2+($X$6/$W$6)^2)</f>
        <v>1.4070221445476995E-4</v>
      </c>
    </row>
    <row r="37" spans="2:24">
      <c r="B37" s="3">
        <v>0.39054</v>
      </c>
      <c r="C37" s="3">
        <f t="shared" si="6"/>
        <v>1.5763499999999999E-4</v>
      </c>
      <c r="D37" s="3">
        <v>8.4699999999999998E-2</v>
      </c>
      <c r="E37" s="3">
        <f t="shared" si="7"/>
        <v>1.5423499999999998E-3</v>
      </c>
      <c r="F37" s="3">
        <f t="shared" si="9"/>
        <v>0.390008931</v>
      </c>
      <c r="G37" s="3">
        <f t="shared" si="8"/>
        <v>2.1353028740048654E-4</v>
      </c>
      <c r="J37">
        <v>0.43038999999999999</v>
      </c>
      <c r="K37">
        <f t="shared" si="0"/>
        <v>1.675975E-4</v>
      </c>
      <c r="L37">
        <v>7.1723999999999997</v>
      </c>
      <c r="M37">
        <f t="shared" si="1"/>
        <v>5.0861999999999999E-3</v>
      </c>
      <c r="N37" s="4">
        <f t="shared" si="2"/>
        <v>0.43038999999999999</v>
      </c>
      <c r="O37" s="4">
        <f t="shared" si="3"/>
        <v>1.675975E-4</v>
      </c>
      <c r="S37">
        <v>0.32014999999999999</v>
      </c>
      <c r="T37">
        <f t="shared" si="4"/>
        <v>1.4003750000000001E-4</v>
      </c>
      <c r="U37">
        <v>5.5544000000000002</v>
      </c>
      <c r="V37">
        <f t="shared" si="5"/>
        <v>4.2772000000000001E-3</v>
      </c>
      <c r="W37">
        <f>S37-U37*10^(-3)*$W$6</f>
        <v>0.29454421599999997</v>
      </c>
      <c r="X37">
        <f>T37+V37*10^(-3)*$W$6*SQRT((V37/U37)^2+($X$6/$W$6)^2)</f>
        <v>1.4367635102474106E-4</v>
      </c>
    </row>
    <row r="38" spans="2:24">
      <c r="B38" s="3">
        <v>0.40078999999999998</v>
      </c>
      <c r="C38" s="3">
        <f t="shared" si="6"/>
        <v>1.6019750000000001E-4</v>
      </c>
      <c r="D38" s="3">
        <v>0.1236</v>
      </c>
      <c r="E38" s="3">
        <f t="shared" si="7"/>
        <v>1.5617999999999999E-3</v>
      </c>
      <c r="F38" s="3">
        <f t="shared" si="9"/>
        <v>0.40001502799999999</v>
      </c>
      <c r="G38" s="3">
        <f t="shared" si="8"/>
        <v>2.4112828978518225E-4</v>
      </c>
      <c r="J38">
        <v>0.44013999999999998</v>
      </c>
      <c r="K38">
        <f t="shared" si="0"/>
        <v>1.7003499999999999E-4</v>
      </c>
      <c r="L38">
        <v>8.8901000000000003</v>
      </c>
      <c r="M38">
        <f t="shared" si="1"/>
        <v>5.9450499999999995E-3</v>
      </c>
      <c r="N38" s="4">
        <f t="shared" si="2"/>
        <v>0.44013999999999998</v>
      </c>
      <c r="O38" s="4">
        <f t="shared" si="3"/>
        <v>1.7003499999999999E-4</v>
      </c>
      <c r="S38">
        <v>0.33029999999999998</v>
      </c>
      <c r="T38">
        <f t="shared" si="4"/>
        <v>1.4257500000000001E-4</v>
      </c>
      <c r="U38">
        <v>6.9570999999999996</v>
      </c>
      <c r="V38">
        <f t="shared" si="5"/>
        <v>4.97855E-3</v>
      </c>
      <c r="W38">
        <f>S38-U38*10^(-3)*$W$6</f>
        <v>0.29822776899999998</v>
      </c>
      <c r="X38">
        <f>T38+V38*10^(-3)*$W$6*SQRT((V38/U38)^2+($X$6/$W$6)^2)</f>
        <v>1.4681052329894529E-4</v>
      </c>
    </row>
    <row r="39" spans="2:24">
      <c r="B39" s="3">
        <v>0.41059000000000001</v>
      </c>
      <c r="C39" s="3">
        <f t="shared" si="6"/>
        <v>1.6264750000000001E-4</v>
      </c>
      <c r="D39" s="3">
        <v>0.17680000000000001</v>
      </c>
      <c r="E39" s="3">
        <f t="shared" si="7"/>
        <v>1.5883999999999998E-3</v>
      </c>
      <c r="F39" s="3">
        <f t="shared" si="9"/>
        <v>0.40948146400000002</v>
      </c>
      <c r="G39" s="3">
        <f t="shared" si="8"/>
        <v>2.7799278053658287E-4</v>
      </c>
      <c r="J39">
        <v>0.44544</v>
      </c>
      <c r="K39">
        <f t="shared" si="0"/>
        <v>1.7136000000000001E-4</v>
      </c>
      <c r="L39">
        <v>9.9370999999999992</v>
      </c>
      <c r="M39">
        <f t="shared" si="1"/>
        <v>6.4685499999999991E-3</v>
      </c>
      <c r="N39" s="4">
        <f t="shared" si="2"/>
        <v>0.44544</v>
      </c>
      <c r="O39" s="4">
        <f t="shared" si="3"/>
        <v>1.7136000000000001E-4</v>
      </c>
      <c r="S39">
        <v>0.34016999999999997</v>
      </c>
      <c r="T39">
        <f t="shared" si="4"/>
        <v>1.4504249999999999E-4</v>
      </c>
      <c r="U39">
        <v>8.5642999999999994</v>
      </c>
      <c r="V39">
        <f t="shared" si="5"/>
        <v>5.7821499999999998E-3</v>
      </c>
      <c r="W39">
        <f>S39-U39*10^(-3)*$W$6</f>
        <v>0.30068857699999996</v>
      </c>
      <c r="X39">
        <f>T39+V39*10^(-3)*$W$6*SQRT((V39/U39)^2+($X$6/$W$6)^2)</f>
        <v>1.4996168546774189E-4</v>
      </c>
    </row>
    <row r="40" spans="2:24">
      <c r="B40" s="3">
        <v>0.42037000000000002</v>
      </c>
      <c r="C40" s="3">
        <f t="shared" si="6"/>
        <v>1.6509250000000002E-4</v>
      </c>
      <c r="D40" s="3">
        <v>0.25359999999999999</v>
      </c>
      <c r="E40" s="3">
        <f t="shared" si="7"/>
        <v>1.6267999999999999E-3</v>
      </c>
      <c r="F40" s="3">
        <f t="shared" si="9"/>
        <v>0.41877992800000002</v>
      </c>
      <c r="G40" s="3">
        <f t="shared" si="8"/>
        <v>3.3023993287111084E-4</v>
      </c>
      <c r="S40">
        <v>0.3478</v>
      </c>
      <c r="T40">
        <f t="shared" si="4"/>
        <v>1.4694999999999999E-4</v>
      </c>
      <c r="U40">
        <v>9.9749999999999996</v>
      </c>
      <c r="V40">
        <f t="shared" si="5"/>
        <v>6.4874999999999993E-3</v>
      </c>
      <c r="W40">
        <f>S40-U40*10^(-3)*$W$6</f>
        <v>0.30181524999999998</v>
      </c>
      <c r="X40">
        <f>T40+V40*10^(-3)*$W$6*SQRT((V40/U40)^2+($X$6/$W$6)^2)</f>
        <v>1.5246926192487452E-4</v>
      </c>
    </row>
    <row r="41" spans="2:24">
      <c r="B41" s="3">
        <v>0.43440000000000001</v>
      </c>
      <c r="C41" s="3">
        <f t="shared" si="6"/>
        <v>1.6860000000000001E-4</v>
      </c>
      <c r="D41" s="3">
        <v>0.42280000000000001</v>
      </c>
      <c r="E41" s="3">
        <f t="shared" si="7"/>
        <v>1.7113999999999999E-3</v>
      </c>
      <c r="F41" s="3">
        <f t="shared" si="9"/>
        <v>0.43174904400000003</v>
      </c>
      <c r="G41" s="3">
        <f t="shared" si="8"/>
        <v>4.4361631171322313E-4</v>
      </c>
    </row>
    <row r="42" spans="2:24">
      <c r="B42" s="3">
        <v>0.44087999999999999</v>
      </c>
      <c r="C42" s="3">
        <f t="shared" si="6"/>
        <v>1.7022000000000001E-4</v>
      </c>
      <c r="D42" s="3">
        <v>0.52969999999999995</v>
      </c>
      <c r="E42" s="3">
        <f t="shared" si="7"/>
        <v>1.7648499999999997E-3</v>
      </c>
      <c r="F42" s="3">
        <f t="shared" si="9"/>
        <v>0.43755878100000001</v>
      </c>
      <c r="G42" s="3">
        <f t="shared" si="8"/>
        <v>5.1468636054921081E-4</v>
      </c>
    </row>
    <row r="43" spans="2:24">
      <c r="B43" s="3">
        <v>0.45083000000000001</v>
      </c>
      <c r="C43" s="3">
        <f t="shared" si="6"/>
        <v>1.7270750000000001E-4</v>
      </c>
      <c r="D43" s="3">
        <v>0.75129999999999997</v>
      </c>
      <c r="E43" s="3">
        <f t="shared" si="7"/>
        <v>1.8756499999999998E-3</v>
      </c>
      <c r="F43" s="3">
        <f t="shared" si="9"/>
        <v>0.446119349</v>
      </c>
      <c r="G43" s="3">
        <f t="shared" si="8"/>
        <v>6.6117080201991325E-4</v>
      </c>
    </row>
    <row r="44" spans="2:24">
      <c r="B44" s="3">
        <v>0.46012999999999998</v>
      </c>
      <c r="C44" s="3">
        <f t="shared" si="6"/>
        <v>1.7503249999999999E-4</v>
      </c>
      <c r="D44" s="3">
        <v>1.0348999999999999</v>
      </c>
      <c r="E44" s="3">
        <f t="shared" si="7"/>
        <v>2.0174499999999996E-3</v>
      </c>
      <c r="F44" s="3">
        <f t="shared" si="9"/>
        <v>0.45364117700000001</v>
      </c>
      <c r="G44" s="3">
        <f t="shared" si="8"/>
        <v>8.4780434530845345E-4</v>
      </c>
    </row>
    <row r="45" spans="2:24">
      <c r="B45" s="3">
        <v>0.47049999999999997</v>
      </c>
      <c r="C45" s="3">
        <f t="shared" si="6"/>
        <v>1.7762499999999999E-4</v>
      </c>
      <c r="D45" s="3">
        <v>1.4690000000000001</v>
      </c>
      <c r="E45" s="3">
        <f t="shared" si="7"/>
        <v>2.2344999999999999E-3</v>
      </c>
      <c r="F45" s="3">
        <f t="shared" si="9"/>
        <v>0.46128936999999998</v>
      </c>
      <c r="G45" s="3">
        <f t="shared" si="8"/>
        <v>1.1325322455856116E-3</v>
      </c>
    </row>
    <row r="46" spans="2:24">
      <c r="B46" s="3">
        <v>0.48014000000000001</v>
      </c>
      <c r="C46" s="3">
        <f t="shared" si="6"/>
        <v>1.8003500000000002E-4</v>
      </c>
      <c r="D46" s="3">
        <v>2.0108000000000001</v>
      </c>
      <c r="E46" s="3">
        <f t="shared" si="7"/>
        <v>2.5053999999999996E-3</v>
      </c>
      <c r="F46" s="3">
        <f t="shared" si="9"/>
        <v>0.46753228400000002</v>
      </c>
      <c r="G46" s="3">
        <f t="shared" si="8"/>
        <v>1.4870870673809058E-3</v>
      </c>
    </row>
    <row r="47" spans="2:24">
      <c r="B47" s="3">
        <v>0.49058000000000002</v>
      </c>
      <c r="C47" s="3">
        <f t="shared" si="6"/>
        <v>1.82645E-4</v>
      </c>
      <c r="D47" s="3">
        <v>2.7871000000000001</v>
      </c>
      <c r="E47" s="3">
        <f t="shared" si="7"/>
        <v>2.8935499999999999E-3</v>
      </c>
      <c r="F47" s="3">
        <f t="shared" si="9"/>
        <v>0.47310488300000003</v>
      </c>
      <c r="G47" s="3">
        <f t="shared" si="8"/>
        <v>1.9942644469823348E-3</v>
      </c>
    </row>
    <row r="48" spans="2:24">
      <c r="B48" s="3">
        <v>0.5</v>
      </c>
      <c r="C48" s="3">
        <f t="shared" si="6"/>
        <v>1.85E-4</v>
      </c>
      <c r="D48" s="3">
        <v>3.6934999999999998</v>
      </c>
      <c r="E48" s="3">
        <f t="shared" si="7"/>
        <v>3.3467499999999999E-3</v>
      </c>
      <c r="F48" s="3">
        <f t="shared" si="9"/>
        <v>0.47684175499999998</v>
      </c>
      <c r="G48" s="3">
        <f t="shared" si="8"/>
        <v>2.5857522106330186E-3</v>
      </c>
    </row>
    <row r="49" spans="2:7">
      <c r="B49" s="3">
        <v>0.51007999999999998</v>
      </c>
      <c r="C49" s="3">
        <f t="shared" si="6"/>
        <v>1.8751999999999999E-4</v>
      </c>
      <c r="D49" s="3">
        <v>4.9008000000000003</v>
      </c>
      <c r="E49" s="3">
        <f t="shared" si="7"/>
        <v>3.9503999999999997E-3</v>
      </c>
      <c r="F49" s="3">
        <f t="shared" si="9"/>
        <v>0.47935198399999995</v>
      </c>
      <c r="G49" s="3">
        <f t="shared" si="8"/>
        <v>3.3729843740372702E-3</v>
      </c>
    </row>
    <row r="50" spans="2:7">
      <c r="B50" s="3">
        <v>0.51944999999999997</v>
      </c>
      <c r="C50" s="3">
        <f t="shared" si="6"/>
        <v>1.8986249999999999E-4</v>
      </c>
      <c r="D50" s="3">
        <v>6.29</v>
      </c>
      <c r="E50" s="3">
        <f t="shared" si="7"/>
        <v>4.6449999999999998E-3</v>
      </c>
      <c r="F50" s="3">
        <f t="shared" si="9"/>
        <v>0.48001169999999993</v>
      </c>
      <c r="G50" s="3">
        <f t="shared" si="8"/>
        <v>4.2782712455762444E-3</v>
      </c>
    </row>
    <row r="51" spans="2:7">
      <c r="B51" s="3">
        <v>0.53852</v>
      </c>
      <c r="C51" s="3">
        <f t="shared" si="6"/>
        <v>1.9463E-4</v>
      </c>
      <c r="D51" s="3">
        <v>9.9339999999999993</v>
      </c>
      <c r="E51" s="3">
        <f t="shared" si="7"/>
        <v>6.4669999999999997E-3</v>
      </c>
      <c r="F51" s="3">
        <f t="shared" si="9"/>
        <v>0.47623381999999997</v>
      </c>
      <c r="G51" s="3">
        <f t="shared" si="8"/>
        <v>6.651549363976255E-3</v>
      </c>
    </row>
    <row r="52" spans="2:7">
      <c r="F52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Annette Bremer</dc:creator>
  <cp:keywords/>
  <dc:description/>
  <cp:lastModifiedBy>Daniel Miksch</cp:lastModifiedBy>
  <cp:revision/>
  <dcterms:created xsi:type="dcterms:W3CDTF">2023-03-10T07:53:09Z</dcterms:created>
  <dcterms:modified xsi:type="dcterms:W3CDTF">2024-03-04T13:02:31Z</dcterms:modified>
  <cp:category/>
  <cp:contentStatus/>
</cp:coreProperties>
</file>