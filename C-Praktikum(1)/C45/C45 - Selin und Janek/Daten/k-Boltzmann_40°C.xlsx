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5\C45 - Selin und Janek\Daten\"/>
    </mc:Choice>
  </mc:AlternateContent>
  <xr:revisionPtr revIDLastSave="0" documentId="13_ncr:1_{1B410678-E62D-48FE-9561-20CBCAFFA700}" xr6:coauthVersionLast="47" xr6:coauthVersionMax="47" xr10:uidLastSave="{00000000-0000-0000-0000-000000000000}"/>
  <bookViews>
    <workbookView xWindow="3390" yWindow="1110" windowWidth="21600" windowHeight="11325" xr2:uid="{0C91614C-7B82-40C1-9C3F-9461DA12E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L4" i="1"/>
  <c r="J4" i="1"/>
  <c r="D3" i="1"/>
  <c r="D4" i="1"/>
  <c r="D5" i="1"/>
  <c r="D6" i="1"/>
  <c r="D2" i="1"/>
  <c r="D7" i="1"/>
  <c r="D8" i="1"/>
  <c r="D9" i="1"/>
  <c r="D10" i="1"/>
  <c r="D11" i="1"/>
  <c r="D12" i="1"/>
  <c r="D13" i="1"/>
  <c r="D14" i="1"/>
  <c r="D15" i="1"/>
  <c r="D16" i="1"/>
  <c r="D1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<sst xmlns="http://schemas.openxmlformats.org/spreadsheetml/2006/main" count="10" uniqueCount="10">
  <si>
    <t>U</t>
  </si>
  <si>
    <t>I</t>
  </si>
  <si>
    <t>dU</t>
  </si>
  <si>
    <t>dI</t>
  </si>
  <si>
    <t>m</t>
  </si>
  <si>
    <t>dm</t>
  </si>
  <si>
    <t>k</t>
  </si>
  <si>
    <t>dk</t>
  </si>
  <si>
    <t>T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</si>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</sst>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BC1A-A1F0-40E5-8629-3358D19EBACB}">
  <dimension ref="A1:M17"/>
  <sheetViews>
    <sheetView tabSelected="1" workbookViewId="0">
      <selection activeCell="F1" sqref="F1:M4"/>
    </sheetView>
  </sheetViews>
  <sheetFormatPr defaultRowHeight="15" x14ac:dyDescent="0.25"/>
  <cols>
    <col min="9" max="9" width="12" bestFit="1" customWidth="1"/>
  </cols>
  <sheetData>
    <row r="1" spans="1:13" x14ac:dyDescent="0.25">
      <c r="A1" t="s">
        <v>0</v>
      </c>
      <c r="B1" t="s">
        <v>2</v>
      </c>
      <c r="C1" t="s">
        <v>1</v>
      </c>
      <c r="D1" t="s">
        <v>3</v>
      </c>
    </row>
    <row r="2" spans="1:13" x14ac:dyDescent="0.25">
      <c r="A2">
        <v>6.9999999999999994E-5</v>
      </c>
      <c r="B2">
        <f>A2*0.025+0.006</f>
        <v>6.0017500000000001E-3</v>
      </c>
      <c r="C2">
        <v>-2.9999999999999997E-4</v>
      </c>
      <c r="D2">
        <f>-C2*0.05+0.015*10</f>
        <v>0.15001499999999998</v>
      </c>
    </row>
    <row r="3" spans="1:13" x14ac:dyDescent="0.25">
      <c r="A3">
        <v>5.0180000000000002E-2</v>
      </c>
      <c r="B3">
        <f t="shared" ref="B3:B17" si="0">A3*0.025+0.006</f>
        <v>7.2545000000000005E-3</v>
      </c>
      <c r="C3">
        <v>-2.9999999999999997E-4</v>
      </c>
      <c r="D3">
        <f t="shared" ref="D3:D6" si="1">-C3*0.05+0.015*10</f>
        <v>0.15001499999999998</v>
      </c>
      <c r="F3" t="s">
        <v>4</v>
      </c>
      <c r="G3" t="s">
        <v>5</v>
      </c>
      <c r="I3" t="s">
        <v>6</v>
      </c>
      <c r="J3" t="s">
        <v>7</v>
      </c>
      <c r="L3" t="s">
        <v>8</v>
      </c>
      <c r="M3" t="s">
        <v>9</v>
      </c>
    </row>
    <row r="4" spans="1:13" x14ac:dyDescent="0.25">
      <c r="A4">
        <v>0.10083</v>
      </c>
      <c r="B4">
        <f t="shared" si="0"/>
        <v>8.5207500000000005E-3</v>
      </c>
      <c r="C4">
        <v>-2.9999999999999997E-4</v>
      </c>
      <c r="D4">
        <f t="shared" si="1"/>
        <v>0.15001499999999998</v>
      </c>
      <c r="F4">
        <v>36.599269999999997</v>
      </c>
      <c r="G4">
        <v>0.31501000000000001</v>
      </c>
      <c r="I4">
        <f>(1.602179634*10^(-19))/(F4*L4)</f>
        <v>1.3979330343087626E-23</v>
      </c>
      <c r="J4">
        <f>SQRT(((1.602176634*10^(-19))/(F4*L4^2))^2*(M4)^2+((1.602176634*10^(-19))/(F4^2*L4))^2*(G4)^2)</f>
        <v>1.2163769510491545E-25</v>
      </c>
      <c r="L4">
        <f>40+273.15</f>
        <v>313.14999999999998</v>
      </c>
      <c r="M4">
        <v>0.4</v>
      </c>
    </row>
    <row r="5" spans="1:13" x14ac:dyDescent="0.25">
      <c r="A5">
        <v>0.15043000000000001</v>
      </c>
      <c r="B5">
        <f t="shared" si="0"/>
        <v>9.7607500000000003E-3</v>
      </c>
      <c r="C5">
        <v>-4.0000000000000002E-4</v>
      </c>
      <c r="D5">
        <f t="shared" si="1"/>
        <v>0.15001999999999999</v>
      </c>
    </row>
    <row r="6" spans="1:13" x14ac:dyDescent="0.25">
      <c r="A6">
        <v>0.20050999999999999</v>
      </c>
      <c r="B6">
        <f t="shared" si="0"/>
        <v>1.101275E-2</v>
      </c>
      <c r="C6">
        <v>-4.0000000000000002E-4</v>
      </c>
      <c r="D6">
        <f t="shared" si="1"/>
        <v>0.15001999999999999</v>
      </c>
    </row>
    <row r="7" spans="1:13" x14ac:dyDescent="0.25">
      <c r="A7">
        <v>0.25012000000000001</v>
      </c>
      <c r="B7">
        <f t="shared" si="0"/>
        <v>1.2253E-2</v>
      </c>
      <c r="C7">
        <v>1E-4</v>
      </c>
      <c r="D7">
        <f t="shared" ref="D7:D17" si="2">C7*0.05+0.015*10</f>
        <v>0.150005</v>
      </c>
    </row>
    <row r="8" spans="1:13" x14ac:dyDescent="0.25">
      <c r="A8">
        <v>0.30034</v>
      </c>
      <c r="B8">
        <f t="shared" si="0"/>
        <v>1.35085E-2</v>
      </c>
      <c r="C8">
        <v>2.5999999999999999E-3</v>
      </c>
      <c r="D8">
        <f t="shared" si="2"/>
        <v>0.15012999999999999</v>
      </c>
    </row>
    <row r="9" spans="1:13" x14ac:dyDescent="0.25">
      <c r="A9">
        <v>0.32529999999999998</v>
      </c>
      <c r="B9">
        <f t="shared" si="0"/>
        <v>1.4132499999999999E-2</v>
      </c>
      <c r="C9">
        <v>7.1999999999999998E-3</v>
      </c>
      <c r="D9">
        <f t="shared" si="2"/>
        <v>0.15035999999999999</v>
      </c>
    </row>
    <row r="10" spans="1:13" x14ac:dyDescent="0.25">
      <c r="A10">
        <v>0.34967999999999999</v>
      </c>
      <c r="B10">
        <f t="shared" si="0"/>
        <v>1.4742E-2</v>
      </c>
      <c r="C10">
        <v>1.8200000000000001E-2</v>
      </c>
      <c r="D10">
        <f t="shared" si="2"/>
        <v>0.15090999999999999</v>
      </c>
    </row>
    <row r="11" spans="1:13" x14ac:dyDescent="0.25">
      <c r="A11">
        <v>0.37530000000000002</v>
      </c>
      <c r="B11">
        <f t="shared" si="0"/>
        <v>1.5382500000000002E-2</v>
      </c>
      <c r="C11">
        <v>4.7600000000000003E-2</v>
      </c>
      <c r="D11">
        <f t="shared" si="2"/>
        <v>0.15237999999999999</v>
      </c>
    </row>
    <row r="12" spans="1:13" x14ac:dyDescent="0.25">
      <c r="A12">
        <v>0.40034999999999998</v>
      </c>
      <c r="B12">
        <f t="shared" si="0"/>
        <v>1.6008750000000002E-2</v>
      </c>
      <c r="C12">
        <v>0.1195</v>
      </c>
      <c r="D12">
        <f t="shared" si="2"/>
        <v>0.155975</v>
      </c>
    </row>
    <row r="13" spans="1:13" x14ac:dyDescent="0.25">
      <c r="A13">
        <v>0.42507</v>
      </c>
      <c r="B13">
        <f t="shared" si="0"/>
        <v>1.6626750000000003E-2</v>
      </c>
      <c r="C13">
        <v>0.29580000000000001</v>
      </c>
      <c r="D13">
        <f t="shared" si="2"/>
        <v>0.16478999999999999</v>
      </c>
    </row>
    <row r="14" spans="1:13" x14ac:dyDescent="0.25">
      <c r="A14">
        <v>0.45030999999999999</v>
      </c>
      <c r="B14">
        <f t="shared" si="0"/>
        <v>1.7257750000000002E-2</v>
      </c>
      <c r="C14">
        <v>0.74739999999999995</v>
      </c>
      <c r="D14">
        <f t="shared" si="2"/>
        <v>0.18736999999999998</v>
      </c>
    </row>
    <row r="15" spans="1:13" x14ac:dyDescent="0.25">
      <c r="A15">
        <v>0.47504000000000002</v>
      </c>
      <c r="B15">
        <f t="shared" si="0"/>
        <v>1.7876000000000003E-2</v>
      </c>
      <c r="C15">
        <v>1.8085</v>
      </c>
      <c r="D15">
        <f t="shared" si="2"/>
        <v>0.240425</v>
      </c>
    </row>
    <row r="16" spans="1:13" x14ac:dyDescent="0.25">
      <c r="A16">
        <v>0.50002999999999997</v>
      </c>
      <c r="B16">
        <f t="shared" si="0"/>
        <v>1.850075E-2</v>
      </c>
      <c r="C16">
        <v>4.2817999999999996</v>
      </c>
      <c r="D16">
        <f t="shared" si="2"/>
        <v>0.36409000000000002</v>
      </c>
    </row>
    <row r="17" spans="1:4" x14ac:dyDescent="0.25">
      <c r="A17">
        <v>0.52515000000000001</v>
      </c>
      <c r="B17">
        <f t="shared" si="0"/>
        <v>1.912875E-2</v>
      </c>
      <c r="C17" s="1">
        <v>9.7006999999999994</v>
      </c>
      <c r="D17">
        <f t="shared" si="2"/>
        <v>0.63503500000000002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2022-04-07T08:58:38Z</dcterms:created>
  <dcterms:modified xsi:type="dcterms:W3CDTF">2022-04-07T09:25:02Z</dcterms:modified>
</cp:coreProperties>
</file>