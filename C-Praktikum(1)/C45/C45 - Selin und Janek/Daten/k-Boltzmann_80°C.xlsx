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lin\Nextcloud\Physik\Experimentalphysik\Physikalisches Praktikum\C\C45\C45 - Selin und Janek\Daten\"/>
    </mc:Choice>
  </mc:AlternateContent>
  <xr:revisionPtr revIDLastSave="0" documentId="13_ncr:1_{EAF57D46-3E7D-4EA8-8175-48EF82603634}" xr6:coauthVersionLast="47" xr6:coauthVersionMax="47" xr10:uidLastSave="{00000000-0000-0000-0000-000000000000}"/>
  <bookViews>
    <workbookView xWindow="6885" yWindow="4650" windowWidth="15855" windowHeight="9420" xr2:uid="{9091DDAF-88A4-44FC-A982-B60406B6D27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" i="1" l="1"/>
  <c r="J3" i="1"/>
  <c r="L3" i="1"/>
  <c r="I3" i="1"/>
  <c r="D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</calcChain>
</file>

<file path=xl/sharedStrings.xml><?xml version="1.0" encoding="utf-8"?>
<sst xmlns="http://schemas.openxmlformats.org/spreadsheetml/2006/main" count="11" uniqueCount="11">
  <si>
    <t>U</t>
  </si>
  <si>
    <t>dU</t>
  </si>
  <si>
    <t>I</t>
  </si>
  <si>
    <t>dI</t>
  </si>
  <si>
    <t>m</t>
  </si>
  <si>
    <t>dm</t>
  </si>
  <si>
    <t>k</t>
  </si>
  <si>
    <t>dk</t>
  </si>
  <si>
    <t>T</t>
  </si>
  <si>
    <t>dT</t>
  </si>
  <si>
    <t>0,025*A2+0,006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</si>
</sst>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484F0-A1F5-469D-9A51-3DD9FDC40612}">
  <dimension ref="A1:M18"/>
  <sheetViews>
    <sheetView tabSelected="1" workbookViewId="0">
      <selection activeCell="F1" sqref="F1:M3"/>
    </sheetView>
  </sheetViews>
  <sheetFormatPr defaultRowHeight="15" x14ac:dyDescent="0.25"/>
  <cols>
    <col min="9" max="9" width="12" customWidth="1"/>
    <col min="10" max="10" width="12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</row>
    <row r="2" spans="1:13" x14ac:dyDescent="0.25">
      <c r="A2">
        <v>1E-4</v>
      </c>
      <c r="B2" t="s">
        <v>10</v>
      </c>
      <c r="C2">
        <v>-5.9999999999999995E-4</v>
      </c>
      <c r="D2">
        <f>C2*0.05+0.015*10</f>
        <v>0.14996999999999999</v>
      </c>
      <c r="F2" t="s">
        <v>4</v>
      </c>
      <c r="G2" t="s">
        <v>5</v>
      </c>
      <c r="I2" t="s">
        <v>6</v>
      </c>
      <c r="J2" t="s">
        <v>7</v>
      </c>
      <c r="L2" t="s">
        <v>8</v>
      </c>
      <c r="M2" t="s">
        <v>9</v>
      </c>
    </row>
    <row r="3" spans="1:13" x14ac:dyDescent="0.25">
      <c r="A3">
        <v>5.0369999999999998E-2</v>
      </c>
      <c r="B3">
        <f>0.025*A3+0.006</f>
        <v>7.2592500000000001E-3</v>
      </c>
      <c r="C3">
        <v>-5.0000000000000001E-4</v>
      </c>
      <c r="D3">
        <f t="shared" ref="D3:D18" si="0">C3*0.05+0.015*10</f>
        <v>0.149975</v>
      </c>
      <c r="F3">
        <v>32.573970000000003</v>
      </c>
      <c r="G3">
        <v>0.24532000000000001</v>
      </c>
      <c r="I3">
        <f>(1.602179634*10^(-19))/(F3*(273.15+80))</f>
        <v>1.3927760954735489E-23</v>
      </c>
      <c r="J3">
        <f>SQRT(((1.602176634*10^(-19))/(F3*L3^2))^2*(M3)^2+((1.602176634*10^(-19))/(F3^2*L3))^2*(G3)^2)</f>
        <v>1.0607174755096655E-25</v>
      </c>
      <c r="L3">
        <f>80+273.15</f>
        <v>353.15</v>
      </c>
      <c r="M3">
        <v>0.4</v>
      </c>
    </row>
    <row r="4" spans="1:13" x14ac:dyDescent="0.25">
      <c r="A4">
        <v>0.10085</v>
      </c>
      <c r="B4">
        <f t="shared" ref="B3:B18" si="1">0.025*A4+0.006</f>
        <v>8.521250000000001E-3</v>
      </c>
      <c r="C4">
        <v>-2.9999999999999997E-4</v>
      </c>
      <c r="D4">
        <f t="shared" si="0"/>
        <v>0.14998500000000001</v>
      </c>
    </row>
    <row r="5" spans="1:13" x14ac:dyDescent="0.25">
      <c r="A5">
        <v>0.15007000000000001</v>
      </c>
      <c r="B5">
        <f t="shared" si="1"/>
        <v>9.75175E-3</v>
      </c>
      <c r="C5">
        <v>5.0000000000000001E-4</v>
      </c>
      <c r="D5">
        <f t="shared" si="0"/>
        <v>0.15002499999999999</v>
      </c>
    </row>
    <row r="6" spans="1:13" x14ac:dyDescent="0.25">
      <c r="A6">
        <v>0.2009</v>
      </c>
      <c r="B6">
        <f t="shared" si="1"/>
        <v>1.1022500000000001E-2</v>
      </c>
      <c r="C6">
        <v>5.3E-3</v>
      </c>
      <c r="D6">
        <f t="shared" si="0"/>
        <v>0.15026499999999998</v>
      </c>
    </row>
    <row r="7" spans="1:13" x14ac:dyDescent="0.25">
      <c r="A7">
        <v>0.25024999999999997</v>
      </c>
      <c r="B7">
        <f t="shared" si="1"/>
        <v>1.225625E-2</v>
      </c>
      <c r="C7">
        <v>2.92E-2</v>
      </c>
      <c r="D7">
        <f t="shared" si="0"/>
        <v>0.15145999999999998</v>
      </c>
    </row>
    <row r="8" spans="1:13" x14ac:dyDescent="0.25">
      <c r="A8">
        <v>0.30062</v>
      </c>
      <c r="B8">
        <f t="shared" si="1"/>
        <v>1.35155E-2</v>
      </c>
      <c r="C8">
        <v>0.156</v>
      </c>
      <c r="D8">
        <f t="shared" si="0"/>
        <v>0.1578</v>
      </c>
    </row>
    <row r="9" spans="1:13" x14ac:dyDescent="0.25">
      <c r="A9">
        <v>0.32499</v>
      </c>
      <c r="B9">
        <f t="shared" si="1"/>
        <v>1.412475E-2</v>
      </c>
      <c r="C9">
        <v>0.34720000000000001</v>
      </c>
      <c r="D9">
        <f t="shared" si="0"/>
        <v>0.16736000000000001</v>
      </c>
    </row>
    <row r="10" spans="1:13" x14ac:dyDescent="0.25">
      <c r="A10">
        <v>0.35054999999999997</v>
      </c>
      <c r="B10">
        <f t="shared" si="1"/>
        <v>1.4763749999999999E-2</v>
      </c>
      <c r="C10">
        <v>0.7974</v>
      </c>
      <c r="D10">
        <f t="shared" si="0"/>
        <v>0.18986999999999998</v>
      </c>
    </row>
    <row r="11" spans="1:13" x14ac:dyDescent="0.25">
      <c r="A11">
        <v>0.36027999999999999</v>
      </c>
      <c r="B11">
        <f t="shared" si="1"/>
        <v>1.5007E-2</v>
      </c>
      <c r="C11">
        <v>1.1062000000000001</v>
      </c>
      <c r="D11">
        <f t="shared" si="0"/>
        <v>0.20530999999999999</v>
      </c>
    </row>
    <row r="12" spans="1:13" x14ac:dyDescent="0.25">
      <c r="A12">
        <v>0.37014999999999998</v>
      </c>
      <c r="B12">
        <f t="shared" si="1"/>
        <v>1.525375E-2</v>
      </c>
      <c r="C12">
        <v>1.5158</v>
      </c>
      <c r="D12">
        <f t="shared" si="0"/>
        <v>0.22578999999999999</v>
      </c>
    </row>
    <row r="13" spans="1:13" x14ac:dyDescent="0.25">
      <c r="A13">
        <v>0.38006000000000001</v>
      </c>
      <c r="B13">
        <f t="shared" si="1"/>
        <v>1.5501500000000001E-2</v>
      </c>
      <c r="C13">
        <v>2.0689000000000002</v>
      </c>
      <c r="D13">
        <f t="shared" si="0"/>
        <v>0.25344500000000003</v>
      </c>
    </row>
    <row r="14" spans="1:13" x14ac:dyDescent="0.25">
      <c r="A14">
        <v>0.39006999999999997</v>
      </c>
      <c r="B14">
        <f t="shared" si="1"/>
        <v>1.5751750000000002E-2</v>
      </c>
      <c r="C14">
        <v>2.8279000000000001</v>
      </c>
      <c r="D14">
        <f t="shared" si="0"/>
        <v>0.29139500000000002</v>
      </c>
    </row>
    <row r="15" spans="1:13" x14ac:dyDescent="0.25">
      <c r="A15">
        <v>0.39998</v>
      </c>
      <c r="B15">
        <f t="shared" si="1"/>
        <v>1.59995E-2</v>
      </c>
      <c r="C15">
        <v>3.8252999999999999</v>
      </c>
      <c r="D15">
        <f t="shared" si="0"/>
        <v>0.34126500000000004</v>
      </c>
    </row>
    <row r="16" spans="1:13" x14ac:dyDescent="0.25">
      <c r="A16">
        <v>0.41016999999999998</v>
      </c>
      <c r="B16">
        <f t="shared" si="1"/>
        <v>1.6254249999999998E-2</v>
      </c>
      <c r="C16">
        <v>5.1795999999999998</v>
      </c>
      <c r="D16">
        <f t="shared" si="0"/>
        <v>0.40898000000000001</v>
      </c>
    </row>
    <row r="17" spans="1:4" x14ac:dyDescent="0.25">
      <c r="A17">
        <v>0.42069000000000001</v>
      </c>
      <c r="B17">
        <f t="shared" si="1"/>
        <v>1.6517250000000001E-2</v>
      </c>
      <c r="C17">
        <v>7.0393999999999997</v>
      </c>
      <c r="D17">
        <f t="shared" si="0"/>
        <v>0.50197000000000003</v>
      </c>
    </row>
    <row r="18" spans="1:4" x14ac:dyDescent="0.25">
      <c r="A18">
        <v>0.43021999999999999</v>
      </c>
      <c r="B18">
        <f t="shared" si="1"/>
        <v>1.67555E-2</v>
      </c>
      <c r="C18">
        <v>9.2234999999999996</v>
      </c>
      <c r="D18">
        <f t="shared" si="0"/>
        <v>0.61117500000000002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selin</dc:creator>
  <cp:lastModifiedBy>selin</cp:lastModifiedBy>
  <dcterms:created xsi:type="dcterms:W3CDTF">2022-04-07T08:20:59Z</dcterms:created>
  <dcterms:modified xsi:type="dcterms:W3CDTF">2022-04-07T09:11:08Z</dcterms:modified>
</cp:coreProperties>
</file>