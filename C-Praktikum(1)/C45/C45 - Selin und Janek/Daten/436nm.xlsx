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xtcloud\Physik\Experimentalphysik\Physikalisches Praktikum\C\C45\C45 - Selin und Janek\Daten\"/>
    </mc:Choice>
  </mc:AlternateContent>
  <xr:revisionPtr revIDLastSave="0" documentId="13_ncr:1_{AAD23895-2458-46ED-9068-9E9DD89A1E7C}" xr6:coauthVersionLast="47" xr6:coauthVersionMax="47" xr10:uidLastSave="{00000000-0000-0000-0000-000000000000}"/>
  <bookViews>
    <workbookView xWindow="-21600" yWindow="-13610" windowWidth="21780" windowHeight="19290" xr2:uid="{7C95CB79-09FD-4AEB-9FA5-CF9B5357EC0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E4" i="1" s="1"/>
  <c r="D5" i="1"/>
  <c r="E5" i="1"/>
  <c r="D6" i="1"/>
  <c r="E6" i="1" s="1"/>
  <c r="D7" i="1"/>
  <c r="E7" i="1"/>
  <c r="D8" i="1"/>
  <c r="E8" i="1"/>
  <c r="D9" i="1"/>
  <c r="E9" i="1" s="1"/>
  <c r="D10" i="1"/>
  <c r="E10" i="1" s="1"/>
  <c r="D11" i="1"/>
  <c r="E11" i="1"/>
  <c r="D12" i="1"/>
  <c r="E12" i="1" s="1"/>
  <c r="D13" i="1"/>
  <c r="E13" i="1"/>
  <c r="D14" i="1"/>
  <c r="E14" i="1" s="1"/>
  <c r="D15" i="1"/>
  <c r="E15" i="1"/>
  <c r="D16" i="1"/>
  <c r="E16" i="1"/>
  <c r="D17" i="1"/>
  <c r="E17" i="1" s="1"/>
  <c r="D18" i="1"/>
  <c r="E18" i="1"/>
  <c r="D19" i="1"/>
  <c r="E19" i="1"/>
  <c r="D20" i="1"/>
  <c r="E20" i="1" s="1"/>
  <c r="D21" i="1"/>
  <c r="E21" i="1"/>
  <c r="D22" i="1"/>
  <c r="E22" i="1" s="1"/>
  <c r="D23" i="1"/>
  <c r="E23" i="1"/>
  <c r="D24" i="1"/>
  <c r="E24" i="1"/>
  <c r="D25" i="1"/>
  <c r="E25" i="1" s="1"/>
  <c r="D26" i="1"/>
  <c r="E26" i="1"/>
  <c r="D27" i="1"/>
  <c r="E27" i="1"/>
  <c r="E3" i="1"/>
  <c r="D3" i="1"/>
</calcChain>
</file>

<file path=xl/sharedStrings.xml><?xml version="1.0" encoding="utf-8"?>
<sst xmlns="http://schemas.openxmlformats.org/spreadsheetml/2006/main" count="8" uniqueCount="7">
  <si>
    <t>436nm</t>
  </si>
  <si>
    <t>U</t>
  </si>
  <si>
    <t>Imin</t>
  </si>
  <si>
    <t>Imax</t>
  </si>
  <si>
    <t>anderer messbereich</t>
  </si>
  <si>
    <t>Bestwert</t>
  </si>
  <si>
    <t>fehler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</si>
</sst>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94EC-846F-41AE-AE05-F278798C4B7A}">
  <dimension ref="A1:G27"/>
  <sheetViews>
    <sheetView tabSelected="1" workbookViewId="0">
      <selection activeCell="D3" sqref="D3:E27"/>
    </sheetView>
  </sheetViews>
  <sheetFormatPr baseColWidth="10" defaultRowHeight="15" x14ac:dyDescent="0.25"/>
  <sheetData>
    <row r="1" spans="1:5" x14ac:dyDescent="0.25">
      <c r="A1" t="s">
        <v>0</v>
      </c>
    </row>
    <row r="2" spans="1:5" x14ac:dyDescent="0.25">
      <c r="A2" t="s">
        <v>1</v>
      </c>
      <c r="B2" t="s">
        <v>2</v>
      </c>
      <c r="C2" t="s">
        <v>3</v>
      </c>
      <c r="D2" t="s">
        <v>5</v>
      </c>
      <c r="E2" t="s">
        <v>6</v>
      </c>
    </row>
    <row r="3" spans="1:5" x14ac:dyDescent="0.25">
      <c r="A3">
        <v>-3.0074000000000001</v>
      </c>
      <c r="B3">
        <v>-0.106</v>
      </c>
      <c r="C3">
        <v>-0.1012</v>
      </c>
      <c r="D3">
        <f>0.5*(B3+C3)</f>
        <v>-0.1036</v>
      </c>
      <c r="E3">
        <f>D3-C3</f>
        <v>-2.3999999999999994E-3</v>
      </c>
    </row>
    <row r="4" spans="1:5" x14ac:dyDescent="0.25">
      <c r="A4">
        <v>-2.8075999999999999</v>
      </c>
      <c r="B4">
        <v>-0.106</v>
      </c>
      <c r="C4">
        <v>-9.8699999999999996E-2</v>
      </c>
      <c r="D4">
        <f t="shared" ref="D4:D27" si="0">0.5*(B4+C4)</f>
        <v>-0.10235</v>
      </c>
      <c r="E4">
        <f t="shared" ref="E4:E27" si="1">D4-C4</f>
        <v>-3.6500000000000005E-3</v>
      </c>
    </row>
    <row r="5" spans="1:5" x14ac:dyDescent="0.25">
      <c r="A5">
        <v>-2.5979999999999999</v>
      </c>
      <c r="B5">
        <v>-0.106</v>
      </c>
      <c r="C5">
        <v>-9.8400000000000001E-2</v>
      </c>
      <c r="D5">
        <f t="shared" si="0"/>
        <v>-0.1022</v>
      </c>
      <c r="E5">
        <f t="shared" si="1"/>
        <v>-3.7999999999999978E-3</v>
      </c>
    </row>
    <row r="6" spans="1:5" x14ac:dyDescent="0.25">
      <c r="A6">
        <v>-2.3993000000000002</v>
      </c>
      <c r="B6">
        <v>-0.105</v>
      </c>
      <c r="C6">
        <v>-9.8599999999999993E-2</v>
      </c>
      <c r="D6">
        <f t="shared" si="0"/>
        <v>-0.1018</v>
      </c>
      <c r="E6">
        <f t="shared" si="1"/>
        <v>-3.2000000000000084E-3</v>
      </c>
    </row>
    <row r="7" spans="1:5" x14ac:dyDescent="0.25">
      <c r="A7">
        <v>-2.202</v>
      </c>
      <c r="B7">
        <v>-0.104</v>
      </c>
      <c r="C7">
        <v>-9.7799999999999998E-2</v>
      </c>
      <c r="D7">
        <f t="shared" si="0"/>
        <v>-0.10089999999999999</v>
      </c>
      <c r="E7">
        <f t="shared" si="1"/>
        <v>-3.0999999999999917E-3</v>
      </c>
    </row>
    <row r="8" spans="1:5" x14ac:dyDescent="0.25">
      <c r="A8">
        <v>-2.0065</v>
      </c>
      <c r="B8">
        <v>-0.10299999999999999</v>
      </c>
      <c r="C8">
        <v>-9.7199999999999995E-2</v>
      </c>
      <c r="D8">
        <f t="shared" si="0"/>
        <v>-0.10009999999999999</v>
      </c>
      <c r="E8">
        <f t="shared" si="1"/>
        <v>-2.8999999999999998E-3</v>
      </c>
    </row>
    <row r="9" spans="1:5" x14ac:dyDescent="0.25">
      <c r="A9">
        <v>-1.7942</v>
      </c>
      <c r="B9">
        <v>-0.10299999999999999</v>
      </c>
      <c r="C9">
        <v>-9.5699999999999993E-2</v>
      </c>
      <c r="D9">
        <f t="shared" si="0"/>
        <v>-9.9349999999999994E-2</v>
      </c>
      <c r="E9">
        <f t="shared" si="1"/>
        <v>-3.6500000000000005E-3</v>
      </c>
    </row>
    <row r="10" spans="1:5" x14ac:dyDescent="0.25">
      <c r="A10">
        <v>-1.5995999999999999</v>
      </c>
      <c r="B10">
        <v>-0.10199999999999999</v>
      </c>
      <c r="C10">
        <v>-9.5299999999999996E-2</v>
      </c>
      <c r="D10">
        <f t="shared" si="0"/>
        <v>-9.8649999999999988E-2</v>
      </c>
      <c r="E10">
        <f t="shared" si="1"/>
        <v>-3.3499999999999919E-3</v>
      </c>
    </row>
    <row r="11" spans="1:5" x14ac:dyDescent="0.25">
      <c r="A11">
        <v>-1.4007000000000001</v>
      </c>
      <c r="B11">
        <v>-0.1</v>
      </c>
      <c r="C11">
        <v>-9.4799999999999995E-2</v>
      </c>
      <c r="D11">
        <f t="shared" si="0"/>
        <v>-9.74E-2</v>
      </c>
      <c r="E11">
        <f t="shared" si="1"/>
        <v>-2.6000000000000051E-3</v>
      </c>
    </row>
    <row r="12" spans="1:5" x14ac:dyDescent="0.25">
      <c r="A12">
        <v>-1.3499000000000001</v>
      </c>
      <c r="B12">
        <v>-9.9000000000000005E-2</v>
      </c>
      <c r="C12">
        <v>-9.2700000000000005E-2</v>
      </c>
      <c r="D12">
        <f t="shared" si="0"/>
        <v>-9.5850000000000005E-2</v>
      </c>
      <c r="E12">
        <f t="shared" si="1"/>
        <v>-3.15E-3</v>
      </c>
    </row>
    <row r="13" spans="1:5" x14ac:dyDescent="0.25">
      <c r="A13">
        <v>-1.3011999999999999</v>
      </c>
      <c r="B13">
        <v>-9.6000000000000002E-2</v>
      </c>
      <c r="C13">
        <v>-9.0899999999999995E-2</v>
      </c>
      <c r="D13">
        <f t="shared" si="0"/>
        <v>-9.3450000000000005E-2</v>
      </c>
      <c r="E13">
        <f t="shared" si="1"/>
        <v>-2.5500000000000106E-3</v>
      </c>
    </row>
    <row r="14" spans="1:5" x14ac:dyDescent="0.25">
      <c r="A14">
        <v>-1.2491000000000001</v>
      </c>
      <c r="B14">
        <v>-9.5000000000000001E-2</v>
      </c>
      <c r="C14">
        <v>-8.7999999999999995E-2</v>
      </c>
      <c r="D14">
        <f t="shared" si="0"/>
        <v>-9.1499999999999998E-2</v>
      </c>
      <c r="E14">
        <f t="shared" si="1"/>
        <v>-3.5000000000000031E-3</v>
      </c>
    </row>
    <row r="15" spans="1:5" x14ac:dyDescent="0.25">
      <c r="A15">
        <v>-1.1974</v>
      </c>
      <c r="B15">
        <v>-9.1999999999999998E-2</v>
      </c>
      <c r="C15">
        <v>-8.7599999999999997E-2</v>
      </c>
      <c r="D15">
        <f t="shared" si="0"/>
        <v>-8.9799999999999991E-2</v>
      </c>
      <c r="E15">
        <f t="shared" si="1"/>
        <v>-2.1999999999999936E-3</v>
      </c>
    </row>
    <row r="16" spans="1:5" x14ac:dyDescent="0.25">
      <c r="A16">
        <v>-1.1496</v>
      </c>
      <c r="B16">
        <v>-8.8999999999999996E-2</v>
      </c>
      <c r="C16">
        <v>-8.3900000000000002E-2</v>
      </c>
      <c r="D16">
        <f t="shared" si="0"/>
        <v>-8.6449999999999999E-2</v>
      </c>
      <c r="E16">
        <f t="shared" si="1"/>
        <v>-2.5499999999999967E-3</v>
      </c>
    </row>
    <row r="17" spans="1:7" x14ac:dyDescent="0.25">
      <c r="A17">
        <v>-1.1001000000000001</v>
      </c>
      <c r="B17">
        <v>-8.5999999999999993E-2</v>
      </c>
      <c r="C17">
        <v>-7.9899999999999999E-2</v>
      </c>
      <c r="D17">
        <f t="shared" si="0"/>
        <v>-8.2949999999999996E-2</v>
      </c>
      <c r="E17">
        <f t="shared" si="1"/>
        <v>-3.0499999999999972E-3</v>
      </c>
    </row>
    <row r="18" spans="1:7" x14ac:dyDescent="0.25">
      <c r="A18">
        <v>-1.0498000000000001</v>
      </c>
      <c r="B18">
        <v>-7.9000000000000001E-2</v>
      </c>
      <c r="C18">
        <v>-7.6799999999999993E-2</v>
      </c>
      <c r="D18">
        <f t="shared" si="0"/>
        <v>-7.7899999999999997E-2</v>
      </c>
      <c r="E18">
        <f t="shared" si="1"/>
        <v>-1.1000000000000038E-3</v>
      </c>
    </row>
    <row r="19" spans="1:7" x14ac:dyDescent="0.25">
      <c r="A19">
        <v>-0.99446999999999997</v>
      </c>
      <c r="B19">
        <v>-7.0999999999999994E-2</v>
      </c>
      <c r="C19">
        <v>-6.8599999999999994E-2</v>
      </c>
      <c r="D19">
        <f t="shared" si="0"/>
        <v>-6.9800000000000001E-2</v>
      </c>
      <c r="E19">
        <f t="shared" si="1"/>
        <v>-1.2000000000000066E-3</v>
      </c>
      <c r="G19" t="s">
        <v>4</v>
      </c>
    </row>
    <row r="20" spans="1:7" x14ac:dyDescent="0.25">
      <c r="A20">
        <v>-0.95391999999999999</v>
      </c>
      <c r="B20">
        <v>-6.6000000000000003E-2</v>
      </c>
      <c r="C20">
        <v>-6.2300000000000001E-2</v>
      </c>
      <c r="D20">
        <f t="shared" si="0"/>
        <v>-6.4149999999999999E-2</v>
      </c>
      <c r="E20">
        <f t="shared" si="1"/>
        <v>-1.8499999999999975E-3</v>
      </c>
    </row>
    <row r="21" spans="1:7" x14ac:dyDescent="0.25">
      <c r="A21">
        <v>-0.90042999999999995</v>
      </c>
      <c r="B21">
        <v>-5.6000000000000001E-2</v>
      </c>
      <c r="C21">
        <v>-5.3800000000000001E-2</v>
      </c>
      <c r="D21">
        <f t="shared" si="0"/>
        <v>-5.4900000000000004E-2</v>
      </c>
      <c r="E21">
        <f t="shared" si="1"/>
        <v>-1.1000000000000038E-3</v>
      </c>
    </row>
    <row r="22" spans="1:7" x14ac:dyDescent="0.25">
      <c r="A22">
        <v>-0.85050000000000003</v>
      </c>
      <c r="B22">
        <v>-4.4999999999999998E-2</v>
      </c>
      <c r="C22">
        <v>-2.3E-2</v>
      </c>
      <c r="D22">
        <f t="shared" si="0"/>
        <v>-3.4000000000000002E-2</v>
      </c>
      <c r="E22">
        <f t="shared" si="1"/>
        <v>-1.1000000000000003E-2</v>
      </c>
    </row>
    <row r="23" spans="1:7" x14ac:dyDescent="0.25">
      <c r="A23">
        <v>-0.80296999999999996</v>
      </c>
      <c r="B23">
        <v>-3.5999999999999997E-2</v>
      </c>
      <c r="C23">
        <v>-3.0300000000000001E-2</v>
      </c>
      <c r="D23">
        <f t="shared" si="0"/>
        <v>-3.3149999999999999E-2</v>
      </c>
      <c r="E23">
        <f t="shared" si="1"/>
        <v>-2.8499999999999984E-3</v>
      </c>
    </row>
    <row r="24" spans="1:7" x14ac:dyDescent="0.25">
      <c r="A24">
        <v>-0.60106999999999999</v>
      </c>
      <c r="B24">
        <v>3.8100000000000002E-2</v>
      </c>
      <c r="C24">
        <v>4.1000000000000002E-2</v>
      </c>
      <c r="D24">
        <f t="shared" si="0"/>
        <v>3.9550000000000002E-2</v>
      </c>
      <c r="E24">
        <f t="shared" si="1"/>
        <v>-1.4499999999999999E-3</v>
      </c>
    </row>
    <row r="25" spans="1:7" x14ac:dyDescent="0.25">
      <c r="A25">
        <v>-0.39729999999999999</v>
      </c>
      <c r="B25">
        <v>0.161</v>
      </c>
      <c r="C25">
        <v>0.16900000000000001</v>
      </c>
      <c r="D25">
        <f t="shared" si="0"/>
        <v>0.16500000000000001</v>
      </c>
      <c r="E25">
        <f t="shared" si="1"/>
        <v>-4.0000000000000036E-3</v>
      </c>
    </row>
    <row r="26" spans="1:7" x14ac:dyDescent="0.25">
      <c r="A26">
        <v>-0.19928999999999999</v>
      </c>
      <c r="B26">
        <v>0.34549999999999997</v>
      </c>
      <c r="C26">
        <v>0.36099999999999999</v>
      </c>
      <c r="D26">
        <f t="shared" si="0"/>
        <v>0.35324999999999995</v>
      </c>
      <c r="E26">
        <f t="shared" si="1"/>
        <v>-7.7500000000000346E-3</v>
      </c>
    </row>
    <row r="27" spans="1:7" x14ac:dyDescent="0.25">
      <c r="A27">
        <v>1.63E-4</v>
      </c>
      <c r="B27">
        <v>0.66019000000000005</v>
      </c>
      <c r="C27">
        <v>0.628</v>
      </c>
      <c r="D27">
        <f t="shared" si="0"/>
        <v>0.64409500000000008</v>
      </c>
      <c r="E27">
        <f t="shared" si="1"/>
        <v>1.6095000000000081E-2</v>
      </c>
      <c r="G27" t="s">
        <v>4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Fortuna Plays</dc:creator>
  <cp:lastModifiedBy>Fortuna Plays</cp:lastModifiedBy>
  <dcterms:created xsi:type="dcterms:W3CDTF">2022-04-06T08:22:38Z</dcterms:created>
  <dcterms:modified xsi:type="dcterms:W3CDTF">2022-04-06T13:28:41Z</dcterms:modified>
</cp:coreProperties>
</file>