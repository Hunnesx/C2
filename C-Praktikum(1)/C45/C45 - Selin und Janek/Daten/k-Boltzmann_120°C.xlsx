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lin\Nextcloud\Physik\Experimentalphysik\Physikalisches Praktikum\C\C45\C45 - Selin und Janek\Daten\"/>
    </mc:Choice>
  </mc:AlternateContent>
  <xr:revisionPtr revIDLastSave="0" documentId="13_ncr:1_{A110373C-B9CA-484D-94A8-FC7E44244EF7}" xr6:coauthVersionLast="47" xr6:coauthVersionMax="47" xr10:uidLastSave="{00000000-0000-0000-0000-000000000000}"/>
  <bookViews>
    <workbookView xWindow="1560" yWindow="3945" windowWidth="21600" windowHeight="11325" xr2:uid="{CF7E37C4-BE74-4433-92CB-01321E59A3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1" l="1"/>
  <c r="F22" i="1"/>
  <c r="C22" i="1"/>
  <c r="B22" i="1"/>
  <c r="B2" i="1"/>
  <c r="L4" i="1"/>
  <c r="J4" i="1"/>
  <c r="D2" i="1"/>
  <c r="D3" i="1"/>
  <c r="D4" i="1"/>
  <c r="D5" i="1"/>
  <c r="D6" i="1"/>
  <c r="D7" i="1"/>
  <c r="D9" i="1"/>
  <c r="D10" i="1"/>
  <c r="D11" i="1"/>
  <c r="D12" i="1"/>
  <c r="D13" i="1"/>
  <c r="D14" i="1"/>
  <c r="D15" i="1"/>
  <c r="D16" i="1"/>
  <c r="D17" i="1"/>
  <c r="D18" i="1"/>
  <c r="D8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I4" i="1" l="1"/>
</calcChain>
</file>

<file path=xl/sharedStrings.xml><?xml version="1.0" encoding="utf-8"?>
<sst xmlns="http://schemas.openxmlformats.org/spreadsheetml/2006/main" count="15" uniqueCount="15">
  <si>
    <t>U</t>
  </si>
  <si>
    <t>du</t>
  </si>
  <si>
    <t>I</t>
  </si>
  <si>
    <t>dI</t>
  </si>
  <si>
    <t>m</t>
  </si>
  <si>
    <t>dm</t>
  </si>
  <si>
    <t>k</t>
  </si>
  <si>
    <t>dk</t>
  </si>
  <si>
    <t>T</t>
  </si>
  <si>
    <t>dT</t>
  </si>
  <si>
    <t>Mittelwert:</t>
  </si>
  <si>
    <t>40°C</t>
  </si>
  <si>
    <t>80°C</t>
  </si>
  <si>
    <t>Lit:</t>
  </si>
  <si>
    <t>Delta: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</si>
</sst>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97888-1131-4539-9C68-2DBF4D6B4905}">
  <dimension ref="A1:M25"/>
  <sheetViews>
    <sheetView tabSelected="1" topLeftCell="A4" workbookViewId="0">
      <selection activeCell="I23" sqref="I23"/>
    </sheetView>
  </sheetViews>
  <sheetFormatPr defaultRowHeight="15" x14ac:dyDescent="0.25"/>
  <cols>
    <col min="1" max="1" width="11.140625" bestFit="1" customWidth="1"/>
    <col min="2" max="3" width="12" bestFit="1" customWidth="1"/>
    <col min="6" max="6" width="12" bestFit="1" customWidth="1"/>
    <col min="9" max="9" width="12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</row>
    <row r="2" spans="1:13" x14ac:dyDescent="0.25">
      <c r="A2">
        <v>-1E-3</v>
      </c>
      <c r="B2">
        <f>-A2*0.025+0.006</f>
        <v>6.025E-3</v>
      </c>
      <c r="C2">
        <v>5.9999999999999995E-4</v>
      </c>
      <c r="D2">
        <f t="shared" ref="D2:D7" si="0">C2*0.05+0.015*10</f>
        <v>0.15003</v>
      </c>
    </row>
    <row r="3" spans="1:13" x14ac:dyDescent="0.25">
      <c r="A3">
        <v>5.0709999999999998E-2</v>
      </c>
      <c r="B3">
        <f t="shared" ref="B3:B18" si="1">A3*0.025+0.006</f>
        <v>7.2677499999999999E-3</v>
      </c>
      <c r="C3">
        <v>1.1999999999999999E-3</v>
      </c>
      <c r="D3">
        <f t="shared" si="0"/>
        <v>0.15006</v>
      </c>
      <c r="F3" t="s">
        <v>4</v>
      </c>
      <c r="G3" t="s">
        <v>5</v>
      </c>
      <c r="I3" t="s">
        <v>6</v>
      </c>
      <c r="J3" t="s">
        <v>7</v>
      </c>
      <c r="L3" t="s">
        <v>8</v>
      </c>
      <c r="M3" t="s">
        <v>9</v>
      </c>
    </row>
    <row r="4" spans="1:13" x14ac:dyDescent="0.25">
      <c r="A4">
        <v>0.10019</v>
      </c>
      <c r="B4">
        <f t="shared" si="1"/>
        <v>8.5047500000000002E-3</v>
      </c>
      <c r="C4">
        <v>8.9999999999999993E-3</v>
      </c>
      <c r="D4">
        <f t="shared" si="0"/>
        <v>0.15045</v>
      </c>
      <c r="F4">
        <v>29.403009999999998</v>
      </c>
      <c r="G4">
        <v>0.23746</v>
      </c>
      <c r="I4">
        <f>(1.602179634*10^(-19))/(F4*L4)</f>
        <v>1.385993314174705E-23</v>
      </c>
      <c r="J4">
        <f>SQRT(((1.602176634*10^(-19))/(F4*L4^2))^2*(M4)^2+((1.602176634*10^(-19))/(F4^2*L4))^2*(G4)^2)</f>
        <v>1.1281797216719996E-25</v>
      </c>
      <c r="L4">
        <f>120+273.15</f>
        <v>393.15</v>
      </c>
      <c r="M4">
        <v>0.4</v>
      </c>
    </row>
    <row r="5" spans="1:13" x14ac:dyDescent="0.25">
      <c r="A5">
        <v>0.15084</v>
      </c>
      <c r="B5">
        <f t="shared" si="1"/>
        <v>9.7710000000000002E-3</v>
      </c>
      <c r="C5">
        <v>4.4900000000000002E-2</v>
      </c>
      <c r="D5">
        <f t="shared" si="0"/>
        <v>0.15224499999999999</v>
      </c>
    </row>
    <row r="6" spans="1:13" x14ac:dyDescent="0.25">
      <c r="A6">
        <v>0.17515</v>
      </c>
      <c r="B6">
        <f t="shared" si="1"/>
        <v>1.0378749999999999E-2</v>
      </c>
      <c r="C6">
        <v>9.4200000000000006E-2</v>
      </c>
      <c r="D6">
        <f t="shared" si="0"/>
        <v>0.15470999999999999</v>
      </c>
    </row>
    <row r="7" spans="1:13" x14ac:dyDescent="0.25">
      <c r="A7">
        <v>0.20050000000000001</v>
      </c>
      <c r="B7">
        <f t="shared" si="1"/>
        <v>1.1012500000000001E-2</v>
      </c>
      <c r="C7">
        <v>0.20399999999999999</v>
      </c>
      <c r="D7">
        <f t="shared" si="0"/>
        <v>0.16020000000000001</v>
      </c>
    </row>
    <row r="8" spans="1:13" x14ac:dyDescent="0.25">
      <c r="A8">
        <v>0.22519</v>
      </c>
      <c r="B8">
        <f t="shared" si="1"/>
        <v>1.1629750000000001E-2</v>
      </c>
      <c r="C8">
        <v>0.4254</v>
      </c>
      <c r="D8">
        <f t="shared" ref="D8:D18" si="2">C8*0.05+0.015*10</f>
        <v>0.17127000000000001</v>
      </c>
    </row>
    <row r="9" spans="1:13" x14ac:dyDescent="0.25">
      <c r="A9">
        <v>0.25044</v>
      </c>
      <c r="B9">
        <f t="shared" si="1"/>
        <v>1.2261000000000001E-2</v>
      </c>
      <c r="C9">
        <v>0.89400000000000002</v>
      </c>
      <c r="D9">
        <f t="shared" si="2"/>
        <v>0.19469999999999998</v>
      </c>
    </row>
    <row r="10" spans="1:13" x14ac:dyDescent="0.25">
      <c r="A10">
        <v>0.26016</v>
      </c>
      <c r="B10">
        <f t="shared" si="1"/>
        <v>1.2504000000000001E-2</v>
      </c>
      <c r="C10">
        <v>1.1876</v>
      </c>
      <c r="D10">
        <f t="shared" si="2"/>
        <v>0.20938000000000001</v>
      </c>
    </row>
    <row r="11" spans="1:13" x14ac:dyDescent="0.25">
      <c r="A11">
        <v>0.27045000000000002</v>
      </c>
      <c r="B11">
        <f t="shared" si="1"/>
        <v>1.2761250000000002E-2</v>
      </c>
      <c r="C11">
        <v>1.599</v>
      </c>
      <c r="D11">
        <f t="shared" si="2"/>
        <v>0.22994999999999999</v>
      </c>
    </row>
    <row r="12" spans="1:13" x14ac:dyDescent="0.25">
      <c r="A12">
        <v>0.28043000000000001</v>
      </c>
      <c r="B12">
        <f t="shared" si="1"/>
        <v>1.3010750000000001E-2</v>
      </c>
      <c r="C12">
        <v>2.1252</v>
      </c>
      <c r="D12">
        <f t="shared" si="2"/>
        <v>0.25625999999999999</v>
      </c>
    </row>
    <row r="13" spans="1:13" x14ac:dyDescent="0.25">
      <c r="A13">
        <v>0.29027999999999998</v>
      </c>
      <c r="B13">
        <f t="shared" si="1"/>
        <v>1.3257E-2</v>
      </c>
      <c r="C13">
        <v>2.8065000000000002</v>
      </c>
      <c r="D13">
        <f t="shared" si="2"/>
        <v>0.290325</v>
      </c>
    </row>
    <row r="14" spans="1:13" x14ac:dyDescent="0.25">
      <c r="A14">
        <v>0.30070000000000002</v>
      </c>
      <c r="B14">
        <f t="shared" si="1"/>
        <v>1.3517500000000002E-2</v>
      </c>
      <c r="C14">
        <v>3.7526000000000002</v>
      </c>
      <c r="D14">
        <f t="shared" si="2"/>
        <v>0.33762999999999999</v>
      </c>
    </row>
    <row r="15" spans="1:13" x14ac:dyDescent="0.25">
      <c r="A15">
        <v>0.31036000000000002</v>
      </c>
      <c r="B15">
        <f t="shared" si="1"/>
        <v>1.3759E-2</v>
      </c>
      <c r="C15">
        <v>4.8811999999999998</v>
      </c>
      <c r="D15">
        <f t="shared" si="2"/>
        <v>0.39405999999999997</v>
      </c>
    </row>
    <row r="16" spans="1:13" x14ac:dyDescent="0.25">
      <c r="A16">
        <v>0.32067000000000001</v>
      </c>
      <c r="B16">
        <f t="shared" si="1"/>
        <v>1.4016750000000001E-2</v>
      </c>
      <c r="C16">
        <v>6.4252000000000002</v>
      </c>
      <c r="D16">
        <f t="shared" si="2"/>
        <v>0.47126000000000001</v>
      </c>
    </row>
    <row r="17" spans="1:9" x14ac:dyDescent="0.25">
      <c r="A17">
        <v>0.33051999999999998</v>
      </c>
      <c r="B17">
        <f t="shared" si="1"/>
        <v>1.4263E-2</v>
      </c>
      <c r="C17">
        <v>8.2950999999999997</v>
      </c>
      <c r="D17">
        <f t="shared" si="2"/>
        <v>0.56475500000000001</v>
      </c>
    </row>
    <row r="18" spans="1:9" x14ac:dyDescent="0.25">
      <c r="A18">
        <v>0.34</v>
      </c>
      <c r="B18">
        <f t="shared" si="1"/>
        <v>1.4500000000000001E-2</v>
      </c>
      <c r="C18">
        <v>10.5342</v>
      </c>
      <c r="D18">
        <f t="shared" si="2"/>
        <v>0.67671000000000003</v>
      </c>
    </row>
    <row r="22" spans="1:9" x14ac:dyDescent="0.25">
      <c r="A22" t="s">
        <v>10</v>
      </c>
      <c r="B22">
        <f>(B24+B25+I4)/3</f>
        <v>1.3922341479856724E-23</v>
      </c>
      <c r="C22">
        <f>SQRT((1/3)^2*(C24^2+C25^2+J4^2))</f>
        <v>6.5637759578928896E-26</v>
      </c>
      <c r="E22" t="s">
        <v>13</v>
      </c>
      <c r="F22">
        <f>1.38064852 *10^(-23)</f>
        <v>1.3806485200000002E-23</v>
      </c>
      <c r="H22" t="s">
        <v>14</v>
      </c>
      <c r="I22">
        <f>B22-F22</f>
        <v>1.1585627985672198E-25</v>
      </c>
    </row>
    <row r="24" spans="1:9" x14ac:dyDescent="0.25">
      <c r="A24" t="s">
        <v>11</v>
      </c>
      <c r="B24">
        <v>1.3979330343087626E-23</v>
      </c>
      <c r="C24">
        <v>1.2163769510491545E-25</v>
      </c>
    </row>
    <row r="25" spans="1:9" x14ac:dyDescent="0.25">
      <c r="A25" t="s">
        <v>12</v>
      </c>
      <c r="B25">
        <v>1.3927760954735489E-23</v>
      </c>
      <c r="C25">
        <v>1.0607174755096655E-25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</dc:creator>
  <cp:lastModifiedBy>selin</cp:lastModifiedBy>
  <dcterms:created xsi:type="dcterms:W3CDTF">2022-04-07T09:21:31Z</dcterms:created>
  <dcterms:modified xsi:type="dcterms:W3CDTF">2022-04-07T09:53:03Z</dcterms:modified>
</cp:coreProperties>
</file>