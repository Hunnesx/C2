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5\Jonas und Jonathan\Messdaten\"/>
    </mc:Choice>
  </mc:AlternateContent>
  <xr:revisionPtr revIDLastSave="0" documentId="13_ncr:1_{FE11226F-4270-4DF4-B0FB-B4D04B6F361C}" xr6:coauthVersionLast="47" xr6:coauthVersionMax="47" xr10:uidLastSave="{00000000-0000-0000-0000-000000000000}"/>
  <bookViews>
    <workbookView xWindow="-110" yWindow="-110" windowWidth="19420" windowHeight="10420" xr2:uid="{9F45D0A8-B23C-4B2E-8E71-7CE1E8215BB5}"/>
  </bookViews>
  <sheets>
    <sheet name="Photoeffekt" sheetId="1" r:id="rId1"/>
    <sheet name="Boltzma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L49" i="1"/>
  <c r="P78" i="2"/>
  <c r="P79" i="2"/>
  <c r="P77" i="2"/>
  <c r="O78" i="2"/>
  <c r="O79" i="2"/>
  <c r="O77" i="2"/>
  <c r="P63" i="2"/>
  <c r="F61" i="2"/>
  <c r="O62" i="2"/>
  <c r="P62" i="2" s="1"/>
  <c r="O63" i="2"/>
  <c r="O61" i="2"/>
  <c r="P61" i="2" s="1"/>
  <c r="E62" i="2"/>
  <c r="E63" i="2"/>
  <c r="E61" i="2"/>
  <c r="F62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D5" i="2"/>
  <c r="AC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5" i="2"/>
  <c r="S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G5" i="2"/>
  <c r="F5" i="2"/>
  <c r="AB5" i="2"/>
  <c r="D55" i="2"/>
  <c r="B55" i="2"/>
  <c r="A63" i="2"/>
  <c r="A62" i="2"/>
  <c r="A61" i="2"/>
  <c r="AI5" i="2"/>
  <c r="C53" i="1"/>
  <c r="C52" i="1"/>
  <c r="C51" i="1"/>
  <c r="C50" i="1"/>
  <c r="C49" i="1"/>
  <c r="H44" i="1"/>
  <c r="F44" i="1"/>
  <c r="D44" i="1"/>
  <c r="D50" i="1"/>
  <c r="D51" i="1"/>
  <c r="D52" i="1"/>
  <c r="D53" i="1"/>
  <c r="D49" i="1"/>
  <c r="AK26" i="1"/>
  <c r="AK27" i="1"/>
  <c r="AK28" i="1"/>
  <c r="AK29" i="1"/>
  <c r="AK30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C25" i="1"/>
  <c r="AC26" i="1"/>
  <c r="AC27" i="1"/>
  <c r="AC28" i="1"/>
  <c r="AC29" i="1"/>
  <c r="AC30" i="1"/>
  <c r="AC31" i="1"/>
  <c r="AC24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5" i="1"/>
  <c r="U20" i="1"/>
  <c r="U21" i="1"/>
  <c r="U22" i="1"/>
  <c r="U23" i="1"/>
  <c r="U24" i="1"/>
  <c r="U25" i="1"/>
  <c r="U26" i="1"/>
  <c r="U27" i="1"/>
  <c r="U28" i="1"/>
  <c r="U29" i="1"/>
  <c r="U19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5" i="1"/>
  <c r="M31" i="1"/>
  <c r="M30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16" i="1"/>
  <c r="M6" i="1"/>
  <c r="M7" i="1"/>
  <c r="M8" i="1"/>
  <c r="M9" i="1"/>
  <c r="M10" i="1"/>
  <c r="M11" i="1"/>
  <c r="M12" i="1"/>
  <c r="M13" i="1"/>
  <c r="M14" i="1"/>
  <c r="M15" i="1"/>
  <c r="M5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3" i="1"/>
  <c r="E6" i="1"/>
  <c r="E7" i="1"/>
  <c r="E8" i="1"/>
  <c r="E9" i="1"/>
  <c r="E10" i="1"/>
  <c r="E11" i="1"/>
  <c r="E12" i="1"/>
  <c r="E5" i="1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5" i="2"/>
  <c r="L36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5" i="2"/>
  <c r="S77" i="2" l="1"/>
  <c r="S61" i="2"/>
  <c r="R61" i="2"/>
  <c r="F63" i="2"/>
  <c r="R77" i="2" l="1"/>
</calcChain>
</file>

<file path=xl/sharedStrings.xml><?xml version="1.0" encoding="utf-8"?>
<sst xmlns="http://schemas.openxmlformats.org/spreadsheetml/2006/main" count="105" uniqueCount="52">
  <si>
    <t>Wellenlänge [nm]:</t>
  </si>
  <si>
    <t>Spannung [V]</t>
  </si>
  <si>
    <t>(-0,5)</t>
  </si>
  <si>
    <t>(-0,55)</t>
  </si>
  <si>
    <t>(-1,15)</t>
  </si>
  <si>
    <t>(-1,35)</t>
  </si>
  <si>
    <t>(-1,7)</t>
  </si>
  <si>
    <t>Temperatur [Celsius]</t>
  </si>
  <si>
    <t>Spannung BE [V]</t>
  </si>
  <si>
    <t>Kollektorstrom [mA]</t>
  </si>
  <si>
    <t>bis 10 mA</t>
  </si>
  <si>
    <t>Messbereich[V]</t>
  </si>
  <si>
    <t>Stromfehler: Schwankung</t>
  </si>
  <si>
    <t>Verworfen wg zu kurz gewartet</t>
  </si>
  <si>
    <t>Messbereich [V]</t>
  </si>
  <si>
    <t>Messbereich [mA]</t>
  </si>
  <si>
    <t>Spannung BE [mV]</t>
  </si>
  <si>
    <t>Fehler [V]</t>
  </si>
  <si>
    <t>Fehler[V]</t>
  </si>
  <si>
    <t>Fehler [mA]</t>
  </si>
  <si>
    <t>Lichtgeschwindigkeit</t>
  </si>
  <si>
    <t>Frequenz[Hz]</t>
  </si>
  <si>
    <t>Fehler [Hz]</t>
  </si>
  <si>
    <t>Wellenlänge [nm]</t>
  </si>
  <si>
    <t>Maximalspannung [V]</t>
  </si>
  <si>
    <t>Elementarladung [C]</t>
  </si>
  <si>
    <t>Literatur Boltzmann:</t>
  </si>
  <si>
    <t>Lit. Planck [Js]</t>
  </si>
  <si>
    <t>Temperatur:</t>
  </si>
  <si>
    <t>Steigung unkorrigiert</t>
  </si>
  <si>
    <t>k_Boltzmann:</t>
  </si>
  <si>
    <t>Fehler Steigung:</t>
  </si>
  <si>
    <t>Fehler k_Boltzmann:</t>
  </si>
  <si>
    <t>Temperaturfehler:</t>
  </si>
  <si>
    <t>red. Chi-Quadr. Unkorr.</t>
  </si>
  <si>
    <t>Widerstand [Ohm]</t>
  </si>
  <si>
    <t>Chi-Quadr. Widerstand:</t>
  </si>
  <si>
    <t>Fehler Widerstand:</t>
  </si>
  <si>
    <t>Steigung korrigiert:</t>
  </si>
  <si>
    <t>Steigungsfehler korr.:</t>
  </si>
  <si>
    <t>red. Chi-Quadr.:</t>
  </si>
  <si>
    <t>korr. Spannung BE [V]</t>
  </si>
  <si>
    <t>mit weniger als 5% rel. Fehler:</t>
  </si>
  <si>
    <t>gewichteter Mittelwert:</t>
  </si>
  <si>
    <t>Fehler:</t>
  </si>
  <si>
    <t>korr. Und reduziert:</t>
  </si>
  <si>
    <t>Strom [nA]</t>
  </si>
  <si>
    <t>Stromfehler[nA]</t>
  </si>
  <si>
    <t>Steigungsfehler</t>
  </si>
  <si>
    <t>Planck Wirkungsquantum</t>
  </si>
  <si>
    <t xml:space="preserve">Steigung </t>
  </si>
  <si>
    <t>Fehler Planck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</si>
</sst>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"/>
    <numFmt numFmtId="165" formatCode="0.000000"/>
    <numFmt numFmtId="166" formatCode="0.00000"/>
    <numFmt numFmtId="167" formatCode="0.0000"/>
    <numFmt numFmtId="168" formatCode="0.000"/>
    <numFmt numFmtId="170" formatCode="0.0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Font="1"/>
    <xf numFmtId="11" fontId="0" fillId="0" borderId="0" xfId="0" applyNumberFormat="1"/>
    <xf numFmtId="17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50F-8AC1-47B3-913C-0F160334DF97}">
  <dimension ref="B2:AW53"/>
  <sheetViews>
    <sheetView tabSelected="1" topLeftCell="A40" zoomScale="78" zoomScaleNormal="40" workbookViewId="0">
      <selection activeCell="I56" sqref="I56"/>
    </sheetView>
  </sheetViews>
  <sheetFormatPr baseColWidth="10" defaultRowHeight="14.5" x14ac:dyDescent="0.35"/>
  <cols>
    <col min="2" max="2" width="22.1796875" bestFit="1" customWidth="1"/>
    <col min="3" max="3" width="11.90625" bestFit="1" customWidth="1"/>
    <col min="4" max="4" width="17.1796875" bestFit="1" customWidth="1"/>
    <col min="6" max="6" width="19.08984375" bestFit="1" customWidth="1"/>
    <col min="7" max="7" width="14.1796875" bestFit="1" customWidth="1"/>
    <col min="8" max="8" width="12.08984375" bestFit="1" customWidth="1"/>
    <col min="10" max="10" width="12.08984375" bestFit="1" customWidth="1"/>
    <col min="11" max="11" width="17.453125" bestFit="1" customWidth="1"/>
    <col min="12" max="12" width="22.1796875" bestFit="1" customWidth="1"/>
    <col min="14" max="14" width="14.1796875" bestFit="1" customWidth="1"/>
    <col min="17" max="17" width="12.08984375" bestFit="1" customWidth="1"/>
    <col min="18" max="18" width="17.453125" bestFit="1" customWidth="1"/>
    <col min="20" max="20" width="15.08984375" bestFit="1" customWidth="1"/>
    <col min="21" max="21" width="14.1796875" bestFit="1" customWidth="1"/>
    <col min="24" max="24" width="11.90625" bestFit="1" customWidth="1"/>
    <col min="25" max="25" width="17.1796875" bestFit="1" customWidth="1"/>
    <col min="28" max="28" width="14.1796875" bestFit="1" customWidth="1"/>
    <col min="31" max="31" width="11.90625" bestFit="1" customWidth="1"/>
    <col min="32" max="32" width="17.1796875" bestFit="1" customWidth="1"/>
    <col min="35" max="35" width="14.1796875" bestFit="1" customWidth="1"/>
    <col min="36" max="36" width="14.6328125" bestFit="1" customWidth="1"/>
    <col min="40" max="40" width="14.81640625" bestFit="1" customWidth="1"/>
  </cols>
  <sheetData>
    <row r="2" spans="2:49" x14ac:dyDescent="0.35">
      <c r="B2" t="s">
        <v>0</v>
      </c>
      <c r="F2">
        <v>578</v>
      </c>
      <c r="G2" t="s">
        <v>2</v>
      </c>
      <c r="N2">
        <v>546</v>
      </c>
      <c r="O2" t="s">
        <v>3</v>
      </c>
      <c r="V2">
        <v>436</v>
      </c>
      <c r="W2" t="s">
        <v>4</v>
      </c>
      <c r="AD2">
        <v>405</v>
      </c>
      <c r="AE2" t="s">
        <v>5</v>
      </c>
      <c r="AL2">
        <v>366</v>
      </c>
      <c r="AM2" t="s">
        <v>6</v>
      </c>
    </row>
    <row r="3" spans="2:49" x14ac:dyDescent="0.35">
      <c r="B3" t="s">
        <v>12</v>
      </c>
      <c r="AS3" t="s">
        <v>13</v>
      </c>
    </row>
    <row r="4" spans="2:49" x14ac:dyDescent="0.35">
      <c r="C4" t="s">
        <v>1</v>
      </c>
      <c r="D4" t="s">
        <v>14</v>
      </c>
      <c r="E4" t="s">
        <v>17</v>
      </c>
      <c r="G4" t="s">
        <v>46</v>
      </c>
      <c r="H4" t="s">
        <v>47</v>
      </c>
      <c r="K4" t="s">
        <v>1</v>
      </c>
      <c r="L4" t="s">
        <v>14</v>
      </c>
      <c r="M4" t="s">
        <v>18</v>
      </c>
      <c r="O4" t="s">
        <v>46</v>
      </c>
      <c r="P4" t="s">
        <v>47</v>
      </c>
      <c r="S4" t="s">
        <v>1</v>
      </c>
      <c r="T4" t="s">
        <v>14</v>
      </c>
      <c r="U4" t="s">
        <v>18</v>
      </c>
      <c r="W4" t="s">
        <v>46</v>
      </c>
      <c r="X4" t="s">
        <v>47</v>
      </c>
      <c r="AA4" t="s">
        <v>1</v>
      </c>
      <c r="AB4" t="s">
        <v>14</v>
      </c>
      <c r="AC4" t="s">
        <v>17</v>
      </c>
      <c r="AE4" t="s">
        <v>46</v>
      </c>
      <c r="AF4" t="s">
        <v>47</v>
      </c>
      <c r="AI4" t="s">
        <v>1</v>
      </c>
      <c r="AJ4" t="s">
        <v>11</v>
      </c>
      <c r="AK4" t="s">
        <v>17</v>
      </c>
      <c r="AM4" t="s">
        <v>46</v>
      </c>
      <c r="AN4" t="s">
        <v>47</v>
      </c>
    </row>
    <row r="5" spans="2:49" x14ac:dyDescent="0.35">
      <c r="C5">
        <v>-2.6015000000000001</v>
      </c>
      <c r="D5">
        <v>10</v>
      </c>
      <c r="E5" s="5">
        <f>0.025*0.01*ABS(C5)+0.005*0.01*D5</f>
        <v>1.1503749999999999E-3</v>
      </c>
      <c r="G5">
        <v>-5.67E-2</v>
      </c>
      <c r="H5">
        <v>8.0000000000000004E-4</v>
      </c>
      <c r="K5">
        <v>-3</v>
      </c>
      <c r="L5">
        <v>10</v>
      </c>
      <c r="M5" s="5">
        <f>0.025*0.01*ABS(K5)+0.005*0.01*L5</f>
        <v>1.25E-3</v>
      </c>
      <c r="O5">
        <v>-0.20200000000000001</v>
      </c>
      <c r="P5">
        <v>3.0000000000000001E-3</v>
      </c>
      <c r="S5">
        <v>-3.0087999999999999</v>
      </c>
      <c r="T5">
        <v>10</v>
      </c>
      <c r="U5" s="5">
        <f>0.025*0.01*ABS(S5)+0.005*0.01*T5</f>
        <v>1.2522E-3</v>
      </c>
      <c r="W5">
        <v>-0.248</v>
      </c>
      <c r="X5">
        <v>2E-3</v>
      </c>
      <c r="AA5">
        <v>-3</v>
      </c>
      <c r="AB5">
        <v>10</v>
      </c>
      <c r="AC5" s="5">
        <f>0.025*0.01*ABS(AA5)+0.005*0.01*AB5</f>
        <v>1.25E-3</v>
      </c>
      <c r="AE5">
        <v>-0.377</v>
      </c>
      <c r="AF5">
        <v>5.0000000000000001E-3</v>
      </c>
      <c r="AI5">
        <v>-3.0034000000000001</v>
      </c>
      <c r="AJ5">
        <v>10</v>
      </c>
      <c r="AK5" s="5">
        <f>0.025*0.01*ABS(AI5)+0.005*0.01*AJ5</f>
        <v>1.25085E-3</v>
      </c>
      <c r="AM5">
        <v>-1.34</v>
      </c>
      <c r="AN5">
        <v>0.02</v>
      </c>
      <c r="AS5">
        <v>3.0211000000000001</v>
      </c>
      <c r="AT5">
        <v>10</v>
      </c>
      <c r="AV5">
        <v>-1.33</v>
      </c>
      <c r="AW5">
        <v>0.03</v>
      </c>
    </row>
    <row r="6" spans="2:49" x14ac:dyDescent="0.35">
      <c r="C6">
        <v>-2.4030999999999998</v>
      </c>
      <c r="D6">
        <v>10</v>
      </c>
      <c r="E6" s="5">
        <f t="shared" ref="E6:E12" si="0">0.025*0.01*ABS(C6)+0.005*0.01*D6</f>
        <v>1.100775E-3</v>
      </c>
      <c r="G6">
        <v>-5.6300000000000003E-2</v>
      </c>
      <c r="H6">
        <v>8.9999999999999998E-4</v>
      </c>
      <c r="K6">
        <v>-2.8005</v>
      </c>
      <c r="L6">
        <v>10</v>
      </c>
      <c r="M6" s="5">
        <f t="shared" ref="M6:M15" si="1">0.025*0.01*ABS(K6)+0.005*0.01*L6</f>
        <v>1.200125E-3</v>
      </c>
      <c r="O6">
        <v>-0.19700000000000001</v>
      </c>
      <c r="P6">
        <v>3.0000000000000001E-3</v>
      </c>
      <c r="S6">
        <v>-2.8010000000000002</v>
      </c>
      <c r="T6">
        <v>10</v>
      </c>
      <c r="U6" s="5">
        <f t="shared" ref="U6:U18" si="2">0.025*0.01*ABS(S6)+0.005*0.01*T6</f>
        <v>1.2002499999999999E-3</v>
      </c>
      <c r="W6">
        <v>-0.23699999999999999</v>
      </c>
      <c r="X6">
        <v>8.0000000000000002E-3</v>
      </c>
      <c r="AA6">
        <v>-2.8005</v>
      </c>
      <c r="AB6">
        <v>10</v>
      </c>
      <c r="AC6" s="5">
        <f t="shared" ref="AC6:AC23" si="3">0.025*0.01*ABS(AA6)+0.005*0.01*AB6</f>
        <v>1.200125E-3</v>
      </c>
      <c r="AE6">
        <v>-0.37</v>
      </c>
      <c r="AF6">
        <v>7.0000000000000001E-3</v>
      </c>
      <c r="AI6">
        <v>-2.8052999999999999</v>
      </c>
      <c r="AJ6">
        <v>10</v>
      </c>
      <c r="AK6" s="5">
        <f t="shared" ref="AK6:AK24" si="4">0.025*0.01*ABS(AI6)+0.005*0.01*AJ6</f>
        <v>1.201325E-3</v>
      </c>
      <c r="AM6">
        <v>-1.37</v>
      </c>
      <c r="AN6">
        <v>0.03</v>
      </c>
      <c r="AS6">
        <v>2.8008999999999999</v>
      </c>
      <c r="AT6">
        <v>10</v>
      </c>
      <c r="AV6">
        <v>-1.35</v>
      </c>
      <c r="AW6">
        <v>0.01</v>
      </c>
    </row>
    <row r="7" spans="2:49" x14ac:dyDescent="0.35">
      <c r="C7">
        <v>-2.2025000000000001</v>
      </c>
      <c r="D7">
        <v>10</v>
      </c>
      <c r="E7" s="5">
        <f t="shared" si="0"/>
        <v>1.0506249999999999E-3</v>
      </c>
      <c r="G7">
        <v>-5.5E-2</v>
      </c>
      <c r="H7">
        <v>1E-3</v>
      </c>
      <c r="K7">
        <v>-2.6019000000000001</v>
      </c>
      <c r="L7">
        <v>10</v>
      </c>
      <c r="M7" s="5">
        <f t="shared" si="1"/>
        <v>1.1504750000000002E-3</v>
      </c>
      <c r="O7">
        <v>-0.2</v>
      </c>
      <c r="P7">
        <v>2E-3</v>
      </c>
      <c r="S7">
        <v>-2.6019000000000001</v>
      </c>
      <c r="T7">
        <v>10</v>
      </c>
      <c r="U7" s="5">
        <f t="shared" si="2"/>
        <v>1.1504750000000002E-3</v>
      </c>
      <c r="W7">
        <v>-0.23799999999999999</v>
      </c>
      <c r="X7">
        <v>5.0000000000000001E-3</v>
      </c>
      <c r="AA7">
        <v>-2.6008</v>
      </c>
      <c r="AB7">
        <v>10</v>
      </c>
      <c r="AC7" s="5">
        <f t="shared" si="3"/>
        <v>1.1502000000000001E-3</v>
      </c>
      <c r="AE7">
        <v>-0.36799999999999999</v>
      </c>
      <c r="AF7">
        <v>8.0000000000000002E-3</v>
      </c>
      <c r="AI7">
        <v>-2.6021000000000001</v>
      </c>
      <c r="AJ7">
        <v>10</v>
      </c>
      <c r="AK7" s="5">
        <f t="shared" si="4"/>
        <v>1.1505249999999999E-3</v>
      </c>
      <c r="AM7">
        <v>-1.33</v>
      </c>
      <c r="AN7">
        <v>0.03</v>
      </c>
      <c r="AS7">
        <v>2.6065999999999998</v>
      </c>
      <c r="AT7">
        <v>10</v>
      </c>
      <c r="AV7">
        <v>-1.36</v>
      </c>
      <c r="AW7">
        <v>0.01</v>
      </c>
    </row>
    <row r="8" spans="2:49" x14ac:dyDescent="0.35">
      <c r="C8">
        <v>-2.0015000000000001</v>
      </c>
      <c r="D8">
        <v>10</v>
      </c>
      <c r="E8" s="5">
        <f t="shared" si="0"/>
        <v>1.000375E-3</v>
      </c>
      <c r="G8">
        <v>-5.5E-2</v>
      </c>
      <c r="H8">
        <v>1E-3</v>
      </c>
      <c r="K8">
        <v>-2.3993000000000002</v>
      </c>
      <c r="L8">
        <v>10</v>
      </c>
      <c r="M8" s="5">
        <f t="shared" si="1"/>
        <v>1.099825E-3</v>
      </c>
      <c r="O8">
        <v>-0.19700000000000001</v>
      </c>
      <c r="P8">
        <v>3.0000000000000001E-3</v>
      </c>
      <c r="S8">
        <v>-2.4075000000000002</v>
      </c>
      <c r="T8">
        <v>10</v>
      </c>
      <c r="U8" s="5">
        <f t="shared" si="2"/>
        <v>1.101875E-3</v>
      </c>
      <c r="W8">
        <v>-0.24</v>
      </c>
      <c r="X8">
        <v>5.0000000000000001E-3</v>
      </c>
      <c r="AA8">
        <v>-2.399</v>
      </c>
      <c r="AB8">
        <v>10</v>
      </c>
      <c r="AC8" s="5">
        <f t="shared" si="3"/>
        <v>1.09975E-3</v>
      </c>
      <c r="AE8">
        <v>-0.374</v>
      </c>
      <c r="AF8">
        <v>4.0000000000000001E-3</v>
      </c>
      <c r="AI8">
        <v>-2.3948999999999998</v>
      </c>
      <c r="AJ8">
        <v>10</v>
      </c>
      <c r="AK8" s="5">
        <f t="shared" si="4"/>
        <v>1.098725E-3</v>
      </c>
      <c r="AM8">
        <v>-1.32</v>
      </c>
      <c r="AN8">
        <v>0.03</v>
      </c>
      <c r="AS8">
        <v>2.4037000000000002</v>
      </c>
      <c r="AT8">
        <v>10</v>
      </c>
      <c r="AV8">
        <v>-1.34</v>
      </c>
      <c r="AW8">
        <v>0.02</v>
      </c>
    </row>
    <row r="9" spans="2:49" x14ac:dyDescent="0.35">
      <c r="C9">
        <v>-1.8024</v>
      </c>
      <c r="D9">
        <v>10</v>
      </c>
      <c r="E9" s="5">
        <f t="shared" si="0"/>
        <v>9.5060000000000001E-4</v>
      </c>
      <c r="G9">
        <v>-5.5500000000000001E-2</v>
      </c>
      <c r="H9">
        <v>8.0000000000000004E-4</v>
      </c>
      <c r="K9">
        <v>-2.2010999999999998</v>
      </c>
      <c r="L9">
        <v>10</v>
      </c>
      <c r="M9" s="5">
        <f t="shared" si="1"/>
        <v>1.0502749999999998E-3</v>
      </c>
      <c r="O9">
        <v>-0.19400000000000001</v>
      </c>
      <c r="P9">
        <v>2E-3</v>
      </c>
      <c r="S9">
        <v>-2.2010000000000001</v>
      </c>
      <c r="T9">
        <v>10</v>
      </c>
      <c r="U9" s="5">
        <f t="shared" si="2"/>
        <v>1.05025E-3</v>
      </c>
      <c r="W9">
        <v>-0.23499999999999999</v>
      </c>
      <c r="X9">
        <v>2E-3</v>
      </c>
      <c r="AA9">
        <v>-2.2065000000000001</v>
      </c>
      <c r="AB9">
        <v>10</v>
      </c>
      <c r="AC9" s="5">
        <f t="shared" si="3"/>
        <v>1.051625E-3</v>
      </c>
      <c r="AE9">
        <v>-0.376</v>
      </c>
      <c r="AF9">
        <v>3.0000000000000001E-3</v>
      </c>
      <c r="AI9">
        <v>-2.2027000000000001</v>
      </c>
      <c r="AJ9">
        <v>10</v>
      </c>
      <c r="AK9" s="5">
        <f t="shared" si="4"/>
        <v>1.050675E-3</v>
      </c>
      <c r="AM9">
        <v>-1.24</v>
      </c>
      <c r="AN9">
        <v>0.02</v>
      </c>
      <c r="AS9">
        <v>2.2010000000000001</v>
      </c>
      <c r="AT9">
        <v>10</v>
      </c>
      <c r="AV9">
        <v>-1.28</v>
      </c>
      <c r="AW9">
        <v>0.01</v>
      </c>
    </row>
    <row r="10" spans="2:49" x14ac:dyDescent="0.35">
      <c r="C10">
        <v>-1.6019000000000001</v>
      </c>
      <c r="D10">
        <v>10</v>
      </c>
      <c r="E10" s="4">
        <f t="shared" si="0"/>
        <v>9.0047499999999997E-4</v>
      </c>
      <c r="G10">
        <v>-5.5E-2</v>
      </c>
      <c r="H10">
        <v>1E-3</v>
      </c>
      <c r="K10">
        <v>-2.0021</v>
      </c>
      <c r="L10">
        <v>10</v>
      </c>
      <c r="M10" s="5">
        <f t="shared" si="1"/>
        <v>1.0005249999999999E-3</v>
      </c>
      <c r="O10">
        <v>-0.19800000000000001</v>
      </c>
      <c r="P10">
        <v>3.0000000000000001E-3</v>
      </c>
      <c r="S10">
        <v>-2.0017999999999998</v>
      </c>
      <c r="T10">
        <v>10</v>
      </c>
      <c r="U10" s="5">
        <f t="shared" si="2"/>
        <v>1.00045E-3</v>
      </c>
      <c r="W10">
        <v>-0.23699999999999999</v>
      </c>
      <c r="X10">
        <v>2E-3</v>
      </c>
      <c r="AA10">
        <v>-2.0026999999999999</v>
      </c>
      <c r="AB10">
        <v>10</v>
      </c>
      <c r="AC10" s="5">
        <f t="shared" si="3"/>
        <v>1.0006749999999999E-3</v>
      </c>
      <c r="AE10">
        <v>-0.37</v>
      </c>
      <c r="AF10">
        <v>5.0000000000000001E-3</v>
      </c>
      <c r="AI10">
        <v>-2.0034000000000001</v>
      </c>
      <c r="AJ10">
        <v>10</v>
      </c>
      <c r="AK10" s="5">
        <f t="shared" si="4"/>
        <v>1.0008500000000002E-3</v>
      </c>
      <c r="AM10">
        <v>-1.24</v>
      </c>
      <c r="AN10">
        <v>0.03</v>
      </c>
      <c r="AS10">
        <v>2.0066999999999999</v>
      </c>
      <c r="AT10">
        <v>10</v>
      </c>
      <c r="AV10">
        <v>-1.2450000000000001</v>
      </c>
      <c r="AW10">
        <v>6.0000000000000001E-3</v>
      </c>
    </row>
    <row r="11" spans="2:49" x14ac:dyDescent="0.35">
      <c r="C11">
        <v>-1.4004000000000001</v>
      </c>
      <c r="D11">
        <v>10</v>
      </c>
      <c r="E11" s="4">
        <f t="shared" si="0"/>
        <v>8.5010000000000012E-4</v>
      </c>
      <c r="G11">
        <v>-5.4800000000000001E-2</v>
      </c>
      <c r="H11">
        <v>5.9999999999999995E-4</v>
      </c>
      <c r="K11">
        <v>-1.8024</v>
      </c>
      <c r="L11">
        <v>10</v>
      </c>
      <c r="M11" s="5">
        <f t="shared" si="1"/>
        <v>9.5060000000000001E-4</v>
      </c>
      <c r="O11">
        <v>-0.19600000000000001</v>
      </c>
      <c r="P11">
        <v>2E-3</v>
      </c>
      <c r="S11">
        <v>-1.8025</v>
      </c>
      <c r="T11">
        <v>10</v>
      </c>
      <c r="U11" s="5">
        <f t="shared" si="2"/>
        <v>9.5062500000000008E-4</v>
      </c>
      <c r="W11">
        <v>-0.22900000000000001</v>
      </c>
      <c r="X11">
        <v>2E-3</v>
      </c>
      <c r="AA11">
        <v>-1.7997000000000001</v>
      </c>
      <c r="AB11">
        <v>10</v>
      </c>
      <c r="AC11" s="4">
        <f t="shared" si="3"/>
        <v>9.4992500000000012E-4</v>
      </c>
      <c r="AE11">
        <v>-0.35899999999999999</v>
      </c>
      <c r="AF11">
        <v>5.0000000000000001E-3</v>
      </c>
      <c r="AI11">
        <v>-1.9036</v>
      </c>
      <c r="AJ11">
        <v>10</v>
      </c>
      <c r="AK11" s="5">
        <f t="shared" si="4"/>
        <v>9.7590000000000003E-4</v>
      </c>
      <c r="AM11">
        <v>-1.22</v>
      </c>
      <c r="AN11">
        <v>0.02</v>
      </c>
      <c r="AS11">
        <v>1.9065000000000001</v>
      </c>
      <c r="AT11">
        <v>10</v>
      </c>
      <c r="AV11">
        <v>-1.27</v>
      </c>
      <c r="AW11">
        <v>0.01</v>
      </c>
    </row>
    <row r="12" spans="2:49" x14ac:dyDescent="0.35">
      <c r="C12">
        <v>-1.2014</v>
      </c>
      <c r="D12">
        <v>10</v>
      </c>
      <c r="E12" s="4">
        <f t="shared" si="0"/>
        <v>8.0035000000000002E-4</v>
      </c>
      <c r="G12">
        <v>-5.3499999999999999E-2</v>
      </c>
      <c r="H12">
        <v>5.9999999999999995E-4</v>
      </c>
      <c r="K12">
        <v>-1.6</v>
      </c>
      <c r="L12">
        <v>10</v>
      </c>
      <c r="M12" s="4">
        <f t="shared" si="1"/>
        <v>8.9999999999999998E-4</v>
      </c>
      <c r="O12">
        <v>-0.193</v>
      </c>
      <c r="P12">
        <v>1E-3</v>
      </c>
      <c r="S12">
        <v>-1.5993999999999999</v>
      </c>
      <c r="T12">
        <v>10</v>
      </c>
      <c r="U12" s="4">
        <f t="shared" si="2"/>
        <v>8.9985E-4</v>
      </c>
      <c r="W12">
        <v>-0.23300000000000001</v>
      </c>
      <c r="X12">
        <v>5.0000000000000001E-3</v>
      </c>
      <c r="AA12">
        <v>-1.7030000000000001</v>
      </c>
      <c r="AB12">
        <v>10</v>
      </c>
      <c r="AC12" s="4">
        <f t="shared" si="3"/>
        <v>9.2575000000000003E-4</v>
      </c>
      <c r="AE12">
        <v>-0.35799999999999998</v>
      </c>
      <c r="AF12">
        <v>4.0000000000000001E-3</v>
      </c>
      <c r="AI12">
        <v>-1.7986</v>
      </c>
      <c r="AJ12">
        <v>10</v>
      </c>
      <c r="AK12" s="4">
        <f t="shared" si="4"/>
        <v>9.4965000000000002E-4</v>
      </c>
      <c r="AM12">
        <v>-1.17</v>
      </c>
      <c r="AN12">
        <v>0.02</v>
      </c>
    </row>
    <row r="13" spans="2:49" x14ac:dyDescent="0.35">
      <c r="C13">
        <v>-1.0023</v>
      </c>
      <c r="D13">
        <v>1</v>
      </c>
      <c r="E13" s="4">
        <f>0.025*0.01*ABS(C13)+0.006*0.01*D13</f>
        <v>3.10575E-4</v>
      </c>
      <c r="G13">
        <v>-5.4199999999999998E-2</v>
      </c>
      <c r="H13">
        <v>2.9999999999999997E-4</v>
      </c>
      <c r="K13">
        <v>-1.4001999999999999</v>
      </c>
      <c r="L13">
        <v>10</v>
      </c>
      <c r="M13" s="4">
        <f t="shared" si="1"/>
        <v>8.5004999999999998E-4</v>
      </c>
      <c r="O13">
        <v>-0.193</v>
      </c>
      <c r="P13">
        <v>2E-3</v>
      </c>
      <c r="S13">
        <v>-1.4048</v>
      </c>
      <c r="T13">
        <v>10</v>
      </c>
      <c r="U13" s="4">
        <f t="shared" si="2"/>
        <v>8.5120000000000009E-4</v>
      </c>
      <c r="W13">
        <v>-0.22600000000000001</v>
      </c>
      <c r="X13">
        <v>1E-3</v>
      </c>
      <c r="AA13">
        <v>-1.6054999999999999</v>
      </c>
      <c r="AB13">
        <v>10</v>
      </c>
      <c r="AC13" s="4">
        <f t="shared" si="3"/>
        <v>9.0137500000000005E-4</v>
      </c>
      <c r="AE13">
        <v>-0.36</v>
      </c>
      <c r="AF13">
        <v>7.0000000000000001E-3</v>
      </c>
      <c r="AI13">
        <v>-1.75</v>
      </c>
      <c r="AJ13">
        <v>10</v>
      </c>
      <c r="AK13" s="4">
        <f t="shared" si="4"/>
        <v>9.3749999999999997E-4</v>
      </c>
      <c r="AM13">
        <v>-1.1850000000000001</v>
      </c>
      <c r="AN13">
        <v>5.0000000000000001E-3</v>
      </c>
    </row>
    <row r="14" spans="2:49" x14ac:dyDescent="0.35">
      <c r="C14">
        <v>-0.90254000000000001</v>
      </c>
      <c r="D14">
        <v>1</v>
      </c>
      <c r="E14" s="4">
        <f t="shared" ref="E14:E30" si="5">0.025*0.01*ABS(C14)+0.006*0.01*D14</f>
        <v>2.8563500000000001E-4</v>
      </c>
      <c r="G14">
        <v>-5.3400000000000003E-2</v>
      </c>
      <c r="H14">
        <v>5.0000000000000001E-4</v>
      </c>
      <c r="K14">
        <v>-1.2</v>
      </c>
      <c r="L14">
        <v>10</v>
      </c>
      <c r="M14" s="4">
        <f t="shared" si="1"/>
        <v>7.9999999999999993E-4</v>
      </c>
      <c r="O14">
        <v>-0.189</v>
      </c>
      <c r="P14">
        <v>2E-3</v>
      </c>
      <c r="S14">
        <v>-1.2995000000000001</v>
      </c>
      <c r="T14">
        <v>10</v>
      </c>
      <c r="U14" s="4">
        <f t="shared" si="2"/>
        <v>8.2487500000000009E-4</v>
      </c>
      <c r="W14">
        <v>-0.219</v>
      </c>
      <c r="X14">
        <v>2E-3</v>
      </c>
      <c r="AA14">
        <v>-1.5</v>
      </c>
      <c r="AB14">
        <v>10</v>
      </c>
      <c r="AC14" s="4">
        <f t="shared" si="3"/>
        <v>8.7500000000000002E-4</v>
      </c>
      <c r="AE14">
        <v>-0.35799999999999998</v>
      </c>
      <c r="AF14">
        <v>5.0000000000000001E-3</v>
      </c>
      <c r="AI14">
        <v>-1.7008000000000001</v>
      </c>
      <c r="AJ14">
        <v>10</v>
      </c>
      <c r="AK14" s="4">
        <f t="shared" si="4"/>
        <v>9.2520000000000005E-4</v>
      </c>
      <c r="AM14">
        <v>-1.161</v>
      </c>
      <c r="AN14">
        <v>1E-3</v>
      </c>
    </row>
    <row r="15" spans="2:49" x14ac:dyDescent="0.35">
      <c r="C15">
        <v>-0.79901999999999995</v>
      </c>
      <c r="D15">
        <v>1</v>
      </c>
      <c r="E15" s="4">
        <f t="shared" si="5"/>
        <v>2.5975500000000002E-4</v>
      </c>
      <c r="G15">
        <v>-5.2499999999999998E-2</v>
      </c>
      <c r="H15">
        <v>2.9999999999999997E-4</v>
      </c>
      <c r="K15">
        <v>-1.1025</v>
      </c>
      <c r="L15">
        <v>10</v>
      </c>
      <c r="M15" s="4">
        <f t="shared" si="1"/>
        <v>7.7562500000000006E-4</v>
      </c>
      <c r="O15">
        <v>-0.187</v>
      </c>
      <c r="P15">
        <v>2E-3</v>
      </c>
      <c r="S15">
        <v>-1.2015</v>
      </c>
      <c r="T15">
        <v>10</v>
      </c>
      <c r="U15" s="4">
        <f t="shared" si="2"/>
        <v>8.0037500000000009E-4</v>
      </c>
      <c r="W15">
        <v>-0.21299999999999999</v>
      </c>
      <c r="X15">
        <v>1E-3</v>
      </c>
      <c r="AA15" s="1">
        <v>-1.4499</v>
      </c>
      <c r="AB15">
        <v>10</v>
      </c>
      <c r="AC15" s="4">
        <f t="shared" si="3"/>
        <v>8.6247500000000003E-4</v>
      </c>
      <c r="AE15">
        <v>-0.35</v>
      </c>
      <c r="AF15">
        <v>7.0000000000000001E-3</v>
      </c>
      <c r="AI15">
        <v>-1.6514</v>
      </c>
      <c r="AJ15">
        <v>10</v>
      </c>
      <c r="AK15" s="4">
        <f t="shared" si="4"/>
        <v>9.1284999999999999E-4</v>
      </c>
      <c r="AM15">
        <v>-1.129</v>
      </c>
      <c r="AN15">
        <v>2E-3</v>
      </c>
    </row>
    <row r="16" spans="2:49" x14ac:dyDescent="0.35">
      <c r="C16">
        <v>-0.74995000000000001</v>
      </c>
      <c r="D16">
        <v>1</v>
      </c>
      <c r="E16" s="4">
        <f t="shared" si="5"/>
        <v>2.4748750000000002E-4</v>
      </c>
      <c r="G16">
        <v>-5.0999999999999997E-2</v>
      </c>
      <c r="H16">
        <v>5.0000000000000001E-4</v>
      </c>
      <c r="K16">
        <v>-1.00221</v>
      </c>
      <c r="L16">
        <v>1</v>
      </c>
      <c r="M16" s="4">
        <f>0.025*0.01*ABS(K16)+0.006*0.01*L16</f>
        <v>3.1055250000000003E-4</v>
      </c>
      <c r="O16">
        <v>-0.186</v>
      </c>
      <c r="P16">
        <v>1E-3</v>
      </c>
      <c r="S16">
        <v>-1.1498999999999999</v>
      </c>
      <c r="T16">
        <v>10</v>
      </c>
      <c r="U16" s="4">
        <f t="shared" si="2"/>
        <v>7.8747499999999994E-4</v>
      </c>
      <c r="W16">
        <v>-0.20899999999999999</v>
      </c>
      <c r="X16">
        <v>1E-3</v>
      </c>
      <c r="AA16">
        <v>-1.4015</v>
      </c>
      <c r="AB16">
        <v>10</v>
      </c>
      <c r="AC16" s="4">
        <f t="shared" si="3"/>
        <v>8.50375E-4</v>
      </c>
      <c r="AE16">
        <v>-0.34</v>
      </c>
      <c r="AF16">
        <v>5.0000000000000001E-3</v>
      </c>
      <c r="AI16">
        <v>-1.6001000000000001</v>
      </c>
      <c r="AJ16">
        <v>10</v>
      </c>
      <c r="AK16" s="4">
        <f t="shared" si="4"/>
        <v>9.0002500000000004E-4</v>
      </c>
      <c r="AM16">
        <v>-1.05</v>
      </c>
      <c r="AN16">
        <v>0.01</v>
      </c>
    </row>
    <row r="17" spans="3:40" x14ac:dyDescent="0.35">
      <c r="C17">
        <v>-0.70009999999999994</v>
      </c>
      <c r="D17">
        <v>1</v>
      </c>
      <c r="E17" s="4">
        <f t="shared" si="5"/>
        <v>2.3502499999999998E-4</v>
      </c>
      <c r="G17">
        <v>-4.9500000000000002E-2</v>
      </c>
      <c r="H17">
        <v>6.9999999999999999E-4</v>
      </c>
      <c r="K17">
        <v>-0.90066999999999997</v>
      </c>
      <c r="L17">
        <v>1</v>
      </c>
      <c r="M17" s="4">
        <f t="shared" ref="M17:M29" si="6">0.025*0.01*ABS(K17)+0.006*0.01*L17</f>
        <v>2.8516750000000002E-4</v>
      </c>
      <c r="O17">
        <v>-0.185</v>
      </c>
      <c r="P17">
        <v>1E-3</v>
      </c>
      <c r="S17">
        <v>-1.1020000000000001</v>
      </c>
      <c r="T17">
        <v>10</v>
      </c>
      <c r="U17" s="4">
        <f t="shared" si="2"/>
        <v>7.7550000000000004E-4</v>
      </c>
      <c r="W17">
        <v>-0.20399999999999999</v>
      </c>
      <c r="X17">
        <v>4.0000000000000001E-3</v>
      </c>
      <c r="AA17">
        <v>-1.3529</v>
      </c>
      <c r="AB17">
        <v>10</v>
      </c>
      <c r="AC17" s="4">
        <f t="shared" si="3"/>
        <v>8.3822499999999995E-4</v>
      </c>
      <c r="AE17">
        <v>-0.33600000000000002</v>
      </c>
      <c r="AF17">
        <v>1E-3</v>
      </c>
      <c r="AI17">
        <v>-1.5491999999999999</v>
      </c>
      <c r="AJ17">
        <v>10</v>
      </c>
      <c r="AK17" s="4">
        <f t="shared" si="4"/>
        <v>8.8729999999999994E-4</v>
      </c>
      <c r="AM17">
        <v>-0.99399999999999999</v>
      </c>
      <c r="AN17">
        <v>2E-3</v>
      </c>
    </row>
    <row r="18" spans="3:40" x14ac:dyDescent="0.35">
      <c r="C18">
        <v>-0.65193999999999996</v>
      </c>
      <c r="D18">
        <v>1</v>
      </c>
      <c r="E18" s="4">
        <f t="shared" si="5"/>
        <v>2.2298499999999998E-4</v>
      </c>
      <c r="G18">
        <v>-4.9000000000000002E-2</v>
      </c>
      <c r="H18">
        <v>1E-3</v>
      </c>
      <c r="K18">
        <v>-0.80291000000000001</v>
      </c>
      <c r="L18">
        <v>1</v>
      </c>
      <c r="M18" s="4">
        <f t="shared" si="6"/>
        <v>2.6072749999999999E-4</v>
      </c>
      <c r="O18">
        <v>-0.18099999999999999</v>
      </c>
      <c r="P18">
        <v>2E-3</v>
      </c>
      <c r="S18">
        <v>-1.0499000000000001</v>
      </c>
      <c r="T18">
        <v>10</v>
      </c>
      <c r="U18" s="4">
        <f t="shared" si="2"/>
        <v>7.6247500000000009E-4</v>
      </c>
      <c r="W18">
        <v>-0.2</v>
      </c>
      <c r="X18">
        <v>6.0000000000000001E-3</v>
      </c>
      <c r="AA18">
        <v>-1.3029999999999999</v>
      </c>
      <c r="AB18">
        <v>10</v>
      </c>
      <c r="AC18" s="4">
        <f t="shared" si="3"/>
        <v>8.2574999999999999E-4</v>
      </c>
      <c r="AE18">
        <v>-0.32600000000000001</v>
      </c>
      <c r="AF18">
        <v>4.0000000000000001E-3</v>
      </c>
      <c r="AI18">
        <v>-1.5003</v>
      </c>
      <c r="AJ18">
        <v>10</v>
      </c>
      <c r="AK18" s="4">
        <f t="shared" si="4"/>
        <v>8.7507500000000001E-4</v>
      </c>
      <c r="AM18">
        <v>-0.96</v>
      </c>
      <c r="AN18">
        <v>0.01</v>
      </c>
    </row>
    <row r="19" spans="3:40" x14ac:dyDescent="0.35">
      <c r="C19">
        <v>-0.60048999999999997</v>
      </c>
      <c r="D19">
        <v>1</v>
      </c>
      <c r="E19" s="4">
        <f t="shared" si="5"/>
        <v>2.1012249999999999E-4</v>
      </c>
      <c r="G19">
        <v>-4.9000000000000002E-2</v>
      </c>
      <c r="H19">
        <v>5.0000000000000001E-4</v>
      </c>
      <c r="K19">
        <v>-0.75012000000000001</v>
      </c>
      <c r="L19">
        <v>1</v>
      </c>
      <c r="M19" s="4">
        <f t="shared" si="6"/>
        <v>2.4753000000000004E-4</v>
      </c>
      <c r="O19">
        <v>-0.17799999999999999</v>
      </c>
      <c r="P19">
        <v>1E-3</v>
      </c>
      <c r="S19" s="2">
        <v>-1.00681</v>
      </c>
      <c r="T19">
        <v>1</v>
      </c>
      <c r="U19" s="4">
        <f>0.025*0.01*ABS(S19)+0.006*0.01*T19</f>
        <v>3.1170249999999997E-4</v>
      </c>
      <c r="W19">
        <v>-0.193</v>
      </c>
      <c r="X19">
        <v>6.0000000000000001E-3</v>
      </c>
      <c r="AA19">
        <v>-1.2496</v>
      </c>
      <c r="AB19">
        <v>10</v>
      </c>
      <c r="AC19" s="4">
        <f t="shared" si="3"/>
        <v>8.1240000000000001E-4</v>
      </c>
      <c r="AE19">
        <v>-0.32</v>
      </c>
      <c r="AF19">
        <v>2E-3</v>
      </c>
      <c r="AI19">
        <v>-1.4489000000000001</v>
      </c>
      <c r="AJ19">
        <v>10</v>
      </c>
      <c r="AK19" s="4">
        <f t="shared" si="4"/>
        <v>8.622250000000001E-4</v>
      </c>
      <c r="AM19">
        <v>-0.88200000000000001</v>
      </c>
      <c r="AN19">
        <v>4.0000000000000001E-3</v>
      </c>
    </row>
    <row r="20" spans="3:40" x14ac:dyDescent="0.35">
      <c r="C20">
        <v>-0.55166999999999999</v>
      </c>
      <c r="D20">
        <v>1</v>
      </c>
      <c r="E20" s="4">
        <f t="shared" si="5"/>
        <v>1.9791749999999999E-4</v>
      </c>
      <c r="G20">
        <v>-4.65E-2</v>
      </c>
      <c r="H20">
        <v>6.9999999999999999E-4</v>
      </c>
      <c r="K20">
        <v>-0.69942000000000004</v>
      </c>
      <c r="L20">
        <v>1</v>
      </c>
      <c r="M20" s="4">
        <f t="shared" si="6"/>
        <v>2.3485500000000001E-4</v>
      </c>
      <c r="O20">
        <v>-0.17399999999999999</v>
      </c>
      <c r="P20">
        <v>3.0000000000000001E-3</v>
      </c>
      <c r="S20">
        <v>-0.95043999999999995</v>
      </c>
      <c r="T20">
        <v>1</v>
      </c>
      <c r="U20" s="4">
        <f t="shared" ref="U20:U29" si="7">0.025*0.01*ABS(S20)+0.006*0.01*T20</f>
        <v>2.9761000000000002E-4</v>
      </c>
      <c r="W20">
        <v>-0.17499999999999999</v>
      </c>
      <c r="X20">
        <v>6.0000000000000001E-3</v>
      </c>
      <c r="AA20">
        <v>-1.2015</v>
      </c>
      <c r="AB20">
        <v>10</v>
      </c>
      <c r="AC20" s="4">
        <f t="shared" si="3"/>
        <v>8.0037500000000009E-4</v>
      </c>
      <c r="AE20">
        <v>-0.311</v>
      </c>
      <c r="AF20">
        <v>2E-3</v>
      </c>
      <c r="AI20">
        <v>-1.4037999999999999</v>
      </c>
      <c r="AJ20">
        <v>10</v>
      </c>
      <c r="AK20" s="4">
        <f t="shared" si="4"/>
        <v>8.5095000000000006E-4</v>
      </c>
      <c r="AM20">
        <v>-0.84199999999999997</v>
      </c>
      <c r="AN20">
        <v>7.0000000000000001E-3</v>
      </c>
    </row>
    <row r="21" spans="3:40" x14ac:dyDescent="0.35">
      <c r="C21">
        <v>-0.50088999999999995</v>
      </c>
      <c r="D21">
        <v>1</v>
      </c>
      <c r="E21" s="4">
        <f t="shared" si="5"/>
        <v>1.8522249999999998E-4</v>
      </c>
      <c r="G21">
        <v>-4.2000000000000003E-2</v>
      </c>
      <c r="H21">
        <v>1E-3</v>
      </c>
      <c r="K21">
        <v>-0.65205999999999997</v>
      </c>
      <c r="L21">
        <v>1</v>
      </c>
      <c r="M21" s="4">
        <f t="shared" si="6"/>
        <v>2.2301499999999999E-4</v>
      </c>
      <c r="O21">
        <v>-0.16800000000000001</v>
      </c>
      <c r="P21">
        <v>3.0000000000000001E-3</v>
      </c>
      <c r="S21">
        <v>-0.90244000000000002</v>
      </c>
      <c r="T21">
        <v>1</v>
      </c>
      <c r="U21" s="4">
        <f t="shared" si="7"/>
        <v>2.8561E-4</v>
      </c>
      <c r="W21">
        <v>-0.16300000000000001</v>
      </c>
      <c r="X21">
        <v>3.0000000000000001E-3</v>
      </c>
      <c r="AA21">
        <v>-1.1517999999999999</v>
      </c>
      <c r="AB21">
        <v>10</v>
      </c>
      <c r="AC21" s="4">
        <f t="shared" si="3"/>
        <v>7.8794999999999994E-4</v>
      </c>
      <c r="AE21">
        <v>-0.29799999999999999</v>
      </c>
      <c r="AF21">
        <v>1E-3</v>
      </c>
      <c r="AI21">
        <v>-1.3498000000000001</v>
      </c>
      <c r="AJ21">
        <v>10</v>
      </c>
      <c r="AK21" s="4">
        <f t="shared" si="4"/>
        <v>8.3745E-4</v>
      </c>
      <c r="AM21">
        <v>-0.74</v>
      </c>
      <c r="AN21">
        <v>5.0000000000000001E-3</v>
      </c>
    </row>
    <row r="22" spans="3:40" x14ac:dyDescent="0.35">
      <c r="C22">
        <v>-0.44928000000000001</v>
      </c>
      <c r="D22">
        <v>1</v>
      </c>
      <c r="E22" s="4">
        <f t="shared" si="5"/>
        <v>1.7232E-4</v>
      </c>
      <c r="G22">
        <v>-3.7999999999999999E-2</v>
      </c>
      <c r="H22">
        <v>5.0000000000000001E-4</v>
      </c>
      <c r="K22">
        <v>-0.60013000000000005</v>
      </c>
      <c r="L22">
        <v>1</v>
      </c>
      <c r="M22" s="4">
        <f t="shared" si="6"/>
        <v>2.1003250000000001E-4</v>
      </c>
      <c r="O22">
        <v>-0.156</v>
      </c>
      <c r="P22">
        <v>3.0000000000000001E-3</v>
      </c>
      <c r="S22">
        <v>-0.8508</v>
      </c>
      <c r="T22">
        <v>1</v>
      </c>
      <c r="U22" s="4">
        <f t="shared" si="7"/>
        <v>2.7270000000000001E-4</v>
      </c>
      <c r="W22">
        <v>-0.14399999999999999</v>
      </c>
      <c r="X22">
        <v>2E-3</v>
      </c>
      <c r="AA22">
        <v>-1.1014999999999999</v>
      </c>
      <c r="AB22">
        <v>10</v>
      </c>
      <c r="AC22" s="4">
        <f t="shared" si="3"/>
        <v>7.7537500000000002E-4</v>
      </c>
      <c r="AE22">
        <v>-0.28000000000000003</v>
      </c>
      <c r="AF22">
        <v>2E-3</v>
      </c>
      <c r="AI22">
        <v>-1.3045</v>
      </c>
      <c r="AJ22">
        <v>10</v>
      </c>
      <c r="AK22" s="4">
        <f t="shared" si="4"/>
        <v>8.2612500000000004E-4</v>
      </c>
      <c r="AM22">
        <v>-0.68</v>
      </c>
      <c r="AN22">
        <v>0.02</v>
      </c>
    </row>
    <row r="23" spans="3:40" x14ac:dyDescent="0.35">
      <c r="C23">
        <v>-0.40222000000000002</v>
      </c>
      <c r="D23">
        <v>1</v>
      </c>
      <c r="E23" s="4">
        <f t="shared" si="5"/>
        <v>1.60555E-4</v>
      </c>
      <c r="G23">
        <v>-3.3000000000000002E-2</v>
      </c>
      <c r="H23">
        <v>1E-3</v>
      </c>
      <c r="K23">
        <v>-0.55000000000000004</v>
      </c>
      <c r="L23">
        <v>1</v>
      </c>
      <c r="M23" s="4">
        <f t="shared" si="6"/>
        <v>1.975E-4</v>
      </c>
      <c r="O23">
        <v>-0.14199999999999999</v>
      </c>
      <c r="P23">
        <v>3.0000000000000001E-3</v>
      </c>
      <c r="S23">
        <v>-0.80291999999999997</v>
      </c>
      <c r="T23">
        <v>1</v>
      </c>
      <c r="U23" s="4">
        <f t="shared" si="7"/>
        <v>2.6072999999999998E-4</v>
      </c>
      <c r="W23">
        <v>-0.122</v>
      </c>
      <c r="X23">
        <v>2E-3</v>
      </c>
      <c r="AA23">
        <v>-1.05</v>
      </c>
      <c r="AB23">
        <v>10</v>
      </c>
      <c r="AC23" s="4">
        <f t="shared" si="3"/>
        <v>7.6250000000000005E-4</v>
      </c>
      <c r="AE23">
        <v>-0.26</v>
      </c>
      <c r="AF23">
        <v>3.0000000000000001E-3</v>
      </c>
      <c r="AI23">
        <v>-1.2021999999999999</v>
      </c>
      <c r="AJ23">
        <v>10</v>
      </c>
      <c r="AK23" s="4">
        <f t="shared" si="4"/>
        <v>8.0055000000000002E-4</v>
      </c>
      <c r="AM23">
        <v>-0.45700000000000002</v>
      </c>
      <c r="AN23">
        <v>3.0000000000000001E-3</v>
      </c>
    </row>
    <row r="24" spans="3:40" x14ac:dyDescent="0.35">
      <c r="C24">
        <v>-0.35077999999999998</v>
      </c>
      <c r="D24">
        <v>1</v>
      </c>
      <c r="E24" s="4">
        <f t="shared" si="5"/>
        <v>1.4769499999999999E-4</v>
      </c>
      <c r="G24">
        <v>-2.6499999999999999E-2</v>
      </c>
      <c r="H24">
        <v>8.0000000000000004E-4</v>
      </c>
      <c r="K24">
        <v>-0.50056999999999996</v>
      </c>
      <c r="L24">
        <v>1</v>
      </c>
      <c r="M24" s="4">
        <f t="shared" si="6"/>
        <v>1.8514249999999999E-4</v>
      </c>
      <c r="O24">
        <v>-0.126</v>
      </c>
      <c r="P24">
        <v>2E-3</v>
      </c>
      <c r="S24">
        <v>-0.75090000000000001</v>
      </c>
      <c r="T24">
        <v>1</v>
      </c>
      <c r="U24" s="4">
        <f t="shared" si="7"/>
        <v>2.4772500000000002E-4</v>
      </c>
      <c r="W24">
        <v>-9.2999999999999999E-2</v>
      </c>
      <c r="X24">
        <v>2E-3</v>
      </c>
      <c r="AA24">
        <v>-1.0003200000000001</v>
      </c>
      <c r="AB24">
        <v>1</v>
      </c>
      <c r="AC24" s="4">
        <f>0.025*0.01*ABS(AA24)+0.006*0.01*AB24</f>
        <v>3.1008000000000001E-4</v>
      </c>
      <c r="AE24">
        <v>-0.23200000000000001</v>
      </c>
      <c r="AF24">
        <v>3.0000000000000001E-3</v>
      </c>
      <c r="AI24">
        <v>-1.1007</v>
      </c>
      <c r="AJ24">
        <v>10</v>
      </c>
      <c r="AK24" s="4">
        <f t="shared" si="4"/>
        <v>7.7517500000000002E-4</v>
      </c>
      <c r="AM24">
        <v>-0.20899999999999999</v>
      </c>
      <c r="AN24">
        <v>2E-3</v>
      </c>
    </row>
    <row r="25" spans="3:40" x14ac:dyDescent="0.35">
      <c r="C25">
        <v>-0.30214999999999997</v>
      </c>
      <c r="D25">
        <v>1</v>
      </c>
      <c r="E25" s="4">
        <f t="shared" si="5"/>
        <v>1.3553750000000001E-4</v>
      </c>
      <c r="G25">
        <v>-1.7999999999999999E-2</v>
      </c>
      <c r="H25">
        <v>1E-3</v>
      </c>
      <c r="K25">
        <v>-0.44923000000000002</v>
      </c>
      <c r="L25">
        <v>1</v>
      </c>
      <c r="M25" s="4">
        <f t="shared" si="6"/>
        <v>1.723075E-4</v>
      </c>
      <c r="O25">
        <v>-0.10299999999999999</v>
      </c>
      <c r="P25">
        <v>2E-3</v>
      </c>
      <c r="S25">
        <v>-0.69965999999999995</v>
      </c>
      <c r="T25">
        <v>1</v>
      </c>
      <c r="U25" s="4">
        <f t="shared" si="7"/>
        <v>2.3491499999999998E-4</v>
      </c>
      <c r="W25">
        <v>-6.0999999999999999E-2</v>
      </c>
      <c r="X25">
        <v>1E-3</v>
      </c>
      <c r="AA25">
        <v>-0.90242</v>
      </c>
      <c r="AB25">
        <v>1</v>
      </c>
      <c r="AC25" s="4">
        <f t="shared" ref="AC25:AC31" si="8">0.025*0.01*ABS(AA25)+0.006*0.01*AB25</f>
        <v>2.8560500000000003E-4</v>
      </c>
      <c r="AE25">
        <v>-0.17499999999999999</v>
      </c>
      <c r="AF25">
        <v>2E-3</v>
      </c>
      <c r="AI25">
        <v>-1.0025999999999999</v>
      </c>
      <c r="AJ25">
        <v>1</v>
      </c>
      <c r="AK25" s="4">
        <f>0.025*0.01*ABS(AI25)+0.006*0.01*AJ25</f>
        <v>3.1064999999999999E-4</v>
      </c>
      <c r="AM25">
        <v>8.4000000000000005E-2</v>
      </c>
      <c r="AN25">
        <v>2E-3</v>
      </c>
    </row>
    <row r="26" spans="3:40" x14ac:dyDescent="0.35">
      <c r="C26">
        <v>-0.25037999999999999</v>
      </c>
      <c r="D26">
        <v>1</v>
      </c>
      <c r="E26" s="4">
        <f t="shared" si="5"/>
        <v>1.22595E-4</v>
      </c>
      <c r="G26">
        <v>-7.4999999999999997E-3</v>
      </c>
      <c r="H26">
        <v>8.0000000000000004E-4</v>
      </c>
      <c r="K26">
        <v>-0.40023999999999998</v>
      </c>
      <c r="L26">
        <v>1</v>
      </c>
      <c r="M26" s="4">
        <f t="shared" si="6"/>
        <v>1.6006000000000001E-4</v>
      </c>
      <c r="O26">
        <v>-7.8E-2</v>
      </c>
      <c r="P26">
        <v>2E-3</v>
      </c>
      <c r="S26">
        <v>-0.60036</v>
      </c>
      <c r="T26">
        <v>1</v>
      </c>
      <c r="U26" s="4">
        <f t="shared" si="7"/>
        <v>2.1008999999999999E-4</v>
      </c>
      <c r="W26">
        <v>1.2999999999999999E-2</v>
      </c>
      <c r="X26">
        <v>1E-3</v>
      </c>
      <c r="AA26">
        <v>-0.80318000000000001</v>
      </c>
      <c r="AB26">
        <v>1</v>
      </c>
      <c r="AC26" s="4">
        <f t="shared" si="8"/>
        <v>2.6079500000000003E-4</v>
      </c>
      <c r="AE26">
        <v>-0.10100000000000001</v>
      </c>
      <c r="AF26">
        <v>1E-3</v>
      </c>
      <c r="AI26">
        <v>-0.90668000000000004</v>
      </c>
      <c r="AJ26">
        <v>1</v>
      </c>
      <c r="AK26" s="4">
        <f t="shared" ref="AK26:AK30" si="9">0.025*0.01*ABS(AI26)+0.006*0.01*AJ26</f>
        <v>2.8667000000000005E-4</v>
      </c>
      <c r="AM26">
        <v>0.43</v>
      </c>
      <c r="AN26">
        <v>0.01</v>
      </c>
    </row>
    <row r="27" spans="3:40" x14ac:dyDescent="0.35">
      <c r="C27">
        <v>-0.19897000000000001</v>
      </c>
      <c r="D27">
        <v>1</v>
      </c>
      <c r="E27" s="4">
        <f t="shared" si="5"/>
        <v>1.097425E-4</v>
      </c>
      <c r="G27">
        <v>6.4999999999999997E-3</v>
      </c>
      <c r="H27">
        <v>5.0000000000000001E-4</v>
      </c>
      <c r="K27">
        <v>-0.34971999999999998</v>
      </c>
      <c r="L27">
        <v>1</v>
      </c>
      <c r="M27" s="4">
        <f t="shared" si="6"/>
        <v>1.4742999999999999E-4</v>
      </c>
      <c r="O27">
        <v>-4.3999999999999997E-2</v>
      </c>
      <c r="P27">
        <v>2E-3</v>
      </c>
      <c r="S27">
        <v>-0.50065999999999999</v>
      </c>
      <c r="T27">
        <v>1</v>
      </c>
      <c r="U27" s="4">
        <f t="shared" si="7"/>
        <v>1.8516499999999999E-4</v>
      </c>
      <c r="W27">
        <v>0.111</v>
      </c>
      <c r="X27">
        <v>1E-3</v>
      </c>
      <c r="AA27">
        <v>-0.70069999999999999</v>
      </c>
      <c r="AB27">
        <v>1</v>
      </c>
      <c r="AC27" s="4">
        <f t="shared" si="8"/>
        <v>2.3517499999999998E-4</v>
      </c>
      <c r="AE27">
        <v>-2E-3</v>
      </c>
      <c r="AF27">
        <v>1E-3</v>
      </c>
      <c r="AI27">
        <v>-0.79967999999999995</v>
      </c>
      <c r="AJ27">
        <v>1</v>
      </c>
      <c r="AK27" s="4">
        <f t="shared" si="9"/>
        <v>2.5992000000000002E-4</v>
      </c>
      <c r="AM27">
        <v>0.88</v>
      </c>
      <c r="AN27">
        <v>0.02</v>
      </c>
    </row>
    <row r="28" spans="3:40" x14ac:dyDescent="0.35">
      <c r="C28">
        <v>-0.15098</v>
      </c>
      <c r="D28">
        <v>1</v>
      </c>
      <c r="E28" s="4">
        <f t="shared" si="5"/>
        <v>9.7744999999999993E-5</v>
      </c>
      <c r="G28">
        <v>2.1499999999999998E-2</v>
      </c>
      <c r="H28">
        <v>5.0000000000000001E-4</v>
      </c>
      <c r="K28">
        <v>-0.30031000000000002</v>
      </c>
      <c r="L28">
        <v>1</v>
      </c>
      <c r="M28" s="4">
        <f t="shared" si="6"/>
        <v>1.350775E-4</v>
      </c>
      <c r="O28">
        <v>-3.5000000000000001E-3</v>
      </c>
      <c r="P28">
        <v>5.0000000000000001E-4</v>
      </c>
      <c r="S28">
        <v>-0.40257999999999999</v>
      </c>
      <c r="T28">
        <v>1</v>
      </c>
      <c r="U28" s="4">
        <f t="shared" si="7"/>
        <v>1.60645E-4</v>
      </c>
      <c r="W28">
        <v>0.23400000000000001</v>
      </c>
      <c r="X28">
        <v>2E-3</v>
      </c>
      <c r="AA28">
        <v>-0.60072999999999999</v>
      </c>
      <c r="AB28">
        <v>1</v>
      </c>
      <c r="AC28" s="4">
        <f t="shared" si="8"/>
        <v>2.1018249999999998E-4</v>
      </c>
      <c r="AE28">
        <v>0.11899999999999999</v>
      </c>
      <c r="AF28">
        <v>1E-3</v>
      </c>
      <c r="AI28">
        <v>-0.69960999999999995</v>
      </c>
      <c r="AJ28">
        <v>1</v>
      </c>
      <c r="AK28" s="4">
        <f t="shared" si="9"/>
        <v>2.3490249999999998E-4</v>
      </c>
      <c r="AM28">
        <v>1.42</v>
      </c>
      <c r="AN28">
        <v>0.02</v>
      </c>
    </row>
    <row r="29" spans="3:40" x14ac:dyDescent="0.35">
      <c r="C29">
        <v>-0.104156</v>
      </c>
      <c r="D29">
        <v>1</v>
      </c>
      <c r="E29" s="3">
        <f t="shared" si="5"/>
        <v>8.6038999999999994E-5</v>
      </c>
      <c r="G29">
        <v>3.9399999999999998E-2</v>
      </c>
      <c r="H29">
        <v>5.0000000000000001E-4</v>
      </c>
      <c r="K29">
        <v>-0.20068</v>
      </c>
      <c r="L29">
        <v>1</v>
      </c>
      <c r="M29" s="4">
        <f t="shared" si="6"/>
        <v>1.1017000000000001E-4</v>
      </c>
      <c r="O29">
        <v>0.105</v>
      </c>
      <c r="P29">
        <v>1E-3</v>
      </c>
      <c r="S29">
        <v>-0.30229</v>
      </c>
      <c r="T29">
        <v>1</v>
      </c>
      <c r="U29" s="4">
        <f t="shared" si="7"/>
        <v>1.3557250000000002E-4</v>
      </c>
      <c r="W29">
        <v>0.38700000000000001</v>
      </c>
      <c r="X29">
        <v>2E-3</v>
      </c>
      <c r="AA29">
        <v>-0.50072000000000005</v>
      </c>
      <c r="AB29">
        <v>1</v>
      </c>
      <c r="AC29" s="4">
        <f t="shared" si="8"/>
        <v>1.8518000000000001E-4</v>
      </c>
      <c r="AE29">
        <v>0.26500000000000001</v>
      </c>
      <c r="AF29">
        <v>2E-3</v>
      </c>
      <c r="AI29">
        <v>-0.60019999999999996</v>
      </c>
      <c r="AJ29">
        <v>1</v>
      </c>
      <c r="AK29" s="4">
        <f t="shared" si="9"/>
        <v>2.1004999999999998E-4</v>
      </c>
      <c r="AM29">
        <v>1.95</v>
      </c>
      <c r="AN29">
        <v>0.04</v>
      </c>
    </row>
    <row r="30" spans="3:40" x14ac:dyDescent="0.35">
      <c r="C30">
        <v>-4.8379999999999999E-2</v>
      </c>
      <c r="D30">
        <v>1</v>
      </c>
      <c r="E30" s="3">
        <f t="shared" si="5"/>
        <v>7.2095000000000007E-5</v>
      </c>
      <c r="G30">
        <v>6.2399999999999997E-2</v>
      </c>
      <c r="H30">
        <v>5.0000000000000001E-4</v>
      </c>
      <c r="K30">
        <v>-0.103728</v>
      </c>
      <c r="L30">
        <v>0.1</v>
      </c>
      <c r="M30" s="3">
        <f>0.025*0.01*ABS(K30)+0.008*0.01*L30</f>
        <v>3.3932E-5</v>
      </c>
      <c r="O30">
        <v>0.23400000000000001</v>
      </c>
      <c r="P30">
        <v>2E-3</v>
      </c>
      <c r="AA30">
        <v>-0.40159</v>
      </c>
      <c r="AB30">
        <v>1</v>
      </c>
      <c r="AC30" s="4">
        <f t="shared" si="8"/>
        <v>1.6039750000000001E-4</v>
      </c>
      <c r="AE30">
        <v>0.45100000000000001</v>
      </c>
      <c r="AF30">
        <v>1E-3</v>
      </c>
      <c r="AI30">
        <v>-0.50087999999999999</v>
      </c>
      <c r="AJ30">
        <v>1</v>
      </c>
      <c r="AK30" s="4">
        <f t="shared" si="9"/>
        <v>1.8521999999999999E-4</v>
      </c>
      <c r="AM30">
        <v>2.63</v>
      </c>
      <c r="AN30">
        <v>0.02</v>
      </c>
    </row>
    <row r="31" spans="3:40" x14ac:dyDescent="0.35">
      <c r="K31">
        <v>-5.176E-2</v>
      </c>
      <c r="L31">
        <v>0.1</v>
      </c>
      <c r="M31" s="3">
        <f>0.025*0.01*ABS(K31)+0.008*0.01*L31</f>
        <v>2.0939999999999999E-5</v>
      </c>
      <c r="O31">
        <v>0.31900000000000001</v>
      </c>
      <c r="P31">
        <v>5.0000000000000001E-3</v>
      </c>
      <c r="AA31">
        <v>-0.30031000000000002</v>
      </c>
      <c r="AB31">
        <v>1</v>
      </c>
      <c r="AC31" s="4">
        <f t="shared" si="8"/>
        <v>1.350775E-4</v>
      </c>
      <c r="AE31">
        <v>0.67300000000000004</v>
      </c>
      <c r="AF31">
        <v>3.0000000000000001E-3</v>
      </c>
    </row>
    <row r="43" spans="2:13" x14ac:dyDescent="0.35">
      <c r="B43" t="s">
        <v>20</v>
      </c>
      <c r="D43" t="s">
        <v>25</v>
      </c>
      <c r="F43" t="s">
        <v>26</v>
      </c>
      <c r="H43" t="s">
        <v>27</v>
      </c>
    </row>
    <row r="44" spans="2:13" x14ac:dyDescent="0.35">
      <c r="B44" s="7">
        <v>299792458</v>
      </c>
      <c r="D44">
        <f>1.602176634*10^-19</f>
        <v>1.6021766340000001E-19</v>
      </c>
      <c r="F44">
        <f>1.380649*10^-23</f>
        <v>1.3806490000000001E-23</v>
      </c>
      <c r="H44">
        <f>6.62607015*10^-34</f>
        <v>6.6260701500000015E-34</v>
      </c>
    </row>
    <row r="48" spans="2:13" x14ac:dyDescent="0.35">
      <c r="B48" t="s">
        <v>23</v>
      </c>
      <c r="C48" t="s">
        <v>21</v>
      </c>
      <c r="D48" t="s">
        <v>22</v>
      </c>
      <c r="F48" t="s">
        <v>24</v>
      </c>
      <c r="G48" t="s">
        <v>17</v>
      </c>
      <c r="I48" t="s">
        <v>50</v>
      </c>
      <c r="J48" t="s">
        <v>48</v>
      </c>
      <c r="L48" t="s">
        <v>49</v>
      </c>
      <c r="M48" t="s">
        <v>51</v>
      </c>
    </row>
    <row r="49" spans="2:13" x14ac:dyDescent="0.35">
      <c r="B49">
        <v>578</v>
      </c>
      <c r="C49">
        <f>1000000000*$B$44/B49</f>
        <v>518672072664359.88</v>
      </c>
      <c r="D49">
        <f>0.01*C49</f>
        <v>5186720726643.5986</v>
      </c>
      <c r="F49">
        <v>-0.64905000000000002</v>
      </c>
      <c r="G49">
        <v>0.1</v>
      </c>
      <c r="I49" s="8">
        <v>3.59005E-15</v>
      </c>
      <c r="J49" s="8">
        <v>3.1832900000000002E-16</v>
      </c>
      <c r="L49" s="9">
        <f>I49*D44</f>
        <v>5.7518942248917005E-34</v>
      </c>
      <c r="M49" s="8">
        <f>L49*J49/I49</f>
        <v>5.1001928572458608E-35</v>
      </c>
    </row>
    <row r="50" spans="2:13" x14ac:dyDescent="0.35">
      <c r="B50">
        <v>546</v>
      </c>
      <c r="C50">
        <f>1000000000*$B$44/B50</f>
        <v>549070435897435.88</v>
      </c>
      <c r="D50">
        <f t="shared" ref="D50:D53" si="10">0.01*C50</f>
        <v>5490704358974.3584</v>
      </c>
      <c r="F50">
        <v>-0.67723999999999995</v>
      </c>
      <c r="G50">
        <v>0.1</v>
      </c>
    </row>
    <row r="51" spans="2:13" x14ac:dyDescent="0.35">
      <c r="B51">
        <v>436</v>
      </c>
      <c r="C51">
        <f>1000000000*$B$44/B51</f>
        <v>687597380733945</v>
      </c>
      <c r="D51">
        <f t="shared" si="10"/>
        <v>6875973807339.4502</v>
      </c>
      <c r="F51">
        <v>-1.24014</v>
      </c>
      <c r="G51">
        <v>0.08</v>
      </c>
    </row>
    <row r="52" spans="2:13" x14ac:dyDescent="0.35">
      <c r="B52">
        <v>405</v>
      </c>
      <c r="C52">
        <f>1000000000*$B$44/B52</f>
        <v>740228291358024.75</v>
      </c>
      <c r="D52">
        <f t="shared" si="10"/>
        <v>7402282913580.248</v>
      </c>
      <c r="F52">
        <v>-1.3827700000000001</v>
      </c>
      <c r="G52">
        <v>0.06</v>
      </c>
    </row>
    <row r="53" spans="2:13" x14ac:dyDescent="0.35">
      <c r="B53">
        <v>366</v>
      </c>
      <c r="C53">
        <f>1000000000*$B$44/B53</f>
        <v>819105076502732.25</v>
      </c>
      <c r="D53">
        <f t="shared" si="10"/>
        <v>8191050765027.3223</v>
      </c>
      <c r="F53">
        <v>-1.69773</v>
      </c>
      <c r="G53">
        <v>0.05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2B04-F0BD-48BE-8651-579E30E3C6EA}">
  <dimension ref="A2:AI79"/>
  <sheetViews>
    <sheetView topLeftCell="A62" zoomScale="89" zoomScaleNormal="100" workbookViewId="0">
      <selection activeCell="G59" sqref="G59"/>
    </sheetView>
  </sheetViews>
  <sheetFormatPr baseColWidth="10" defaultRowHeight="14.5" x14ac:dyDescent="0.35"/>
  <cols>
    <col min="2" max="2" width="18.1796875" bestFit="1" customWidth="1"/>
    <col min="3" max="3" width="18.453125" bestFit="1" customWidth="1"/>
    <col min="4" max="4" width="17.81640625" bestFit="1" customWidth="1"/>
    <col min="5" max="5" width="16.81640625" bestFit="1" customWidth="1"/>
    <col min="6" max="6" width="19" bestFit="1" customWidth="1"/>
    <col min="7" max="7" width="20.6328125" bestFit="1" customWidth="1"/>
    <col min="8" max="8" width="16.36328125" bestFit="1" customWidth="1"/>
    <col min="9" max="9" width="16.453125" bestFit="1" customWidth="1"/>
    <col min="10" max="11" width="20.81640625" bestFit="1" customWidth="1"/>
    <col min="13" max="13" width="17.90625" bestFit="1" customWidth="1"/>
    <col min="14" max="14" width="18.7265625" bestFit="1" customWidth="1"/>
    <col min="15" max="15" width="18.1796875" bestFit="1" customWidth="1"/>
    <col min="16" max="16" width="18" bestFit="1" customWidth="1"/>
    <col min="17" max="17" width="16.26953125" bestFit="1" customWidth="1"/>
    <col min="18" max="18" width="20.453125" bestFit="1" customWidth="1"/>
    <col min="19" max="19" width="12.1796875" bestFit="1" customWidth="1"/>
    <col min="20" max="20" width="17.81640625" bestFit="1" customWidth="1"/>
    <col min="21" max="21" width="14.81640625" bestFit="1" customWidth="1"/>
    <col min="24" max="25" width="18.453125" bestFit="1" customWidth="1"/>
    <col min="26" max="26" width="16.36328125" bestFit="1" customWidth="1"/>
    <col min="30" max="30" width="12" bestFit="1" customWidth="1"/>
  </cols>
  <sheetData>
    <row r="2" spans="2:35" x14ac:dyDescent="0.35">
      <c r="B2" t="s">
        <v>7</v>
      </c>
      <c r="I2">
        <v>40</v>
      </c>
      <c r="U2">
        <v>80</v>
      </c>
      <c r="AF2">
        <v>120</v>
      </c>
    </row>
    <row r="3" spans="2:35" x14ac:dyDescent="0.35">
      <c r="J3" t="s">
        <v>10</v>
      </c>
      <c r="V3" t="s">
        <v>10</v>
      </c>
      <c r="AG3" t="s">
        <v>10</v>
      </c>
    </row>
    <row r="4" spans="2:35" x14ac:dyDescent="0.35">
      <c r="C4" t="s">
        <v>8</v>
      </c>
      <c r="D4" t="s">
        <v>14</v>
      </c>
      <c r="E4" t="s">
        <v>17</v>
      </c>
      <c r="F4" t="s">
        <v>41</v>
      </c>
      <c r="G4" t="s">
        <v>17</v>
      </c>
      <c r="J4" t="s">
        <v>9</v>
      </c>
      <c r="K4" t="s">
        <v>15</v>
      </c>
      <c r="L4" t="s">
        <v>19</v>
      </c>
      <c r="O4" t="s">
        <v>8</v>
      </c>
      <c r="P4" t="s">
        <v>14</v>
      </c>
      <c r="Q4" t="s">
        <v>17</v>
      </c>
      <c r="R4" t="s">
        <v>41</v>
      </c>
      <c r="S4" t="s">
        <v>17</v>
      </c>
      <c r="V4" t="s">
        <v>9</v>
      </c>
      <c r="W4" t="s">
        <v>15</v>
      </c>
      <c r="X4" t="s">
        <v>19</v>
      </c>
      <c r="Z4" t="s">
        <v>16</v>
      </c>
      <c r="AA4" t="s">
        <v>14</v>
      </c>
      <c r="AB4" t="s">
        <v>17</v>
      </c>
      <c r="AC4" t="s">
        <v>41</v>
      </c>
      <c r="AD4" t="s">
        <v>17</v>
      </c>
      <c r="AG4" t="s">
        <v>9</v>
      </c>
      <c r="AH4" t="s">
        <v>15</v>
      </c>
      <c r="AI4" t="s">
        <v>19</v>
      </c>
    </row>
    <row r="5" spans="2:35" x14ac:dyDescent="0.35">
      <c r="C5">
        <v>0.27328000000000002</v>
      </c>
      <c r="D5">
        <v>1</v>
      </c>
      <c r="E5" s="4">
        <f>0.025*0.01*C5+0.006*0.01*D5</f>
        <v>1.2832000000000002E-4</v>
      </c>
      <c r="F5">
        <f>C5-J5*0.001*$I$61</f>
        <v>0.27327939319</v>
      </c>
      <c r="G5">
        <f>SQRT(E5^2+$J$61^2*(0.001*J5)^2+(0.001*L5)^2*$I$61^2)</f>
        <v>1.2832323581347561E-4</v>
      </c>
      <c r="J5">
        <v>1E-3</v>
      </c>
      <c r="K5">
        <v>10</v>
      </c>
      <c r="L5" s="5">
        <f>0.05*0.01*J5+0.015*0.01*K5</f>
        <v>1.5004999999999999E-3</v>
      </c>
      <c r="O5">
        <v>0.15048</v>
      </c>
      <c r="P5">
        <v>1</v>
      </c>
      <c r="Q5" s="4">
        <f>0.025*0.01*O5+0.006*0.01*P5</f>
        <v>9.7620000000000004E-5</v>
      </c>
      <c r="R5">
        <f>O5-V5*0.001*$I$62</f>
        <v>0.15048</v>
      </c>
      <c r="S5">
        <f>SQRT(Q5^2+$J$62^2*(0.001*V5)^2+(0.001*X5)^2*$I$62^2)</f>
        <v>9.762551764028288E-5</v>
      </c>
      <c r="V5">
        <v>0</v>
      </c>
      <c r="W5">
        <v>10</v>
      </c>
      <c r="X5" s="6">
        <f>0.05*0.01*V5+0.015*0.01*W5</f>
        <v>1.4999999999999998E-3</v>
      </c>
      <c r="Z5">
        <v>5.0018E-2</v>
      </c>
      <c r="AA5">
        <v>0.1</v>
      </c>
      <c r="AB5" s="3">
        <f>0.025*0.01*Z5+0.006*0.01*AA5</f>
        <v>1.8504499999999999E-5</v>
      </c>
      <c r="AC5">
        <f>Z5-AG5*0.001*$I$63</f>
        <v>5.0017256475999999E-2</v>
      </c>
      <c r="AD5">
        <f>SQRT(AB5^2+$J$63^2*(0.001*AG5)^2+(0.001*AI5)^2*$I$63^2)</f>
        <v>1.8538112821339718E-5</v>
      </c>
      <c r="AG5">
        <v>1E-3</v>
      </c>
      <c r="AH5">
        <v>10</v>
      </c>
      <c r="AI5" s="6">
        <f>0.05*0.01*AG5+0.015*0.01*AH5</f>
        <v>1.5004999999999999E-3</v>
      </c>
    </row>
    <row r="6" spans="2:35" x14ac:dyDescent="0.35">
      <c r="C6">
        <v>0.30009999999999998</v>
      </c>
      <c r="D6">
        <v>1</v>
      </c>
      <c r="E6" s="4">
        <f t="shared" ref="E6:E36" si="0">0.025*0.01*C6+0.006*0.01*D6</f>
        <v>1.3502499999999999E-4</v>
      </c>
      <c r="F6">
        <f t="shared" ref="F6:F36" si="1">C6-J6*0.001*$I$61</f>
        <v>0.30009878637999998</v>
      </c>
      <c r="G6">
        <f t="shared" ref="G6:G36" si="2">SQRT(E6^2+$J$61^2*(0.001*J6)^2+(0.001*L6)^2*$I$61^2)</f>
        <v>1.3502809279875675E-4</v>
      </c>
      <c r="J6">
        <v>2E-3</v>
      </c>
      <c r="K6">
        <v>10</v>
      </c>
      <c r="L6" s="5">
        <f t="shared" ref="L6:L35" si="3">0.05*0.01*J6+0.015*0.01*K6</f>
        <v>1.5009999999999997E-3</v>
      </c>
      <c r="O6">
        <v>0.16017000000000001</v>
      </c>
      <c r="P6">
        <v>1</v>
      </c>
      <c r="Q6" s="4">
        <f t="shared" ref="Q6:Q36" si="4">0.025*0.01*O6+0.006*0.01*P6</f>
        <v>1.0004250000000001E-4</v>
      </c>
      <c r="R6">
        <f t="shared" ref="R6:R36" si="5">O6-V6*0.001*$I$62</f>
        <v>0.160169308048</v>
      </c>
      <c r="S6">
        <f t="shared" ref="S6:S36" si="6">SQRT(Q6^2+$J$62^2*(0.001*V6)^2+(0.001*X6)^2*$I$62^2)</f>
        <v>1.0004789154072476E-4</v>
      </c>
      <c r="V6">
        <v>1E-3</v>
      </c>
      <c r="W6">
        <v>10</v>
      </c>
      <c r="X6" s="6">
        <f t="shared" ref="X6:X36" si="7">0.05*0.01*V6+0.015*0.01*W6</f>
        <v>1.5004999999999999E-3</v>
      </c>
      <c r="Z6">
        <v>6.0122999999999996E-2</v>
      </c>
      <c r="AA6">
        <v>0.1</v>
      </c>
      <c r="AB6" s="3">
        <f t="shared" ref="AB6:AB57" si="8">0.025*0.01*Z6+0.006*0.01*AA6</f>
        <v>2.1030749999999999E-5</v>
      </c>
      <c r="AC6">
        <f t="shared" ref="AC6:AC57" si="9">Z6-AG6*0.001*$I$63</f>
        <v>6.0121512951999995E-2</v>
      </c>
      <c r="AD6">
        <f t="shared" ref="AD6:AD57" si="10">SQRT(AB6^2+$J$63^2*(0.001*AG6)^2+(0.001*AI6)^2*$I$63^2)</f>
        <v>2.1060380466652932E-5</v>
      </c>
      <c r="AG6">
        <v>2E-3</v>
      </c>
      <c r="AH6">
        <v>10</v>
      </c>
      <c r="AI6" s="6">
        <f t="shared" ref="AI6:AI57" si="11">0.05*0.01*AG6+0.015*0.01*AH6</f>
        <v>1.5009999999999997E-3</v>
      </c>
    </row>
    <row r="7" spans="2:35" x14ac:dyDescent="0.35">
      <c r="C7">
        <v>0.31002000000000002</v>
      </c>
      <c r="D7">
        <v>1</v>
      </c>
      <c r="E7" s="4">
        <f t="shared" si="0"/>
        <v>1.3750500000000001E-4</v>
      </c>
      <c r="F7">
        <f t="shared" si="1"/>
        <v>0.31001757276000003</v>
      </c>
      <c r="G7">
        <f t="shared" si="2"/>
        <v>1.3750810238356777E-4</v>
      </c>
      <c r="J7">
        <v>4.0000000000000001E-3</v>
      </c>
      <c r="K7">
        <v>10</v>
      </c>
      <c r="L7" s="5">
        <f t="shared" si="3"/>
        <v>1.5019999999999999E-3</v>
      </c>
      <c r="O7">
        <v>0.17002</v>
      </c>
      <c r="P7">
        <v>1</v>
      </c>
      <c r="Q7" s="4">
        <f t="shared" si="4"/>
        <v>1.02505E-4</v>
      </c>
      <c r="R7">
        <f t="shared" si="5"/>
        <v>0.170019308048</v>
      </c>
      <c r="S7">
        <f t="shared" si="6"/>
        <v>1.0251026202529494E-4</v>
      </c>
      <c r="V7">
        <v>1E-3</v>
      </c>
      <c r="W7">
        <v>10</v>
      </c>
      <c r="X7" s="6">
        <f t="shared" si="7"/>
        <v>1.5004999999999999E-3</v>
      </c>
      <c r="Z7">
        <v>6.9986000000000007E-2</v>
      </c>
      <c r="AA7">
        <v>0.1</v>
      </c>
      <c r="AB7" s="3">
        <f t="shared" si="8"/>
        <v>2.3496500000000001E-5</v>
      </c>
      <c r="AC7">
        <f t="shared" si="9"/>
        <v>6.9983769428000012E-2</v>
      </c>
      <c r="AD7">
        <f t="shared" si="10"/>
        <v>2.3523086414088299E-5</v>
      </c>
      <c r="AG7">
        <v>3.0000000000000001E-3</v>
      </c>
      <c r="AH7">
        <v>10</v>
      </c>
      <c r="AI7" s="6">
        <f t="shared" si="11"/>
        <v>1.5014999999999998E-3</v>
      </c>
    </row>
    <row r="8" spans="2:35" x14ac:dyDescent="0.35">
      <c r="C8">
        <v>0.32499</v>
      </c>
      <c r="D8">
        <v>1</v>
      </c>
      <c r="E8" s="4">
        <f t="shared" si="0"/>
        <v>1.4124750000000001E-4</v>
      </c>
      <c r="F8">
        <f t="shared" si="1"/>
        <v>0.32498575232999999</v>
      </c>
      <c r="G8">
        <f t="shared" si="2"/>
        <v>1.4125069028601622E-4</v>
      </c>
      <c r="J8">
        <v>7.0000000000000001E-3</v>
      </c>
      <c r="K8">
        <v>10</v>
      </c>
      <c r="L8" s="5">
        <f t="shared" si="3"/>
        <v>1.5034999999999998E-3</v>
      </c>
      <c r="O8">
        <v>0.18003</v>
      </c>
      <c r="P8">
        <v>1</v>
      </c>
      <c r="Q8" s="4">
        <f t="shared" si="4"/>
        <v>1.050075E-4</v>
      </c>
      <c r="R8">
        <f t="shared" si="5"/>
        <v>0.18002861609599999</v>
      </c>
      <c r="S8">
        <f t="shared" si="6"/>
        <v>1.0501265122944109E-4</v>
      </c>
      <c r="V8">
        <v>2E-3</v>
      </c>
      <c r="W8">
        <v>10</v>
      </c>
      <c r="X8" s="6">
        <f t="shared" si="7"/>
        <v>1.5009999999999997E-3</v>
      </c>
      <c r="Z8">
        <v>8.0416000000000001E-2</v>
      </c>
      <c r="AA8">
        <v>0.1</v>
      </c>
      <c r="AB8" s="3">
        <f t="shared" si="8"/>
        <v>2.6103999999999999E-5</v>
      </c>
      <c r="AC8">
        <f t="shared" si="9"/>
        <v>8.0412282380000005E-2</v>
      </c>
      <c r="AD8">
        <f t="shared" si="10"/>
        <v>2.6128091982514532E-5</v>
      </c>
      <c r="AG8">
        <v>5.0000000000000001E-3</v>
      </c>
      <c r="AH8">
        <v>10</v>
      </c>
      <c r="AI8" s="6">
        <f t="shared" si="11"/>
        <v>1.5024999999999997E-3</v>
      </c>
    </row>
    <row r="9" spans="2:35" x14ac:dyDescent="0.35">
      <c r="C9">
        <v>0.34</v>
      </c>
      <c r="D9">
        <v>1</v>
      </c>
      <c r="E9" s="4">
        <f t="shared" si="0"/>
        <v>1.45E-4</v>
      </c>
      <c r="F9">
        <f t="shared" si="1"/>
        <v>0.33999271828000005</v>
      </c>
      <c r="G9">
        <f t="shared" si="2"/>
        <v>1.4500357781288176E-4</v>
      </c>
      <c r="J9">
        <v>1.2E-2</v>
      </c>
      <c r="K9">
        <v>10</v>
      </c>
      <c r="L9" s="5">
        <f t="shared" si="3"/>
        <v>1.5059999999999997E-3</v>
      </c>
      <c r="O9">
        <v>0.19023999999999999</v>
      </c>
      <c r="P9">
        <v>1</v>
      </c>
      <c r="Q9" s="4">
        <f t="shared" si="4"/>
        <v>1.0756000000000001E-4</v>
      </c>
      <c r="R9">
        <f t="shared" si="5"/>
        <v>0.19023792414399998</v>
      </c>
      <c r="S9">
        <f t="shared" si="6"/>
        <v>1.0756505052296502E-4</v>
      </c>
      <c r="V9">
        <v>3.0000000000000001E-3</v>
      </c>
      <c r="W9">
        <v>10</v>
      </c>
      <c r="X9" s="6">
        <f t="shared" si="7"/>
        <v>1.5014999999999998E-3</v>
      </c>
      <c r="Z9">
        <v>9.0331999999999996E-2</v>
      </c>
      <c r="AA9">
        <v>0.1</v>
      </c>
      <c r="AB9" s="3">
        <f t="shared" si="8"/>
        <v>2.8583000000000001E-5</v>
      </c>
      <c r="AC9">
        <f t="shared" si="9"/>
        <v>9.0326795331999998E-2</v>
      </c>
      <c r="AD9">
        <f t="shared" si="10"/>
        <v>2.8605207097361566E-5</v>
      </c>
      <c r="AG9">
        <v>7.0000000000000001E-3</v>
      </c>
      <c r="AH9">
        <v>10</v>
      </c>
      <c r="AI9" s="6">
        <f t="shared" si="11"/>
        <v>1.5034999999999998E-3</v>
      </c>
    </row>
    <row r="10" spans="2:35" x14ac:dyDescent="0.35">
      <c r="C10">
        <v>0.35006999999999999</v>
      </c>
      <c r="D10">
        <v>1</v>
      </c>
      <c r="E10" s="4">
        <f t="shared" si="0"/>
        <v>1.4751750000000001E-4</v>
      </c>
      <c r="F10">
        <f t="shared" si="1"/>
        <v>0.35005968423</v>
      </c>
      <c r="G10">
        <f t="shared" si="2"/>
        <v>1.4752171708481033E-4</v>
      </c>
      <c r="J10">
        <v>1.7000000000000001E-2</v>
      </c>
      <c r="K10">
        <v>10</v>
      </c>
      <c r="L10" s="5">
        <f t="shared" si="3"/>
        <v>1.5084999999999999E-3</v>
      </c>
      <c r="O10">
        <v>0.20005000000000001</v>
      </c>
      <c r="P10">
        <v>1</v>
      </c>
      <c r="Q10" s="4">
        <f t="shared" si="4"/>
        <v>1.100125E-4</v>
      </c>
      <c r="R10">
        <f t="shared" si="5"/>
        <v>0.20004654024000001</v>
      </c>
      <c r="S10">
        <f t="shared" si="6"/>
        <v>1.1001750138451648E-4</v>
      </c>
      <c r="V10">
        <v>5.0000000000000001E-3</v>
      </c>
      <c r="W10">
        <v>10</v>
      </c>
      <c r="X10" s="6">
        <f t="shared" si="7"/>
        <v>1.5024999999999997E-3</v>
      </c>
      <c r="Z10">
        <v>0.100133</v>
      </c>
      <c r="AA10">
        <v>0.1</v>
      </c>
      <c r="AB10" s="3">
        <f t="shared" si="8"/>
        <v>3.1033250000000003E-5</v>
      </c>
      <c r="AC10">
        <f t="shared" si="9"/>
        <v>0.100126308284</v>
      </c>
      <c r="AD10">
        <f t="shared" si="10"/>
        <v>3.1053945257660559E-5</v>
      </c>
      <c r="AG10">
        <v>8.9999999999999993E-3</v>
      </c>
      <c r="AH10">
        <v>10</v>
      </c>
      <c r="AI10" s="6">
        <f t="shared" si="11"/>
        <v>1.5044999999999998E-3</v>
      </c>
    </row>
    <row r="11" spans="2:35" x14ac:dyDescent="0.35">
      <c r="C11">
        <v>0.36004000000000003</v>
      </c>
      <c r="D11">
        <v>1</v>
      </c>
      <c r="E11" s="4">
        <f t="shared" si="0"/>
        <v>1.5001000000000001E-4</v>
      </c>
      <c r="F11">
        <f t="shared" si="1"/>
        <v>0.36002422294000003</v>
      </c>
      <c r="G11">
        <f t="shared" si="2"/>
        <v>1.5001597710113647E-4</v>
      </c>
      <c r="J11">
        <v>2.5999999999999999E-2</v>
      </c>
      <c r="K11">
        <v>10</v>
      </c>
      <c r="L11" s="5">
        <f t="shared" si="3"/>
        <v>1.5129999999999998E-3</v>
      </c>
      <c r="O11">
        <v>0.21</v>
      </c>
      <c r="P11">
        <v>1</v>
      </c>
      <c r="Q11" s="4">
        <f t="shared" si="4"/>
        <v>1.125E-4</v>
      </c>
      <c r="R11">
        <f t="shared" si="5"/>
        <v>0.20999515633599999</v>
      </c>
      <c r="S11">
        <f t="shared" si="6"/>
        <v>1.1250498067817637E-4</v>
      </c>
      <c r="V11">
        <v>7.0000000000000001E-3</v>
      </c>
      <c r="W11">
        <v>10</v>
      </c>
      <c r="X11" s="6">
        <f t="shared" si="7"/>
        <v>1.5034999999999998E-3</v>
      </c>
      <c r="Z11">
        <v>0.10509</v>
      </c>
      <c r="AA11">
        <v>0.1</v>
      </c>
      <c r="AB11" s="3">
        <f t="shared" si="8"/>
        <v>3.22725E-5</v>
      </c>
      <c r="AC11">
        <f t="shared" si="9"/>
        <v>0.105081821236</v>
      </c>
      <c r="AD11">
        <f t="shared" si="10"/>
        <v>3.2292683539119852E-5</v>
      </c>
      <c r="AG11">
        <v>1.0999999999999999E-2</v>
      </c>
      <c r="AH11">
        <v>10</v>
      </c>
      <c r="AI11" s="6">
        <f t="shared" si="11"/>
        <v>1.5054999999999999E-3</v>
      </c>
    </row>
    <row r="12" spans="2:35" x14ac:dyDescent="0.35">
      <c r="C12">
        <v>0.37</v>
      </c>
      <c r="D12">
        <v>1</v>
      </c>
      <c r="E12" s="4">
        <f t="shared" si="0"/>
        <v>1.5249999999999999E-4</v>
      </c>
      <c r="F12">
        <f t="shared" si="1"/>
        <v>0.36997694122000002</v>
      </c>
      <c r="G12">
        <f t="shared" si="2"/>
        <v>1.5250944133481242E-4</v>
      </c>
      <c r="J12">
        <v>3.7999999999999999E-2</v>
      </c>
      <c r="K12">
        <v>10</v>
      </c>
      <c r="L12" s="5">
        <f t="shared" si="3"/>
        <v>1.5189999999999997E-3</v>
      </c>
      <c r="O12">
        <v>0.22005</v>
      </c>
      <c r="P12">
        <v>1</v>
      </c>
      <c r="Q12" s="4">
        <f t="shared" si="4"/>
        <v>1.1501250000000001E-4</v>
      </c>
      <c r="R12">
        <f t="shared" si="5"/>
        <v>0.22004308047999999</v>
      </c>
      <c r="S12">
        <f t="shared" si="6"/>
        <v>1.1501755478732472E-4</v>
      </c>
      <c r="V12">
        <v>0.01</v>
      </c>
      <c r="W12">
        <v>10</v>
      </c>
      <c r="X12" s="6">
        <f t="shared" si="7"/>
        <v>1.5049999999999998E-3</v>
      </c>
      <c r="Z12">
        <v>0.110719</v>
      </c>
      <c r="AA12">
        <v>0.1</v>
      </c>
      <c r="AB12" s="3">
        <f t="shared" si="8"/>
        <v>3.3679749999999999E-5</v>
      </c>
      <c r="AC12">
        <f t="shared" si="9"/>
        <v>0.110709334188</v>
      </c>
      <c r="AD12">
        <f t="shared" si="10"/>
        <v>3.3699410593641474E-5</v>
      </c>
      <c r="AG12">
        <v>1.2999999999999999E-2</v>
      </c>
      <c r="AH12">
        <v>10</v>
      </c>
      <c r="AI12" s="6">
        <f t="shared" si="11"/>
        <v>1.5064999999999998E-3</v>
      </c>
    </row>
    <row r="13" spans="2:35" x14ac:dyDescent="0.35">
      <c r="C13">
        <v>0.37509999999999999</v>
      </c>
      <c r="D13">
        <v>1</v>
      </c>
      <c r="E13" s="4">
        <f t="shared" si="0"/>
        <v>1.5377500000000001E-4</v>
      </c>
      <c r="F13">
        <f t="shared" si="1"/>
        <v>0.37507269355</v>
      </c>
      <c r="G13">
        <f t="shared" si="2"/>
        <v>1.5378703148972864E-4</v>
      </c>
      <c r="J13">
        <v>4.4999999999999998E-2</v>
      </c>
      <c r="K13">
        <v>10</v>
      </c>
      <c r="L13" s="5">
        <f t="shared" si="3"/>
        <v>1.5224999999999998E-3</v>
      </c>
      <c r="O13">
        <v>0.23014999999999999</v>
      </c>
      <c r="P13">
        <v>1</v>
      </c>
      <c r="Q13" s="4">
        <f t="shared" si="4"/>
        <v>1.175375E-4</v>
      </c>
      <c r="R13">
        <f t="shared" si="5"/>
        <v>0.23013962071999999</v>
      </c>
      <c r="S13">
        <f t="shared" si="6"/>
        <v>1.1754287769096283E-4</v>
      </c>
      <c r="V13">
        <v>1.4999999999999999E-2</v>
      </c>
      <c r="W13">
        <v>10</v>
      </c>
      <c r="X13" s="6">
        <f t="shared" si="7"/>
        <v>1.5074999999999997E-3</v>
      </c>
      <c r="Z13">
        <v>0.115109</v>
      </c>
      <c r="AA13">
        <v>0.1</v>
      </c>
      <c r="AB13" s="3">
        <f t="shared" si="8"/>
        <v>3.477725E-5</v>
      </c>
      <c r="AC13">
        <f t="shared" si="9"/>
        <v>0.11509784714</v>
      </c>
      <c r="AD13">
        <f t="shared" si="10"/>
        <v>3.4796647959703786E-5</v>
      </c>
      <c r="AG13">
        <v>1.4999999999999999E-2</v>
      </c>
      <c r="AH13">
        <v>10</v>
      </c>
      <c r="AI13" s="6">
        <f t="shared" si="11"/>
        <v>1.5074999999999997E-3</v>
      </c>
    </row>
    <row r="14" spans="2:35" x14ac:dyDescent="0.35">
      <c r="C14">
        <v>0.38</v>
      </c>
      <c r="D14">
        <v>1</v>
      </c>
      <c r="E14" s="4">
        <f t="shared" si="0"/>
        <v>1.55E-4</v>
      </c>
      <c r="F14">
        <f t="shared" si="1"/>
        <v>0.37996662544999998</v>
      </c>
      <c r="G14">
        <f t="shared" si="2"/>
        <v>1.5501648918672499E-4</v>
      </c>
      <c r="J14">
        <v>5.5E-2</v>
      </c>
      <c r="K14">
        <v>10</v>
      </c>
      <c r="L14" s="5">
        <f t="shared" si="3"/>
        <v>1.5274999999999998E-3</v>
      </c>
      <c r="O14">
        <v>0.24030000000000001</v>
      </c>
      <c r="P14">
        <v>1</v>
      </c>
      <c r="Q14" s="4">
        <f t="shared" si="4"/>
        <v>1.20075E-4</v>
      </c>
      <c r="R14">
        <f t="shared" si="5"/>
        <v>0.24028546900800002</v>
      </c>
      <c r="S14">
        <f t="shared" si="6"/>
        <v>1.200809860096891E-4</v>
      </c>
      <c r="V14">
        <v>2.1000000000000001E-2</v>
      </c>
      <c r="W14">
        <v>10</v>
      </c>
      <c r="X14" s="6">
        <f t="shared" si="7"/>
        <v>1.5104999999999999E-3</v>
      </c>
      <c r="Z14">
        <v>0.12017</v>
      </c>
      <c r="AA14">
        <v>1</v>
      </c>
      <c r="AB14" s="3">
        <f t="shared" si="8"/>
        <v>9.0042499999999997E-5</v>
      </c>
      <c r="AC14">
        <f t="shared" si="9"/>
        <v>0.120156616568</v>
      </c>
      <c r="AD14">
        <f t="shared" si="10"/>
        <v>9.0050235609482913E-5</v>
      </c>
      <c r="AG14">
        <v>1.7999999999999999E-2</v>
      </c>
      <c r="AH14">
        <v>10</v>
      </c>
      <c r="AI14" s="6">
        <f t="shared" si="11"/>
        <v>1.5089999999999997E-3</v>
      </c>
    </row>
    <row r="15" spans="2:35" x14ac:dyDescent="0.35">
      <c r="C15">
        <v>0.38752999999999999</v>
      </c>
      <c r="D15">
        <v>1</v>
      </c>
      <c r="E15" s="4">
        <f t="shared" si="0"/>
        <v>1.5688249999999999E-4</v>
      </c>
      <c r="F15">
        <f t="shared" si="1"/>
        <v>0.38748630967999997</v>
      </c>
      <c r="G15">
        <f t="shared" si="2"/>
        <v>1.5690849434788883E-4</v>
      </c>
      <c r="J15">
        <v>7.1999999999999995E-2</v>
      </c>
      <c r="K15">
        <v>10</v>
      </c>
      <c r="L15" s="5">
        <f t="shared" si="3"/>
        <v>1.5359999999999998E-3</v>
      </c>
      <c r="O15">
        <v>0.25058000000000002</v>
      </c>
      <c r="P15">
        <v>1</v>
      </c>
      <c r="Q15" s="4">
        <f t="shared" si="4"/>
        <v>1.22645E-4</v>
      </c>
      <c r="R15">
        <f t="shared" si="5"/>
        <v>0.25055924144000002</v>
      </c>
      <c r="S15">
        <f t="shared" si="6"/>
        <v>1.2265235160403723E-4</v>
      </c>
      <c r="V15">
        <v>0.03</v>
      </c>
      <c r="W15">
        <v>10</v>
      </c>
      <c r="X15" s="6">
        <f t="shared" si="7"/>
        <v>1.5149999999999999E-3</v>
      </c>
      <c r="Z15">
        <v>0.12506999999999999</v>
      </c>
      <c r="AA15">
        <v>1</v>
      </c>
      <c r="AB15" s="3">
        <f t="shared" si="8"/>
        <v>9.12675E-5</v>
      </c>
      <c r="AC15">
        <f t="shared" si="9"/>
        <v>0.12505438599599999</v>
      </c>
      <c r="AD15">
        <f t="shared" si="10"/>
        <v>9.1275411157342937E-5</v>
      </c>
      <c r="AG15">
        <v>2.1000000000000001E-2</v>
      </c>
      <c r="AH15">
        <v>10</v>
      </c>
      <c r="AI15" s="6">
        <f t="shared" si="11"/>
        <v>1.5104999999999999E-3</v>
      </c>
    </row>
    <row r="16" spans="2:35" x14ac:dyDescent="0.35">
      <c r="C16">
        <v>0.39015</v>
      </c>
      <c r="D16">
        <v>1</v>
      </c>
      <c r="E16" s="4">
        <f t="shared" si="0"/>
        <v>1.575375E-4</v>
      </c>
      <c r="F16">
        <f t="shared" si="1"/>
        <v>0.39010084838999998</v>
      </c>
      <c r="G16">
        <f t="shared" si="2"/>
        <v>1.575695455541398E-4</v>
      </c>
      <c r="J16">
        <v>8.1000000000000003E-2</v>
      </c>
      <c r="K16">
        <v>10</v>
      </c>
      <c r="L16" s="5">
        <f t="shared" si="3"/>
        <v>1.5404999999999998E-3</v>
      </c>
      <c r="O16">
        <v>0.26012000000000002</v>
      </c>
      <c r="P16">
        <v>1</v>
      </c>
      <c r="Q16" s="4">
        <f t="shared" si="4"/>
        <v>1.2503000000000001E-4</v>
      </c>
      <c r="R16">
        <f t="shared" si="5"/>
        <v>0.26009232192000004</v>
      </c>
      <c r="S16">
        <f t="shared" si="6"/>
        <v>1.2503943116682617E-4</v>
      </c>
      <c r="V16">
        <v>0.04</v>
      </c>
      <c r="W16">
        <v>10</v>
      </c>
      <c r="X16" s="6">
        <f t="shared" si="7"/>
        <v>1.5199999999999999E-3</v>
      </c>
      <c r="Z16">
        <v>0.13006000000000001</v>
      </c>
      <c r="AA16">
        <v>1</v>
      </c>
      <c r="AB16" s="3">
        <f t="shared" si="8"/>
        <v>9.2515000000000004E-5</v>
      </c>
      <c r="AC16">
        <f t="shared" si="9"/>
        <v>0.13004141190000001</v>
      </c>
      <c r="AD16">
        <f t="shared" si="10"/>
        <v>9.2523234694289713E-5</v>
      </c>
      <c r="AG16">
        <v>2.5000000000000001E-2</v>
      </c>
      <c r="AH16">
        <v>10</v>
      </c>
      <c r="AI16" s="6">
        <f t="shared" si="11"/>
        <v>1.5124999999999997E-3</v>
      </c>
    </row>
    <row r="17" spans="3:35" x14ac:dyDescent="0.35">
      <c r="C17">
        <v>0.40027000000000001</v>
      </c>
      <c r="D17">
        <v>1</v>
      </c>
      <c r="E17" s="4">
        <f t="shared" si="0"/>
        <v>1.6006750000000002E-4</v>
      </c>
      <c r="F17">
        <f t="shared" si="1"/>
        <v>0.40020021685000001</v>
      </c>
      <c r="G17">
        <f t="shared" si="2"/>
        <v>1.601283562642599E-4</v>
      </c>
      <c r="J17">
        <v>0.115</v>
      </c>
      <c r="K17">
        <v>10</v>
      </c>
      <c r="L17" s="5">
        <f t="shared" si="3"/>
        <v>1.5574999999999999E-3</v>
      </c>
      <c r="O17">
        <v>0.27018999999999999</v>
      </c>
      <c r="P17">
        <v>1</v>
      </c>
      <c r="Q17" s="4">
        <f t="shared" si="4"/>
        <v>1.275475E-4</v>
      </c>
      <c r="R17">
        <f t="shared" si="5"/>
        <v>0.27015055873599997</v>
      </c>
      <c r="S17">
        <f t="shared" si="6"/>
        <v>1.275618524157466E-4</v>
      </c>
      <c r="V17">
        <v>5.7000000000000002E-2</v>
      </c>
      <c r="W17">
        <v>10</v>
      </c>
      <c r="X17" s="6">
        <f t="shared" si="7"/>
        <v>1.5284999999999999E-3</v>
      </c>
      <c r="Z17">
        <v>0.13516999999999998</v>
      </c>
      <c r="AA17">
        <v>1</v>
      </c>
      <c r="AB17" s="3">
        <f t="shared" si="8"/>
        <v>9.3792499999999993E-5</v>
      </c>
      <c r="AC17">
        <f t="shared" si="9"/>
        <v>0.13514843780399999</v>
      </c>
      <c r="AD17">
        <f t="shared" si="10"/>
        <v>9.3801117611059094E-5</v>
      </c>
      <c r="AG17">
        <v>2.9000000000000001E-2</v>
      </c>
      <c r="AH17">
        <v>10</v>
      </c>
      <c r="AI17" s="6">
        <f t="shared" si="11"/>
        <v>1.5144999999999998E-3</v>
      </c>
    </row>
    <row r="18" spans="3:35" x14ac:dyDescent="0.35">
      <c r="C18">
        <v>0.41010999999999997</v>
      </c>
      <c r="D18">
        <v>1</v>
      </c>
      <c r="E18" s="4">
        <f t="shared" si="0"/>
        <v>1.6252749999999999E-4</v>
      </c>
      <c r="F18">
        <f t="shared" si="1"/>
        <v>0.41000684229999995</v>
      </c>
      <c r="G18">
        <f t="shared" si="2"/>
        <v>1.6265528916048933E-4</v>
      </c>
      <c r="J18">
        <v>0.17</v>
      </c>
      <c r="K18">
        <v>10</v>
      </c>
      <c r="L18" s="5">
        <f t="shared" si="3"/>
        <v>1.5849999999999998E-3</v>
      </c>
      <c r="O18">
        <v>0.28016000000000002</v>
      </c>
      <c r="P18">
        <v>1</v>
      </c>
      <c r="Q18" s="4">
        <f t="shared" si="4"/>
        <v>1.3004E-4</v>
      </c>
      <c r="R18">
        <f t="shared" si="5"/>
        <v>0.28010464384</v>
      </c>
      <c r="S18">
        <f t="shared" si="6"/>
        <v>1.300636230726556E-4</v>
      </c>
      <c r="V18">
        <v>0.08</v>
      </c>
      <c r="W18">
        <v>10</v>
      </c>
      <c r="X18" s="6">
        <f t="shared" si="7"/>
        <v>1.5399999999999999E-3</v>
      </c>
      <c r="Z18">
        <v>0.14025000000000001</v>
      </c>
      <c r="AA18">
        <v>1</v>
      </c>
      <c r="AB18" s="4">
        <f t="shared" si="8"/>
        <v>9.5062500000000014E-5</v>
      </c>
      <c r="AC18">
        <f t="shared" si="9"/>
        <v>0.14022472018400001</v>
      </c>
      <c r="AD18">
        <f t="shared" si="10"/>
        <v>9.5071711184470579E-5</v>
      </c>
      <c r="AG18">
        <v>3.4000000000000002E-2</v>
      </c>
      <c r="AH18">
        <v>10</v>
      </c>
      <c r="AI18" s="6">
        <f t="shared" si="11"/>
        <v>1.5169999999999999E-3</v>
      </c>
    </row>
    <row r="19" spans="3:35" x14ac:dyDescent="0.35">
      <c r="C19">
        <v>0.41256999999999999</v>
      </c>
      <c r="D19">
        <v>1</v>
      </c>
      <c r="E19" s="4">
        <f t="shared" si="0"/>
        <v>1.631425E-4</v>
      </c>
      <c r="F19">
        <f t="shared" si="1"/>
        <v>0.41245895376999997</v>
      </c>
      <c r="G19">
        <f t="shared" si="2"/>
        <v>1.6328958725243012E-4</v>
      </c>
      <c r="J19">
        <v>0.183</v>
      </c>
      <c r="K19">
        <v>10</v>
      </c>
      <c r="L19" s="5">
        <f t="shared" si="3"/>
        <v>1.5914999999999998E-3</v>
      </c>
      <c r="O19">
        <v>0.29028999999999999</v>
      </c>
      <c r="P19">
        <v>1</v>
      </c>
      <c r="Q19" s="4">
        <f t="shared" si="4"/>
        <v>1.325725E-4</v>
      </c>
      <c r="R19">
        <f t="shared" si="5"/>
        <v>0.29021250137599996</v>
      </c>
      <c r="S19">
        <f t="shared" si="6"/>
        <v>1.3261389253770378E-4</v>
      </c>
      <c r="V19">
        <v>0.112</v>
      </c>
      <c r="W19">
        <v>10</v>
      </c>
      <c r="X19" s="6">
        <f t="shared" si="7"/>
        <v>1.5559999999999999E-3</v>
      </c>
      <c r="Z19">
        <v>0.14510000000000001</v>
      </c>
      <c r="AA19">
        <v>1</v>
      </c>
      <c r="AB19" s="4">
        <f t="shared" si="8"/>
        <v>9.6274999999999996E-5</v>
      </c>
      <c r="AC19">
        <f t="shared" si="9"/>
        <v>0.14507025904000001</v>
      </c>
      <c r="AD19">
        <f t="shared" si="10"/>
        <v>9.6285077007623684E-5</v>
      </c>
      <c r="AG19">
        <v>0.04</v>
      </c>
      <c r="AH19">
        <v>10</v>
      </c>
      <c r="AI19" s="6">
        <f t="shared" si="11"/>
        <v>1.5199999999999999E-3</v>
      </c>
    </row>
    <row r="20" spans="3:35" x14ac:dyDescent="0.35">
      <c r="C20">
        <v>0.42009999999999997</v>
      </c>
      <c r="D20">
        <v>1</v>
      </c>
      <c r="E20" s="4">
        <f t="shared" si="0"/>
        <v>1.6502499999999999E-4</v>
      </c>
      <c r="F20">
        <f t="shared" si="1"/>
        <v>0.41995133154999997</v>
      </c>
      <c r="G20">
        <f t="shared" si="2"/>
        <v>1.6528341601791774E-4</v>
      </c>
      <c r="J20">
        <v>0.245</v>
      </c>
      <c r="K20">
        <v>10</v>
      </c>
      <c r="L20" s="5">
        <f t="shared" si="3"/>
        <v>1.6224999999999998E-3</v>
      </c>
      <c r="O20">
        <v>0.30029</v>
      </c>
      <c r="P20">
        <v>1</v>
      </c>
      <c r="Q20" s="4">
        <f t="shared" si="4"/>
        <v>1.350725E-4</v>
      </c>
      <c r="R20">
        <f t="shared" si="5"/>
        <v>0.30018274744000001</v>
      </c>
      <c r="S20">
        <f t="shared" si="6"/>
        <v>1.3514649385902022E-4</v>
      </c>
      <c r="V20">
        <v>0.155</v>
      </c>
      <c r="W20">
        <v>10</v>
      </c>
      <c r="X20" s="6">
        <f t="shared" si="7"/>
        <v>1.5774999999999999E-3</v>
      </c>
      <c r="Z20">
        <v>0.15003</v>
      </c>
      <c r="AA20">
        <v>1</v>
      </c>
      <c r="AB20" s="4">
        <f t="shared" si="8"/>
        <v>9.7507499999999994E-5</v>
      </c>
      <c r="AC20">
        <f t="shared" si="9"/>
        <v>0.149995054372</v>
      </c>
      <c r="AD20">
        <f t="shared" si="10"/>
        <v>9.7518774067992874E-5</v>
      </c>
      <c r="AG20">
        <v>4.7E-2</v>
      </c>
      <c r="AH20">
        <v>10</v>
      </c>
      <c r="AI20" s="6">
        <f t="shared" si="11"/>
        <v>1.5234999999999999E-3</v>
      </c>
    </row>
    <row r="21" spans="3:35" x14ac:dyDescent="0.35">
      <c r="C21">
        <v>0.42520999999999998</v>
      </c>
      <c r="D21">
        <v>1</v>
      </c>
      <c r="E21" s="4">
        <f t="shared" si="0"/>
        <v>1.6630249999999999E-4</v>
      </c>
      <c r="F21">
        <f t="shared" si="1"/>
        <v>0.42503402509999999</v>
      </c>
      <c r="G21">
        <f t="shared" si="2"/>
        <v>1.6666058923447884E-4</v>
      </c>
      <c r="J21">
        <v>0.28999999999999998</v>
      </c>
      <c r="K21">
        <v>10</v>
      </c>
      <c r="L21" s="5">
        <f t="shared" si="3"/>
        <v>1.6449999999999998E-3</v>
      </c>
      <c r="O21">
        <v>0.31030000000000002</v>
      </c>
      <c r="P21">
        <v>1</v>
      </c>
      <c r="Q21" s="4">
        <f t="shared" si="4"/>
        <v>1.37575E-4</v>
      </c>
      <c r="R21">
        <f t="shared" si="5"/>
        <v>0.31015123032000003</v>
      </c>
      <c r="S21">
        <f t="shared" si="6"/>
        <v>1.3771091332136765E-4</v>
      </c>
      <c r="V21">
        <v>0.215</v>
      </c>
      <c r="W21">
        <v>10</v>
      </c>
      <c r="X21" s="6">
        <f t="shared" si="7"/>
        <v>1.6074999999999998E-3</v>
      </c>
      <c r="Z21">
        <v>0.15506</v>
      </c>
      <c r="AA21">
        <v>1</v>
      </c>
      <c r="AB21" s="4">
        <f t="shared" si="8"/>
        <v>9.8765000000000007E-5</v>
      </c>
      <c r="AC21">
        <f t="shared" si="9"/>
        <v>0.15501984970400001</v>
      </c>
      <c r="AD21">
        <f t="shared" si="10"/>
        <v>9.8777643764366257E-5</v>
      </c>
      <c r="AG21">
        <v>5.3999999999999999E-2</v>
      </c>
      <c r="AH21">
        <v>10</v>
      </c>
      <c r="AI21" s="6">
        <f t="shared" si="11"/>
        <v>1.5269999999999997E-3</v>
      </c>
    </row>
    <row r="22" spans="3:35" x14ac:dyDescent="0.35">
      <c r="C22">
        <v>0.43036000000000002</v>
      </c>
      <c r="D22">
        <v>1</v>
      </c>
      <c r="E22" s="4">
        <f t="shared" si="0"/>
        <v>1.6759000000000001E-4</v>
      </c>
      <c r="F22">
        <f t="shared" si="1"/>
        <v>0.43014215521000004</v>
      </c>
      <c r="G22">
        <f t="shared" si="2"/>
        <v>1.6813279668204806E-4</v>
      </c>
      <c r="J22">
        <v>0.35899999999999999</v>
      </c>
      <c r="K22">
        <v>10</v>
      </c>
      <c r="L22" s="5">
        <f t="shared" si="3"/>
        <v>1.6794999999999998E-3</v>
      </c>
      <c r="O22">
        <v>0.32035000000000002</v>
      </c>
      <c r="P22">
        <v>1</v>
      </c>
      <c r="Q22" s="4">
        <f t="shared" si="4"/>
        <v>1.4008750000000001E-4</v>
      </c>
      <c r="R22">
        <f t="shared" si="5"/>
        <v>0.32014241440000002</v>
      </c>
      <c r="S22">
        <f t="shared" si="6"/>
        <v>1.4034332640828616E-4</v>
      </c>
      <c r="V22">
        <v>0.3</v>
      </c>
      <c r="W22">
        <v>10</v>
      </c>
      <c r="X22" s="6">
        <f t="shared" si="7"/>
        <v>1.6499999999999998E-3</v>
      </c>
      <c r="Z22">
        <v>0.16025</v>
      </c>
      <c r="AA22">
        <v>1</v>
      </c>
      <c r="AB22" s="4">
        <f t="shared" si="8"/>
        <v>1.000625E-4</v>
      </c>
      <c r="AC22">
        <f t="shared" si="9"/>
        <v>0.160203157988</v>
      </c>
      <c r="AD22">
        <f t="shared" si="10"/>
        <v>1.0007719845251099E-4</v>
      </c>
      <c r="AG22">
        <v>6.3E-2</v>
      </c>
      <c r="AH22">
        <v>10</v>
      </c>
      <c r="AI22" s="6">
        <f t="shared" si="11"/>
        <v>1.5314999999999999E-3</v>
      </c>
    </row>
    <row r="23" spans="3:35" x14ac:dyDescent="0.35">
      <c r="C23">
        <v>0.43763000000000002</v>
      </c>
      <c r="D23">
        <v>1</v>
      </c>
      <c r="E23" s="4">
        <f t="shared" si="0"/>
        <v>1.6940750000000001E-4</v>
      </c>
      <c r="F23">
        <f t="shared" si="1"/>
        <v>0.43735086740000001</v>
      </c>
      <c r="G23">
        <f t="shared" si="2"/>
        <v>1.702864828819887E-4</v>
      </c>
      <c r="J23">
        <v>0.46</v>
      </c>
      <c r="K23">
        <v>10</v>
      </c>
      <c r="L23" s="5">
        <f t="shared" si="3"/>
        <v>1.7299999999999998E-3</v>
      </c>
      <c r="O23">
        <v>0.33012000000000002</v>
      </c>
      <c r="P23">
        <v>1</v>
      </c>
      <c r="Q23" s="4">
        <f t="shared" si="4"/>
        <v>1.4253000000000001E-4</v>
      </c>
      <c r="R23">
        <f t="shared" si="5"/>
        <v>0.329831456016</v>
      </c>
      <c r="S23">
        <f t="shared" si="6"/>
        <v>1.4301150974758864E-4</v>
      </c>
      <c r="V23">
        <v>0.41699999999999998</v>
      </c>
      <c r="W23">
        <v>10</v>
      </c>
      <c r="X23" s="6">
        <f t="shared" si="7"/>
        <v>1.7084999999999997E-3</v>
      </c>
      <c r="Z23">
        <v>0.16525000000000001</v>
      </c>
      <c r="AA23">
        <v>1</v>
      </c>
      <c r="AB23" s="4">
        <f t="shared" si="8"/>
        <v>1.013125E-4</v>
      </c>
      <c r="AC23">
        <f t="shared" si="9"/>
        <v>0.165194979224</v>
      </c>
      <c r="AD23">
        <f t="shared" si="10"/>
        <v>1.0133014535985656E-4</v>
      </c>
      <c r="AG23">
        <v>7.3999999999999996E-2</v>
      </c>
      <c r="AH23">
        <v>10</v>
      </c>
      <c r="AI23" s="6">
        <f t="shared" si="11"/>
        <v>1.5369999999999997E-3</v>
      </c>
    </row>
    <row r="24" spans="3:35" x14ac:dyDescent="0.35">
      <c r="C24">
        <v>0.44019000000000003</v>
      </c>
      <c r="D24">
        <v>1</v>
      </c>
      <c r="E24" s="4">
        <f t="shared" si="0"/>
        <v>1.700475E-4</v>
      </c>
      <c r="F24">
        <f t="shared" si="1"/>
        <v>0.43987809966000002</v>
      </c>
      <c r="G24">
        <f t="shared" si="2"/>
        <v>1.7113946220122529E-4</v>
      </c>
      <c r="J24">
        <v>0.51400000000000001</v>
      </c>
      <c r="K24">
        <v>10</v>
      </c>
      <c r="L24" s="5">
        <f t="shared" si="3"/>
        <v>1.7569999999999999E-3</v>
      </c>
      <c r="O24">
        <v>0.34007999999999999</v>
      </c>
      <c r="P24">
        <v>1</v>
      </c>
      <c r="Q24" s="4">
        <f t="shared" si="4"/>
        <v>1.4501999999999999E-4</v>
      </c>
      <c r="R24">
        <f t="shared" si="5"/>
        <v>0.33968281955199997</v>
      </c>
      <c r="S24">
        <f t="shared" si="6"/>
        <v>1.4591159052110086E-4</v>
      </c>
      <c r="V24">
        <v>0.57399999999999995</v>
      </c>
      <c r="W24">
        <v>10</v>
      </c>
      <c r="X24" s="6">
        <f t="shared" si="7"/>
        <v>1.7869999999999997E-3</v>
      </c>
      <c r="Z24">
        <v>0.17041999999999999</v>
      </c>
      <c r="AA24">
        <v>1</v>
      </c>
      <c r="AB24" s="4">
        <f t="shared" si="8"/>
        <v>1.02605E-4</v>
      </c>
      <c r="AC24">
        <f t="shared" si="9"/>
        <v>0.170355313412</v>
      </c>
      <c r="AD24">
        <f t="shared" si="10"/>
        <v>1.0262670370579656E-4</v>
      </c>
      <c r="AG24">
        <v>8.6999999999999994E-2</v>
      </c>
      <c r="AH24">
        <v>10</v>
      </c>
      <c r="AI24" s="6">
        <f t="shared" si="11"/>
        <v>1.5434999999999997E-3</v>
      </c>
    </row>
    <row r="25" spans="3:35" x14ac:dyDescent="0.35">
      <c r="C25">
        <v>0.45001000000000002</v>
      </c>
      <c r="D25">
        <v>1</v>
      </c>
      <c r="E25" s="4">
        <f t="shared" si="0"/>
        <v>1.725025E-4</v>
      </c>
      <c r="F25">
        <f t="shared" si="1"/>
        <v>0.44957127636999999</v>
      </c>
      <c r="G25">
        <f t="shared" si="2"/>
        <v>1.7462325187664503E-4</v>
      </c>
      <c r="J25">
        <v>0.72299999999999998</v>
      </c>
      <c r="K25">
        <v>10</v>
      </c>
      <c r="L25" s="5">
        <f t="shared" si="3"/>
        <v>1.8614999999999999E-3</v>
      </c>
      <c r="O25">
        <v>0.35009000000000001</v>
      </c>
      <c r="P25">
        <v>1</v>
      </c>
      <c r="Q25" s="4">
        <f t="shared" si="4"/>
        <v>1.4752250000000001E-4</v>
      </c>
      <c r="R25">
        <f t="shared" si="5"/>
        <v>0.34954335792000002</v>
      </c>
      <c r="S25">
        <f t="shared" si="6"/>
        <v>1.4917458351030455E-4</v>
      </c>
      <c r="V25">
        <v>0.79</v>
      </c>
      <c r="W25">
        <v>10</v>
      </c>
      <c r="X25" s="6">
        <f t="shared" si="7"/>
        <v>1.8949999999999998E-3</v>
      </c>
      <c r="Z25">
        <v>0.1754</v>
      </c>
      <c r="AA25">
        <v>1</v>
      </c>
      <c r="AB25" s="4">
        <f t="shared" si="8"/>
        <v>1.0385E-4</v>
      </c>
      <c r="AC25">
        <f t="shared" si="9"/>
        <v>0.1753256476</v>
      </c>
      <c r="AD25">
        <f t="shared" si="10"/>
        <v>1.0387634724620677E-4</v>
      </c>
      <c r="AG25">
        <v>0.1</v>
      </c>
      <c r="AH25">
        <v>10</v>
      </c>
      <c r="AI25" s="6">
        <f t="shared" si="11"/>
        <v>1.5499999999999997E-3</v>
      </c>
    </row>
    <row r="26" spans="3:35" x14ac:dyDescent="0.35">
      <c r="C26">
        <v>0.4602</v>
      </c>
      <c r="D26">
        <v>1</v>
      </c>
      <c r="E26" s="4">
        <f t="shared" si="0"/>
        <v>1.7505E-4</v>
      </c>
      <c r="F26">
        <f t="shared" si="1"/>
        <v>0.45955738820999997</v>
      </c>
      <c r="G26">
        <f t="shared" si="2"/>
        <v>1.7950120131248943E-4</v>
      </c>
      <c r="J26">
        <v>1.0589999999999999</v>
      </c>
      <c r="K26">
        <v>10</v>
      </c>
      <c r="L26" s="5">
        <f t="shared" si="3"/>
        <v>2.0295000000000001E-3</v>
      </c>
      <c r="O26">
        <v>0.36018</v>
      </c>
      <c r="P26">
        <v>1</v>
      </c>
      <c r="Q26" s="4">
        <f t="shared" si="4"/>
        <v>1.5004499999999999E-4</v>
      </c>
      <c r="R26">
        <f t="shared" si="5"/>
        <v>0.359419544752</v>
      </c>
      <c r="S26">
        <f t="shared" si="6"/>
        <v>1.531691648792121E-4</v>
      </c>
      <c r="V26">
        <v>1.099</v>
      </c>
      <c r="W26">
        <v>10</v>
      </c>
      <c r="X26" s="6">
        <f t="shared" si="7"/>
        <v>2.0494999999999997E-3</v>
      </c>
      <c r="Z26">
        <v>0.18021000000000001</v>
      </c>
      <c r="AA26">
        <v>1</v>
      </c>
      <c r="AB26" s="4">
        <f t="shared" si="8"/>
        <v>1.050525E-4</v>
      </c>
      <c r="AC26">
        <f t="shared" si="9"/>
        <v>0.18012375121600002</v>
      </c>
      <c r="AD26">
        <f t="shared" si="10"/>
        <v>1.0508542705094281E-4</v>
      </c>
      <c r="AG26">
        <v>0.11600000000000001</v>
      </c>
      <c r="AH26">
        <v>10</v>
      </c>
      <c r="AI26" s="6">
        <f t="shared" si="11"/>
        <v>1.5579999999999999E-3</v>
      </c>
    </row>
    <row r="27" spans="3:35" x14ac:dyDescent="0.35">
      <c r="C27">
        <v>0.47003</v>
      </c>
      <c r="D27">
        <v>1</v>
      </c>
      <c r="E27" s="4">
        <f t="shared" si="0"/>
        <v>1.7750750000000001E-4</v>
      </c>
      <c r="F27">
        <f t="shared" si="1"/>
        <v>0.46911675094999999</v>
      </c>
      <c r="G27">
        <f t="shared" si="2"/>
        <v>1.8626626877950214E-4</v>
      </c>
      <c r="J27">
        <v>1.5049999999999999</v>
      </c>
      <c r="K27">
        <v>10</v>
      </c>
      <c r="L27" s="5">
        <f t="shared" si="3"/>
        <v>2.2524999999999997E-3</v>
      </c>
      <c r="O27">
        <v>0.37031999999999998</v>
      </c>
      <c r="P27">
        <v>1</v>
      </c>
      <c r="Q27" s="4">
        <f t="shared" si="4"/>
        <v>1.5258000000000001E-4</v>
      </c>
      <c r="R27">
        <f t="shared" si="5"/>
        <v>0.36926754100799997</v>
      </c>
      <c r="S27">
        <f t="shared" si="6"/>
        <v>1.5840993312375546E-4</v>
      </c>
      <c r="V27">
        <v>1.5209999999999999</v>
      </c>
      <c r="W27">
        <v>10</v>
      </c>
      <c r="X27" s="6">
        <f t="shared" si="7"/>
        <v>2.2604999999999999E-3</v>
      </c>
      <c r="Z27">
        <v>0.18528999999999998</v>
      </c>
      <c r="AA27">
        <v>1</v>
      </c>
      <c r="AB27" s="4">
        <f t="shared" si="8"/>
        <v>1.063225E-4</v>
      </c>
      <c r="AC27">
        <f t="shared" si="9"/>
        <v>0.18518962425999999</v>
      </c>
      <c r="AD27">
        <f t="shared" si="10"/>
        <v>1.0636440344983609E-4</v>
      </c>
      <c r="AG27">
        <v>0.13500000000000001</v>
      </c>
      <c r="AH27">
        <v>10</v>
      </c>
      <c r="AI27" s="6">
        <f t="shared" si="11"/>
        <v>1.5674999999999999E-3</v>
      </c>
    </row>
    <row r="28" spans="3:35" x14ac:dyDescent="0.35">
      <c r="C28">
        <v>0.48009000000000002</v>
      </c>
      <c r="D28">
        <v>1</v>
      </c>
      <c r="E28" s="4">
        <f t="shared" si="0"/>
        <v>1.8002250000000001E-4</v>
      </c>
      <c r="F28">
        <f t="shared" si="1"/>
        <v>0.47879264022000001</v>
      </c>
      <c r="G28">
        <f t="shared" si="2"/>
        <v>1.9707066564383493E-4</v>
      </c>
      <c r="J28">
        <v>2.1379999999999999</v>
      </c>
      <c r="K28">
        <v>10</v>
      </c>
      <c r="L28" s="5">
        <f t="shared" si="3"/>
        <v>2.5690000000000001E-3</v>
      </c>
      <c r="O28">
        <v>0.38011</v>
      </c>
      <c r="P28">
        <v>1</v>
      </c>
      <c r="Q28" s="4">
        <f t="shared" si="4"/>
        <v>1.550275E-4</v>
      </c>
      <c r="R28">
        <f t="shared" si="5"/>
        <v>0.37868665473599999</v>
      </c>
      <c r="S28">
        <f t="shared" si="6"/>
        <v>1.653727739501438E-4</v>
      </c>
      <c r="V28">
        <v>2.0569999999999999</v>
      </c>
      <c r="W28">
        <v>10</v>
      </c>
      <c r="X28" s="6">
        <f t="shared" si="7"/>
        <v>2.5284999999999995E-3</v>
      </c>
      <c r="Z28">
        <v>0.19034000000000001</v>
      </c>
      <c r="AA28">
        <v>1</v>
      </c>
      <c r="AB28" s="4">
        <f t="shared" si="8"/>
        <v>1.0758500000000001E-4</v>
      </c>
      <c r="AC28">
        <f t="shared" si="9"/>
        <v>0.19022326673200002</v>
      </c>
      <c r="AD28">
        <f t="shared" si="10"/>
        <v>1.0763886993817574E-4</v>
      </c>
      <c r="AG28">
        <v>0.157</v>
      </c>
      <c r="AH28">
        <v>10</v>
      </c>
      <c r="AI28" s="6">
        <f t="shared" si="11"/>
        <v>1.5784999999999998E-3</v>
      </c>
    </row>
    <row r="29" spans="3:35" x14ac:dyDescent="0.35">
      <c r="C29">
        <v>0.49021999999999999</v>
      </c>
      <c r="D29">
        <v>1</v>
      </c>
      <c r="E29" s="4">
        <f t="shared" si="0"/>
        <v>1.8255499999999999E-4</v>
      </c>
      <c r="F29">
        <f t="shared" si="1"/>
        <v>0.48837408397999998</v>
      </c>
      <c r="G29">
        <f t="shared" si="2"/>
        <v>2.152657061473766E-4</v>
      </c>
      <c r="J29">
        <v>3.0419999999999998</v>
      </c>
      <c r="K29">
        <v>10</v>
      </c>
      <c r="L29" s="5">
        <f t="shared" si="3"/>
        <v>3.0209999999999998E-3</v>
      </c>
      <c r="O29">
        <v>0.39</v>
      </c>
      <c r="P29">
        <v>1</v>
      </c>
      <c r="Q29" s="4">
        <f t="shared" si="4"/>
        <v>1.5750000000000001E-4</v>
      </c>
      <c r="R29">
        <f t="shared" si="5"/>
        <v>0.38805769073599999</v>
      </c>
      <c r="S29">
        <f t="shared" si="6"/>
        <v>1.7600268260791025E-4</v>
      </c>
      <c r="V29">
        <v>2.8069999999999999</v>
      </c>
      <c r="W29">
        <v>10</v>
      </c>
      <c r="X29" s="6">
        <f t="shared" si="7"/>
        <v>2.9034999999999998E-3</v>
      </c>
      <c r="Z29">
        <v>0.19515000000000002</v>
      </c>
      <c r="AA29">
        <v>1</v>
      </c>
      <c r="AB29" s="4">
        <f t="shared" si="8"/>
        <v>1.0878750000000001E-4</v>
      </c>
      <c r="AC29">
        <f t="shared" si="9"/>
        <v>0.195014678632</v>
      </c>
      <c r="AD29">
        <f t="shared" si="10"/>
        <v>1.0885701132185955E-4</v>
      </c>
      <c r="AG29">
        <v>0.182</v>
      </c>
      <c r="AH29">
        <v>10</v>
      </c>
      <c r="AI29" s="6">
        <f t="shared" si="11"/>
        <v>1.5909999999999997E-3</v>
      </c>
    </row>
    <row r="30" spans="3:35" x14ac:dyDescent="0.35">
      <c r="C30">
        <v>0.49996000000000002</v>
      </c>
      <c r="D30">
        <v>1</v>
      </c>
      <c r="E30" s="4">
        <f t="shared" si="0"/>
        <v>1.8499E-4</v>
      </c>
      <c r="F30">
        <f t="shared" si="1"/>
        <v>0.49739319370000001</v>
      </c>
      <c r="G30">
        <f t="shared" si="2"/>
        <v>2.4368277184776629E-4</v>
      </c>
      <c r="J30">
        <v>4.2300000000000004</v>
      </c>
      <c r="K30">
        <v>10</v>
      </c>
      <c r="L30" s="5">
        <f t="shared" si="3"/>
        <v>3.6150000000000002E-3</v>
      </c>
      <c r="O30">
        <v>0.40010000000000001</v>
      </c>
      <c r="P30">
        <v>1</v>
      </c>
      <c r="Q30" s="4">
        <f t="shared" si="4"/>
        <v>1.60025E-4</v>
      </c>
      <c r="R30">
        <f t="shared" si="5"/>
        <v>0.397465738736</v>
      </c>
      <c r="S30">
        <f t="shared" si="6"/>
        <v>1.9224105019204847E-4</v>
      </c>
      <c r="V30">
        <v>3.8069999999999999</v>
      </c>
      <c r="W30">
        <v>10</v>
      </c>
      <c r="X30" s="6">
        <f t="shared" si="7"/>
        <v>3.4034999999999998E-3</v>
      </c>
      <c r="Z30">
        <v>0.20028000000000001</v>
      </c>
      <c r="AA30">
        <v>1</v>
      </c>
      <c r="AB30" s="4">
        <f t="shared" si="8"/>
        <v>1.1007000000000001E-4</v>
      </c>
      <c r="AC30">
        <f t="shared" si="9"/>
        <v>0.20012162938800002</v>
      </c>
      <c r="AD30">
        <f t="shared" si="10"/>
        <v>1.1016186464929643E-4</v>
      </c>
      <c r="AG30">
        <v>0.21299999999999999</v>
      </c>
      <c r="AH30">
        <v>10</v>
      </c>
      <c r="AI30" s="6">
        <f t="shared" si="11"/>
        <v>1.6064999999999999E-3</v>
      </c>
    </row>
    <row r="31" spans="3:35" x14ac:dyDescent="0.35">
      <c r="C31">
        <v>0.50790000000000002</v>
      </c>
      <c r="D31">
        <v>1</v>
      </c>
      <c r="E31" s="4">
        <f t="shared" si="0"/>
        <v>1.86975E-4</v>
      </c>
      <c r="F31">
        <f t="shared" si="1"/>
        <v>0.50456254499999997</v>
      </c>
      <c r="G31">
        <f t="shared" si="2"/>
        <v>2.7837747946927804E-4</v>
      </c>
      <c r="J31">
        <v>5.5</v>
      </c>
      <c r="K31">
        <v>10</v>
      </c>
      <c r="L31" s="5">
        <f t="shared" si="3"/>
        <v>4.2499999999999994E-3</v>
      </c>
      <c r="O31">
        <v>0.40915000000000001</v>
      </c>
      <c r="P31">
        <v>1</v>
      </c>
      <c r="Q31" s="4">
        <f t="shared" si="4"/>
        <v>1.6228750000000001E-4</v>
      </c>
      <c r="R31">
        <f t="shared" si="5"/>
        <v>0.40568885609600003</v>
      </c>
      <c r="S31">
        <f t="shared" si="6"/>
        <v>2.1430512809433321E-4</v>
      </c>
      <c r="V31">
        <v>5.0019999999999998</v>
      </c>
      <c r="W31">
        <v>10</v>
      </c>
      <c r="X31" s="6">
        <f t="shared" si="7"/>
        <v>4.0009999999999993E-3</v>
      </c>
      <c r="Z31">
        <v>0.20519999999999999</v>
      </c>
      <c r="AA31">
        <v>1</v>
      </c>
      <c r="AB31" s="4">
        <f t="shared" si="8"/>
        <v>1.1129999999999999E-4</v>
      </c>
      <c r="AC31">
        <f t="shared" si="9"/>
        <v>0.20501783662</v>
      </c>
      <c r="AD31">
        <f t="shared" si="10"/>
        <v>1.1141824255334629E-4</v>
      </c>
      <c r="AG31">
        <v>0.245</v>
      </c>
      <c r="AH31">
        <v>10</v>
      </c>
      <c r="AI31" s="6">
        <f t="shared" si="11"/>
        <v>1.6224999999999998E-3</v>
      </c>
    </row>
    <row r="32" spans="3:35" x14ac:dyDescent="0.35">
      <c r="C32">
        <v>0.51046999999999998</v>
      </c>
      <c r="D32">
        <v>1</v>
      </c>
      <c r="E32" s="4">
        <f t="shared" si="0"/>
        <v>1.8761749999999998E-4</v>
      </c>
      <c r="F32">
        <f t="shared" si="1"/>
        <v>0.50682914000000001</v>
      </c>
      <c r="G32">
        <f t="shared" si="2"/>
        <v>2.9294928507911746E-4</v>
      </c>
      <c r="J32">
        <v>6</v>
      </c>
      <c r="K32">
        <v>10</v>
      </c>
      <c r="L32" s="5">
        <f t="shared" si="3"/>
        <v>4.4999999999999997E-3</v>
      </c>
      <c r="O32">
        <v>0.41538999999999998</v>
      </c>
      <c r="P32">
        <v>1</v>
      </c>
      <c r="Q32" s="4">
        <f t="shared" si="4"/>
        <v>1.6384749999999999E-4</v>
      </c>
      <c r="R32">
        <f t="shared" si="5"/>
        <v>0.411236904096</v>
      </c>
      <c r="S32">
        <f t="shared" si="6"/>
        <v>2.3462677536799264E-4</v>
      </c>
      <c r="V32">
        <v>6.0019999999999998</v>
      </c>
      <c r="W32">
        <v>10</v>
      </c>
      <c r="X32" s="6">
        <f t="shared" si="7"/>
        <v>4.5009999999999998E-3</v>
      </c>
      <c r="Z32">
        <v>0.21036000000000002</v>
      </c>
      <c r="AA32">
        <v>1</v>
      </c>
      <c r="AB32" s="4">
        <f t="shared" si="8"/>
        <v>1.1259E-4</v>
      </c>
      <c r="AC32">
        <f t="shared" si="9"/>
        <v>0.21014809566000001</v>
      </c>
      <c r="AD32">
        <f t="shared" si="10"/>
        <v>1.1274602454763515E-4</v>
      </c>
      <c r="AG32">
        <v>0.28499999999999998</v>
      </c>
      <c r="AH32">
        <v>10</v>
      </c>
      <c r="AI32" s="6">
        <f t="shared" si="11"/>
        <v>1.6424999999999999E-3</v>
      </c>
    </row>
    <row r="33" spans="3:35" x14ac:dyDescent="0.35">
      <c r="C33">
        <v>0.51529999999999998</v>
      </c>
      <c r="D33">
        <v>1</v>
      </c>
      <c r="E33" s="4">
        <f t="shared" si="0"/>
        <v>1.88825E-4</v>
      </c>
      <c r="F33">
        <f t="shared" si="1"/>
        <v>0.51104990275999995</v>
      </c>
      <c r="G33">
        <f t="shared" si="2"/>
        <v>3.2346672343634252E-4</v>
      </c>
      <c r="J33">
        <v>7.0039999999999996</v>
      </c>
      <c r="K33">
        <v>10</v>
      </c>
      <c r="L33" s="5">
        <f t="shared" si="3"/>
        <v>5.0019999999999995E-3</v>
      </c>
      <c r="O33">
        <v>0.42086000000000001</v>
      </c>
      <c r="P33">
        <v>1</v>
      </c>
      <c r="Q33" s="4">
        <f t="shared" si="4"/>
        <v>1.65215E-4</v>
      </c>
      <c r="R33">
        <f t="shared" si="5"/>
        <v>0.41601080038400001</v>
      </c>
      <c r="S33">
        <f t="shared" si="6"/>
        <v>2.5640849360478982E-4</v>
      </c>
      <c r="V33">
        <v>7.008</v>
      </c>
      <c r="W33">
        <v>10</v>
      </c>
      <c r="X33" s="6">
        <f t="shared" si="7"/>
        <v>5.0039999999999998E-3</v>
      </c>
      <c r="Z33">
        <v>0.215</v>
      </c>
      <c r="AA33">
        <v>1</v>
      </c>
      <c r="AB33" s="4">
        <f t="shared" si="8"/>
        <v>1.1375E-4</v>
      </c>
      <c r="AC33">
        <f t="shared" si="9"/>
        <v>0.214756867652</v>
      </c>
      <c r="AD33">
        <f t="shared" si="10"/>
        <v>1.1395136133221202E-4</v>
      </c>
      <c r="AG33">
        <v>0.32700000000000001</v>
      </c>
      <c r="AH33">
        <v>10</v>
      </c>
      <c r="AI33" s="6">
        <f t="shared" si="11"/>
        <v>1.6634999999999998E-3</v>
      </c>
    </row>
    <row r="34" spans="3:35" x14ac:dyDescent="0.35">
      <c r="C34">
        <v>0.51939999999999997</v>
      </c>
      <c r="D34">
        <v>1</v>
      </c>
      <c r="E34" s="4">
        <f t="shared" si="0"/>
        <v>1.8984999999999998E-4</v>
      </c>
      <c r="F34">
        <f t="shared" si="1"/>
        <v>0.51454309275999999</v>
      </c>
      <c r="G34">
        <f t="shared" si="2"/>
        <v>3.551340159767219E-4</v>
      </c>
      <c r="J34">
        <v>8.0039999999999996</v>
      </c>
      <c r="K34">
        <v>10</v>
      </c>
      <c r="L34" s="5">
        <f t="shared" si="3"/>
        <v>5.5019999999999991E-3</v>
      </c>
      <c r="O34">
        <v>0.42531999999999998</v>
      </c>
      <c r="P34">
        <v>1</v>
      </c>
      <c r="Q34" s="4">
        <f t="shared" si="4"/>
        <v>1.6632999999999999E-4</v>
      </c>
      <c r="R34">
        <f t="shared" si="5"/>
        <v>0.41978092423999996</v>
      </c>
      <c r="S34">
        <f t="shared" si="6"/>
        <v>2.7898405254489587E-4</v>
      </c>
      <c r="V34">
        <v>8.0050000000000008</v>
      </c>
      <c r="W34">
        <v>10</v>
      </c>
      <c r="X34" s="6">
        <f t="shared" si="7"/>
        <v>5.5025000000000004E-3</v>
      </c>
      <c r="Z34">
        <v>0.22009000000000001</v>
      </c>
      <c r="AA34">
        <v>1</v>
      </c>
      <c r="AB34" s="4">
        <f t="shared" si="8"/>
        <v>1.1502250000000001E-4</v>
      </c>
      <c r="AC34">
        <f t="shared" si="9"/>
        <v>0.219805230308</v>
      </c>
      <c r="AD34">
        <f t="shared" si="10"/>
        <v>1.1529335455430675E-4</v>
      </c>
      <c r="AG34">
        <v>0.38300000000000001</v>
      </c>
      <c r="AH34">
        <v>10</v>
      </c>
      <c r="AI34" s="6">
        <f t="shared" si="11"/>
        <v>1.6914999999999999E-3</v>
      </c>
    </row>
    <row r="35" spans="3:35" x14ac:dyDescent="0.35">
      <c r="C35">
        <v>0.52320999999999995</v>
      </c>
      <c r="D35">
        <v>1</v>
      </c>
      <c r="E35" s="4">
        <f t="shared" si="0"/>
        <v>1.9080249999999999E-4</v>
      </c>
      <c r="F35">
        <f t="shared" si="1"/>
        <v>0.51774142827999992</v>
      </c>
      <c r="G35">
        <f t="shared" si="2"/>
        <v>3.880703864882918E-4</v>
      </c>
      <c r="J35">
        <v>9.0120000000000005</v>
      </c>
      <c r="K35">
        <v>10</v>
      </c>
      <c r="L35" s="5">
        <f t="shared" si="3"/>
        <v>6.0060000000000001E-3</v>
      </c>
      <c r="O35">
        <v>0.42964000000000002</v>
      </c>
      <c r="P35">
        <v>1</v>
      </c>
      <c r="Q35" s="4">
        <f t="shared" si="4"/>
        <v>1.6741E-4</v>
      </c>
      <c r="R35">
        <f t="shared" si="5"/>
        <v>0.42340758833600001</v>
      </c>
      <c r="S35">
        <f t="shared" si="6"/>
        <v>3.0254965349996469E-4</v>
      </c>
      <c r="V35">
        <v>9.0069999999999997</v>
      </c>
      <c r="W35">
        <v>10</v>
      </c>
      <c r="X35" s="6">
        <f t="shared" si="7"/>
        <v>6.0034999999999993E-3</v>
      </c>
      <c r="Z35">
        <v>0.22562000000000001</v>
      </c>
      <c r="AA35">
        <v>1</v>
      </c>
      <c r="AB35" s="4">
        <f t="shared" si="8"/>
        <v>1.1640500000000001E-4</v>
      </c>
      <c r="AC35">
        <f t="shared" si="9"/>
        <v>0.22528467067600003</v>
      </c>
      <c r="AD35">
        <f t="shared" si="10"/>
        <v>1.1677361265319855E-4</v>
      </c>
      <c r="AG35">
        <v>0.45100000000000001</v>
      </c>
      <c r="AH35">
        <v>10</v>
      </c>
      <c r="AI35" s="6">
        <f t="shared" si="11"/>
        <v>1.7254999999999998E-3</v>
      </c>
    </row>
    <row r="36" spans="3:35" x14ac:dyDescent="0.35">
      <c r="C36">
        <v>0.52651000000000003</v>
      </c>
      <c r="D36">
        <v>1</v>
      </c>
      <c r="E36" s="4">
        <f t="shared" si="0"/>
        <v>1.9162749999999999E-4</v>
      </c>
      <c r="F36">
        <f t="shared" si="1"/>
        <v>0.52044007957000005</v>
      </c>
      <c r="G36">
        <f t="shared" si="2"/>
        <v>4.2119892072286022E-4</v>
      </c>
      <c r="J36">
        <v>10.003</v>
      </c>
      <c r="K36">
        <v>10</v>
      </c>
      <c r="L36" s="5">
        <f>0.05*0.01*J36+0.015*0.01*K36</f>
        <v>6.5014999999999995E-3</v>
      </c>
      <c r="O36">
        <v>0.43352000000000002</v>
      </c>
      <c r="P36">
        <v>1</v>
      </c>
      <c r="Q36" s="4">
        <f t="shared" si="4"/>
        <v>1.6838000000000001E-4</v>
      </c>
      <c r="R36">
        <f t="shared" si="5"/>
        <v>0.42659771219200004</v>
      </c>
      <c r="S36">
        <f t="shared" si="6"/>
        <v>3.2664847889615946E-4</v>
      </c>
      <c r="V36">
        <v>10.004</v>
      </c>
      <c r="W36">
        <v>10</v>
      </c>
      <c r="X36" s="6">
        <f t="shared" si="7"/>
        <v>6.5019999999999991E-3</v>
      </c>
      <c r="Z36">
        <v>0.23016999999999999</v>
      </c>
      <c r="AA36">
        <v>1</v>
      </c>
      <c r="AB36" s="4">
        <f t="shared" si="8"/>
        <v>1.175425E-4</v>
      </c>
      <c r="AC36">
        <f t="shared" si="9"/>
        <v>0.22979005923599999</v>
      </c>
      <c r="AD36">
        <f t="shared" si="10"/>
        <v>1.1800921018436855E-4</v>
      </c>
      <c r="AG36">
        <v>0.51100000000000001</v>
      </c>
      <c r="AH36">
        <v>10</v>
      </c>
      <c r="AI36" s="6">
        <f t="shared" si="11"/>
        <v>1.7554999999999999E-3</v>
      </c>
    </row>
    <row r="37" spans="3:35" x14ac:dyDescent="0.35">
      <c r="Z37">
        <v>0.23509000000000002</v>
      </c>
      <c r="AA37">
        <v>1</v>
      </c>
      <c r="AB37" s="4">
        <f t="shared" si="8"/>
        <v>1.1877250000000002E-4</v>
      </c>
      <c r="AC37">
        <f t="shared" si="9"/>
        <v>0.23465057731600003</v>
      </c>
      <c r="AD37">
        <f t="shared" si="10"/>
        <v>1.1938785802081729E-4</v>
      </c>
      <c r="AG37">
        <v>0.59099999999999997</v>
      </c>
      <c r="AH37">
        <v>10</v>
      </c>
      <c r="AI37" s="6">
        <f t="shared" si="11"/>
        <v>1.7954999999999998E-3</v>
      </c>
    </row>
    <row r="38" spans="3:35" x14ac:dyDescent="0.35">
      <c r="Z38">
        <v>0.24015</v>
      </c>
      <c r="AA38">
        <v>1</v>
      </c>
      <c r="AB38" s="4">
        <f t="shared" si="8"/>
        <v>1.2003750000000001E-4</v>
      </c>
      <c r="AC38">
        <f t="shared" si="9"/>
        <v>0.23963771196399999</v>
      </c>
      <c r="AD38">
        <f t="shared" si="10"/>
        <v>1.2086209856550256E-4</v>
      </c>
      <c r="AG38">
        <v>0.68899999999999995</v>
      </c>
      <c r="AH38">
        <v>10</v>
      </c>
      <c r="AI38" s="6">
        <f t="shared" si="11"/>
        <v>1.8444999999999998E-3</v>
      </c>
    </row>
    <row r="39" spans="3:35" x14ac:dyDescent="0.35">
      <c r="Z39">
        <v>0.24517</v>
      </c>
      <c r="AA39">
        <v>1</v>
      </c>
      <c r="AB39" s="4">
        <f t="shared" si="8"/>
        <v>1.2129250000000001E-4</v>
      </c>
      <c r="AC39">
        <f t="shared" si="9"/>
        <v>0.24457741137200001</v>
      </c>
      <c r="AD39">
        <f t="shared" si="10"/>
        <v>1.2238115703165398E-4</v>
      </c>
      <c r="AG39">
        <v>0.79700000000000004</v>
      </c>
      <c r="AH39">
        <v>10</v>
      </c>
      <c r="AI39" s="6">
        <f t="shared" si="11"/>
        <v>1.8984999999999998E-3</v>
      </c>
    </row>
    <row r="40" spans="3:35" x14ac:dyDescent="0.35">
      <c r="Z40">
        <v>0.25003999999999998</v>
      </c>
      <c r="AA40">
        <v>1</v>
      </c>
      <c r="AB40" s="4">
        <f t="shared" si="8"/>
        <v>1.2250999999999999E-4</v>
      </c>
      <c r="AC40">
        <f t="shared" si="9"/>
        <v>0.24935967553999999</v>
      </c>
      <c r="AD40">
        <f t="shared" si="10"/>
        <v>1.2392673429870185E-4</v>
      </c>
      <c r="AG40">
        <v>0.91500000000000004</v>
      </c>
      <c r="AH40">
        <v>10</v>
      </c>
      <c r="AI40" s="6">
        <f t="shared" si="11"/>
        <v>1.9575E-3</v>
      </c>
    </row>
    <row r="41" spans="3:35" x14ac:dyDescent="0.35">
      <c r="Z41">
        <v>0.25507000000000002</v>
      </c>
      <c r="AA41">
        <v>1</v>
      </c>
      <c r="AB41" s="4">
        <f t="shared" si="8"/>
        <v>1.237675E-4</v>
      </c>
      <c r="AC41">
        <f t="shared" si="9"/>
        <v>0.25428558218000002</v>
      </c>
      <c r="AD41">
        <f t="shared" si="10"/>
        <v>1.2562642457669739E-4</v>
      </c>
      <c r="AG41">
        <v>1.0549999999999999</v>
      </c>
      <c r="AH41">
        <v>10</v>
      </c>
      <c r="AI41" s="6">
        <f t="shared" si="11"/>
        <v>2.0274999999999998E-3</v>
      </c>
    </row>
    <row r="42" spans="3:35" x14ac:dyDescent="0.35">
      <c r="Z42">
        <v>0.26</v>
      </c>
      <c r="AA42">
        <v>1</v>
      </c>
      <c r="AB42" s="4">
        <f t="shared" si="8"/>
        <v>1.25E-4</v>
      </c>
      <c r="AC42">
        <f t="shared" si="9"/>
        <v>0.25909067014800002</v>
      </c>
      <c r="AD42">
        <f t="shared" si="10"/>
        <v>1.2746537449482081E-4</v>
      </c>
      <c r="AG42">
        <v>1.2230000000000001</v>
      </c>
      <c r="AH42">
        <v>10</v>
      </c>
      <c r="AI42" s="6">
        <f t="shared" si="11"/>
        <v>2.1114999999999997E-3</v>
      </c>
    </row>
    <row r="43" spans="3:35" x14ac:dyDescent="0.35">
      <c r="Z43">
        <v>0.26501999999999998</v>
      </c>
      <c r="AA43">
        <v>1</v>
      </c>
      <c r="AB43" s="4">
        <f t="shared" si="8"/>
        <v>1.26255E-4</v>
      </c>
      <c r="AC43">
        <f t="shared" si="9"/>
        <v>0.26396568296799999</v>
      </c>
      <c r="AD43">
        <f t="shared" si="10"/>
        <v>1.2952388660977598E-4</v>
      </c>
      <c r="AG43">
        <v>1.4179999999999999</v>
      </c>
      <c r="AH43">
        <v>10</v>
      </c>
      <c r="AI43" s="6">
        <f t="shared" si="11"/>
        <v>2.209E-3</v>
      </c>
    </row>
    <row r="44" spans="3:35" x14ac:dyDescent="0.35">
      <c r="Z44">
        <v>0.27013999999999999</v>
      </c>
      <c r="AA44">
        <v>1</v>
      </c>
      <c r="AB44" s="4">
        <f t="shared" si="8"/>
        <v>1.2753499999999999E-4</v>
      </c>
      <c r="AC44">
        <f t="shared" si="9"/>
        <v>0.26892731235599998</v>
      </c>
      <c r="AD44">
        <f t="shared" si="10"/>
        <v>1.3179809011816857E-4</v>
      </c>
      <c r="AG44">
        <v>1.631</v>
      </c>
      <c r="AH44">
        <v>10</v>
      </c>
      <c r="AI44" s="6">
        <f t="shared" si="11"/>
        <v>2.3154999999999999E-3</v>
      </c>
    </row>
    <row r="45" spans="3:35" x14ac:dyDescent="0.35">
      <c r="Z45">
        <v>0.27503</v>
      </c>
      <c r="AA45">
        <v>1</v>
      </c>
      <c r="AB45" s="4">
        <f t="shared" si="8"/>
        <v>1.287575E-4</v>
      </c>
      <c r="AC45">
        <f t="shared" si="9"/>
        <v>0.27363737954799999</v>
      </c>
      <c r="AD45">
        <f t="shared" si="10"/>
        <v>1.3429758697156523E-4</v>
      </c>
      <c r="AG45">
        <v>1.873</v>
      </c>
      <c r="AH45">
        <v>10</v>
      </c>
      <c r="AI45" s="6">
        <f t="shared" si="11"/>
        <v>2.4364999999999999E-3</v>
      </c>
    </row>
    <row r="46" spans="3:35" x14ac:dyDescent="0.35">
      <c r="Z46">
        <v>0.28005000000000002</v>
      </c>
      <c r="AA46">
        <v>1</v>
      </c>
      <c r="AB46" s="4">
        <f t="shared" si="8"/>
        <v>1.300125E-4</v>
      </c>
      <c r="AC46">
        <f t="shared" si="9"/>
        <v>0.27843580939600004</v>
      </c>
      <c r="AD46">
        <f t="shared" si="10"/>
        <v>1.3733358111826121E-4</v>
      </c>
      <c r="AG46">
        <v>2.1709999999999998</v>
      </c>
      <c r="AH46">
        <v>10</v>
      </c>
      <c r="AI46" s="6">
        <f t="shared" si="11"/>
        <v>2.5854999999999997E-3</v>
      </c>
    </row>
    <row r="47" spans="3:35" x14ac:dyDescent="0.35">
      <c r="Z47">
        <v>0.28500000000000003</v>
      </c>
      <c r="AA47">
        <v>1</v>
      </c>
      <c r="AB47" s="4">
        <f t="shared" si="8"/>
        <v>1.3125000000000002E-4</v>
      </c>
      <c r="AC47">
        <f t="shared" si="9"/>
        <v>0.28313970295200003</v>
      </c>
      <c r="AD47">
        <f t="shared" si="10"/>
        <v>1.4080278003642476E-4</v>
      </c>
      <c r="AG47">
        <v>2.5019999999999998</v>
      </c>
      <c r="AH47">
        <v>10</v>
      </c>
      <c r="AI47" s="6">
        <f t="shared" si="11"/>
        <v>2.751E-3</v>
      </c>
    </row>
    <row r="48" spans="3:35" x14ac:dyDescent="0.35">
      <c r="Z48">
        <v>0.29011999999999999</v>
      </c>
      <c r="AA48">
        <v>1</v>
      </c>
      <c r="AB48" s="4">
        <f t="shared" si="8"/>
        <v>1.3253000000000001E-4</v>
      </c>
      <c r="AC48">
        <f t="shared" si="9"/>
        <v>0.28798162497599999</v>
      </c>
      <c r="AD48">
        <f t="shared" si="10"/>
        <v>1.4490456351609084E-4</v>
      </c>
      <c r="AG48">
        <v>2.8759999999999999</v>
      </c>
      <c r="AH48">
        <v>10</v>
      </c>
      <c r="AI48" s="6">
        <f t="shared" si="11"/>
        <v>2.9379999999999996E-3</v>
      </c>
    </row>
    <row r="49" spans="1:35" x14ac:dyDescent="0.35">
      <c r="Z49">
        <v>0.29502999999999996</v>
      </c>
      <c r="AA49">
        <v>1</v>
      </c>
      <c r="AB49" s="4">
        <f t="shared" si="8"/>
        <v>1.3375749999999998E-4</v>
      </c>
      <c r="AC49">
        <f t="shared" si="9"/>
        <v>0.29259347185199996</v>
      </c>
      <c r="AD49">
        <f t="shared" si="10"/>
        <v>1.4949098401883894E-4</v>
      </c>
      <c r="AG49">
        <v>3.2770000000000001</v>
      </c>
      <c r="AH49">
        <v>10</v>
      </c>
      <c r="AI49" s="6">
        <f t="shared" si="11"/>
        <v>3.1384999999999998E-3</v>
      </c>
    </row>
    <row r="50" spans="1:35" x14ac:dyDescent="0.35">
      <c r="Z50">
        <v>0.3</v>
      </c>
      <c r="AA50">
        <v>1</v>
      </c>
      <c r="AB50" s="4">
        <f t="shared" si="8"/>
        <v>1.35E-4</v>
      </c>
      <c r="AC50">
        <f t="shared" si="9"/>
        <v>0.29719394042399999</v>
      </c>
      <c r="AD50">
        <f t="shared" si="10"/>
        <v>1.5535404903906308E-4</v>
      </c>
      <c r="AG50">
        <v>3.774</v>
      </c>
      <c r="AH50">
        <v>10</v>
      </c>
      <c r="AI50" s="6">
        <f t="shared" si="11"/>
        <v>3.3869999999999998E-3</v>
      </c>
    </row>
    <row r="51" spans="1:35" x14ac:dyDescent="0.35">
      <c r="Z51">
        <v>0.30512</v>
      </c>
      <c r="AA51">
        <v>1</v>
      </c>
      <c r="AB51" s="4">
        <f t="shared" si="8"/>
        <v>1.3628000000000002E-4</v>
      </c>
      <c r="AC51">
        <f t="shared" si="9"/>
        <v>0.30190054108000003</v>
      </c>
      <c r="AD51">
        <f t="shared" si="10"/>
        <v>1.6232928986678472E-4</v>
      </c>
      <c r="AG51">
        <v>4.33</v>
      </c>
      <c r="AH51">
        <v>10</v>
      </c>
      <c r="AI51" s="6">
        <f t="shared" si="11"/>
        <v>3.6649999999999999E-3</v>
      </c>
    </row>
    <row r="52" spans="1:35" x14ac:dyDescent="0.35">
      <c r="Z52">
        <v>0.31013999999999997</v>
      </c>
      <c r="AA52">
        <v>1</v>
      </c>
      <c r="AB52" s="4">
        <f t="shared" si="8"/>
        <v>1.3753499999999999E-4</v>
      </c>
      <c r="AC52">
        <f t="shared" si="9"/>
        <v>0.30646624791599997</v>
      </c>
      <c r="AD52">
        <f t="shared" si="10"/>
        <v>1.7042185452622907E-4</v>
      </c>
      <c r="AG52">
        <v>4.9409999999999998</v>
      </c>
      <c r="AH52">
        <v>10</v>
      </c>
      <c r="AI52" s="6">
        <f t="shared" si="11"/>
        <v>3.9705000000000001E-3</v>
      </c>
    </row>
    <row r="53" spans="1:35" x14ac:dyDescent="0.35">
      <c r="J53" s="8"/>
      <c r="Z53">
        <v>0.31719999999999998</v>
      </c>
      <c r="AA53">
        <v>1</v>
      </c>
      <c r="AB53" s="4">
        <f t="shared" si="8"/>
        <v>1.393E-4</v>
      </c>
      <c r="AC53">
        <f t="shared" si="9"/>
        <v>0.31273885599999995</v>
      </c>
      <c r="AD53">
        <f t="shared" si="10"/>
        <v>1.8530282754808725E-4</v>
      </c>
      <c r="AG53">
        <v>6</v>
      </c>
      <c r="AH53">
        <v>10</v>
      </c>
      <c r="AI53" s="6">
        <f t="shared" si="11"/>
        <v>4.4999999999999997E-3</v>
      </c>
    </row>
    <row r="54" spans="1:35" x14ac:dyDescent="0.35">
      <c r="B54" t="s">
        <v>25</v>
      </c>
      <c r="D54" t="s">
        <v>26</v>
      </c>
      <c r="Z54">
        <v>0.32338</v>
      </c>
      <c r="AA54">
        <v>1</v>
      </c>
      <c r="AB54" s="4">
        <f t="shared" si="8"/>
        <v>1.4084500000000001E-4</v>
      </c>
      <c r="AC54">
        <f t="shared" si="9"/>
        <v>0.318172357904</v>
      </c>
      <c r="AD54">
        <f t="shared" si="10"/>
        <v>2.0045976956635761E-4</v>
      </c>
      <c r="AG54">
        <v>7.0039999999999996</v>
      </c>
      <c r="AH54">
        <v>10</v>
      </c>
      <c r="AI54" s="6">
        <f t="shared" si="11"/>
        <v>5.0019999999999995E-3</v>
      </c>
    </row>
    <row r="55" spans="1:35" x14ac:dyDescent="0.35">
      <c r="B55">
        <f>1.602176634*10^-19</f>
        <v>1.6021766340000001E-19</v>
      </c>
      <c r="D55">
        <f>1.380649*10^-23</f>
        <v>1.3806490000000001E-23</v>
      </c>
      <c r="Z55">
        <v>0.32858999999999999</v>
      </c>
      <c r="AA55">
        <v>1</v>
      </c>
      <c r="AB55" s="4">
        <f t="shared" si="8"/>
        <v>1.421475E-4</v>
      </c>
      <c r="AC55">
        <f t="shared" si="9"/>
        <v>0.32262991161600002</v>
      </c>
      <c r="AD55">
        <f t="shared" si="10"/>
        <v>2.1646229577998205E-4</v>
      </c>
      <c r="AG55">
        <v>8.016</v>
      </c>
      <c r="AH55">
        <v>10</v>
      </c>
      <c r="AI55" s="6">
        <f t="shared" si="11"/>
        <v>5.5079999999999999E-3</v>
      </c>
    </row>
    <row r="56" spans="1:35" x14ac:dyDescent="0.35">
      <c r="Z56">
        <v>0.33300999999999997</v>
      </c>
      <c r="AA56">
        <v>1</v>
      </c>
      <c r="AB56" s="4">
        <f t="shared" si="8"/>
        <v>1.432525E-4</v>
      </c>
      <c r="AC56">
        <f t="shared" si="9"/>
        <v>0.32631530990399998</v>
      </c>
      <c r="AD56">
        <f t="shared" si="10"/>
        <v>2.326893055474416E-4</v>
      </c>
      <c r="AG56">
        <v>9.0039999999999996</v>
      </c>
      <c r="AH56">
        <v>10</v>
      </c>
      <c r="AI56" s="6">
        <f t="shared" si="11"/>
        <v>6.0019999999999995E-3</v>
      </c>
    </row>
    <row r="57" spans="1:35" x14ac:dyDescent="0.35">
      <c r="Z57">
        <v>0.33732000000000001</v>
      </c>
      <c r="AA57">
        <v>1</v>
      </c>
      <c r="AB57" s="4">
        <f t="shared" si="8"/>
        <v>1.4433E-4</v>
      </c>
      <c r="AC57">
        <f t="shared" si="9"/>
        <v>0.32988699057199999</v>
      </c>
      <c r="AD57">
        <f t="shared" si="10"/>
        <v>2.4955582674887514E-4</v>
      </c>
      <c r="AG57">
        <v>9.9969999999999999</v>
      </c>
      <c r="AH57">
        <v>10</v>
      </c>
      <c r="AI57" s="6">
        <f t="shared" si="11"/>
        <v>6.4984999999999999E-3</v>
      </c>
    </row>
    <row r="60" spans="1:35" x14ac:dyDescent="0.35">
      <c r="A60" t="s">
        <v>28</v>
      </c>
      <c r="B60" t="s">
        <v>33</v>
      </c>
      <c r="C60" t="s">
        <v>29</v>
      </c>
      <c r="D60" t="s">
        <v>31</v>
      </c>
      <c r="E60" t="s">
        <v>30</v>
      </c>
      <c r="F60" t="s">
        <v>32</v>
      </c>
      <c r="G60" t="s">
        <v>34</v>
      </c>
      <c r="I60" t="s">
        <v>35</v>
      </c>
      <c r="J60" t="s">
        <v>37</v>
      </c>
      <c r="K60" t="s">
        <v>36</v>
      </c>
      <c r="M60" t="s">
        <v>38</v>
      </c>
      <c r="N60" t="s">
        <v>39</v>
      </c>
      <c r="O60" t="s">
        <v>30</v>
      </c>
      <c r="P60" t="s">
        <v>32</v>
      </c>
      <c r="Q60" t="s">
        <v>40</v>
      </c>
      <c r="R60" t="s">
        <v>43</v>
      </c>
      <c r="S60" t="s">
        <v>44</v>
      </c>
    </row>
    <row r="61" spans="1:35" x14ac:dyDescent="0.35">
      <c r="A61">
        <f>40+273.15</f>
        <v>313.14999999999998</v>
      </c>
      <c r="B61">
        <v>0.4</v>
      </c>
      <c r="C61">
        <v>34.136800000000001</v>
      </c>
      <c r="D61">
        <v>0.18570999999999999</v>
      </c>
      <c r="E61">
        <f>$B$55/(A61*C61)</f>
        <v>1.4987706159877667E-23</v>
      </c>
      <c r="F61">
        <f>E61*SQRT((D61/C61)^2+(B61/A61)^2)</f>
        <v>8.3753062284904604E-26</v>
      </c>
      <c r="G61">
        <v>231.17122000000001</v>
      </c>
      <c r="I61">
        <v>0.60680999999999996</v>
      </c>
      <c r="J61">
        <v>3.7495000000000001E-2</v>
      </c>
      <c r="K61">
        <v>1.41353</v>
      </c>
      <c r="M61">
        <v>36.930889999999998</v>
      </c>
      <c r="N61">
        <v>4.224E-2</v>
      </c>
      <c r="O61">
        <f>$B$55/(A61*M61)</f>
        <v>1.3853777356530319E-23</v>
      </c>
      <c r="P61">
        <f>O61*SQRT((N61/M61)^2+(B61/A61)^2)</f>
        <v>2.3753422482352784E-26</v>
      </c>
      <c r="Q61">
        <v>9.4826700000000006</v>
      </c>
      <c r="R61">
        <f>(O61/P61^2+O62/P62^2+O63/P63^2)/(1/P61^2+1/P62^2+1/P63^2)</f>
        <v>1.3777153244892248E-23</v>
      </c>
      <c r="S61">
        <f>SQRT(1/(1/P61^2+1/P62^2+1/P63^2))</f>
        <v>1.1624012851482211E-26</v>
      </c>
    </row>
    <row r="62" spans="1:35" x14ac:dyDescent="0.35">
      <c r="A62">
        <f>80+273.15</f>
        <v>353.15</v>
      </c>
      <c r="B62">
        <v>0.4</v>
      </c>
      <c r="C62">
        <v>30.27542</v>
      </c>
      <c r="D62">
        <v>0.16694999999999999</v>
      </c>
      <c r="E62">
        <f t="shared" ref="E62:E63" si="12">$B$55/(A62*C62)</f>
        <v>1.4985146961110517E-23</v>
      </c>
      <c r="F62">
        <f t="shared" ref="F62:F63" si="13">E62*SQRT((D62/C62)^2+(B62/A62)^2)</f>
        <v>8.4358858566590902E-26</v>
      </c>
      <c r="G62">
        <v>224.72234</v>
      </c>
      <c r="I62">
        <v>0.69195200000000001</v>
      </c>
      <c r="J62">
        <v>2.7975799999999999E-2</v>
      </c>
      <c r="K62">
        <v>0.89215</v>
      </c>
      <c r="M62">
        <v>32.928660000000001</v>
      </c>
      <c r="N62">
        <v>3.3059999999999999E-2</v>
      </c>
      <c r="O62">
        <f t="shared" ref="O62:O63" si="14">$B$55/(A62*M62)</f>
        <v>1.377771272834499E-23</v>
      </c>
      <c r="P62">
        <f t="shared" ref="P62:P63" si="15">O62*SQRT((N62/M62)^2+(B62/A62)^2)</f>
        <v>2.0853645874251419E-26</v>
      </c>
      <c r="Q62">
        <v>6.9478200000000001</v>
      </c>
    </row>
    <row r="63" spans="1:35" x14ac:dyDescent="0.35">
      <c r="A63">
        <f>120+273.15</f>
        <v>393.15</v>
      </c>
      <c r="B63">
        <v>0.4</v>
      </c>
      <c r="C63">
        <v>27.499970000000001</v>
      </c>
      <c r="D63">
        <v>0.11065999999999999</v>
      </c>
      <c r="E63">
        <f t="shared" si="12"/>
        <v>1.4819033973440274E-23</v>
      </c>
      <c r="F63">
        <f t="shared" si="13"/>
        <v>6.150838456493681E-26</v>
      </c>
      <c r="G63">
        <v>209.71134000000001</v>
      </c>
      <c r="I63">
        <v>0.74352399999999996</v>
      </c>
      <c r="J63">
        <v>2.0358899999999999E-2</v>
      </c>
      <c r="K63">
        <v>1.1155900000000001</v>
      </c>
      <c r="M63">
        <v>29.668299999999999</v>
      </c>
      <c r="N63">
        <v>2.214E-2</v>
      </c>
      <c r="O63">
        <f t="shared" si="14"/>
        <v>1.3735973739600463E-23</v>
      </c>
      <c r="P63">
        <f t="shared" si="15"/>
        <v>1.7331516678911146E-26</v>
      </c>
      <c r="Q63">
        <v>6.74308</v>
      </c>
    </row>
    <row r="68" spans="9:19" x14ac:dyDescent="0.35">
      <c r="I68" t="s">
        <v>42</v>
      </c>
    </row>
    <row r="69" spans="9:19" x14ac:dyDescent="0.35">
      <c r="I69">
        <v>0.67222499999999996</v>
      </c>
      <c r="J69">
        <v>3.42803E-2</v>
      </c>
      <c r="K69">
        <v>2.2825899999999999</v>
      </c>
      <c r="M69">
        <v>37.262160000000002</v>
      </c>
      <c r="N69">
        <v>6.3E-2</v>
      </c>
      <c r="O69">
        <v>1.3730613781877165E-23</v>
      </c>
      <c r="P69">
        <v>2.321466786300798E-26</v>
      </c>
      <c r="Q69">
        <v>20.543389999999999</v>
      </c>
    </row>
    <row r="70" spans="9:19" x14ac:dyDescent="0.35">
      <c r="I70">
        <v>0.77807700000000002</v>
      </c>
      <c r="J70">
        <v>3.66533E-2</v>
      </c>
      <c r="K70">
        <v>3.2264900000000001</v>
      </c>
      <c r="M70">
        <v>33.294820000000001</v>
      </c>
      <c r="N70">
        <v>5.5149999999999998E-2</v>
      </c>
      <c r="O70">
        <v>1.3626192242797664E-23</v>
      </c>
      <c r="P70">
        <v>2.2570613152144722E-26</v>
      </c>
      <c r="Q70">
        <v>18.73546</v>
      </c>
    </row>
    <row r="71" spans="9:19" x14ac:dyDescent="0.35">
      <c r="I71">
        <v>0.89384399999999997</v>
      </c>
      <c r="J71">
        <v>3.5025300000000002E-2</v>
      </c>
      <c r="K71">
        <v>6.5576699999999999</v>
      </c>
      <c r="M71">
        <v>30.151240000000001</v>
      </c>
      <c r="N71">
        <v>4.326E-2</v>
      </c>
      <c r="O71">
        <v>1.3515961190935708E-23</v>
      </c>
      <c r="P71">
        <v>1.9392253224738975E-26</v>
      </c>
      <c r="Q71">
        <v>24.566859999999998</v>
      </c>
    </row>
    <row r="75" spans="9:19" x14ac:dyDescent="0.35">
      <c r="I75" t="s">
        <v>45</v>
      </c>
    </row>
    <row r="76" spans="9:19" x14ac:dyDescent="0.35">
      <c r="I76" t="s">
        <v>35</v>
      </c>
      <c r="J76" t="s">
        <v>37</v>
      </c>
      <c r="K76" t="s">
        <v>36</v>
      </c>
      <c r="M76" t="s">
        <v>38</v>
      </c>
      <c r="N76" t="s">
        <v>39</v>
      </c>
      <c r="O76" t="s">
        <v>30</v>
      </c>
      <c r="P76" t="s">
        <v>32</v>
      </c>
      <c r="Q76" t="s">
        <v>40</v>
      </c>
      <c r="R76" t="s">
        <v>43</v>
      </c>
      <c r="S76" t="s">
        <v>44</v>
      </c>
    </row>
    <row r="77" spans="9:19" x14ac:dyDescent="0.35">
      <c r="I77">
        <v>0.60680999999999996</v>
      </c>
      <c r="J77">
        <v>3.7495000000000001E-2</v>
      </c>
      <c r="K77">
        <v>1.41353</v>
      </c>
      <c r="M77">
        <v>36.882770000000001</v>
      </c>
      <c r="N77">
        <v>5.398E-2</v>
      </c>
      <c r="O77">
        <f>$B$55/(A61*M61)</f>
        <v>1.3853777356530319E-23</v>
      </c>
      <c r="P77">
        <f>O77*SQRT((N77/M77)^2+(B61/A61)^2)</f>
        <v>2.6912015989867197E-26</v>
      </c>
      <c r="Q77">
        <v>2.9209399999999999</v>
      </c>
      <c r="R77">
        <f>(O77/P77^2+O78/P78^2+O79/P79^2)/(1/P77^2+1/P78^2+1/P79^2)</f>
        <v>1.3787316984214258E-23</v>
      </c>
      <c r="S77">
        <f>SQRT(1/(1/P77^2+1/P78^2+1/P79^2))</f>
        <v>1.4546410379448299E-26</v>
      </c>
    </row>
    <row r="78" spans="9:19" x14ac:dyDescent="0.35">
      <c r="I78">
        <v>0.69195200000000001</v>
      </c>
      <c r="J78">
        <v>2.7975799999999999E-2</v>
      </c>
      <c r="K78">
        <v>0.89215</v>
      </c>
      <c r="M78">
        <v>32.85575</v>
      </c>
      <c r="N78">
        <v>3.9780000000000003E-2</v>
      </c>
      <c r="O78">
        <f t="shared" ref="O78:O79" si="16">$B$55/(A62*M62)</f>
        <v>1.377771272834499E-23</v>
      </c>
      <c r="P78">
        <f t="shared" ref="P78:P79" si="17">O78*SQRT((N78/M78)^2+(B62/A62)^2)</f>
        <v>2.2842908012549916E-26</v>
      </c>
      <c r="Q78">
        <v>1.4684299999999999</v>
      </c>
    </row>
    <row r="79" spans="9:19" x14ac:dyDescent="0.35">
      <c r="I79">
        <v>0.74352399999999996</v>
      </c>
      <c r="J79">
        <v>2.0358899999999999E-2</v>
      </c>
      <c r="K79">
        <v>1.1155900000000001</v>
      </c>
      <c r="M79">
        <v>29.846720000000001</v>
      </c>
      <c r="N79">
        <v>4.8809999999999999E-2</v>
      </c>
      <c r="O79">
        <f t="shared" si="16"/>
        <v>1.3735973739600463E-23</v>
      </c>
      <c r="P79">
        <f t="shared" si="17"/>
        <v>2.6455707176397999E-26</v>
      </c>
      <c r="Q79">
        <v>6.74308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Photoeffekt</vt:lpstr>
      <vt:lpstr>Boltzmann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2021-12-01T05:36:06Z</dcterms:created>
  <dcterms:modified xsi:type="dcterms:W3CDTF">2021-12-05T16:07:16Z</dcterms:modified>
</cp:coreProperties>
</file>