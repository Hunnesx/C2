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31\Selin und Janek\"/>
    </mc:Choice>
  </mc:AlternateContent>
  <xr:revisionPtr revIDLastSave="0" documentId="13_ncr:1_{9A7BA7C7-1F6A-4650-96E3-76D7F9260269}" xr6:coauthVersionLast="47" xr6:coauthVersionMax="47" xr10:uidLastSave="{00000000-0000-0000-0000-000000000000}"/>
  <bookViews>
    <workbookView xWindow="10785" yWindow="1845" windowWidth="21600" windowHeight="11385" activeTab="1" xr2:uid="{380E9B42-18D0-4040-8F54-76B3CE197337}"/>
  </bookViews>
  <sheets>
    <sheet name="Tabelle1" sheetId="1" r:id="rId1"/>
    <sheet name="Dampfdruckkurve" sheetId="3" r:id="rId2"/>
    <sheet name="Dampfdruck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" i="3" l="1"/>
  <c r="C70" i="3"/>
  <c r="D70" i="3"/>
  <c r="F70" i="3"/>
  <c r="G70" i="3"/>
  <c r="I70" i="3"/>
  <c r="J70" i="3"/>
  <c r="A70" i="3"/>
  <c r="C69" i="3"/>
  <c r="D69" i="3"/>
  <c r="E69" i="3"/>
  <c r="F69" i="3"/>
  <c r="G69" i="3"/>
  <c r="H69" i="3"/>
  <c r="I69" i="3"/>
  <c r="J69" i="3"/>
  <c r="A69" i="3"/>
  <c r="C3" i="3"/>
  <c r="C4" i="3"/>
  <c r="C5" i="3"/>
  <c r="C6" i="3"/>
  <c r="C7" i="3"/>
  <c r="C8" i="3"/>
  <c r="C2" i="3"/>
  <c r="B3" i="3"/>
  <c r="B4" i="3"/>
  <c r="B5" i="3"/>
  <c r="B6" i="3"/>
  <c r="B7" i="3"/>
  <c r="B8" i="3"/>
  <c r="B9" i="3"/>
  <c r="B10" i="3"/>
  <c r="B2" i="3"/>
  <c r="J67" i="3"/>
  <c r="I67" i="3"/>
  <c r="H67" i="3"/>
  <c r="G67" i="3"/>
  <c r="F67" i="3"/>
  <c r="E67" i="3"/>
  <c r="D67" i="3"/>
  <c r="C67" i="3"/>
  <c r="A67" i="3"/>
  <c r="L10" i="2"/>
  <c r="N10" i="2"/>
  <c r="J10" i="2"/>
  <c r="H10" i="2"/>
  <c r="F10" i="2"/>
  <c r="D10" i="2"/>
  <c r="B10" i="2"/>
</calcChain>
</file>

<file path=xl/sharedStrings.xml><?xml version="1.0" encoding="utf-8"?>
<sst xmlns="http://schemas.openxmlformats.org/spreadsheetml/2006/main" count="35" uniqueCount="21">
  <si>
    <t>30grad</t>
  </si>
  <si>
    <t>flüssig</t>
  </si>
  <si>
    <t>a</t>
  </si>
  <si>
    <t>b</t>
  </si>
  <si>
    <t>y=a+bx</t>
  </si>
  <si>
    <t>schnittpunkte</t>
  </si>
  <si>
    <t>Dampfdruck</t>
  </si>
  <si>
    <t>gas</t>
  </si>
  <si>
    <t>T</t>
  </si>
  <si>
    <t>1/T</t>
  </si>
  <si>
    <t>p-Maxwell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</si>
  <si>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</si>
  <si>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</si>
  <si>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</si>
  <si>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</si>
  <si>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</si>
  <si>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</si>
  <si>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</si>
  <si>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</si>
  <si>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</si>
  <si>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!!36.8125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</si>
</sst>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2D30-DB93-4877-A841-64F7364BA4D3}">
  <dimension ref="A1:O28"/>
  <sheetViews>
    <sheetView zoomScaleNormal="100" workbookViewId="0">
      <selection activeCell="I23" sqref="I23"/>
    </sheetView>
  </sheetViews>
  <sheetFormatPr baseColWidth="10" defaultRowHeight="15" x14ac:dyDescent="0.25"/>
  <cols>
    <col min="3" max="3" width="12" bestFit="1" customWidth="1"/>
    <col min="8" max="8" width="12" bestFit="1" customWidth="1"/>
  </cols>
  <sheetData>
    <row r="1" spans="1:9" x14ac:dyDescent="0.25">
      <c r="C1" t="s">
        <v>2</v>
      </c>
      <c r="D1" t="s">
        <v>3</v>
      </c>
      <c r="F1" t="s">
        <v>4</v>
      </c>
      <c r="G1" t="s">
        <v>5</v>
      </c>
      <c r="I1" t="s">
        <v>6</v>
      </c>
    </row>
    <row r="2" spans="1:9" x14ac:dyDescent="0.25">
      <c r="A2" t="s">
        <v>0</v>
      </c>
      <c r="B2" t="s">
        <v>1</v>
      </c>
      <c r="C2">
        <v>202.91667000000001</v>
      </c>
      <c r="D2">
        <v>-425</v>
      </c>
      <c r="G2">
        <v>1</v>
      </c>
      <c r="H2">
        <v>0.42122351332878</v>
      </c>
      <c r="I2">
        <v>24.058823499999999</v>
      </c>
    </row>
    <row r="3" spans="1:9" x14ac:dyDescent="0.25">
      <c r="B3" t="s">
        <v>7</v>
      </c>
      <c r="C3">
        <v>24.248380000000001</v>
      </c>
      <c r="D3">
        <v>-0.1981</v>
      </c>
      <c r="G3">
        <v>2</v>
      </c>
      <c r="H3">
        <v>1.6695146958305001</v>
      </c>
      <c r="I3">
        <v>24.058823499999999</v>
      </c>
    </row>
    <row r="5" spans="1:9" x14ac:dyDescent="0.25">
      <c r="A5">
        <v>35</v>
      </c>
      <c r="B5" t="s">
        <v>1</v>
      </c>
      <c r="C5">
        <v>167.70832999999999</v>
      </c>
      <c r="D5">
        <v>-315</v>
      </c>
      <c r="H5">
        <v>0.44548872180450999</v>
      </c>
      <c r="I5">
        <v>27.428571428571427</v>
      </c>
    </row>
    <row r="6" spans="1:9" x14ac:dyDescent="0.25">
      <c r="B6" t="s">
        <v>7</v>
      </c>
      <c r="C6">
        <v>36.991379999999999</v>
      </c>
      <c r="D6">
        <v>-6.9827599999999999</v>
      </c>
      <c r="H6">
        <v>1.3687058555480001</v>
      </c>
      <c r="I6">
        <v>27.428571428571427</v>
      </c>
    </row>
    <row r="8" spans="1:9" x14ac:dyDescent="0.25">
      <c r="A8">
        <v>40</v>
      </c>
      <c r="B8" t="s">
        <v>1</v>
      </c>
      <c r="C8">
        <v>118.25</v>
      </c>
      <c r="D8">
        <v>-185</v>
      </c>
      <c r="H8">
        <v>0.47282980177716999</v>
      </c>
      <c r="I8">
        <v>30.833333333333332</v>
      </c>
    </row>
    <row r="9" spans="1:9" x14ac:dyDescent="0.25">
      <c r="B9" t="s">
        <v>7</v>
      </c>
      <c r="C9">
        <v>40.450000000000003</v>
      </c>
      <c r="D9">
        <v>-8.25</v>
      </c>
      <c r="H9">
        <v>1.1659261790841</v>
      </c>
      <c r="I9">
        <v>30.833333333333332</v>
      </c>
    </row>
    <row r="11" spans="1:9" x14ac:dyDescent="0.25">
      <c r="A11">
        <v>42</v>
      </c>
      <c r="B11" t="s">
        <v>1</v>
      </c>
      <c r="C11">
        <v>151.16667000000001</v>
      </c>
      <c r="D11">
        <v>-250</v>
      </c>
      <c r="H11">
        <v>0.47556390977444002</v>
      </c>
      <c r="I11">
        <v>32.299999999999997</v>
      </c>
    </row>
    <row r="12" spans="1:9" x14ac:dyDescent="0.25">
      <c r="B12" t="s">
        <v>7</v>
      </c>
      <c r="C12">
        <v>39.756250000000001</v>
      </c>
      <c r="D12">
        <v>-7.125</v>
      </c>
      <c r="H12">
        <v>1.046992481203</v>
      </c>
      <c r="I12">
        <v>32.299999999999997</v>
      </c>
    </row>
    <row r="14" spans="1:9" x14ac:dyDescent="0.25">
      <c r="A14">
        <v>44</v>
      </c>
      <c r="B14" t="s">
        <v>1</v>
      </c>
      <c r="C14">
        <v>187.33332999999999</v>
      </c>
      <c r="D14">
        <v>-325</v>
      </c>
      <c r="H14">
        <v>0.47191843244475001</v>
      </c>
      <c r="I14">
        <v>33.964285714285715</v>
      </c>
    </row>
    <row r="15" spans="1:9" x14ac:dyDescent="0.25">
      <c r="B15" t="s">
        <v>7</v>
      </c>
      <c r="C15">
        <v>43.213859999999997</v>
      </c>
      <c r="D15">
        <v>-9.5180699999999998</v>
      </c>
      <c r="H15">
        <v>0.97089314194577003</v>
      </c>
      <c r="I15">
        <v>33.964285714285715</v>
      </c>
    </row>
    <row r="17" spans="1:15" x14ac:dyDescent="0.25">
      <c r="A17">
        <v>45</v>
      </c>
      <c r="B17" t="s">
        <v>1</v>
      </c>
      <c r="C17">
        <v>145.15</v>
      </c>
      <c r="D17">
        <v>-221</v>
      </c>
      <c r="H17">
        <v>0.50017088174983004</v>
      </c>
      <c r="I17">
        <v>34.75</v>
      </c>
    </row>
    <row r="18" spans="1:15" x14ac:dyDescent="0.25">
      <c r="B18" t="s">
        <v>7</v>
      </c>
      <c r="C18">
        <v>39</v>
      </c>
      <c r="D18">
        <v>-5</v>
      </c>
      <c r="H18">
        <v>0.84968102073365004</v>
      </c>
      <c r="I18">
        <v>34.75</v>
      </c>
    </row>
    <row r="20" spans="1:15" x14ac:dyDescent="0.25">
      <c r="A20">
        <v>46</v>
      </c>
      <c r="B20" t="s">
        <v>1</v>
      </c>
      <c r="C20">
        <v>61.125</v>
      </c>
      <c r="D20">
        <v>-45</v>
      </c>
      <c r="H20">
        <v>0.56077694235589004</v>
      </c>
      <c r="I20">
        <v>35.9375</v>
      </c>
    </row>
    <row r="21" spans="1:15" x14ac:dyDescent="0.25">
      <c r="B21" t="s">
        <v>7</v>
      </c>
      <c r="C21">
        <v>39.049999999999997</v>
      </c>
      <c r="D21">
        <v>-4</v>
      </c>
      <c r="H21">
        <v>0.77899293688767002</v>
      </c>
      <c r="I21">
        <v>35.9375</v>
      </c>
    </row>
    <row r="23" spans="1:15" x14ac:dyDescent="0.25">
      <c r="A23">
        <v>47</v>
      </c>
      <c r="B23" t="s">
        <v>1</v>
      </c>
      <c r="C23">
        <v>61.708329999999997</v>
      </c>
      <c r="D23">
        <v>-45</v>
      </c>
      <c r="H23">
        <v>0.55348598769651003</v>
      </c>
      <c r="I23">
        <v>36.8125</v>
      </c>
    </row>
    <row r="24" spans="1:15" x14ac:dyDescent="0.25">
      <c r="B24" t="s">
        <v>7</v>
      </c>
      <c r="C24">
        <v>41.541670000000003</v>
      </c>
      <c r="D24">
        <v>-6.25</v>
      </c>
      <c r="H24">
        <v>0.75489861016176996</v>
      </c>
      <c r="I24">
        <v>36.8125</v>
      </c>
    </row>
    <row r="26" spans="1:15" x14ac:dyDescent="0.25">
      <c r="N26">
        <v>0.55349000000000004</v>
      </c>
      <c r="O26">
        <v>36.8125</v>
      </c>
    </row>
    <row r="28" spans="1:15" x14ac:dyDescent="0.25">
      <c r="N28">
        <v>0.75490000000000002</v>
      </c>
      <c r="O28">
        <v>36.8125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F33A-A1C3-4DA0-8458-5A8C4D6256A1}">
  <dimension ref="A1:J78"/>
  <sheetViews>
    <sheetView tabSelected="1" topLeftCell="A61" workbookViewId="0">
      <selection activeCell="A72" sqref="A72:A78"/>
    </sheetView>
  </sheetViews>
  <sheetFormatPr baseColWidth="10" defaultRowHeight="15" x14ac:dyDescent="0.25"/>
  <cols>
    <col min="1" max="1" width="12" bestFit="1" customWidth="1"/>
  </cols>
  <sheetData>
    <row r="1" spans="1:10" x14ac:dyDescent="0.25">
      <c r="A1" t="s">
        <v>8</v>
      </c>
      <c r="C1" t="s">
        <v>9</v>
      </c>
      <c r="D1" t="s">
        <v>10</v>
      </c>
    </row>
    <row r="2" spans="1:10" x14ac:dyDescent="0.25">
      <c r="A2">
        <v>29.661999999999999</v>
      </c>
      <c r="B2">
        <f>A2+273.15</f>
        <v>302.81199999999995</v>
      </c>
      <c r="C2">
        <f>1/B2</f>
        <v>3.3023790338559903E-3</v>
      </c>
      <c r="D2">
        <v>24.058823499999999</v>
      </c>
    </row>
    <row r="3" spans="1:10" x14ac:dyDescent="0.25">
      <c r="A3">
        <v>34.600000000000009</v>
      </c>
      <c r="B3">
        <f t="shared" ref="B3:B10" si="0">A3+273.15</f>
        <v>307.75</v>
      </c>
      <c r="C3">
        <f t="shared" ref="C3:C8" si="1">1/B3</f>
        <v>3.249390739236393E-3</v>
      </c>
      <c r="D3">
        <v>27.428571428571427</v>
      </c>
    </row>
    <row r="4" spans="1:10" x14ac:dyDescent="0.25">
      <c r="A4">
        <v>39.57222222222223</v>
      </c>
      <c r="B4">
        <f t="shared" si="0"/>
        <v>312.72222222222223</v>
      </c>
      <c r="C4">
        <f t="shared" si="1"/>
        <v>3.1977260614674007E-3</v>
      </c>
      <c r="D4">
        <v>30.833333333333332</v>
      </c>
    </row>
    <row r="5" spans="1:10" x14ac:dyDescent="0.25">
      <c r="A5">
        <v>41.611764705882365</v>
      </c>
      <c r="B5">
        <f t="shared" si="0"/>
        <v>314.76176470588234</v>
      </c>
      <c r="C5">
        <f t="shared" si="1"/>
        <v>3.1770059522140928E-3</v>
      </c>
      <c r="D5">
        <v>32.299999999999997</v>
      </c>
    </row>
    <row r="6" spans="1:10" x14ac:dyDescent="0.25">
      <c r="A6">
        <v>43.568421052631585</v>
      </c>
      <c r="B6">
        <f t="shared" si="0"/>
        <v>316.71842105263158</v>
      </c>
      <c r="C6">
        <f t="shared" si="1"/>
        <v>3.1573787109585969E-3</v>
      </c>
      <c r="D6">
        <v>33.964285714285715</v>
      </c>
    </row>
    <row r="7" spans="1:10" x14ac:dyDescent="0.25">
      <c r="A7">
        <v>44.563157894736854</v>
      </c>
      <c r="B7">
        <f t="shared" si="0"/>
        <v>317.71315789473681</v>
      </c>
      <c r="C7">
        <f t="shared" si="1"/>
        <v>3.147493187333825E-3</v>
      </c>
      <c r="D7">
        <v>34.75</v>
      </c>
    </row>
    <row r="8" spans="1:10" x14ac:dyDescent="0.25">
      <c r="A8">
        <v>46.094444444444463</v>
      </c>
      <c r="B8">
        <f t="shared" si="0"/>
        <v>319.24444444444441</v>
      </c>
      <c r="C8">
        <f t="shared" si="1"/>
        <v>3.1323959348461649E-3</v>
      </c>
      <c r="D8">
        <v>35.9375</v>
      </c>
    </row>
    <row r="9" spans="1:10" x14ac:dyDescent="0.25">
      <c r="A9">
        <v>47</v>
      </c>
      <c r="B9">
        <f t="shared" si="0"/>
        <v>320.14999999999998</v>
      </c>
      <c r="D9" t="s">
        <v>20</v>
      </c>
    </row>
    <row r="10" spans="1:10" x14ac:dyDescent="0.25">
      <c r="A10">
        <v>49</v>
      </c>
      <c r="B10">
        <f t="shared" si="0"/>
        <v>322.14999999999998</v>
      </c>
    </row>
    <row r="15" spans="1:10" x14ac:dyDescent="0.25">
      <c r="A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 spans="1:10" x14ac:dyDescent="0.25">
      <c r="A16">
        <v>29.6</v>
      </c>
      <c r="C16">
        <v>34.6</v>
      </c>
      <c r="D16">
        <v>39.6</v>
      </c>
      <c r="E16">
        <v>41.7</v>
      </c>
      <c r="F16">
        <v>43.6</v>
      </c>
      <c r="G16">
        <v>44.6</v>
      </c>
      <c r="H16">
        <v>46.1</v>
      </c>
      <c r="I16">
        <v>47</v>
      </c>
      <c r="J16">
        <v>49</v>
      </c>
    </row>
    <row r="17" spans="1:10" x14ac:dyDescent="0.25">
      <c r="A17">
        <v>29.6</v>
      </c>
      <c r="C17">
        <v>34.6</v>
      </c>
      <c r="D17">
        <v>39.5</v>
      </c>
      <c r="E17">
        <v>41.7</v>
      </c>
      <c r="F17">
        <v>43.6</v>
      </c>
      <c r="G17">
        <v>44.6</v>
      </c>
      <c r="H17">
        <v>46.2</v>
      </c>
      <c r="I17">
        <v>47</v>
      </c>
      <c r="J17">
        <v>49</v>
      </c>
    </row>
    <row r="18" spans="1:10" x14ac:dyDescent="0.25">
      <c r="A18">
        <v>29.6</v>
      </c>
      <c r="C18">
        <v>34.6</v>
      </c>
      <c r="D18">
        <v>39.5</v>
      </c>
      <c r="E18">
        <v>41.6</v>
      </c>
      <c r="F18">
        <v>43.6</v>
      </c>
      <c r="G18">
        <v>44.6</v>
      </c>
      <c r="H18">
        <v>46.2</v>
      </c>
      <c r="I18">
        <v>47</v>
      </c>
      <c r="J18">
        <v>49</v>
      </c>
    </row>
    <row r="19" spans="1:10" x14ac:dyDescent="0.25">
      <c r="A19">
        <v>29.6</v>
      </c>
      <c r="C19">
        <v>34.6</v>
      </c>
      <c r="D19">
        <v>39.5</v>
      </c>
      <c r="E19">
        <v>41.6</v>
      </c>
      <c r="F19">
        <v>43.5</v>
      </c>
      <c r="G19">
        <v>44.6</v>
      </c>
      <c r="H19">
        <v>46</v>
      </c>
      <c r="I19">
        <v>47</v>
      </c>
      <c r="J19">
        <v>49</v>
      </c>
    </row>
    <row r="20" spans="1:10" x14ac:dyDescent="0.25">
      <c r="A20">
        <v>29.6</v>
      </c>
      <c r="C20">
        <v>34.6</v>
      </c>
      <c r="D20">
        <v>39.5</v>
      </c>
      <c r="E20">
        <v>41.6</v>
      </c>
      <c r="F20">
        <v>43.5</v>
      </c>
      <c r="G20">
        <v>44.6</v>
      </c>
      <c r="H20">
        <v>46</v>
      </c>
      <c r="I20">
        <v>47</v>
      </c>
      <c r="J20">
        <v>49</v>
      </c>
    </row>
    <row r="21" spans="1:10" x14ac:dyDescent="0.25">
      <c r="A21">
        <v>29.6</v>
      </c>
      <c r="C21">
        <v>34.6</v>
      </c>
      <c r="D21">
        <v>39.6</v>
      </c>
      <c r="E21">
        <v>41.6</v>
      </c>
      <c r="F21">
        <v>43.5</v>
      </c>
      <c r="G21">
        <v>44.5</v>
      </c>
      <c r="H21">
        <v>46</v>
      </c>
      <c r="I21">
        <v>47</v>
      </c>
      <c r="J21">
        <v>49</v>
      </c>
    </row>
    <row r="22" spans="1:10" x14ac:dyDescent="0.25">
      <c r="A22">
        <v>29.6</v>
      </c>
      <c r="C22">
        <v>34.6</v>
      </c>
      <c r="D22">
        <v>39.6</v>
      </c>
      <c r="E22">
        <v>41.6</v>
      </c>
      <c r="F22">
        <v>43.6</v>
      </c>
      <c r="G22">
        <v>44.5</v>
      </c>
      <c r="H22">
        <v>46.1</v>
      </c>
      <c r="I22">
        <v>47</v>
      </c>
      <c r="J22">
        <v>49</v>
      </c>
    </row>
    <row r="23" spans="1:10" x14ac:dyDescent="0.25">
      <c r="A23">
        <v>29.6</v>
      </c>
      <c r="C23">
        <v>34.6</v>
      </c>
      <c r="D23">
        <v>39.6</v>
      </c>
      <c r="E23">
        <v>41.6</v>
      </c>
      <c r="F23">
        <v>43.6</v>
      </c>
      <c r="G23">
        <v>44.5</v>
      </c>
      <c r="H23">
        <v>46.1</v>
      </c>
      <c r="I23">
        <v>47</v>
      </c>
      <c r="J23">
        <v>49</v>
      </c>
    </row>
    <row r="24" spans="1:10" x14ac:dyDescent="0.25">
      <c r="A24">
        <v>29.6</v>
      </c>
      <c r="C24">
        <v>34.6</v>
      </c>
      <c r="D24">
        <v>39.6</v>
      </c>
      <c r="E24">
        <v>41.6</v>
      </c>
      <c r="F24">
        <v>43.5</v>
      </c>
      <c r="G24">
        <v>44.5</v>
      </c>
      <c r="H24">
        <v>46.1</v>
      </c>
      <c r="I24">
        <v>47</v>
      </c>
      <c r="J24">
        <v>49</v>
      </c>
    </row>
    <row r="25" spans="1:10" x14ac:dyDescent="0.25">
      <c r="A25">
        <v>29.6</v>
      </c>
      <c r="C25">
        <v>34.6</v>
      </c>
      <c r="D25">
        <v>39.5</v>
      </c>
      <c r="E25">
        <v>41.6</v>
      </c>
      <c r="F25">
        <v>43.6</v>
      </c>
      <c r="G25">
        <v>44.6</v>
      </c>
      <c r="H25">
        <v>46.1</v>
      </c>
      <c r="I25">
        <v>47</v>
      </c>
      <c r="J25">
        <v>49</v>
      </c>
    </row>
    <row r="26" spans="1:10" x14ac:dyDescent="0.25">
      <c r="A26">
        <v>29.6</v>
      </c>
      <c r="C26">
        <v>34.6</v>
      </c>
      <c r="D26">
        <v>39.6</v>
      </c>
      <c r="E26">
        <v>41.6</v>
      </c>
      <c r="F26">
        <v>43.5</v>
      </c>
      <c r="G26">
        <v>44.6</v>
      </c>
      <c r="H26">
        <v>46.1</v>
      </c>
      <c r="I26">
        <v>47</v>
      </c>
      <c r="J26">
        <v>49</v>
      </c>
    </row>
    <row r="27" spans="1:10" x14ac:dyDescent="0.25">
      <c r="A27">
        <v>29.6</v>
      </c>
      <c r="C27">
        <v>34.6</v>
      </c>
      <c r="D27">
        <v>39.6</v>
      </c>
      <c r="E27">
        <v>41.6</v>
      </c>
      <c r="F27">
        <v>43.6</v>
      </c>
      <c r="G27">
        <v>44.6</v>
      </c>
      <c r="H27">
        <v>46.1</v>
      </c>
      <c r="I27">
        <v>47</v>
      </c>
      <c r="J27">
        <v>49</v>
      </c>
    </row>
    <row r="28" spans="1:10" x14ac:dyDescent="0.25">
      <c r="A28">
        <v>29.6</v>
      </c>
      <c r="C28">
        <v>34.6</v>
      </c>
      <c r="D28">
        <v>39.6</v>
      </c>
      <c r="E28">
        <v>41.6</v>
      </c>
      <c r="F28">
        <v>43.6</v>
      </c>
      <c r="G28">
        <v>44.5</v>
      </c>
      <c r="H28">
        <v>46.1</v>
      </c>
      <c r="I28">
        <v>47</v>
      </c>
    </row>
    <row r="29" spans="1:10" x14ac:dyDescent="0.25">
      <c r="A29">
        <v>29.6</v>
      </c>
      <c r="C29">
        <v>34.6</v>
      </c>
      <c r="D29">
        <v>39.6</v>
      </c>
      <c r="E29">
        <v>41.6</v>
      </c>
      <c r="F29">
        <v>43.6</v>
      </c>
      <c r="G29">
        <v>44.5</v>
      </c>
      <c r="H29">
        <v>46.1</v>
      </c>
      <c r="I29">
        <v>47</v>
      </c>
    </row>
    <row r="30" spans="1:10" x14ac:dyDescent="0.25">
      <c r="A30">
        <v>29.7</v>
      </c>
      <c r="C30">
        <v>34.6</v>
      </c>
      <c r="D30">
        <v>39.6</v>
      </c>
      <c r="E30">
        <v>41.6</v>
      </c>
      <c r="F30">
        <v>43.6</v>
      </c>
      <c r="G30">
        <v>44.5</v>
      </c>
      <c r="H30">
        <v>46.1</v>
      </c>
      <c r="I30">
        <v>47</v>
      </c>
    </row>
    <row r="31" spans="1:10" x14ac:dyDescent="0.25">
      <c r="A31">
        <v>29.7</v>
      </c>
      <c r="C31">
        <v>34.6</v>
      </c>
      <c r="D31">
        <v>39.6</v>
      </c>
      <c r="E31">
        <v>41.6</v>
      </c>
      <c r="F31">
        <v>43.6</v>
      </c>
      <c r="G31">
        <v>44.6</v>
      </c>
      <c r="H31">
        <v>46.1</v>
      </c>
      <c r="I31">
        <v>47</v>
      </c>
    </row>
    <row r="32" spans="1:10" x14ac:dyDescent="0.25">
      <c r="A32">
        <v>29.7</v>
      </c>
      <c r="C32">
        <v>34.6</v>
      </c>
      <c r="D32">
        <v>39.6</v>
      </c>
      <c r="E32">
        <v>41.6</v>
      </c>
      <c r="F32">
        <v>43.5</v>
      </c>
      <c r="G32">
        <v>44.6</v>
      </c>
      <c r="H32">
        <v>46.1</v>
      </c>
      <c r="I32">
        <v>47</v>
      </c>
    </row>
    <row r="33" spans="1:8" x14ac:dyDescent="0.25">
      <c r="A33">
        <v>29.7</v>
      </c>
      <c r="C33">
        <v>34.6</v>
      </c>
      <c r="D33">
        <v>39.6</v>
      </c>
      <c r="F33">
        <v>43.6</v>
      </c>
      <c r="G33">
        <v>44.6</v>
      </c>
      <c r="H33">
        <v>46.1</v>
      </c>
    </row>
    <row r="34" spans="1:8" x14ac:dyDescent="0.25">
      <c r="A34">
        <v>29.6</v>
      </c>
      <c r="F34">
        <v>43.6</v>
      </c>
      <c r="G34">
        <v>44.6</v>
      </c>
    </row>
    <row r="35" spans="1:8" x14ac:dyDescent="0.25">
      <c r="A35">
        <v>29.6</v>
      </c>
    </row>
    <row r="36" spans="1:8" x14ac:dyDescent="0.25">
      <c r="A36">
        <v>29.7</v>
      </c>
    </row>
    <row r="37" spans="1:8" x14ac:dyDescent="0.25">
      <c r="A37">
        <v>29.7</v>
      </c>
    </row>
    <row r="38" spans="1:8" x14ac:dyDescent="0.25">
      <c r="A38">
        <v>29.7</v>
      </c>
    </row>
    <row r="39" spans="1:8" x14ac:dyDescent="0.25">
      <c r="A39">
        <v>29.6</v>
      </c>
    </row>
    <row r="40" spans="1:8" x14ac:dyDescent="0.25">
      <c r="A40">
        <v>29.6</v>
      </c>
    </row>
    <row r="41" spans="1:8" x14ac:dyDescent="0.25">
      <c r="A41">
        <v>29.7</v>
      </c>
    </row>
    <row r="42" spans="1:8" x14ac:dyDescent="0.25">
      <c r="A42">
        <v>29.7</v>
      </c>
    </row>
    <row r="43" spans="1:8" x14ac:dyDescent="0.25">
      <c r="A43">
        <v>29.7</v>
      </c>
    </row>
    <row r="44" spans="1:8" x14ac:dyDescent="0.25">
      <c r="A44">
        <v>29.7</v>
      </c>
    </row>
    <row r="45" spans="1:8" x14ac:dyDescent="0.25">
      <c r="A45">
        <v>29.7</v>
      </c>
    </row>
    <row r="46" spans="1:8" x14ac:dyDescent="0.25">
      <c r="A46">
        <v>29.7</v>
      </c>
    </row>
    <row r="47" spans="1:8" x14ac:dyDescent="0.25">
      <c r="A47">
        <v>29.7</v>
      </c>
    </row>
    <row r="48" spans="1:8" x14ac:dyDescent="0.25">
      <c r="A48">
        <v>29.7</v>
      </c>
    </row>
    <row r="49" spans="1:1" x14ac:dyDescent="0.25">
      <c r="A49">
        <v>29.6</v>
      </c>
    </row>
    <row r="50" spans="1:1" x14ac:dyDescent="0.25">
      <c r="A50">
        <v>29.7</v>
      </c>
    </row>
    <row r="51" spans="1:1" x14ac:dyDescent="0.25">
      <c r="A51">
        <v>29.7</v>
      </c>
    </row>
    <row r="52" spans="1:1" x14ac:dyDescent="0.25">
      <c r="A52">
        <v>29.7</v>
      </c>
    </row>
    <row r="53" spans="1:1" x14ac:dyDescent="0.25">
      <c r="A53">
        <v>29.7</v>
      </c>
    </row>
    <row r="54" spans="1:1" x14ac:dyDescent="0.25">
      <c r="A54">
        <v>29.7</v>
      </c>
    </row>
    <row r="55" spans="1:1" x14ac:dyDescent="0.25">
      <c r="A55">
        <v>29.7</v>
      </c>
    </row>
    <row r="56" spans="1:1" x14ac:dyDescent="0.25">
      <c r="A56">
        <v>29.7</v>
      </c>
    </row>
    <row r="57" spans="1:1" x14ac:dyDescent="0.25">
      <c r="A57">
        <v>29.7</v>
      </c>
    </row>
    <row r="58" spans="1:1" x14ac:dyDescent="0.25">
      <c r="A58">
        <v>29.7</v>
      </c>
    </row>
    <row r="59" spans="1:1" x14ac:dyDescent="0.25">
      <c r="A59">
        <v>29.7</v>
      </c>
    </row>
    <row r="60" spans="1:1" x14ac:dyDescent="0.25">
      <c r="A60">
        <v>29.7</v>
      </c>
    </row>
    <row r="61" spans="1:1" x14ac:dyDescent="0.25">
      <c r="A61">
        <v>29.7</v>
      </c>
    </row>
    <row r="62" spans="1:1" x14ac:dyDescent="0.25">
      <c r="A62">
        <v>29.7</v>
      </c>
    </row>
    <row r="63" spans="1:1" x14ac:dyDescent="0.25">
      <c r="A63">
        <v>29.7</v>
      </c>
    </row>
    <row r="64" spans="1:1" x14ac:dyDescent="0.25">
      <c r="A64">
        <v>29.7</v>
      </c>
    </row>
    <row r="65" spans="1:10" x14ac:dyDescent="0.25">
      <c r="A65">
        <v>29.7</v>
      </c>
    </row>
    <row r="67" spans="1:10" x14ac:dyDescent="0.25">
      <c r="A67">
        <f>SUM(A16:A65)/50</f>
        <v>29.662000000000024</v>
      </c>
      <c r="C67">
        <f>SUM(C16:C65)/18</f>
        <v>34.600000000000009</v>
      </c>
      <c r="D67">
        <f>SUM(D16:D65)/18</f>
        <v>39.57222222222223</v>
      </c>
      <c r="E67">
        <f>SUM(E16:E65)/17</f>
        <v>41.611764705882365</v>
      </c>
      <c r="F67">
        <f>SUM(F16:F65)/19</f>
        <v>43.568421052631585</v>
      </c>
      <c r="G67">
        <f>SUM(G16:G65)/19</f>
        <v>44.563157894736854</v>
      </c>
      <c r="H67">
        <f>SUM(H16:H65)/18</f>
        <v>46.094444444444463</v>
      </c>
      <c r="I67">
        <f>SUM(I16:I65)/17</f>
        <v>47</v>
      </c>
      <c r="J67">
        <f>SUM(J16:J65)/12</f>
        <v>49</v>
      </c>
    </row>
    <row r="69" spans="1:10" x14ac:dyDescent="0.25">
      <c r="A69">
        <f>A67+273.15</f>
        <v>302.81200000000001</v>
      </c>
      <c r="C69">
        <f t="shared" ref="B69:J69" si="2">C67+273.15</f>
        <v>307.75</v>
      </c>
      <c r="D69">
        <f t="shared" si="2"/>
        <v>312.72222222222223</v>
      </c>
      <c r="E69">
        <f t="shared" si="2"/>
        <v>314.76176470588234</v>
      </c>
      <c r="F69">
        <f t="shared" si="2"/>
        <v>316.71842105263158</v>
      </c>
      <c r="G69">
        <f t="shared" si="2"/>
        <v>317.71315789473681</v>
      </c>
      <c r="H69">
        <f t="shared" si="2"/>
        <v>319.24444444444441</v>
      </c>
      <c r="I69">
        <f t="shared" si="2"/>
        <v>320.14999999999998</v>
      </c>
      <c r="J69">
        <f t="shared" si="2"/>
        <v>322.14999999999998</v>
      </c>
    </row>
    <row r="70" spans="1:10" x14ac:dyDescent="0.25">
      <c r="A70">
        <f>2/((A69)^2)</f>
        <v>2.1811414566503242E-5</v>
      </c>
      <c r="C70">
        <f t="shared" ref="B70:J70" si="3">2/((C69)^2)</f>
        <v>2.1117080352470467E-5</v>
      </c>
      <c r="D70">
        <f t="shared" si="3"/>
        <v>2.0450903928375631E-5</v>
      </c>
      <c r="E70">
        <v>2.0186733640807551E-5</v>
      </c>
      <c r="F70">
        <f t="shared" si="3"/>
        <v>1.9938080648829138E-5</v>
      </c>
      <c r="G70">
        <f t="shared" si="3"/>
        <v>1.9813426728625683E-5</v>
      </c>
      <c r="H70">
        <f t="shared" si="3"/>
        <v>1.9623808585281557E-5</v>
      </c>
      <c r="I70">
        <f t="shared" si="3"/>
        <v>1.9512952319686358E-5</v>
      </c>
      <c r="J70">
        <f t="shared" si="3"/>
        <v>1.9271420346317543E-5</v>
      </c>
    </row>
    <row r="72" spans="1:10" x14ac:dyDescent="0.25">
      <c r="A72">
        <v>2.1811414566503242E-5</v>
      </c>
    </row>
    <row r="73" spans="1:10" x14ac:dyDescent="0.25">
      <c r="A73">
        <v>2.1117080352470467E-5</v>
      </c>
    </row>
    <row r="74" spans="1:10" x14ac:dyDescent="0.25">
      <c r="A74">
        <v>2.0450903928375631E-5</v>
      </c>
    </row>
    <row r="75" spans="1:10" x14ac:dyDescent="0.25">
      <c r="A75">
        <v>2.0186733640807551E-5</v>
      </c>
    </row>
    <row r="76" spans="1:10" x14ac:dyDescent="0.25">
      <c r="A76">
        <v>1.9938080648829138E-5</v>
      </c>
    </row>
    <row r="77" spans="1:10" x14ac:dyDescent="0.25">
      <c r="A77">
        <v>1.9813426728625683E-5</v>
      </c>
    </row>
    <row r="78" spans="1:10" x14ac:dyDescent="0.25">
      <c r="A78">
        <v>1.9623808585281557E-5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7D13-C391-43D5-A608-105AAFB7F787}">
  <dimension ref="B1:N10"/>
  <sheetViews>
    <sheetView workbookViewId="0">
      <selection activeCell="L10" sqref="L10"/>
    </sheetView>
  </sheetViews>
  <sheetFormatPr baseColWidth="10" defaultRowHeight="15" x14ac:dyDescent="0.25"/>
  <cols>
    <col min="2" max="2" width="12" bestFit="1" customWidth="1"/>
    <col min="4" max="4" width="12" bestFit="1" customWidth="1"/>
    <col min="8" max="8" width="12" bestFit="1" customWidth="1"/>
  </cols>
  <sheetData>
    <row r="1" spans="2:14" x14ac:dyDescent="0.25">
      <c r="B1">
        <v>27.5</v>
      </c>
      <c r="D1">
        <v>30.75</v>
      </c>
      <c r="F1">
        <v>32.25</v>
      </c>
      <c r="H1">
        <v>33.75</v>
      </c>
      <c r="J1">
        <v>34.5</v>
      </c>
      <c r="N1">
        <v>36.5</v>
      </c>
    </row>
    <row r="2" spans="2:14" x14ac:dyDescent="0.25">
      <c r="B2">
        <v>27.5</v>
      </c>
      <c r="D2">
        <v>30.75</v>
      </c>
      <c r="F2">
        <v>32.25</v>
      </c>
      <c r="H2">
        <v>33.75</v>
      </c>
      <c r="J2">
        <v>34.5</v>
      </c>
      <c r="N2">
        <v>36.75</v>
      </c>
    </row>
    <row r="3" spans="2:14" x14ac:dyDescent="0.25">
      <c r="B3">
        <v>27.5</v>
      </c>
      <c r="D3">
        <v>30.75</v>
      </c>
      <c r="F3">
        <v>32.25</v>
      </c>
      <c r="H3">
        <v>34</v>
      </c>
      <c r="J3">
        <v>34.75</v>
      </c>
      <c r="L3">
        <v>36</v>
      </c>
      <c r="N3">
        <v>37</v>
      </c>
    </row>
    <row r="4" spans="2:14" x14ac:dyDescent="0.25">
      <c r="B4">
        <v>27.5</v>
      </c>
      <c r="D4">
        <v>30.75</v>
      </c>
      <c r="F4">
        <v>32.25</v>
      </c>
      <c r="H4">
        <v>34</v>
      </c>
      <c r="J4">
        <v>34.75</v>
      </c>
      <c r="L4">
        <v>36</v>
      </c>
      <c r="N4">
        <v>37</v>
      </c>
    </row>
    <row r="5" spans="2:14" x14ac:dyDescent="0.25">
      <c r="B5">
        <v>27.5</v>
      </c>
      <c r="D5">
        <v>31</v>
      </c>
      <c r="F5">
        <v>32.5</v>
      </c>
      <c r="H5">
        <v>34</v>
      </c>
      <c r="J5">
        <v>34.75</v>
      </c>
      <c r="L5">
        <v>35.75</v>
      </c>
    </row>
    <row r="6" spans="2:14" x14ac:dyDescent="0.25">
      <c r="B6">
        <v>27</v>
      </c>
      <c r="D6">
        <v>31</v>
      </c>
      <c r="H6">
        <v>34</v>
      </c>
      <c r="J6">
        <v>35</v>
      </c>
      <c r="L6">
        <v>36</v>
      </c>
    </row>
    <row r="7" spans="2:14" x14ac:dyDescent="0.25">
      <c r="B7">
        <v>27.5</v>
      </c>
      <c r="H7">
        <v>34.25</v>
      </c>
      <c r="J7">
        <v>35</v>
      </c>
    </row>
    <row r="10" spans="2:14" x14ac:dyDescent="0.25">
      <c r="B10">
        <f>SUM(B1:B8)/7</f>
        <v>27.428571428571427</v>
      </c>
      <c r="D10">
        <f>SUM(D1:D8)/6</f>
        <v>30.833333333333332</v>
      </c>
      <c r="F10">
        <f>SUM(F1:F8)/5</f>
        <v>32.299999999999997</v>
      </c>
      <c r="H10">
        <f>SUM(H1:H8)/7</f>
        <v>33.964285714285715</v>
      </c>
      <c r="J10">
        <f>SUM(J1:J8)/7</f>
        <v>34.75</v>
      </c>
      <c r="L10">
        <f>SUM(L1:L8)/4</f>
        <v>35.9375</v>
      </c>
      <c r="N10">
        <f>SUM(N1:N8)/4</f>
        <v>36.8125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Dampfdruckkurve</vt:lpstr>
      <vt:lpstr>Dampfdrucke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selin</cp:lastModifiedBy>
  <dcterms:created xsi:type="dcterms:W3CDTF">2021-09-21T11:53:36Z</dcterms:created>
  <dcterms:modified xsi:type="dcterms:W3CDTF">2021-09-22T14:32:03Z</dcterms:modified>
</cp:coreProperties>
</file>