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31\Jonas und Jonathan\"/>
    </mc:Choice>
  </mc:AlternateContent>
  <xr:revisionPtr revIDLastSave="0" documentId="13_ncr:1_{3AE76BAE-43EF-4E74-945F-990D8A5EAA8A}" xr6:coauthVersionLast="47" xr6:coauthVersionMax="47" xr10:uidLastSave="{00000000-0000-0000-0000-000000000000}"/>
  <bookViews>
    <workbookView xWindow="-110" yWindow="-110" windowWidth="19420" windowHeight="10420" xr2:uid="{ABBE2530-7369-4CC1-AD2B-7AFBC2B81E63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1" l="1"/>
  <c r="P75" i="1"/>
  <c r="F75" i="1"/>
  <c r="K75" i="1"/>
  <c r="N75" i="1"/>
  <c r="H75" i="1"/>
  <c r="X72" i="1"/>
  <c r="X74" i="1" s="1"/>
  <c r="Y60" i="1"/>
  <c r="Y61" i="1" s="1"/>
  <c r="X60" i="1"/>
  <c r="E97" i="1"/>
  <c r="Y69" i="1"/>
  <c r="X68" i="1"/>
  <c r="Y68" i="1"/>
  <c r="Y57" i="1"/>
  <c r="X57" i="1"/>
  <c r="X56" i="1"/>
  <c r="Y56" i="1"/>
  <c r="H97" i="1"/>
  <c r="K97" i="1" s="1"/>
  <c r="D75" i="1"/>
  <c r="E75" i="1"/>
  <c r="S56" i="1"/>
  <c r="A81" i="1"/>
  <c r="A79" i="1"/>
  <c r="A77" i="1"/>
  <c r="C75" i="1"/>
  <c r="S57" i="1"/>
  <c r="S58" i="1"/>
  <c r="S59" i="1"/>
  <c r="S60" i="1"/>
  <c r="S61" i="1"/>
  <c r="R57" i="1"/>
  <c r="R58" i="1"/>
  <c r="R59" i="1"/>
  <c r="R60" i="1"/>
  <c r="R61" i="1"/>
  <c r="R56" i="1"/>
  <c r="T61" i="1"/>
  <c r="T60" i="1"/>
  <c r="T59" i="1"/>
  <c r="T58" i="1"/>
  <c r="T57" i="1"/>
  <c r="T56" i="1"/>
  <c r="O57" i="1"/>
  <c r="O58" i="1"/>
  <c r="O59" i="1"/>
  <c r="O60" i="1"/>
  <c r="O61" i="1"/>
  <c r="O56" i="1"/>
  <c r="P61" i="1"/>
  <c r="P60" i="1"/>
  <c r="P59" i="1"/>
  <c r="P58" i="1"/>
  <c r="P57" i="1"/>
  <c r="P56" i="1"/>
  <c r="X61" i="1" l="1"/>
  <c r="X63" i="1" s="1"/>
  <c r="X69" i="1"/>
  <c r="G75" i="1"/>
  <c r="E101" i="1"/>
  <c r="I97" i="1"/>
  <c r="L97" i="1"/>
  <c r="Y63" i="1" l="1"/>
  <c r="X73" i="1" s="1"/>
  <c r="G79" i="1"/>
  <c r="M82" i="1"/>
  <c r="J75" i="1"/>
  <c r="N82" i="1" l="1"/>
  <c r="Q75" i="1" l="1"/>
  <c r="S75" i="1"/>
</calcChain>
</file>

<file path=xl/sharedStrings.xml><?xml version="1.0" encoding="utf-8"?>
<sst xmlns="http://schemas.openxmlformats.org/spreadsheetml/2006/main" count="118" uniqueCount="73">
  <si>
    <t>Messung einiger Isothermen:</t>
  </si>
  <si>
    <t>Temperatur[Grad Celsius]</t>
  </si>
  <si>
    <t>Volumen[cm^3]</t>
  </si>
  <si>
    <t>Volumenfehler[cm^3]</t>
  </si>
  <si>
    <t>Druck[10^5Pa]</t>
  </si>
  <si>
    <t>Druckfehler[10^5Pa]</t>
  </si>
  <si>
    <t>Druck: max. 45 bar</t>
  </si>
  <si>
    <t>Volumen: ca. 0,3-2,0</t>
  </si>
  <si>
    <t>Maxwellgerade gut auflösen!</t>
  </si>
  <si>
    <t>hier auch noch große Volumina</t>
  </si>
  <si>
    <t>6 über 2 cm^3 ?</t>
  </si>
  <si>
    <t>Temperatur:</t>
  </si>
  <si>
    <t>Temperatur</t>
  </si>
  <si>
    <t>Randpunkte Maxwellgeraden:</t>
  </si>
  <si>
    <t>Volumen V</t>
  </si>
  <si>
    <t>Druck p</t>
  </si>
  <si>
    <t>Dampfdruck [bar]</t>
  </si>
  <si>
    <t>Temperatur[K]</t>
  </si>
  <si>
    <t>Temperatur[°Celsius]</t>
  </si>
  <si>
    <t>Druckfehler[bar]</t>
  </si>
  <si>
    <t>Temperaturfehler</t>
  </si>
  <si>
    <t>1/T [1/K]</t>
  </si>
  <si>
    <t>Fehler 1/T [1/K]</t>
  </si>
  <si>
    <t>kritische Temperatur [K]</t>
  </si>
  <si>
    <t>Fehler T_K[K]</t>
  </si>
  <si>
    <t>Fehler a</t>
  </si>
  <si>
    <t>Fehler b</t>
  </si>
  <si>
    <t>ideale Gaskonstante</t>
  </si>
  <si>
    <t>Einheiten!!</t>
  </si>
  <si>
    <r>
      <t>Kritischer Druck[</t>
    </r>
    <r>
      <rPr>
        <sz val="11"/>
        <color rgb="FFFF0000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>]</t>
    </r>
  </si>
  <si>
    <r>
      <t>Fehler p_K[</t>
    </r>
    <r>
      <rPr>
        <sz val="11"/>
        <color rgb="FFFF0000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>]</t>
    </r>
  </si>
  <si>
    <r>
      <t>Kritisches Volumen [</t>
    </r>
    <r>
      <rPr>
        <sz val="11"/>
        <color rgb="FFFF0000"/>
        <rFont val="Calibri"/>
        <family val="2"/>
        <scheme val="minor"/>
      </rPr>
      <t>m^3</t>
    </r>
    <r>
      <rPr>
        <sz val="11"/>
        <color theme="1"/>
        <rFont val="Calibri"/>
        <family val="2"/>
        <scheme val="minor"/>
      </rPr>
      <t>]</t>
    </r>
  </si>
  <si>
    <r>
      <t>a[</t>
    </r>
    <r>
      <rPr>
        <sz val="11"/>
        <color rgb="FFFF0000"/>
        <rFont val="Calibri"/>
        <family val="2"/>
        <scheme val="minor"/>
      </rPr>
      <t>Pa*m^6/mol^2</t>
    </r>
    <r>
      <rPr>
        <sz val="11"/>
        <color theme="1"/>
        <rFont val="Calibri"/>
        <family val="2"/>
        <scheme val="minor"/>
      </rPr>
      <t>]</t>
    </r>
  </si>
  <si>
    <r>
      <t>b[</t>
    </r>
    <r>
      <rPr>
        <sz val="11"/>
        <color rgb="FFFF0000"/>
        <rFont val="Calibri"/>
        <family val="2"/>
        <scheme val="minor"/>
      </rPr>
      <t>m^3/mol</t>
    </r>
    <r>
      <rPr>
        <sz val="11"/>
        <color theme="1"/>
        <rFont val="Calibri"/>
        <family val="2"/>
        <scheme val="minor"/>
      </rPr>
      <t>]</t>
    </r>
  </si>
  <si>
    <r>
      <t>Fehler kritisches Volumen [</t>
    </r>
    <r>
      <rPr>
        <sz val="11"/>
        <color rgb="FFFF0000"/>
        <rFont val="Calibri"/>
        <family val="2"/>
        <scheme val="minor"/>
      </rPr>
      <t>m^3</t>
    </r>
    <r>
      <rPr>
        <sz val="11"/>
        <color theme="1"/>
        <rFont val="Calibri"/>
        <family val="2"/>
        <scheme val="minor"/>
      </rPr>
      <t>]</t>
    </r>
  </si>
  <si>
    <t>1/kritische Temperatur[1/K]</t>
  </si>
  <si>
    <t>Fehler 1/T_k [1/K]</t>
  </si>
  <si>
    <t>kritische Temperatur[°C]</t>
  </si>
  <si>
    <t>Boltzmannkonstante</t>
  </si>
  <si>
    <t>Stoffmenge[mol]</t>
  </si>
  <si>
    <t>Fehler Stoffmenge[mol]</t>
  </si>
  <si>
    <t>Elementarladung:</t>
  </si>
  <si>
    <t>Verdampfungsenergie[eV]</t>
  </si>
  <si>
    <t>Avogadr:</t>
  </si>
  <si>
    <t>kritischer Koeff.</t>
  </si>
  <si>
    <t>Fehler K_K</t>
  </si>
  <si>
    <t>Dampfdruckkurve Parameter:</t>
  </si>
  <si>
    <t>Wert</t>
  </si>
  <si>
    <t>Fehler</t>
  </si>
  <si>
    <t>a</t>
  </si>
  <si>
    <t>b</t>
  </si>
  <si>
    <t>Neue Param. (Jonathan)</t>
  </si>
  <si>
    <t>a:</t>
  </si>
  <si>
    <t>b:</t>
  </si>
  <si>
    <t>Fehler T_krit:</t>
  </si>
  <si>
    <t>Kritische Temperatur [K]</t>
  </si>
  <si>
    <t>Kritische Temperatur [°C]</t>
  </si>
  <si>
    <t>Fehler Verdampfungsenergie [eV]</t>
  </si>
  <si>
    <t>Verdampfungsenergie [kJ/mol]</t>
  </si>
  <si>
    <t>Fehler [kJ/mol]</t>
  </si>
  <si>
    <t>kritisches molares Volumen[cm^3/mol]</t>
  </si>
  <si>
    <t>Fehler:</t>
  </si>
  <si>
    <t>max Gerade</t>
  </si>
  <si>
    <t>min Gerade</t>
  </si>
  <si>
    <t>Steigung</t>
  </si>
  <si>
    <t>y-Abschnitt</t>
  </si>
  <si>
    <t>1/T_krit</t>
  </si>
  <si>
    <t>T_krit</t>
  </si>
  <si>
    <t>Krit Druck</t>
  </si>
  <si>
    <t>Zur Implem.  Der Form p =b*e^ax</t>
  </si>
  <si>
    <t>T_krit[K]</t>
  </si>
  <si>
    <t>T_krit[°C]</t>
  </si>
  <si>
    <t>beste Gerade: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</si>
</sst>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00000000"/>
    <numFmt numFmtId="166" formatCode="0.000E+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Fill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11" fontId="0" fillId="0" borderId="0" xfId="0" applyNumberFormat="1"/>
    <xf numFmtId="165" fontId="0" fillId="0" borderId="0" xfId="0" applyNumberFormat="1"/>
    <xf numFmtId="0" fontId="0" fillId="0" borderId="0" xfId="0" applyNumberFormat="1"/>
    <xf numFmtId="166" fontId="0" fillId="0" borderId="0" xfId="0" applyNumberFormat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DE49-1D89-4ABC-9F79-0AF6E85D7B3E}">
  <dimension ref="A1:BX111"/>
  <sheetViews>
    <sheetView tabSelected="1" topLeftCell="J56" zoomScale="70" zoomScaleNormal="85" workbookViewId="0">
      <selection activeCell="R70" sqref="R70"/>
    </sheetView>
  </sheetViews>
  <sheetFormatPr baseColWidth="10" defaultRowHeight="14.5" x14ac:dyDescent="0.35"/>
  <cols>
    <col min="1" max="1" width="27.08984375" bestFit="1" customWidth="1"/>
    <col min="2" max="2" width="13.453125" bestFit="1" customWidth="1"/>
    <col min="3" max="3" width="27" bestFit="1" customWidth="1"/>
    <col min="4" max="4" width="25.08984375" bestFit="1" customWidth="1"/>
    <col min="5" max="5" width="28.6328125" bestFit="1" customWidth="1"/>
    <col min="6" max="6" width="31" bestFit="1" customWidth="1"/>
    <col min="7" max="7" width="24.1796875" bestFit="1" customWidth="1"/>
    <col min="8" max="8" width="23" bestFit="1" customWidth="1"/>
    <col min="9" max="9" width="29.36328125" bestFit="1" customWidth="1"/>
    <col min="10" max="10" width="17.90625" bestFit="1" customWidth="1"/>
    <col min="11" max="11" width="30" customWidth="1"/>
    <col min="12" max="12" width="13.36328125" bestFit="1" customWidth="1"/>
    <col min="13" max="13" width="36.08984375" bestFit="1" customWidth="1"/>
    <col min="14" max="14" width="17.90625" bestFit="1" customWidth="1"/>
    <col min="15" max="15" width="13.54296875" bestFit="1" customWidth="1"/>
    <col min="16" max="16" width="18.6328125" bestFit="1" customWidth="1"/>
    <col min="17" max="17" width="20.54296875" bestFit="1" customWidth="1"/>
    <col min="18" max="18" width="14.6328125" bestFit="1" customWidth="1"/>
    <col min="19" max="19" width="21.1796875" bestFit="1" customWidth="1"/>
    <col min="20" max="20" width="16.90625" bestFit="1" customWidth="1"/>
    <col min="21" max="21" width="14.6328125" bestFit="1" customWidth="1"/>
    <col min="22" max="22" width="17.90625" bestFit="1" customWidth="1"/>
    <col min="23" max="23" width="12" bestFit="1" customWidth="1"/>
    <col min="24" max="25" width="14" bestFit="1" customWidth="1"/>
    <col min="26" max="26" width="19" bestFit="1" customWidth="1"/>
    <col min="28" max="28" width="12.90625" bestFit="1" customWidth="1"/>
    <col min="29" max="29" width="17.90625" bestFit="1" customWidth="1"/>
    <col min="32" max="32" width="14" bestFit="1" customWidth="1"/>
    <col min="33" max="33" width="19" bestFit="1" customWidth="1"/>
    <col min="35" max="35" width="12.90625" bestFit="1" customWidth="1"/>
    <col min="36" max="36" width="17.90625" bestFit="1" customWidth="1"/>
    <col min="39" max="39" width="14.1796875" bestFit="1" customWidth="1"/>
    <col min="40" max="40" width="19.08984375" bestFit="1" customWidth="1"/>
    <col min="42" max="42" width="13.1796875" bestFit="1" customWidth="1"/>
    <col min="43" max="43" width="18.08984375" bestFit="1" customWidth="1"/>
    <col min="46" max="46" width="14" bestFit="1" customWidth="1"/>
    <col min="47" max="47" width="19" bestFit="1" customWidth="1"/>
    <col min="49" max="49" width="12.90625" bestFit="1" customWidth="1"/>
    <col min="50" max="50" width="17.90625" bestFit="1" customWidth="1"/>
    <col min="53" max="53" width="14" bestFit="1" customWidth="1"/>
    <col min="54" max="55" width="19" bestFit="1" customWidth="1"/>
    <col min="56" max="56" width="13.08984375" bestFit="1" customWidth="1"/>
    <col min="57" max="58" width="17.90625" bestFit="1" customWidth="1"/>
    <col min="63" max="63" width="14" bestFit="1" customWidth="1"/>
    <col min="64" max="64" width="19" bestFit="1" customWidth="1"/>
    <col min="66" max="66" width="13.08984375" bestFit="1" customWidth="1"/>
    <col min="67" max="67" width="17.90625" bestFit="1" customWidth="1"/>
  </cols>
  <sheetData>
    <row r="1" spans="1:76" x14ac:dyDescent="0.35">
      <c r="A1" t="s">
        <v>0</v>
      </c>
      <c r="C1" s="1" t="s">
        <v>6</v>
      </c>
      <c r="D1" s="1" t="s">
        <v>8</v>
      </c>
    </row>
    <row r="2" spans="1:76" x14ac:dyDescent="0.35">
      <c r="C2" s="1" t="s">
        <v>7</v>
      </c>
    </row>
    <row r="3" spans="1:76" x14ac:dyDescent="0.35">
      <c r="C3" s="1" t="s">
        <v>9</v>
      </c>
    </row>
    <row r="4" spans="1:76" x14ac:dyDescent="0.35">
      <c r="A4" t="s">
        <v>1</v>
      </c>
      <c r="C4" s="1" t="s">
        <v>10</v>
      </c>
      <c r="E4">
        <v>30.3</v>
      </c>
      <c r="L4">
        <v>35.1</v>
      </c>
      <c r="Q4" t="s">
        <v>11</v>
      </c>
      <c r="T4">
        <v>40.1</v>
      </c>
      <c r="X4" t="s">
        <v>11</v>
      </c>
      <c r="AA4">
        <v>43.1</v>
      </c>
      <c r="AE4" t="s">
        <v>11</v>
      </c>
      <c r="AH4">
        <v>45</v>
      </c>
      <c r="AO4">
        <v>46.1</v>
      </c>
      <c r="AV4">
        <v>47.1</v>
      </c>
      <c r="BA4" t="s">
        <v>11</v>
      </c>
      <c r="BD4">
        <v>48.1</v>
      </c>
      <c r="BM4">
        <v>50</v>
      </c>
      <c r="BV4">
        <v>30</v>
      </c>
    </row>
    <row r="5" spans="1:76" x14ac:dyDescent="0.35">
      <c r="C5" t="s">
        <v>2</v>
      </c>
      <c r="D5" t="s">
        <v>3</v>
      </c>
      <c r="F5" t="s">
        <v>4</v>
      </c>
      <c r="G5" t="s">
        <v>5</v>
      </c>
      <c r="J5" t="s">
        <v>2</v>
      </c>
      <c r="K5" t="s">
        <v>3</v>
      </c>
      <c r="M5" t="s">
        <v>4</v>
      </c>
      <c r="N5" t="s">
        <v>5</v>
      </c>
      <c r="R5" t="s">
        <v>2</v>
      </c>
      <c r="S5" t="s">
        <v>3</v>
      </c>
      <c r="U5" t="s">
        <v>4</v>
      </c>
      <c r="V5" t="s">
        <v>5</v>
      </c>
      <c r="Y5" t="s">
        <v>2</v>
      </c>
      <c r="Z5" t="s">
        <v>3</v>
      </c>
      <c r="AB5" t="s">
        <v>4</v>
      </c>
      <c r="AC5" t="s">
        <v>5</v>
      </c>
      <c r="AF5" t="s">
        <v>2</v>
      </c>
      <c r="AG5" t="s">
        <v>3</v>
      </c>
      <c r="AI5" t="s">
        <v>4</v>
      </c>
      <c r="AJ5" t="s">
        <v>5</v>
      </c>
      <c r="AL5" t="s">
        <v>12</v>
      </c>
      <c r="AM5" t="s">
        <v>2</v>
      </c>
      <c r="AN5" t="s">
        <v>3</v>
      </c>
      <c r="AP5" t="s">
        <v>4</v>
      </c>
      <c r="AQ5" t="s">
        <v>5</v>
      </c>
      <c r="AS5" t="s">
        <v>11</v>
      </c>
      <c r="AT5" t="s">
        <v>2</v>
      </c>
      <c r="AU5" t="s">
        <v>3</v>
      </c>
      <c r="AW5" t="s">
        <v>4</v>
      </c>
      <c r="AX5" t="s">
        <v>5</v>
      </c>
      <c r="BB5" t="s">
        <v>2</v>
      </c>
      <c r="BC5" t="s">
        <v>3</v>
      </c>
      <c r="BE5" t="s">
        <v>4</v>
      </c>
      <c r="BF5" t="s">
        <v>5</v>
      </c>
      <c r="BJ5" t="s">
        <v>11</v>
      </c>
      <c r="BK5" t="s">
        <v>2</v>
      </c>
      <c r="BL5" t="s">
        <v>3</v>
      </c>
      <c r="BN5" t="s">
        <v>4</v>
      </c>
      <c r="BO5" t="s">
        <v>5</v>
      </c>
      <c r="BT5" t="s">
        <v>2</v>
      </c>
      <c r="BU5" t="s">
        <v>3</v>
      </c>
      <c r="BW5" t="s">
        <v>4</v>
      </c>
      <c r="BX5" t="s">
        <v>5</v>
      </c>
    </row>
    <row r="6" spans="1:76" x14ac:dyDescent="0.35">
      <c r="C6">
        <v>3.8</v>
      </c>
      <c r="D6">
        <v>2.5000000000000001E-2</v>
      </c>
      <c r="F6">
        <v>13</v>
      </c>
      <c r="G6">
        <v>0.25</v>
      </c>
      <c r="J6">
        <v>2.1</v>
      </c>
      <c r="M6">
        <v>22.1</v>
      </c>
      <c r="Q6">
        <v>40</v>
      </c>
      <c r="R6">
        <v>2.1</v>
      </c>
      <c r="U6">
        <v>23.1</v>
      </c>
      <c r="X6">
        <v>43</v>
      </c>
      <c r="Y6">
        <v>2.1</v>
      </c>
      <c r="AB6">
        <v>23.7</v>
      </c>
      <c r="AE6">
        <v>45</v>
      </c>
      <c r="AF6">
        <v>2.1</v>
      </c>
      <c r="AI6">
        <v>24.2</v>
      </c>
      <c r="AL6">
        <v>46.1</v>
      </c>
      <c r="AM6">
        <v>2.1</v>
      </c>
      <c r="AP6">
        <v>24.5</v>
      </c>
      <c r="AS6">
        <v>47.1</v>
      </c>
      <c r="AT6">
        <v>2.1</v>
      </c>
      <c r="AW6">
        <v>24.6</v>
      </c>
      <c r="BA6">
        <v>48.1</v>
      </c>
      <c r="BB6">
        <v>1.9</v>
      </c>
      <c r="BE6">
        <v>27</v>
      </c>
      <c r="BJ6">
        <v>50.1</v>
      </c>
      <c r="BK6">
        <v>1.9</v>
      </c>
      <c r="BN6">
        <v>27.2</v>
      </c>
    </row>
    <row r="7" spans="1:76" x14ac:dyDescent="0.35">
      <c r="C7">
        <v>3.7</v>
      </c>
      <c r="D7">
        <v>2.5000000000000001E-2</v>
      </c>
      <c r="F7">
        <v>13.5</v>
      </c>
      <c r="G7">
        <v>0.25</v>
      </c>
      <c r="J7">
        <v>2</v>
      </c>
      <c r="M7">
        <v>22.9</v>
      </c>
      <c r="Q7">
        <v>40.1</v>
      </c>
      <c r="R7">
        <v>2</v>
      </c>
      <c r="U7">
        <v>24</v>
      </c>
      <c r="X7">
        <v>43</v>
      </c>
      <c r="Y7">
        <v>2</v>
      </c>
      <c r="AB7">
        <v>24.6</v>
      </c>
      <c r="AE7">
        <v>45</v>
      </c>
      <c r="AF7">
        <v>2</v>
      </c>
      <c r="AI7">
        <v>25.1</v>
      </c>
      <c r="AL7">
        <v>46.1</v>
      </c>
      <c r="AM7">
        <v>2</v>
      </c>
      <c r="AP7">
        <v>25.5</v>
      </c>
      <c r="AS7">
        <v>47.1</v>
      </c>
      <c r="AT7">
        <v>2</v>
      </c>
      <c r="AW7">
        <v>25.7</v>
      </c>
      <c r="BA7">
        <v>48.1</v>
      </c>
      <c r="BB7">
        <v>1.8</v>
      </c>
      <c r="BE7">
        <v>27.9</v>
      </c>
      <c r="BJ7">
        <v>50</v>
      </c>
      <c r="BK7">
        <v>1.8</v>
      </c>
      <c r="BN7">
        <v>28.2</v>
      </c>
    </row>
    <row r="8" spans="1:76" x14ac:dyDescent="0.35">
      <c r="C8">
        <v>3.6</v>
      </c>
      <c r="D8">
        <v>2.5000000000000001E-2</v>
      </c>
      <c r="F8">
        <v>13.75</v>
      </c>
      <c r="G8">
        <v>0.25</v>
      </c>
      <c r="J8">
        <v>1.9</v>
      </c>
      <c r="M8">
        <v>23.7</v>
      </c>
      <c r="Q8">
        <v>40.1</v>
      </c>
      <c r="R8">
        <v>1.9</v>
      </c>
      <c r="U8">
        <v>24.9</v>
      </c>
      <c r="X8">
        <v>43</v>
      </c>
      <c r="Y8">
        <v>1.9</v>
      </c>
      <c r="AB8">
        <v>25.5</v>
      </c>
      <c r="AE8">
        <v>45</v>
      </c>
      <c r="AF8">
        <v>1.9</v>
      </c>
      <c r="AI8">
        <v>26</v>
      </c>
      <c r="AL8">
        <v>46.1</v>
      </c>
      <c r="AM8">
        <v>1.9</v>
      </c>
      <c r="AP8">
        <v>26.4</v>
      </c>
      <c r="AS8">
        <v>47.1</v>
      </c>
      <c r="AT8">
        <v>1.9</v>
      </c>
      <c r="AW8">
        <v>26.6</v>
      </c>
      <c r="BA8">
        <v>48.1</v>
      </c>
      <c r="BB8">
        <v>1.7</v>
      </c>
      <c r="BE8">
        <v>29</v>
      </c>
      <c r="BJ8">
        <v>50.1</v>
      </c>
      <c r="BK8">
        <v>1.7</v>
      </c>
      <c r="BN8">
        <v>29.3</v>
      </c>
    </row>
    <row r="9" spans="1:76" x14ac:dyDescent="0.35">
      <c r="C9">
        <v>3.5</v>
      </c>
      <c r="D9">
        <v>2.5000000000000001E-2</v>
      </c>
      <c r="F9">
        <v>14</v>
      </c>
      <c r="G9">
        <v>0.25</v>
      </c>
      <c r="J9">
        <v>1.8</v>
      </c>
      <c r="M9">
        <v>24.5</v>
      </c>
      <c r="Q9">
        <v>40</v>
      </c>
      <c r="R9">
        <v>1.8</v>
      </c>
      <c r="U9">
        <v>25.6</v>
      </c>
      <c r="X9">
        <v>43</v>
      </c>
      <c r="Y9">
        <v>1.8</v>
      </c>
      <c r="AB9">
        <v>26.5</v>
      </c>
      <c r="AE9">
        <v>45</v>
      </c>
      <c r="AF9">
        <v>1.8</v>
      </c>
      <c r="AI9">
        <v>27</v>
      </c>
      <c r="AL9">
        <v>46.1</v>
      </c>
      <c r="AM9">
        <v>1.8</v>
      </c>
      <c r="AP9">
        <v>27.4</v>
      </c>
      <c r="AS9">
        <v>47.1</v>
      </c>
      <c r="AT9">
        <v>1.8</v>
      </c>
      <c r="AW9">
        <v>27.6</v>
      </c>
      <c r="BA9">
        <v>48</v>
      </c>
      <c r="BB9">
        <v>1.6</v>
      </c>
      <c r="BE9">
        <v>29.8</v>
      </c>
      <c r="BJ9">
        <v>50</v>
      </c>
      <c r="BK9">
        <v>1.6</v>
      </c>
      <c r="BN9">
        <v>30.2</v>
      </c>
    </row>
    <row r="10" spans="1:76" x14ac:dyDescent="0.35">
      <c r="C10">
        <v>3.4</v>
      </c>
      <c r="D10">
        <v>2.5000000000000001E-2</v>
      </c>
      <c r="F10">
        <v>14.5</v>
      </c>
      <c r="G10">
        <v>0.25</v>
      </c>
      <c r="J10">
        <v>1.7</v>
      </c>
      <c r="M10">
        <v>25.3</v>
      </c>
      <c r="Q10">
        <v>40.1</v>
      </c>
      <c r="R10">
        <v>1.7</v>
      </c>
      <c r="U10">
        <v>26.5</v>
      </c>
      <c r="X10">
        <v>43</v>
      </c>
      <c r="Y10">
        <v>1.7</v>
      </c>
      <c r="AB10">
        <v>27.4</v>
      </c>
      <c r="AE10">
        <v>45.1</v>
      </c>
      <c r="AF10">
        <v>1.7</v>
      </c>
      <c r="AI10">
        <v>28</v>
      </c>
      <c r="AL10">
        <v>46.1</v>
      </c>
      <c r="AM10">
        <v>1.7</v>
      </c>
      <c r="AP10">
        <v>28.5</v>
      </c>
      <c r="AS10">
        <v>47.1</v>
      </c>
      <c r="AT10">
        <v>1.7</v>
      </c>
      <c r="AW10">
        <v>28.6</v>
      </c>
      <c r="BA10">
        <v>48</v>
      </c>
      <c r="BB10">
        <v>1.5</v>
      </c>
      <c r="BE10">
        <v>30.7</v>
      </c>
      <c r="BJ10">
        <v>50</v>
      </c>
      <c r="BK10">
        <v>1.5</v>
      </c>
      <c r="BN10">
        <v>31.4</v>
      </c>
    </row>
    <row r="11" spans="1:76" x14ac:dyDescent="0.35">
      <c r="C11">
        <v>3.3</v>
      </c>
      <c r="D11">
        <v>2.5000000000000001E-2</v>
      </c>
      <c r="F11">
        <v>15</v>
      </c>
      <c r="G11">
        <v>0.25</v>
      </c>
      <c r="J11">
        <v>1.6</v>
      </c>
      <c r="M11">
        <v>26.1</v>
      </c>
      <c r="Q11">
        <v>40.1</v>
      </c>
      <c r="R11">
        <v>1.6</v>
      </c>
      <c r="U11">
        <v>27.5</v>
      </c>
      <c r="X11">
        <v>43.1</v>
      </c>
      <c r="Y11">
        <v>1.6</v>
      </c>
      <c r="AB11">
        <v>28.4</v>
      </c>
      <c r="AE11">
        <v>45</v>
      </c>
      <c r="AF11">
        <v>1.6</v>
      </c>
      <c r="AI11">
        <v>29.1</v>
      </c>
      <c r="AL11">
        <v>46.1</v>
      </c>
      <c r="AM11">
        <v>1.6</v>
      </c>
      <c r="AP11">
        <v>29.4</v>
      </c>
      <c r="AS11">
        <v>47.1</v>
      </c>
      <c r="AT11">
        <v>1.6</v>
      </c>
      <c r="AW11">
        <v>29.5</v>
      </c>
      <c r="BA11">
        <v>48</v>
      </c>
      <c r="BB11">
        <v>1.4</v>
      </c>
      <c r="BE11">
        <v>32</v>
      </c>
      <c r="BJ11">
        <v>50</v>
      </c>
      <c r="BK11">
        <v>1.4</v>
      </c>
      <c r="BN11">
        <v>32.5</v>
      </c>
    </row>
    <row r="12" spans="1:76" x14ac:dyDescent="0.35">
      <c r="C12">
        <v>3.2</v>
      </c>
      <c r="D12">
        <v>2.5000000000000001E-2</v>
      </c>
      <c r="F12">
        <v>15.5</v>
      </c>
      <c r="G12">
        <v>0.25</v>
      </c>
      <c r="J12">
        <v>1.55</v>
      </c>
      <c r="M12">
        <v>26.5</v>
      </c>
      <c r="Q12">
        <v>40.1</v>
      </c>
      <c r="R12">
        <v>1.5</v>
      </c>
      <c r="U12">
        <v>28.4</v>
      </c>
      <c r="X12">
        <v>43.1</v>
      </c>
      <c r="Y12">
        <v>1.5</v>
      </c>
      <c r="AB12">
        <v>29.3</v>
      </c>
      <c r="AE12">
        <v>45</v>
      </c>
      <c r="AF12">
        <v>1.5</v>
      </c>
      <c r="AI12">
        <v>29.7</v>
      </c>
      <c r="AL12">
        <v>46.1</v>
      </c>
      <c r="AM12">
        <v>1.5</v>
      </c>
      <c r="AP12">
        <v>30.1</v>
      </c>
      <c r="AS12">
        <v>47.1</v>
      </c>
      <c r="AT12">
        <v>1.5</v>
      </c>
      <c r="AW12">
        <v>30.4</v>
      </c>
      <c r="BA12">
        <v>48.1</v>
      </c>
      <c r="BB12">
        <v>1.3</v>
      </c>
      <c r="BE12">
        <v>33</v>
      </c>
      <c r="BJ12">
        <v>50</v>
      </c>
      <c r="BK12">
        <v>1.3</v>
      </c>
      <c r="BN12">
        <v>33.6</v>
      </c>
    </row>
    <row r="13" spans="1:76" x14ac:dyDescent="0.35">
      <c r="C13">
        <v>3.1</v>
      </c>
      <c r="D13">
        <v>2.5000000000000001E-2</v>
      </c>
      <c r="F13">
        <v>16</v>
      </c>
      <c r="G13">
        <v>0.25</v>
      </c>
      <c r="J13">
        <v>1.5</v>
      </c>
      <c r="M13">
        <v>26.8</v>
      </c>
      <c r="Q13">
        <v>40.1</v>
      </c>
      <c r="R13">
        <v>1.45</v>
      </c>
      <c r="U13">
        <v>28.7</v>
      </c>
      <c r="X13">
        <v>43.1</v>
      </c>
      <c r="Y13">
        <v>1.4</v>
      </c>
      <c r="AB13">
        <v>30.1</v>
      </c>
      <c r="AE13">
        <v>45</v>
      </c>
      <c r="AF13">
        <v>1.4</v>
      </c>
      <c r="AI13">
        <v>30.7</v>
      </c>
      <c r="AL13">
        <v>46.1</v>
      </c>
      <c r="AM13">
        <v>1.4</v>
      </c>
      <c r="AP13">
        <v>31.1</v>
      </c>
      <c r="AS13">
        <v>47.1</v>
      </c>
      <c r="AT13">
        <v>1.4</v>
      </c>
      <c r="AW13">
        <v>31.5</v>
      </c>
      <c r="BA13">
        <v>48.1</v>
      </c>
      <c r="BB13">
        <v>1.2</v>
      </c>
      <c r="BE13">
        <v>34.1</v>
      </c>
      <c r="BJ13">
        <v>50</v>
      </c>
      <c r="BK13">
        <v>1.2</v>
      </c>
      <c r="BN13">
        <v>34.9</v>
      </c>
    </row>
    <row r="14" spans="1:76" x14ac:dyDescent="0.35">
      <c r="C14">
        <v>3</v>
      </c>
      <c r="D14">
        <v>2.5000000000000001E-2</v>
      </c>
      <c r="F14">
        <v>16.25</v>
      </c>
      <c r="G14">
        <v>0.25</v>
      </c>
      <c r="J14">
        <v>1.45</v>
      </c>
      <c r="M14">
        <v>27.1</v>
      </c>
      <c r="Q14">
        <v>40.1</v>
      </c>
      <c r="R14">
        <v>1.4</v>
      </c>
      <c r="U14">
        <v>29.2</v>
      </c>
      <c r="X14">
        <v>43</v>
      </c>
      <c r="Y14">
        <v>1.3</v>
      </c>
      <c r="AB14">
        <v>31</v>
      </c>
      <c r="AE14">
        <v>45</v>
      </c>
      <c r="AF14">
        <v>1.3</v>
      </c>
      <c r="AI14">
        <v>31.8</v>
      </c>
      <c r="AL14">
        <v>46.1</v>
      </c>
      <c r="AM14">
        <v>1.3</v>
      </c>
      <c r="AP14">
        <v>32.200000000000003</v>
      </c>
      <c r="AS14">
        <v>47.1</v>
      </c>
      <c r="AT14">
        <v>1.3</v>
      </c>
      <c r="AW14">
        <v>32.6</v>
      </c>
      <c r="BA14">
        <v>48.1</v>
      </c>
      <c r="BB14">
        <v>1.1000000000000001</v>
      </c>
      <c r="BE14">
        <v>35</v>
      </c>
      <c r="BJ14">
        <v>50</v>
      </c>
      <c r="BK14">
        <v>1.1000000000000001</v>
      </c>
      <c r="BN14">
        <v>35.9</v>
      </c>
    </row>
    <row r="15" spans="1:76" x14ac:dyDescent="0.35">
      <c r="C15">
        <v>2.9</v>
      </c>
      <c r="D15">
        <v>2.5000000000000001E-2</v>
      </c>
      <c r="F15">
        <v>16.75</v>
      </c>
      <c r="G15">
        <v>0.25</v>
      </c>
      <c r="J15">
        <v>1.4</v>
      </c>
      <c r="M15">
        <v>27.5</v>
      </c>
      <c r="Q15">
        <v>40.1</v>
      </c>
      <c r="R15">
        <v>1.35</v>
      </c>
      <c r="U15">
        <v>29.6</v>
      </c>
      <c r="X15">
        <v>43.1</v>
      </c>
      <c r="Y15">
        <v>1.2</v>
      </c>
      <c r="AB15">
        <v>32</v>
      </c>
      <c r="AE15">
        <v>45.1</v>
      </c>
      <c r="AF15">
        <v>1.2</v>
      </c>
      <c r="AI15">
        <v>32.9</v>
      </c>
      <c r="AL15">
        <v>46.1</v>
      </c>
      <c r="AM15">
        <v>1.2</v>
      </c>
      <c r="AP15">
        <v>33.4</v>
      </c>
      <c r="AS15">
        <v>47.1</v>
      </c>
      <c r="AT15">
        <v>1.2</v>
      </c>
      <c r="AW15">
        <v>33.700000000000003</v>
      </c>
      <c r="BA15">
        <v>48.1</v>
      </c>
      <c r="BB15">
        <v>1</v>
      </c>
      <c r="BE15">
        <v>36.1</v>
      </c>
      <c r="BJ15">
        <v>50</v>
      </c>
      <c r="BK15">
        <v>1</v>
      </c>
      <c r="BN15">
        <v>37.1</v>
      </c>
    </row>
    <row r="16" spans="1:76" x14ac:dyDescent="0.35">
      <c r="C16">
        <v>2.8</v>
      </c>
      <c r="D16">
        <v>2.5000000000000001E-2</v>
      </c>
      <c r="F16">
        <v>17.25</v>
      </c>
      <c r="G16">
        <v>0.25</v>
      </c>
      <c r="J16">
        <v>1.35</v>
      </c>
      <c r="M16">
        <v>27.6</v>
      </c>
      <c r="Q16">
        <v>40.1</v>
      </c>
      <c r="R16">
        <v>1.3</v>
      </c>
      <c r="U16">
        <v>29.8</v>
      </c>
      <c r="X16">
        <v>43</v>
      </c>
      <c r="Y16">
        <v>1.1499999999999999</v>
      </c>
      <c r="AB16">
        <v>32.299999999999997</v>
      </c>
      <c r="AE16">
        <v>45</v>
      </c>
      <c r="AF16">
        <v>1.1000000000000001</v>
      </c>
      <c r="AI16">
        <v>33.6</v>
      </c>
      <c r="AL16">
        <v>46.1</v>
      </c>
      <c r="AM16">
        <v>1.1000000000000001</v>
      </c>
      <c r="AP16">
        <v>34.1</v>
      </c>
      <c r="AS16">
        <v>47.1</v>
      </c>
      <c r="AT16">
        <v>1.1000000000000001</v>
      </c>
      <c r="AW16">
        <v>34.6</v>
      </c>
      <c r="BA16">
        <v>48.1</v>
      </c>
      <c r="BB16">
        <v>0.95</v>
      </c>
      <c r="BE16">
        <v>36.4</v>
      </c>
      <c r="BJ16">
        <v>50</v>
      </c>
      <c r="BK16">
        <v>0.95</v>
      </c>
      <c r="BN16">
        <v>37.5</v>
      </c>
    </row>
    <row r="17" spans="3:66" x14ac:dyDescent="0.35">
      <c r="C17">
        <v>2.7</v>
      </c>
      <c r="D17">
        <v>2.5000000000000001E-2</v>
      </c>
      <c r="F17">
        <v>17.600000000000001</v>
      </c>
      <c r="G17">
        <v>0.25</v>
      </c>
      <c r="J17">
        <v>1.3</v>
      </c>
      <c r="M17">
        <v>27.6</v>
      </c>
      <c r="Q17">
        <v>40.1</v>
      </c>
      <c r="R17">
        <v>1.25</v>
      </c>
      <c r="U17">
        <v>30.2</v>
      </c>
      <c r="X17">
        <v>43.1</v>
      </c>
      <c r="Y17">
        <v>1.1000000000000001</v>
      </c>
      <c r="AB17">
        <v>32.6</v>
      </c>
      <c r="AE17">
        <v>45.1</v>
      </c>
      <c r="AF17">
        <v>1.05</v>
      </c>
      <c r="AI17">
        <v>34</v>
      </c>
      <c r="AL17">
        <v>46.1</v>
      </c>
      <c r="AM17">
        <v>1.05</v>
      </c>
      <c r="AP17">
        <v>34.5</v>
      </c>
      <c r="AS17">
        <v>47.1</v>
      </c>
      <c r="AT17">
        <v>1</v>
      </c>
      <c r="AW17">
        <v>35.5</v>
      </c>
      <c r="BA17">
        <v>48.1</v>
      </c>
      <c r="BB17">
        <v>0.9</v>
      </c>
      <c r="BE17">
        <v>36.700000000000003</v>
      </c>
      <c r="BJ17">
        <v>50</v>
      </c>
      <c r="BK17">
        <v>0.9</v>
      </c>
      <c r="BN17">
        <v>38.1</v>
      </c>
    </row>
    <row r="18" spans="3:66" x14ac:dyDescent="0.35">
      <c r="C18">
        <v>2.6</v>
      </c>
      <c r="D18">
        <v>2.5000000000000001E-2</v>
      </c>
      <c r="F18">
        <v>18</v>
      </c>
      <c r="G18">
        <v>0.25</v>
      </c>
      <c r="J18">
        <v>1.25</v>
      </c>
      <c r="M18">
        <v>27.6</v>
      </c>
      <c r="Q18">
        <v>40.1</v>
      </c>
      <c r="R18">
        <v>1.2</v>
      </c>
      <c r="U18">
        <v>30.6</v>
      </c>
      <c r="X18">
        <v>43.1</v>
      </c>
      <c r="Y18">
        <v>1.05</v>
      </c>
      <c r="AB18">
        <v>33</v>
      </c>
      <c r="AE18">
        <v>45.1</v>
      </c>
      <c r="AF18">
        <v>1.0249999999999999</v>
      </c>
      <c r="AI18">
        <v>34.200000000000003</v>
      </c>
      <c r="AL18">
        <v>46.1</v>
      </c>
      <c r="AM18">
        <v>1.0249999999999999</v>
      </c>
      <c r="AP18">
        <v>34.799999999999997</v>
      </c>
      <c r="AS18">
        <v>47.1</v>
      </c>
      <c r="AT18">
        <v>0.95</v>
      </c>
      <c r="AW18">
        <v>35.700000000000003</v>
      </c>
      <c r="BA18">
        <v>48.1</v>
      </c>
      <c r="BB18">
        <v>0.875</v>
      </c>
      <c r="BE18">
        <v>36.799999999999997</v>
      </c>
      <c r="BJ18">
        <v>50</v>
      </c>
      <c r="BK18">
        <v>0.85</v>
      </c>
      <c r="BN18">
        <v>38.4</v>
      </c>
    </row>
    <row r="19" spans="3:66" x14ac:dyDescent="0.35">
      <c r="C19">
        <v>2.5</v>
      </c>
      <c r="D19">
        <v>2.5000000000000001E-2</v>
      </c>
      <c r="F19">
        <v>18.7</v>
      </c>
      <c r="G19">
        <v>0.25</v>
      </c>
      <c r="J19">
        <v>1.2</v>
      </c>
      <c r="M19">
        <v>27.7</v>
      </c>
      <c r="Q19">
        <v>40</v>
      </c>
      <c r="R19">
        <v>1.1499999999999999</v>
      </c>
      <c r="U19">
        <v>30.9</v>
      </c>
      <c r="X19">
        <v>43.1</v>
      </c>
      <c r="Y19">
        <v>1</v>
      </c>
      <c r="AB19">
        <v>33.299999999999997</v>
      </c>
      <c r="AE19">
        <v>45.1</v>
      </c>
      <c r="AF19">
        <v>1</v>
      </c>
      <c r="AI19">
        <v>34.5</v>
      </c>
      <c r="AL19">
        <v>46.1</v>
      </c>
      <c r="AM19">
        <v>1</v>
      </c>
      <c r="AP19">
        <v>35</v>
      </c>
      <c r="AS19">
        <v>47.1</v>
      </c>
      <c r="AT19">
        <v>0.9</v>
      </c>
      <c r="AW19">
        <v>36</v>
      </c>
      <c r="BA19">
        <v>48.1</v>
      </c>
      <c r="BB19">
        <v>0.85</v>
      </c>
      <c r="BE19">
        <v>37</v>
      </c>
      <c r="BJ19">
        <v>50</v>
      </c>
      <c r="BK19">
        <v>0.8</v>
      </c>
      <c r="BN19">
        <v>39</v>
      </c>
    </row>
    <row r="20" spans="3:66" x14ac:dyDescent="0.35">
      <c r="C20">
        <v>2.4</v>
      </c>
      <c r="D20">
        <v>2.5000000000000001E-2</v>
      </c>
      <c r="F20">
        <v>19.399999999999999</v>
      </c>
      <c r="G20">
        <v>0.25</v>
      </c>
      <c r="J20">
        <v>1.1000000000000001</v>
      </c>
      <c r="M20">
        <v>27.8</v>
      </c>
      <c r="Q20">
        <v>40.1</v>
      </c>
      <c r="R20">
        <v>1.1000000000000001</v>
      </c>
      <c r="U20">
        <v>31.1</v>
      </c>
      <c r="X20">
        <v>43</v>
      </c>
      <c r="Y20">
        <v>0.97499999999999998</v>
      </c>
      <c r="AB20">
        <v>33.4</v>
      </c>
      <c r="AE20">
        <v>45.1</v>
      </c>
      <c r="AF20">
        <v>0.97499999999999998</v>
      </c>
      <c r="AI20">
        <v>34.6</v>
      </c>
      <c r="AL20">
        <v>46.1</v>
      </c>
      <c r="AM20">
        <v>0.97499999999999998</v>
      </c>
      <c r="AP20">
        <v>35.1</v>
      </c>
      <c r="AS20">
        <v>47.1</v>
      </c>
      <c r="AT20">
        <v>0.875</v>
      </c>
      <c r="AW20">
        <v>36.200000000000003</v>
      </c>
      <c r="BA20">
        <v>48.1</v>
      </c>
      <c r="BB20">
        <v>0.82499999999999996</v>
      </c>
      <c r="BE20">
        <v>37.200000000000003</v>
      </c>
      <c r="BJ20">
        <v>50</v>
      </c>
      <c r="BK20">
        <v>0.75</v>
      </c>
      <c r="BN20">
        <v>39.299999999999997</v>
      </c>
    </row>
    <row r="21" spans="3:66" x14ac:dyDescent="0.35">
      <c r="C21">
        <v>2.2999999999999998</v>
      </c>
      <c r="D21">
        <v>2.5000000000000001E-2</v>
      </c>
      <c r="F21">
        <v>20</v>
      </c>
      <c r="G21">
        <v>0.25</v>
      </c>
      <c r="J21">
        <v>1</v>
      </c>
      <c r="M21">
        <v>27.9</v>
      </c>
      <c r="Q21">
        <v>40.1</v>
      </c>
      <c r="R21">
        <v>1.05</v>
      </c>
      <c r="U21">
        <v>31.1</v>
      </c>
      <c r="X21">
        <v>43.1</v>
      </c>
      <c r="Y21">
        <v>0.95</v>
      </c>
      <c r="AB21">
        <v>33.5</v>
      </c>
      <c r="AE21">
        <v>45.1</v>
      </c>
      <c r="AF21">
        <v>0.95</v>
      </c>
      <c r="AI21">
        <v>34.700000000000003</v>
      </c>
      <c r="AL21">
        <v>46.1</v>
      </c>
      <c r="AM21">
        <v>0.95</v>
      </c>
      <c r="AP21">
        <v>35.200000000000003</v>
      </c>
      <c r="AS21">
        <v>47.1</v>
      </c>
      <c r="AT21">
        <v>0.85</v>
      </c>
      <c r="AW21">
        <v>36.299999999999997</v>
      </c>
      <c r="BA21">
        <v>48.1</v>
      </c>
      <c r="BB21">
        <v>0.8</v>
      </c>
      <c r="BE21">
        <v>37.299999999999997</v>
      </c>
      <c r="BJ21">
        <v>50.1</v>
      </c>
      <c r="BK21">
        <v>0.72499999999999998</v>
      </c>
      <c r="BN21">
        <v>39.4</v>
      </c>
    </row>
    <row r="22" spans="3:66" x14ac:dyDescent="0.35">
      <c r="C22">
        <v>2.2000000000000002</v>
      </c>
      <c r="D22">
        <v>2.5000000000000001E-2</v>
      </c>
      <c r="F22">
        <v>20.6</v>
      </c>
      <c r="G22">
        <v>0.25</v>
      </c>
      <c r="J22">
        <v>0.9</v>
      </c>
      <c r="M22">
        <v>28</v>
      </c>
      <c r="Q22">
        <v>40</v>
      </c>
      <c r="R22">
        <v>1</v>
      </c>
      <c r="U22">
        <v>31.1</v>
      </c>
      <c r="X22">
        <v>43</v>
      </c>
      <c r="Y22">
        <v>0.92500000000000004</v>
      </c>
      <c r="AB22">
        <v>33.5</v>
      </c>
      <c r="AE22">
        <v>45.1</v>
      </c>
      <c r="AF22">
        <v>0.92500000000000004</v>
      </c>
      <c r="AI22">
        <v>34.700000000000003</v>
      </c>
      <c r="AL22">
        <v>46.1</v>
      </c>
      <c r="AM22">
        <v>0.92500000000000004</v>
      </c>
      <c r="AP22">
        <v>35.299999999999997</v>
      </c>
      <c r="AS22">
        <v>47.1</v>
      </c>
      <c r="AT22">
        <v>0.82499999999999996</v>
      </c>
      <c r="AW22">
        <v>36.5</v>
      </c>
      <c r="BA22">
        <v>48.1</v>
      </c>
      <c r="BB22">
        <v>0.77500000000000002</v>
      </c>
      <c r="BE22">
        <v>37.5</v>
      </c>
      <c r="BJ22">
        <v>50.1</v>
      </c>
      <c r="BK22">
        <v>0.7</v>
      </c>
      <c r="BN22">
        <v>39.5</v>
      </c>
    </row>
    <row r="23" spans="3:66" x14ac:dyDescent="0.35">
      <c r="C23">
        <v>2.1</v>
      </c>
      <c r="D23">
        <v>2.5000000000000001E-2</v>
      </c>
      <c r="F23">
        <v>21.4</v>
      </c>
      <c r="G23">
        <v>0.25</v>
      </c>
      <c r="J23">
        <v>0.8</v>
      </c>
      <c r="M23">
        <v>28</v>
      </c>
      <c r="Q23">
        <v>40.1</v>
      </c>
      <c r="R23">
        <v>0.9</v>
      </c>
      <c r="U23">
        <v>31.25</v>
      </c>
      <c r="X23">
        <v>43.1</v>
      </c>
      <c r="Y23">
        <v>0.9</v>
      </c>
      <c r="AB23">
        <v>33.5</v>
      </c>
      <c r="AE23">
        <v>45</v>
      </c>
      <c r="AF23">
        <v>0.9</v>
      </c>
      <c r="AI23">
        <v>34.9</v>
      </c>
      <c r="AL23">
        <v>46.1</v>
      </c>
      <c r="AM23">
        <v>0.9</v>
      </c>
      <c r="AP23">
        <v>35.200000000000003</v>
      </c>
      <c r="AS23">
        <v>47.1</v>
      </c>
      <c r="AT23">
        <v>0.8</v>
      </c>
      <c r="AW23">
        <v>36.6</v>
      </c>
      <c r="BA23">
        <v>48.1</v>
      </c>
      <c r="BB23">
        <v>0.75</v>
      </c>
      <c r="BE23">
        <v>37.6</v>
      </c>
      <c r="BJ23">
        <v>50.1</v>
      </c>
      <c r="BK23">
        <v>0.67500000000000004</v>
      </c>
      <c r="BN23">
        <v>39.700000000000003</v>
      </c>
    </row>
    <row r="24" spans="3:66" x14ac:dyDescent="0.35">
      <c r="C24">
        <v>2</v>
      </c>
      <c r="D24">
        <v>2.5000000000000001E-2</v>
      </c>
      <c r="F24">
        <v>22</v>
      </c>
      <c r="G24">
        <v>0.25</v>
      </c>
      <c r="J24">
        <v>0.7</v>
      </c>
      <c r="M24">
        <v>28</v>
      </c>
      <c r="Q24">
        <v>40.1</v>
      </c>
      <c r="R24">
        <v>0.8</v>
      </c>
      <c r="U24">
        <v>31.4</v>
      </c>
      <c r="X24">
        <v>43.1</v>
      </c>
      <c r="Y24">
        <v>0.8</v>
      </c>
      <c r="AB24">
        <v>33.6</v>
      </c>
      <c r="AE24">
        <v>45</v>
      </c>
      <c r="AF24">
        <v>0.875</v>
      </c>
      <c r="AI24">
        <v>35</v>
      </c>
      <c r="AL24">
        <v>46.1</v>
      </c>
      <c r="AM24">
        <v>0.875</v>
      </c>
      <c r="AP24">
        <v>35.5</v>
      </c>
      <c r="AS24">
        <v>47.1</v>
      </c>
      <c r="AT24">
        <v>0.77500000000000002</v>
      </c>
      <c r="AW24">
        <v>36.799999999999997</v>
      </c>
      <c r="BA24">
        <v>48.1</v>
      </c>
      <c r="BB24">
        <v>0.72499999999999998</v>
      </c>
      <c r="BE24">
        <v>37.700000000000003</v>
      </c>
      <c r="BJ24">
        <v>50</v>
      </c>
      <c r="BK24">
        <v>0.65</v>
      </c>
      <c r="BN24">
        <v>39.799999999999997</v>
      </c>
    </row>
    <row r="25" spans="3:66" x14ac:dyDescent="0.35">
      <c r="C25">
        <v>1.9</v>
      </c>
      <c r="D25">
        <v>2.5000000000000001E-2</v>
      </c>
      <c r="F25">
        <v>22.6</v>
      </c>
      <c r="G25">
        <v>0.25</v>
      </c>
      <c r="J25">
        <v>0.6</v>
      </c>
      <c r="M25">
        <v>28.1</v>
      </c>
      <c r="Q25">
        <v>40.1</v>
      </c>
      <c r="R25">
        <v>0.7</v>
      </c>
      <c r="U25">
        <v>31.5</v>
      </c>
      <c r="X25">
        <v>43.1</v>
      </c>
      <c r="Y25">
        <v>0.7</v>
      </c>
      <c r="AB25">
        <v>33.700000000000003</v>
      </c>
      <c r="AE25">
        <v>45</v>
      </c>
      <c r="AF25">
        <v>0.85</v>
      </c>
      <c r="AI25">
        <v>35</v>
      </c>
      <c r="AL25">
        <v>46.1</v>
      </c>
      <c r="AM25">
        <v>0.85</v>
      </c>
      <c r="AP25">
        <v>35.6</v>
      </c>
      <c r="AS25">
        <v>47.1</v>
      </c>
      <c r="AT25">
        <v>0.75</v>
      </c>
      <c r="AW25">
        <v>36.9</v>
      </c>
      <c r="BA25">
        <v>48.1</v>
      </c>
      <c r="BB25">
        <v>0.7</v>
      </c>
      <c r="BE25">
        <v>37.9</v>
      </c>
      <c r="BJ25">
        <v>50</v>
      </c>
      <c r="BK25">
        <v>0.625</v>
      </c>
      <c r="BN25">
        <v>40</v>
      </c>
    </row>
    <row r="26" spans="3:66" x14ac:dyDescent="0.35">
      <c r="C26">
        <v>1.8</v>
      </c>
      <c r="D26">
        <v>2.5000000000000001E-2</v>
      </c>
      <c r="F26">
        <v>23.2</v>
      </c>
      <c r="G26">
        <v>0.25</v>
      </c>
      <c r="J26">
        <v>0.5</v>
      </c>
      <c r="M26">
        <v>28</v>
      </c>
      <c r="Q26">
        <v>40.1</v>
      </c>
      <c r="R26">
        <v>0.6</v>
      </c>
      <c r="U26">
        <v>31.5</v>
      </c>
      <c r="X26">
        <v>43.1</v>
      </c>
      <c r="Y26">
        <v>0.6</v>
      </c>
      <c r="AB26">
        <v>33.700000000000003</v>
      </c>
      <c r="AE26">
        <v>45.1</v>
      </c>
      <c r="AF26">
        <v>0.82499999999999996</v>
      </c>
      <c r="AI26">
        <v>35.1</v>
      </c>
      <c r="AL26">
        <v>46.1</v>
      </c>
      <c r="AM26">
        <v>0.82499999999999996</v>
      </c>
      <c r="AP26">
        <v>35.9</v>
      </c>
      <c r="AS26">
        <v>47.1</v>
      </c>
      <c r="AT26">
        <v>0.72499999999999998</v>
      </c>
      <c r="AW26">
        <v>37</v>
      </c>
      <c r="BA26">
        <v>48.1</v>
      </c>
      <c r="BB26">
        <v>0.67500000000000004</v>
      </c>
      <c r="BE26">
        <v>38</v>
      </c>
      <c r="BJ26">
        <v>50</v>
      </c>
      <c r="BK26">
        <v>0.6</v>
      </c>
      <c r="BN26">
        <v>40.299999999999997</v>
      </c>
    </row>
    <row r="27" spans="3:66" x14ac:dyDescent="0.35">
      <c r="C27">
        <v>1.75</v>
      </c>
      <c r="D27">
        <v>2.5000000000000001E-2</v>
      </c>
      <c r="F27">
        <v>23.5</v>
      </c>
      <c r="G27">
        <v>0.25</v>
      </c>
      <c r="J27">
        <v>0.45</v>
      </c>
      <c r="M27">
        <v>28.1</v>
      </c>
      <c r="Q27">
        <v>40.1</v>
      </c>
      <c r="R27">
        <v>0.5</v>
      </c>
      <c r="U27">
        <v>31.6</v>
      </c>
      <c r="X27">
        <v>43.1</v>
      </c>
      <c r="Y27">
        <v>0.55000000000000004</v>
      </c>
      <c r="AB27">
        <v>33.700000000000003</v>
      </c>
      <c r="AE27">
        <v>45</v>
      </c>
      <c r="AF27">
        <v>0.8</v>
      </c>
      <c r="AI27">
        <v>35.1</v>
      </c>
      <c r="AL27">
        <v>46.1</v>
      </c>
      <c r="AM27">
        <v>0.8</v>
      </c>
      <c r="AP27">
        <v>36</v>
      </c>
      <c r="AS27">
        <v>47.1</v>
      </c>
      <c r="AT27">
        <v>0.7</v>
      </c>
      <c r="AW27">
        <v>37</v>
      </c>
      <c r="BA27">
        <v>48.1</v>
      </c>
      <c r="BB27">
        <v>0.65</v>
      </c>
      <c r="BE27">
        <v>38.1</v>
      </c>
      <c r="BJ27">
        <v>50</v>
      </c>
      <c r="BK27">
        <v>0.57499999999999996</v>
      </c>
      <c r="BN27">
        <v>40.6</v>
      </c>
    </row>
    <row r="28" spans="3:66" x14ac:dyDescent="0.35">
      <c r="C28">
        <v>1.7</v>
      </c>
      <c r="D28">
        <v>2.5000000000000001E-2</v>
      </c>
      <c r="F28">
        <v>24</v>
      </c>
      <c r="G28">
        <v>0.25</v>
      </c>
      <c r="J28">
        <v>0.4</v>
      </c>
      <c r="M28">
        <v>36.700000000000003</v>
      </c>
      <c r="Q28">
        <v>40.1</v>
      </c>
      <c r="R28">
        <v>0.45</v>
      </c>
      <c r="U28">
        <v>32.1</v>
      </c>
      <c r="X28">
        <v>43.1</v>
      </c>
      <c r="Y28">
        <v>0.52500000000000002</v>
      </c>
      <c r="AB28">
        <v>34</v>
      </c>
      <c r="AE28">
        <v>45</v>
      </c>
      <c r="AF28">
        <v>0.77500000000000002</v>
      </c>
      <c r="AI28">
        <v>35.200000000000003</v>
      </c>
      <c r="AL28">
        <v>46.1</v>
      </c>
      <c r="AM28">
        <v>0.77500000000000002</v>
      </c>
      <c r="AP28">
        <v>36.1</v>
      </c>
      <c r="AS28">
        <v>47.1</v>
      </c>
      <c r="AT28">
        <v>0.67500000000000004</v>
      </c>
      <c r="AW28">
        <v>37.1</v>
      </c>
      <c r="BA28">
        <v>48.1</v>
      </c>
      <c r="BB28">
        <v>0.625</v>
      </c>
      <c r="BE28">
        <v>38.200000000000003</v>
      </c>
      <c r="BJ28">
        <v>50</v>
      </c>
      <c r="BK28">
        <v>0.55000000000000004</v>
      </c>
      <c r="BN28">
        <v>41</v>
      </c>
    </row>
    <row r="29" spans="3:66" x14ac:dyDescent="0.35">
      <c r="C29">
        <v>1.65</v>
      </c>
      <c r="D29">
        <v>2.5000000000000001E-2</v>
      </c>
      <c r="F29">
        <v>24.4</v>
      </c>
      <c r="G29">
        <v>0.25</v>
      </c>
      <c r="J29">
        <v>0.39</v>
      </c>
      <c r="M29">
        <v>44.5</v>
      </c>
      <c r="Q29">
        <v>40.1</v>
      </c>
      <c r="R29">
        <v>0.41</v>
      </c>
      <c r="U29">
        <v>44.2</v>
      </c>
      <c r="X29">
        <v>43.1</v>
      </c>
      <c r="Y29">
        <v>0.5</v>
      </c>
      <c r="AB29">
        <v>34.1</v>
      </c>
      <c r="AE29">
        <v>45.1</v>
      </c>
      <c r="AF29">
        <v>0.75</v>
      </c>
      <c r="AI29">
        <v>35.299999999999997</v>
      </c>
      <c r="AL29">
        <v>46.1</v>
      </c>
      <c r="AM29">
        <v>0.75</v>
      </c>
      <c r="AP29">
        <v>36</v>
      </c>
      <c r="AS29">
        <v>47.1</v>
      </c>
      <c r="AT29">
        <v>0.65</v>
      </c>
      <c r="AW29">
        <v>37.1</v>
      </c>
      <c r="BA29">
        <v>48.1</v>
      </c>
      <c r="BB29">
        <v>0.6</v>
      </c>
      <c r="BE29">
        <v>38.4</v>
      </c>
      <c r="BJ29">
        <v>50</v>
      </c>
      <c r="BK29">
        <v>0.52500000000000002</v>
      </c>
      <c r="BN29">
        <v>41.7</v>
      </c>
    </row>
    <row r="30" spans="3:66" x14ac:dyDescent="0.35">
      <c r="C30">
        <v>1.6</v>
      </c>
      <c r="D30">
        <v>2.5000000000000001E-2</v>
      </c>
      <c r="F30">
        <v>24.5</v>
      </c>
      <c r="G30">
        <v>0.25</v>
      </c>
      <c r="X30">
        <v>43.1</v>
      </c>
      <c r="Y30">
        <v>0.47499999999999998</v>
      </c>
      <c r="AB30">
        <v>35</v>
      </c>
      <c r="AE30">
        <v>45.1</v>
      </c>
      <c r="AF30">
        <v>0.72499999999999998</v>
      </c>
      <c r="AI30">
        <v>35.299999999999997</v>
      </c>
      <c r="AL30">
        <v>46.1</v>
      </c>
      <c r="AM30">
        <v>0.72499999999999998</v>
      </c>
      <c r="AP30">
        <v>36</v>
      </c>
      <c r="AS30">
        <v>47.1</v>
      </c>
      <c r="AT30">
        <v>0.625</v>
      </c>
      <c r="AW30">
        <v>37.299999999999997</v>
      </c>
      <c r="BA30">
        <v>48.1</v>
      </c>
      <c r="BB30">
        <v>0.57499999999999996</v>
      </c>
      <c r="BE30">
        <v>38.5</v>
      </c>
      <c r="BJ30">
        <v>50</v>
      </c>
      <c r="BK30">
        <v>0.5</v>
      </c>
      <c r="BN30">
        <v>43.1</v>
      </c>
    </row>
    <row r="31" spans="3:66" x14ac:dyDescent="0.35">
      <c r="C31">
        <v>1.55</v>
      </c>
      <c r="D31">
        <v>2.5000000000000001E-2</v>
      </c>
      <c r="F31">
        <v>24.5</v>
      </c>
      <c r="G31">
        <v>0.25</v>
      </c>
      <c r="X31">
        <v>43.1</v>
      </c>
      <c r="Y31">
        <v>0.45</v>
      </c>
      <c r="AB31">
        <v>38</v>
      </c>
      <c r="AE31">
        <v>45</v>
      </c>
      <c r="AF31">
        <v>0.7</v>
      </c>
      <c r="AI31">
        <v>35.4</v>
      </c>
      <c r="AL31">
        <v>46.1</v>
      </c>
      <c r="AM31">
        <v>0.7</v>
      </c>
      <c r="AP31">
        <v>36.1</v>
      </c>
      <c r="AS31">
        <v>47.1</v>
      </c>
      <c r="AT31">
        <v>0.6</v>
      </c>
      <c r="AW31">
        <v>37.4</v>
      </c>
      <c r="BA31">
        <v>48.1</v>
      </c>
      <c r="BB31">
        <v>0.55000000000000004</v>
      </c>
      <c r="BE31">
        <v>38.799999999999997</v>
      </c>
    </row>
    <row r="32" spans="3:66" x14ac:dyDescent="0.35">
      <c r="C32">
        <v>1.5</v>
      </c>
      <c r="D32">
        <v>2.5000000000000001E-2</v>
      </c>
      <c r="F32">
        <v>24.5</v>
      </c>
      <c r="G32">
        <v>0.25</v>
      </c>
      <c r="X32">
        <v>43.1</v>
      </c>
      <c r="Y32">
        <v>0.44</v>
      </c>
      <c r="AB32">
        <v>40</v>
      </c>
      <c r="AE32">
        <v>45.1</v>
      </c>
      <c r="AF32">
        <v>0.65</v>
      </c>
      <c r="AI32">
        <v>35.4</v>
      </c>
      <c r="AL32">
        <v>46.1</v>
      </c>
      <c r="AM32">
        <v>0.67500000000000004</v>
      </c>
      <c r="AP32">
        <v>36.200000000000003</v>
      </c>
      <c r="AS32">
        <v>47.1</v>
      </c>
      <c r="AT32">
        <v>0.57499999999999996</v>
      </c>
      <c r="AW32">
        <v>37.5</v>
      </c>
      <c r="BA32">
        <v>48.1</v>
      </c>
      <c r="BB32">
        <v>0.52500000000000002</v>
      </c>
      <c r="BE32">
        <v>39</v>
      </c>
    </row>
    <row r="33" spans="3:57" x14ac:dyDescent="0.35">
      <c r="C33">
        <v>1.45</v>
      </c>
      <c r="D33">
        <v>2.5000000000000001E-2</v>
      </c>
      <c r="F33">
        <v>24.5</v>
      </c>
      <c r="G33">
        <v>0.25</v>
      </c>
      <c r="X33">
        <v>43.1</v>
      </c>
      <c r="Y33">
        <v>0.42499999999999999</v>
      </c>
      <c r="AB33">
        <v>42</v>
      </c>
      <c r="AE33">
        <v>45</v>
      </c>
      <c r="AF33">
        <v>0.6</v>
      </c>
      <c r="AI33">
        <v>35.5</v>
      </c>
      <c r="AL33">
        <v>46.1</v>
      </c>
      <c r="AM33">
        <v>0.65</v>
      </c>
      <c r="AP33">
        <v>36.200000000000003</v>
      </c>
      <c r="AS33">
        <v>47.1</v>
      </c>
      <c r="AT33">
        <v>0.55000000000000004</v>
      </c>
      <c r="AW33">
        <v>37.6</v>
      </c>
      <c r="BA33">
        <v>48.1</v>
      </c>
      <c r="BB33">
        <v>0.5</v>
      </c>
      <c r="BE33">
        <v>40.700000000000003</v>
      </c>
    </row>
    <row r="34" spans="3:57" x14ac:dyDescent="0.35">
      <c r="C34">
        <v>1.4</v>
      </c>
      <c r="D34">
        <v>2.5000000000000001E-2</v>
      </c>
      <c r="F34">
        <v>24.5</v>
      </c>
      <c r="G34">
        <v>0.25</v>
      </c>
      <c r="X34">
        <v>43.1</v>
      </c>
      <c r="Y34">
        <v>0.42</v>
      </c>
      <c r="AB34">
        <v>45</v>
      </c>
      <c r="AE34">
        <v>45</v>
      </c>
      <c r="AF34">
        <v>0.57499999999999996</v>
      </c>
      <c r="AI34">
        <v>35.5</v>
      </c>
      <c r="AL34">
        <v>46.1</v>
      </c>
      <c r="AM34">
        <v>0.625</v>
      </c>
      <c r="AP34">
        <v>36.200000000000003</v>
      </c>
      <c r="AS34">
        <v>47.1</v>
      </c>
      <c r="AT34">
        <v>0.52500000000000002</v>
      </c>
      <c r="AW34">
        <v>38.200000000000003</v>
      </c>
      <c r="BA34">
        <v>48</v>
      </c>
      <c r="BB34">
        <v>0.47499999999999998</v>
      </c>
      <c r="BE34">
        <v>42.2</v>
      </c>
    </row>
    <row r="35" spans="3:57" x14ac:dyDescent="0.35">
      <c r="C35">
        <v>1.3</v>
      </c>
      <c r="D35">
        <v>2.5000000000000001E-2</v>
      </c>
      <c r="F35">
        <v>24.6</v>
      </c>
      <c r="G35">
        <v>0.25</v>
      </c>
      <c r="AE35">
        <v>45</v>
      </c>
      <c r="AF35">
        <v>0.55000000000000004</v>
      </c>
      <c r="AI35">
        <v>35.6</v>
      </c>
      <c r="AL35">
        <v>46.1</v>
      </c>
      <c r="AM35">
        <v>0.6</v>
      </c>
      <c r="AP35">
        <v>36.5</v>
      </c>
      <c r="AS35">
        <v>47.1</v>
      </c>
      <c r="AT35">
        <v>0.5</v>
      </c>
      <c r="AW35">
        <v>39</v>
      </c>
      <c r="BA35">
        <v>48</v>
      </c>
      <c r="BB35">
        <v>0.45</v>
      </c>
      <c r="BE35">
        <v>45.1</v>
      </c>
    </row>
    <row r="36" spans="3:57" x14ac:dyDescent="0.35">
      <c r="C36">
        <v>1.2</v>
      </c>
      <c r="D36">
        <v>2.5000000000000001E-2</v>
      </c>
      <c r="F36">
        <v>24.6</v>
      </c>
      <c r="G36">
        <v>0.25</v>
      </c>
      <c r="AE36">
        <v>45.1</v>
      </c>
      <c r="AF36">
        <v>0.52500000000000002</v>
      </c>
      <c r="AI36">
        <v>35.9</v>
      </c>
      <c r="AL36">
        <v>46.1</v>
      </c>
      <c r="AM36">
        <v>0.57499999999999996</v>
      </c>
      <c r="AP36">
        <v>36.5</v>
      </c>
      <c r="AS36">
        <v>47.1</v>
      </c>
      <c r="AT36">
        <v>0.47499999999999998</v>
      </c>
      <c r="AW36">
        <v>40</v>
      </c>
    </row>
    <row r="37" spans="3:57" x14ac:dyDescent="0.35">
      <c r="C37">
        <v>1.1000000000000001</v>
      </c>
      <c r="D37">
        <v>2.5000000000000001E-2</v>
      </c>
      <c r="F37">
        <v>24.6</v>
      </c>
      <c r="G37">
        <v>0.25</v>
      </c>
      <c r="AE37">
        <v>45.1</v>
      </c>
      <c r="AF37">
        <v>0.5</v>
      </c>
      <c r="AI37">
        <v>36.6</v>
      </c>
      <c r="AL37">
        <v>46.1</v>
      </c>
      <c r="AM37">
        <v>0.55000000000000004</v>
      </c>
      <c r="AP37">
        <v>36.6</v>
      </c>
      <c r="AS37">
        <v>47.1</v>
      </c>
      <c r="AT37">
        <v>0.46</v>
      </c>
      <c r="AW37">
        <v>42.5</v>
      </c>
    </row>
    <row r="38" spans="3:57" x14ac:dyDescent="0.35">
      <c r="C38">
        <v>1</v>
      </c>
      <c r="D38">
        <v>2.5000000000000001E-2</v>
      </c>
      <c r="F38">
        <v>24.6</v>
      </c>
      <c r="G38">
        <v>0.25</v>
      </c>
      <c r="AE38">
        <v>45</v>
      </c>
      <c r="AF38">
        <v>0.47499999999999998</v>
      </c>
      <c r="AI38">
        <v>38</v>
      </c>
      <c r="AL38">
        <v>46.1</v>
      </c>
      <c r="AM38">
        <v>0.52500000000000002</v>
      </c>
      <c r="AP38">
        <v>37</v>
      </c>
      <c r="AS38">
        <v>47.1</v>
      </c>
      <c r="AT38">
        <v>0.45</v>
      </c>
      <c r="AW38">
        <v>45</v>
      </c>
    </row>
    <row r="39" spans="3:57" x14ac:dyDescent="0.35">
      <c r="C39">
        <v>0.9</v>
      </c>
      <c r="D39">
        <v>2.5000000000000001E-2</v>
      </c>
      <c r="F39">
        <v>24.7</v>
      </c>
      <c r="G39">
        <v>0.25</v>
      </c>
      <c r="AE39">
        <v>45.1</v>
      </c>
      <c r="AF39">
        <v>0.45</v>
      </c>
      <c r="AI39">
        <v>41</v>
      </c>
      <c r="AL39">
        <v>46.1</v>
      </c>
      <c r="AM39">
        <v>0.5</v>
      </c>
      <c r="AP39">
        <v>37.6</v>
      </c>
    </row>
    <row r="40" spans="3:57" x14ac:dyDescent="0.35">
      <c r="C40">
        <v>0.8</v>
      </c>
      <c r="D40">
        <v>2.5000000000000001E-2</v>
      </c>
      <c r="F40">
        <v>24.75</v>
      </c>
      <c r="G40">
        <v>0.25</v>
      </c>
      <c r="AE40">
        <v>45.1</v>
      </c>
      <c r="AF40">
        <v>0.44</v>
      </c>
      <c r="AI40">
        <v>43</v>
      </c>
      <c r="AL40">
        <v>46.1</v>
      </c>
      <c r="AM40">
        <v>0.47499999999999998</v>
      </c>
      <c r="AP40">
        <v>39.4</v>
      </c>
    </row>
    <row r="41" spans="3:57" x14ac:dyDescent="0.35">
      <c r="C41">
        <v>0.75</v>
      </c>
      <c r="D41">
        <v>2.5000000000000001E-2</v>
      </c>
      <c r="F41">
        <v>24.75</v>
      </c>
      <c r="G41">
        <v>0.25</v>
      </c>
      <c r="AE41">
        <v>45</v>
      </c>
      <c r="AF41">
        <v>0.43</v>
      </c>
      <c r="AI41">
        <v>45</v>
      </c>
      <c r="AL41">
        <v>46.1</v>
      </c>
      <c r="AM41">
        <v>0.45</v>
      </c>
      <c r="AP41">
        <v>43</v>
      </c>
    </row>
    <row r="42" spans="3:57" x14ac:dyDescent="0.35">
      <c r="C42">
        <v>0.7</v>
      </c>
      <c r="D42">
        <v>2.5000000000000001E-2</v>
      </c>
      <c r="F42">
        <v>24.8</v>
      </c>
      <c r="G42">
        <v>0.25</v>
      </c>
      <c r="AM42">
        <v>0.44500000000000001</v>
      </c>
      <c r="AP42">
        <v>45</v>
      </c>
    </row>
    <row r="43" spans="3:57" x14ac:dyDescent="0.35">
      <c r="C43">
        <v>0.65</v>
      </c>
      <c r="D43">
        <v>2.5000000000000001E-2</v>
      </c>
      <c r="F43">
        <v>24.8</v>
      </c>
      <c r="G43">
        <v>0.25</v>
      </c>
    </row>
    <row r="44" spans="3:57" x14ac:dyDescent="0.35">
      <c r="C44">
        <v>0.6</v>
      </c>
      <c r="D44">
        <v>2.5000000000000001E-2</v>
      </c>
      <c r="F44">
        <v>24.9</v>
      </c>
      <c r="G44">
        <v>0.25</v>
      </c>
    </row>
    <row r="45" spans="3:57" x14ac:dyDescent="0.35">
      <c r="C45">
        <v>0.55000000000000004</v>
      </c>
      <c r="D45">
        <v>2.5000000000000001E-2</v>
      </c>
      <c r="F45">
        <v>24.6</v>
      </c>
      <c r="G45">
        <v>0.25</v>
      </c>
    </row>
    <row r="46" spans="3:57" x14ac:dyDescent="0.35">
      <c r="C46">
        <v>0.5</v>
      </c>
      <c r="D46">
        <v>2.5000000000000001E-2</v>
      </c>
      <c r="F46">
        <v>25</v>
      </c>
      <c r="G46">
        <v>0.25</v>
      </c>
    </row>
    <row r="47" spans="3:57" x14ac:dyDescent="0.35">
      <c r="C47">
        <v>0.45</v>
      </c>
      <c r="D47">
        <v>2.5000000000000001E-2</v>
      </c>
      <c r="F47">
        <v>24.9</v>
      </c>
      <c r="G47">
        <v>0.25</v>
      </c>
    </row>
    <row r="48" spans="3:57" x14ac:dyDescent="0.35">
      <c r="C48">
        <v>0.4</v>
      </c>
      <c r="D48">
        <v>2.5000000000000001E-2</v>
      </c>
      <c r="F48">
        <v>24.9</v>
      </c>
      <c r="G48">
        <v>0.25</v>
      </c>
    </row>
    <row r="49" spans="3:32" x14ac:dyDescent="0.35">
      <c r="C49">
        <v>0.375</v>
      </c>
      <c r="D49">
        <v>2.5000000000000001E-2</v>
      </c>
      <c r="F49">
        <v>44.1</v>
      </c>
      <c r="G49">
        <v>0.25</v>
      </c>
    </row>
    <row r="55" spans="3:32" x14ac:dyDescent="0.35">
      <c r="I55" t="s">
        <v>13</v>
      </c>
      <c r="K55" t="s">
        <v>14</v>
      </c>
      <c r="L55" t="s">
        <v>15</v>
      </c>
      <c r="O55" t="s">
        <v>17</v>
      </c>
      <c r="P55" t="s">
        <v>18</v>
      </c>
      <c r="Q55" t="s">
        <v>20</v>
      </c>
      <c r="R55" s="1" t="s">
        <v>21</v>
      </c>
      <c r="S55" t="s">
        <v>22</v>
      </c>
      <c r="T55" s="1" t="s">
        <v>16</v>
      </c>
      <c r="U55" s="1" t="s">
        <v>19</v>
      </c>
      <c r="X55" t="s">
        <v>62</v>
      </c>
      <c r="Y55" t="s">
        <v>63</v>
      </c>
      <c r="Z55" t="s">
        <v>72</v>
      </c>
    </row>
    <row r="56" spans="3:32" x14ac:dyDescent="0.35">
      <c r="C56" s="2"/>
      <c r="O56">
        <f>P56+273.15</f>
        <v>303.45</v>
      </c>
      <c r="P56">
        <f>E4</f>
        <v>30.3</v>
      </c>
      <c r="Q56">
        <v>0.1</v>
      </c>
      <c r="R56" s="1">
        <f>1/O56</f>
        <v>3.2954358213873785E-3</v>
      </c>
      <c r="S56" s="9">
        <f>Q56/O56*R56</f>
        <v>1.0859897252883107E-6</v>
      </c>
      <c r="T56" s="11">
        <f>AVERAGE(F29:F48)</f>
        <v>24.669999999999998</v>
      </c>
      <c r="U56" s="1">
        <v>0.6</v>
      </c>
      <c r="W56" t="s">
        <v>64</v>
      </c>
      <c r="X56" s="4">
        <f>(LN(T56-U56)-LN(T61+U61))/(R56-R61)</f>
        <v>-2582.5829679866224</v>
      </c>
      <c r="Y56">
        <f>(LN(T56+U56)-LN(T61-U61))/(R56-R61)</f>
        <v>-2080.3204092097471</v>
      </c>
    </row>
    <row r="57" spans="3:32" x14ac:dyDescent="0.35">
      <c r="C57" s="2"/>
      <c r="K57">
        <v>1.65</v>
      </c>
      <c r="L57">
        <v>24.4</v>
      </c>
      <c r="O57">
        <f t="shared" ref="O57:O61" si="0">P57+273.15</f>
        <v>308.25</v>
      </c>
      <c r="P57">
        <f>L4</f>
        <v>35.1</v>
      </c>
      <c r="Q57">
        <v>0.1</v>
      </c>
      <c r="R57" s="1">
        <f t="shared" ref="R57:R61" si="1">1/O57</f>
        <v>3.2441200324412004E-3</v>
      </c>
      <c r="S57" s="9">
        <f t="shared" ref="S57:S61" si="2">Q57/O57*R57</f>
        <v>1.0524314784886295E-6</v>
      </c>
      <c r="T57" s="1">
        <f>AVERAGE(M15:M27)</f>
        <v>27.838461538461544</v>
      </c>
      <c r="U57" s="1">
        <v>0.6</v>
      </c>
      <c r="W57" t="s">
        <v>65</v>
      </c>
      <c r="X57">
        <f>LN(T61+U61)-X56*R61</f>
        <v>11.691702676203029</v>
      </c>
      <c r="Y57">
        <f>LN(T61-U61)-Y56*R61</f>
        <v>10.085180317873153</v>
      </c>
    </row>
    <row r="58" spans="3:32" x14ac:dyDescent="0.35">
      <c r="C58" s="2"/>
      <c r="K58">
        <v>1.4</v>
      </c>
      <c r="L58">
        <v>27.5</v>
      </c>
      <c r="O58">
        <f t="shared" si="0"/>
        <v>313.25</v>
      </c>
      <c r="P58">
        <f>T4</f>
        <v>40.1</v>
      </c>
      <c r="Q58">
        <v>0.1</v>
      </c>
      <c r="R58" s="1">
        <f t="shared" si="1"/>
        <v>3.1923383878691143E-3</v>
      </c>
      <c r="S58" s="9">
        <f t="shared" si="2"/>
        <v>1.0191024382662776E-6</v>
      </c>
      <c r="T58" s="1">
        <f>AVERAGE(U20:U27)</f>
        <v>31.318750000000001</v>
      </c>
      <c r="U58" s="1">
        <v>0.6</v>
      </c>
      <c r="AF58">
        <v>53583.239450000001</v>
      </c>
    </row>
    <row r="59" spans="3:32" x14ac:dyDescent="0.35">
      <c r="C59" s="2"/>
      <c r="K59">
        <v>1.1000000000000001</v>
      </c>
      <c r="L59">
        <v>31.1</v>
      </c>
      <c r="O59">
        <f t="shared" si="0"/>
        <v>316.25</v>
      </c>
      <c r="P59">
        <f>AA4</f>
        <v>43.1</v>
      </c>
      <c r="Q59">
        <v>0.1</v>
      </c>
      <c r="R59" s="1">
        <f t="shared" si="1"/>
        <v>3.1620553359683794E-3</v>
      </c>
      <c r="S59" s="9">
        <f t="shared" si="2"/>
        <v>9.9985939477261012E-7</v>
      </c>
      <c r="T59" s="1">
        <f>AVERAGE(AB21:AB27)</f>
        <v>33.6</v>
      </c>
      <c r="U59" s="1">
        <v>0.6</v>
      </c>
      <c r="AF59">
        <v>-2331.5737100000001</v>
      </c>
    </row>
    <row r="60" spans="3:32" x14ac:dyDescent="0.35">
      <c r="C60" s="2"/>
      <c r="K60">
        <v>0.95</v>
      </c>
      <c r="L60">
        <v>33.5</v>
      </c>
      <c r="O60">
        <f t="shared" si="0"/>
        <v>318.14999999999998</v>
      </c>
      <c r="P60">
        <f>AH4</f>
        <v>45</v>
      </c>
      <c r="Q60">
        <v>0.1</v>
      </c>
      <c r="R60" s="1">
        <f t="shared" si="1"/>
        <v>3.1431714600031434E-3</v>
      </c>
      <c r="S60" s="9">
        <f t="shared" si="2"/>
        <v>9.8795268269782935E-7</v>
      </c>
      <c r="T60" s="1">
        <f>AVERAGE(AI24:AI34)</f>
        <v>35.25454545454545</v>
      </c>
      <c r="U60" s="1">
        <v>0.6</v>
      </c>
      <c r="W60" t="s">
        <v>68</v>
      </c>
      <c r="X60" s="2">
        <f>$C$75/(10^5)</f>
        <v>36.641765704584003</v>
      </c>
      <c r="Y60" s="2">
        <f>$C$75/(10^5)</f>
        <v>36.641765704584003</v>
      </c>
    </row>
    <row r="61" spans="3:32" x14ac:dyDescent="0.35">
      <c r="C61" s="2"/>
      <c r="K61">
        <v>0.875</v>
      </c>
      <c r="L61">
        <v>35</v>
      </c>
      <c r="O61">
        <f t="shared" si="0"/>
        <v>319.25</v>
      </c>
      <c r="P61">
        <f>AO4</f>
        <v>46.1</v>
      </c>
      <c r="Q61">
        <v>0.1</v>
      </c>
      <c r="R61" s="1">
        <f t="shared" si="1"/>
        <v>3.1323414252153485E-3</v>
      </c>
      <c r="S61" s="9">
        <f t="shared" si="2"/>
        <v>9.8115628041201211E-7</v>
      </c>
      <c r="T61" s="1">
        <f>AVERAGE(AP26:AP34)</f>
        <v>36.077777777777776</v>
      </c>
      <c r="U61" s="1">
        <v>0.6</v>
      </c>
      <c r="W61" t="s">
        <v>66</v>
      </c>
      <c r="X61">
        <f>(LN(X60)-X57)/X56</f>
        <v>3.1327217933440833E-3</v>
      </c>
      <c r="Y61">
        <f>(LN(Y60)-Y57)/Y56</f>
        <v>3.116823523864836E-3</v>
      </c>
    </row>
    <row r="62" spans="3:32" x14ac:dyDescent="0.35">
      <c r="C62" s="2"/>
      <c r="K62">
        <v>0.82499999999999996</v>
      </c>
      <c r="L62">
        <v>35.9</v>
      </c>
      <c r="Q62" s="3"/>
      <c r="R62" s="3"/>
    </row>
    <row r="63" spans="3:32" x14ac:dyDescent="0.35">
      <c r="C63" s="2"/>
      <c r="K63">
        <v>0.625</v>
      </c>
      <c r="L63">
        <v>36.200000000000003</v>
      </c>
      <c r="Q63" s="3"/>
      <c r="W63" t="s">
        <v>67</v>
      </c>
      <c r="X63">
        <f>1/X61</f>
        <v>319.21123737340588</v>
      </c>
      <c r="Y63">
        <f>1/Y61</f>
        <v>320.83946760001606</v>
      </c>
      <c r="Z63">
        <v>319.92820757257903</v>
      </c>
    </row>
    <row r="64" spans="3:32" x14ac:dyDescent="0.35">
      <c r="C64" s="2"/>
      <c r="K64">
        <v>0.57499999999999996</v>
      </c>
      <c r="L64">
        <v>35.5</v>
      </c>
      <c r="Q64" s="3"/>
    </row>
    <row r="65" spans="1:25" x14ac:dyDescent="0.35">
      <c r="C65" s="2"/>
      <c r="K65">
        <v>0.55000000000000004</v>
      </c>
      <c r="L65">
        <v>33.700000000000003</v>
      </c>
    </row>
    <row r="66" spans="1:25" x14ac:dyDescent="0.35">
      <c r="C66" s="2"/>
      <c r="K66">
        <v>0.5</v>
      </c>
      <c r="L66">
        <v>31.6</v>
      </c>
    </row>
    <row r="67" spans="1:25" x14ac:dyDescent="0.35">
      <c r="C67" s="2"/>
      <c r="K67">
        <v>0.45</v>
      </c>
      <c r="L67">
        <v>28.1</v>
      </c>
      <c r="W67" t="s">
        <v>69</v>
      </c>
    </row>
    <row r="68" spans="1:25" x14ac:dyDescent="0.35">
      <c r="C68" s="2"/>
      <c r="K68">
        <v>0.4</v>
      </c>
      <c r="L68">
        <v>24.9</v>
      </c>
      <c r="W68" t="s">
        <v>50</v>
      </c>
      <c r="X68">
        <f>EXP(X57)</f>
        <v>119575.43138606873</v>
      </c>
      <c r="Y68">
        <f>EXP(Y57)</f>
        <v>23984.913748583756</v>
      </c>
    </row>
    <row r="69" spans="1:25" x14ac:dyDescent="0.35">
      <c r="W69" t="s">
        <v>49</v>
      </c>
      <c r="X69" s="4">
        <f>X56</f>
        <v>-2582.5829679866224</v>
      </c>
      <c r="Y69">
        <f>Y56</f>
        <v>-2080.3204092097471</v>
      </c>
    </row>
    <row r="70" spans="1:25" x14ac:dyDescent="0.35">
      <c r="C70" s="2"/>
      <c r="G70" t="s">
        <v>35</v>
      </c>
      <c r="H70" t="s">
        <v>36</v>
      </c>
    </row>
    <row r="71" spans="1:25" x14ac:dyDescent="0.35">
      <c r="G71">
        <v>3.1258260839228998E-3</v>
      </c>
    </row>
    <row r="72" spans="1:25" x14ac:dyDescent="0.35">
      <c r="C72" s="6" t="s">
        <v>28</v>
      </c>
      <c r="J72" s="5" t="s">
        <v>28</v>
      </c>
      <c r="W72" t="s">
        <v>70</v>
      </c>
      <c r="X72">
        <f>Z63</f>
        <v>319.92820757257903</v>
      </c>
    </row>
    <row r="73" spans="1:25" x14ac:dyDescent="0.35">
      <c r="C73" s="2"/>
      <c r="W73" t="s">
        <v>48</v>
      </c>
      <c r="X73" s="1">
        <f>MAX(ABS(X72-X63),ABS(X72-Y63))</f>
        <v>0.91126002743703793</v>
      </c>
    </row>
    <row r="74" spans="1:25" x14ac:dyDescent="0.35">
      <c r="A74" t="s">
        <v>27</v>
      </c>
      <c r="C74" s="2" t="s">
        <v>29</v>
      </c>
      <c r="D74" t="s">
        <v>30</v>
      </c>
      <c r="E74" t="s">
        <v>31</v>
      </c>
      <c r="F74" t="s">
        <v>34</v>
      </c>
      <c r="G74" t="s">
        <v>23</v>
      </c>
      <c r="H74" t="s">
        <v>24</v>
      </c>
      <c r="J74" t="s">
        <v>32</v>
      </c>
      <c r="K74" t="s">
        <v>25</v>
      </c>
      <c r="M74" t="s">
        <v>33</v>
      </c>
      <c r="N74" t="s">
        <v>26</v>
      </c>
      <c r="P74" t="s">
        <v>39</v>
      </c>
      <c r="Q74" t="s">
        <v>40</v>
      </c>
      <c r="S74" t="s">
        <v>44</v>
      </c>
      <c r="T74" t="s">
        <v>45</v>
      </c>
      <c r="W74" t="s">
        <v>71</v>
      </c>
      <c r="X74" s="1">
        <f>X72-273.15</f>
        <v>46.778207572579049</v>
      </c>
    </row>
    <row r="75" spans="1:25" x14ac:dyDescent="0.35">
      <c r="A75">
        <v>8.3144626181532395</v>
      </c>
      <c r="C75" s="2">
        <f>36.641765704584*10^5</f>
        <v>3664176.5704584005</v>
      </c>
      <c r="D75">
        <f>1*10^5</f>
        <v>100000</v>
      </c>
      <c r="E75">
        <f>0.693775649794802*10^(-6)</f>
        <v>6.9377564979480193E-7</v>
      </c>
      <c r="F75" s="7">
        <f>0.05*10^-6</f>
        <v>4.9999999999999998E-8</v>
      </c>
      <c r="G75">
        <f>E97</f>
        <v>319.92820757257903</v>
      </c>
      <c r="H75">
        <f>X73</f>
        <v>0.91126002743703793</v>
      </c>
      <c r="J75">
        <f>27*A75^2*G75^2/(64*C75)</f>
        <v>0.81466832813426326</v>
      </c>
      <c r="K75">
        <f>J75*SQRT(4*(H75/G75)^2+(D75/C75)^2)</f>
        <v>2.2712520488439115E-2</v>
      </c>
      <c r="M75">
        <f>A75*G75/(8*C75)</f>
        <v>9.074450532081618E-5</v>
      </c>
      <c r="N75">
        <f>M75*SQRT((H75/G75)^2+(D75/C75)^2)</f>
        <v>2.4899834306098562E-6</v>
      </c>
      <c r="P75">
        <f>E75/(3*M75)</f>
        <v>2.5484578830862995E-3</v>
      </c>
      <c r="Q75" s="7">
        <f>P75*SQRT((H75/G75)^2+(F75/E75)^2+(D75/C75)^2)</f>
        <v>1.965276702798035E-4</v>
      </c>
      <c r="S75" s="8">
        <f>P75*A75*G75/(E75*C75)</f>
        <v>2.6666666666666665</v>
      </c>
    </row>
    <row r="76" spans="1:25" x14ac:dyDescent="0.35">
      <c r="A76" t="s">
        <v>38</v>
      </c>
      <c r="C76" s="2"/>
    </row>
    <row r="77" spans="1:25" x14ac:dyDescent="0.35">
      <c r="A77">
        <f>1.380649*(10^-23)</f>
        <v>1.3806490000000001E-23</v>
      </c>
      <c r="C77" s="2"/>
    </row>
    <row r="78" spans="1:25" x14ac:dyDescent="0.35">
      <c r="A78" t="s">
        <v>41</v>
      </c>
      <c r="C78" s="2"/>
      <c r="G78" t="s">
        <v>37</v>
      </c>
    </row>
    <row r="79" spans="1:25" x14ac:dyDescent="0.35">
      <c r="A79" s="7">
        <f>1.602176634*10^(-19)</f>
        <v>1.6021766340000001E-19</v>
      </c>
      <c r="C79" s="2"/>
      <c r="G79">
        <f>G75-273.15</f>
        <v>46.778207572579049</v>
      </c>
      <c r="M79" t="s">
        <v>60</v>
      </c>
      <c r="N79" t="s">
        <v>61</v>
      </c>
    </row>
    <row r="80" spans="1:25" x14ac:dyDescent="0.35">
      <c r="A80" t="s">
        <v>43</v>
      </c>
      <c r="C80" s="2"/>
      <c r="N80" s="10"/>
    </row>
    <row r="81" spans="1:14" x14ac:dyDescent="0.35">
      <c r="A81">
        <f>6.02214076*10^(23)</f>
        <v>6.0221407599999999E+23</v>
      </c>
    </row>
    <row r="82" spans="1:14" x14ac:dyDescent="0.35">
      <c r="M82">
        <f>3*M75*10^6</f>
        <v>272.23351596244851</v>
      </c>
      <c r="N82">
        <f>3*N75*10^6</f>
        <v>7.4699502918295684</v>
      </c>
    </row>
    <row r="83" spans="1:14" x14ac:dyDescent="0.35">
      <c r="C83" s="2"/>
    </row>
    <row r="84" spans="1:14" x14ac:dyDescent="0.35">
      <c r="C84" s="2"/>
      <c r="D84" s="7"/>
      <c r="E84" s="7"/>
    </row>
    <row r="85" spans="1:14" x14ac:dyDescent="0.35">
      <c r="C85" s="2"/>
    </row>
    <row r="86" spans="1:14" x14ac:dyDescent="0.35">
      <c r="C86" s="2"/>
    </row>
    <row r="87" spans="1:14" x14ac:dyDescent="0.35">
      <c r="C87" s="2"/>
    </row>
    <row r="88" spans="1:14" x14ac:dyDescent="0.35">
      <c r="C88" s="2"/>
    </row>
    <row r="89" spans="1:14" x14ac:dyDescent="0.35">
      <c r="C89" s="2"/>
    </row>
    <row r="90" spans="1:14" x14ac:dyDescent="0.35">
      <c r="C90" s="2"/>
    </row>
    <row r="91" spans="1:14" x14ac:dyDescent="0.35">
      <c r="C91" s="2"/>
    </row>
    <row r="92" spans="1:14" x14ac:dyDescent="0.35">
      <c r="A92" t="s">
        <v>46</v>
      </c>
      <c r="B92" t="s">
        <v>47</v>
      </c>
      <c r="C92" s="2" t="s">
        <v>48</v>
      </c>
    </row>
    <row r="93" spans="1:14" x14ac:dyDescent="0.35">
      <c r="A93" t="s">
        <v>49</v>
      </c>
      <c r="B93">
        <v>53681.112249999998</v>
      </c>
      <c r="C93" s="2">
        <v>1964.58546</v>
      </c>
    </row>
    <row r="94" spans="1:14" x14ac:dyDescent="0.35">
      <c r="A94" t="s">
        <v>50</v>
      </c>
      <c r="B94">
        <v>-2332.06441</v>
      </c>
      <c r="C94">
        <v>11.452819999999999</v>
      </c>
    </row>
    <row r="95" spans="1:14" x14ac:dyDescent="0.35">
      <c r="C95" s="2"/>
    </row>
    <row r="96" spans="1:14" x14ac:dyDescent="0.35">
      <c r="A96" t="s">
        <v>51</v>
      </c>
      <c r="C96" s="2"/>
      <c r="E96" t="s">
        <v>55</v>
      </c>
      <c r="F96" t="s">
        <v>54</v>
      </c>
      <c r="H96" t="s">
        <v>42</v>
      </c>
      <c r="I96" t="s">
        <v>57</v>
      </c>
      <c r="K96" t="s">
        <v>58</v>
      </c>
      <c r="L96" t="s">
        <v>59</v>
      </c>
    </row>
    <row r="97" spans="1:12" x14ac:dyDescent="0.35">
      <c r="A97" t="s">
        <v>52</v>
      </c>
      <c r="B97">
        <v>53583.239450000001</v>
      </c>
      <c r="C97" s="2">
        <v>2458.0567099999998</v>
      </c>
      <c r="E97">
        <f>1/(LN(C75/(10^5*B97))/B98)</f>
        <v>319.92820757257903</v>
      </c>
      <c r="F97">
        <v>0.7</v>
      </c>
      <c r="H97" s="9">
        <f>-B98*A77/A79</f>
        <v>0.20091947684326233</v>
      </c>
      <c r="I97" s="9">
        <f>-C98/B98*H97</f>
        <v>1.2426823629341482E-3</v>
      </c>
      <c r="K97" s="9">
        <f>H97*A81*A79/1000</f>
        <v>19.385782453263861</v>
      </c>
      <c r="L97" s="9">
        <f>-C98/B98*K97</f>
        <v>0.11990062051148095</v>
      </c>
    </row>
    <row r="98" spans="1:12" x14ac:dyDescent="0.35">
      <c r="A98" t="s">
        <v>53</v>
      </c>
      <c r="B98">
        <v>-2331.5737100000001</v>
      </c>
      <c r="C98" s="2">
        <v>14.420730000000001</v>
      </c>
    </row>
    <row r="99" spans="1:12" x14ac:dyDescent="0.35">
      <c r="C99" s="2"/>
    </row>
    <row r="100" spans="1:12" x14ac:dyDescent="0.35">
      <c r="E100" t="s">
        <v>56</v>
      </c>
    </row>
    <row r="101" spans="1:12" x14ac:dyDescent="0.35">
      <c r="E101">
        <f>E97-273.15</f>
        <v>46.778207572579049</v>
      </c>
    </row>
    <row r="106" spans="1:12" x14ac:dyDescent="0.35">
      <c r="F106" s="4"/>
    </row>
    <row r="107" spans="1:12" x14ac:dyDescent="0.35">
      <c r="F107" s="4"/>
    </row>
    <row r="108" spans="1:12" x14ac:dyDescent="0.35">
      <c r="F108" s="4"/>
    </row>
    <row r="109" spans="1:12" x14ac:dyDescent="0.35">
      <c r="F109" s="4"/>
    </row>
    <row r="110" spans="1:12" x14ac:dyDescent="0.35">
      <c r="F110" s="4"/>
    </row>
    <row r="111" spans="1:12" x14ac:dyDescent="0.35">
      <c r="F111" s="4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B562-8E75-4AB1-8DAA-5EACB7B57909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2021-09-16T20:20:35Z</dcterms:created>
  <dcterms:modified xsi:type="dcterms:W3CDTF">2021-10-09T08:25:48Z</dcterms:modified>
</cp:coreProperties>
</file>