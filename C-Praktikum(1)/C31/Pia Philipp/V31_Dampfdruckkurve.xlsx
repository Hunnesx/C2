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ube\Nextcloud\Physik\Experimentalphysik\Physikalisches Praktikum\C\C31\Pia Philipp\"/>
    </mc:Choice>
  </mc:AlternateContent>
  <xr:revisionPtr revIDLastSave="0" documentId="13_ncr:1_{C850070E-F005-4A29-ACD1-A90FD5679C26}" xr6:coauthVersionLast="46" xr6:coauthVersionMax="47" xr10:uidLastSave="{00000000-0000-0000-0000-000000000000}"/>
  <bookViews>
    <workbookView minimized="1" xWindow="1860" yWindow="1960" windowWidth="14400" windowHeight="7370" xr2:uid="{7DB4FED6-7163-4780-8A2D-AA2543C5AA5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3" i="1"/>
  <c r="H3" i="1" s="1" a="1"/>
  <c r="H3" i="1" s="1"/>
  <c r="E4" i="1"/>
  <c r="E5" i="1"/>
  <c r="E6" i="1"/>
  <c r="E7" i="1"/>
  <c r="E3" i="1"/>
  <c r="B4" i="1"/>
  <c r="G4" i="1" s="1"/>
  <c r="B5" i="1"/>
  <c r="G5" i="1" s="1"/>
  <c r="B6" i="1"/>
  <c r="G6" i="1" s="1"/>
  <c r="B7" i="1"/>
  <c r="G7" i="1" s="1"/>
  <c r="B3" i="1"/>
  <c r="G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<sst xmlns="http://schemas.openxmlformats.org/spreadsheetml/2006/main" count="5" uniqueCount="5">
  <si>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T</t>
  </si>
  <si>
    <t>T in K</t>
  </si>
  <si>
    <t>ln p</t>
  </si>
  <si>
    <t>1/T</t>
  </si>
  <si>
    <t>p in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</si>
</sst>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4BB2-7C9C-4533-831D-BBC839F6961C}">
  <dimension ref="A1:I7"/>
  <sheetViews>
    <sheetView tabSelected="1" workbookViewId="0">
      <selection activeCell="G3" sqref="G3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D1" t="s">
        <v>4</v>
      </c>
      <c r="F1" t="s">
        <v>2</v>
      </c>
      <c r="G1" t="s">
        <v>3</v>
      </c>
    </row>
    <row r="3" spans="1:9" x14ac:dyDescent="0.35">
      <c r="A3">
        <v>30.2</v>
      </c>
      <c r="B3">
        <f>A3+273.15</f>
        <v>303.34999999999997</v>
      </c>
      <c r="D3">
        <v>24.75</v>
      </c>
      <c r="E3">
        <f>D3*100000</f>
        <v>2475000</v>
      </c>
      <c r="F3">
        <f>LN(E3*10^5)</f>
        <v>26.234676418955157</v>
      </c>
      <c r="G3">
        <f>1/B3</f>
        <v>3.2965221691115877E-3</v>
      </c>
      <c r="H3" cm="1">
        <f t="array" ref="H3:I7">LINEST(F3:F7,G3:G7,TRUE,TRUE)</f>
        <v>-2407.1560250892339</v>
      </c>
      <c r="I3">
        <v>34.171037853899378</v>
      </c>
    </row>
    <row r="4" spans="1:9" x14ac:dyDescent="0.35">
      <c r="A4">
        <v>35</v>
      </c>
      <c r="B4">
        <f t="shared" ref="B4:B7" si="0">A4+273.15</f>
        <v>308.14999999999998</v>
      </c>
      <c r="D4">
        <v>28</v>
      </c>
      <c r="E4">
        <f t="shared" ref="E4:E7" si="1">D4*100000</f>
        <v>2800000</v>
      </c>
      <c r="F4">
        <f t="shared" ref="F4:F7" si="2">LN(E4*10^5)</f>
        <v>26.35805544011566</v>
      </c>
      <c r="G4">
        <f>1/B4</f>
        <v>3.2451728054518907E-3</v>
      </c>
      <c r="H4">
        <v>34.870529229366376</v>
      </c>
      <c r="I4">
        <v>0.11183595762349877</v>
      </c>
    </row>
    <row r="5" spans="1:9" x14ac:dyDescent="0.35">
      <c r="A5">
        <v>40.1</v>
      </c>
      <c r="B5">
        <f t="shared" si="0"/>
        <v>313.25</v>
      </c>
      <c r="D5">
        <v>32</v>
      </c>
      <c r="E5">
        <f t="shared" si="1"/>
        <v>3200000</v>
      </c>
      <c r="F5">
        <f t="shared" si="2"/>
        <v>26.491586832740182</v>
      </c>
      <c r="G5">
        <f>1/B5</f>
        <v>3.1923383878691143E-3</v>
      </c>
      <c r="H5">
        <v>0.99937084663111553</v>
      </c>
      <c r="I5">
        <v>4.4768838915377482E-3</v>
      </c>
    </row>
    <row r="6" spans="1:9" x14ac:dyDescent="0.35">
      <c r="A6">
        <v>43.3</v>
      </c>
      <c r="B6">
        <f t="shared" si="0"/>
        <v>316.45</v>
      </c>
      <c r="D6">
        <v>34.5</v>
      </c>
      <c r="E6">
        <f t="shared" si="1"/>
        <v>3450000</v>
      </c>
      <c r="F6">
        <f t="shared" si="2"/>
        <v>26.566810253977771</v>
      </c>
      <c r="G6">
        <f>1/B6</f>
        <v>3.1600568810238585E-3</v>
      </c>
      <c r="H6">
        <v>4765.3127014309075</v>
      </c>
      <c r="I6">
        <v>3</v>
      </c>
    </row>
    <row r="7" spans="1:9" x14ac:dyDescent="0.35">
      <c r="A7">
        <v>45.4</v>
      </c>
      <c r="B7">
        <f t="shared" si="0"/>
        <v>318.54999999999995</v>
      </c>
      <c r="D7">
        <v>36</v>
      </c>
      <c r="E7">
        <f t="shared" si="1"/>
        <v>3600000</v>
      </c>
      <c r="F7">
        <f t="shared" si="2"/>
        <v>26.609369868396566</v>
      </c>
      <c r="G7">
        <f>1/B7</f>
        <v>3.1392246115209549E-3</v>
      </c>
      <c r="H7">
        <v>9.5508729202755535E-2</v>
      </c>
      <c r="I7">
        <v>6.0127468134930528E-5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 Kreß</dc:creator>
  <cp:lastModifiedBy>Frederik Taube</cp:lastModifiedBy>
  <dcterms:created xsi:type="dcterms:W3CDTF">2021-09-11T11:21:14Z</dcterms:created>
  <dcterms:modified xsi:type="dcterms:W3CDTF">2021-09-20T15:58:57Z</dcterms:modified>
</cp:coreProperties>
</file>