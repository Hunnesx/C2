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1\Daten\"/>
    </mc:Choice>
  </mc:AlternateContent>
  <xr:revisionPtr revIDLastSave="0" documentId="13_ncr:1_{1038376A-E1EB-4EAC-AD82-6F3DF35426DD}" xr6:coauthVersionLast="47" xr6:coauthVersionMax="47" xr10:uidLastSave="{00000000-0000-0000-0000-000000000000}"/>
  <bookViews>
    <workbookView xWindow="-120" yWindow="-120" windowWidth="29040" windowHeight="16440" xr2:uid="{20BA0F70-2A2C-4053-BDA8-7C4F6629E59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7" i="1" l="1"/>
  <c r="G77" i="1"/>
  <c r="M77" i="1"/>
  <c r="N78" i="1"/>
  <c r="N79" i="1"/>
  <c r="N80" i="1"/>
  <c r="N81" i="1"/>
  <c r="N82" i="1"/>
  <c r="N83" i="1"/>
  <c r="N84" i="1"/>
  <c r="N85" i="1"/>
  <c r="M78" i="1"/>
  <c r="M79" i="1"/>
  <c r="M80" i="1"/>
  <c r="M81" i="1"/>
  <c r="M82" i="1"/>
  <c r="M83" i="1"/>
  <c r="M84" i="1"/>
  <c r="M85" i="1"/>
  <c r="L78" i="1"/>
  <c r="L79" i="1"/>
  <c r="L80" i="1"/>
  <c r="L81" i="1"/>
  <c r="L82" i="1"/>
  <c r="L83" i="1"/>
  <c r="L84" i="1"/>
  <c r="L85" i="1"/>
  <c r="L77" i="1"/>
  <c r="G78" i="1"/>
  <c r="G79" i="1"/>
  <c r="G80" i="1"/>
  <c r="G81" i="1"/>
  <c r="G82" i="1"/>
  <c r="G83" i="1"/>
  <c r="G84" i="1"/>
  <c r="G85" i="1"/>
  <c r="C78" i="1"/>
  <c r="C79" i="1"/>
  <c r="C80" i="1"/>
  <c r="C81" i="1"/>
  <c r="C82" i="1"/>
  <c r="C83" i="1"/>
  <c r="C84" i="1"/>
  <c r="C85" i="1"/>
  <c r="C77" i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3" i="2"/>
  <c r="U4" i="2"/>
  <c r="B13" i="2"/>
  <c r="C7" i="2" l="1"/>
  <c r="C6" i="2"/>
  <c r="C5" i="2"/>
  <c r="C3" i="2"/>
  <c r="C4" i="2"/>
  <c r="B14" i="2" l="1"/>
</calcChain>
</file>

<file path=xl/sharedStrings.xml><?xml version="1.0" encoding="utf-8"?>
<sst xmlns="http://schemas.openxmlformats.org/spreadsheetml/2006/main" count="79" uniqueCount="33">
  <si>
    <t>Isothermen</t>
  </si>
  <si>
    <t>T=30,7°C</t>
  </si>
  <si>
    <t>V/ml</t>
  </si>
  <si>
    <t>p/bar</t>
  </si>
  <si>
    <t>T=35,0°C</t>
  </si>
  <si>
    <t>T=40,1°C</t>
  </si>
  <si>
    <t>T=42,7°C</t>
  </si>
  <si>
    <t>T=44,5°C</t>
  </si>
  <si>
    <t>T=45,1°C</t>
  </si>
  <si>
    <t>T=45,6°C</t>
  </si>
  <si>
    <t>T=46,0°C</t>
  </si>
  <si>
    <t>T=46,9°C</t>
  </si>
  <si>
    <t>T=47,8°C</t>
  </si>
  <si>
    <t>Fehler V/ml</t>
  </si>
  <si>
    <t>mu</t>
  </si>
  <si>
    <t>(x-mu)^2</t>
  </si>
  <si>
    <t>St.fehler</t>
  </si>
  <si>
    <t>V/cm^3</t>
  </si>
  <si>
    <t>Fehler V/cm^3</t>
  </si>
  <si>
    <t>Druck p/bar</t>
  </si>
  <si>
    <t>Fehler p/bar</t>
  </si>
  <si>
    <t>Binodale</t>
  </si>
  <si>
    <t>a</t>
  </si>
  <si>
    <t>b</t>
  </si>
  <si>
    <t>c</t>
  </si>
  <si>
    <t>d</t>
  </si>
  <si>
    <t>e</t>
  </si>
  <si>
    <t>Dampfdruckkurve</t>
  </si>
  <si>
    <t>T/°C</t>
  </si>
  <si>
    <t>T/K</t>
  </si>
  <si>
    <t>1/T*10^3*K</t>
  </si>
  <si>
    <t>ln(p/bar)</t>
  </si>
  <si>
    <t>Mastertabelle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</si>
</sst>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649B-CC5E-450A-B360-83E1F07EFB9B}">
  <dimension ref="A1:AM85"/>
  <sheetViews>
    <sheetView tabSelected="1" topLeftCell="A58" workbookViewId="0">
      <selection activeCell="I34" sqref="I34"/>
    </sheetView>
  </sheetViews>
  <sheetFormatPr baseColWidth="10" defaultRowHeight="15" x14ac:dyDescent="0.25"/>
  <sheetData>
    <row r="1" spans="1:39" x14ac:dyDescent="0.25">
      <c r="A1" t="s">
        <v>0</v>
      </c>
    </row>
    <row r="3" spans="1:39" x14ac:dyDescent="0.25">
      <c r="A3" t="s">
        <v>1</v>
      </c>
      <c r="B3" t="s">
        <v>2</v>
      </c>
      <c r="C3" t="s">
        <v>3</v>
      </c>
      <c r="E3" t="s">
        <v>4</v>
      </c>
      <c r="F3" t="s">
        <v>2</v>
      </c>
      <c r="G3" t="s">
        <v>3</v>
      </c>
      <c r="I3" t="s">
        <v>5</v>
      </c>
      <c r="J3" t="s">
        <v>2</v>
      </c>
      <c r="K3" t="s">
        <v>3</v>
      </c>
      <c r="M3" t="s">
        <v>6</v>
      </c>
      <c r="N3" t="s">
        <v>2</v>
      </c>
      <c r="O3" t="s">
        <v>3</v>
      </c>
      <c r="Q3" t="s">
        <v>7</v>
      </c>
      <c r="R3" t="s">
        <v>2</v>
      </c>
      <c r="S3" t="s">
        <v>3</v>
      </c>
      <c r="U3" t="s">
        <v>8</v>
      </c>
      <c r="V3" t="s">
        <v>2</v>
      </c>
      <c r="W3" t="s">
        <v>3</v>
      </c>
      <c r="Y3" t="s">
        <v>9</v>
      </c>
      <c r="Z3" t="s">
        <v>2</v>
      </c>
      <c r="AA3" t="s">
        <v>3</v>
      </c>
      <c r="AC3" t="s">
        <v>10</v>
      </c>
      <c r="AD3" t="s">
        <v>2</v>
      </c>
      <c r="AE3" t="s">
        <v>3</v>
      </c>
      <c r="AG3" t="s">
        <v>11</v>
      </c>
      <c r="AH3" t="s">
        <v>2</v>
      </c>
      <c r="AI3" t="s">
        <v>3</v>
      </c>
      <c r="AK3" t="s">
        <v>12</v>
      </c>
      <c r="AL3" t="s">
        <v>2</v>
      </c>
      <c r="AM3" t="s">
        <v>3</v>
      </c>
    </row>
    <row r="4" spans="1:39" x14ac:dyDescent="0.25">
      <c r="B4">
        <v>2</v>
      </c>
      <c r="C4">
        <v>21.5</v>
      </c>
      <c r="F4">
        <v>2</v>
      </c>
      <c r="G4">
        <v>22.5</v>
      </c>
      <c r="J4">
        <v>2</v>
      </c>
      <c r="K4">
        <v>23.5</v>
      </c>
      <c r="N4">
        <v>2</v>
      </c>
      <c r="O4">
        <v>24.5</v>
      </c>
      <c r="R4">
        <v>2</v>
      </c>
      <c r="S4">
        <v>24.75</v>
      </c>
      <c r="V4">
        <v>2</v>
      </c>
      <c r="W4">
        <v>24.75</v>
      </c>
      <c r="Z4">
        <v>2</v>
      </c>
      <c r="AA4">
        <v>25</v>
      </c>
      <c r="AD4">
        <v>2</v>
      </c>
      <c r="AE4">
        <v>25.25</v>
      </c>
      <c r="AH4">
        <v>2</v>
      </c>
      <c r="AI4">
        <v>25.25</v>
      </c>
      <c r="AL4">
        <v>2</v>
      </c>
      <c r="AM4">
        <v>25.5</v>
      </c>
    </row>
    <row r="5" spans="1:39" x14ac:dyDescent="0.25">
      <c r="B5">
        <v>1.9</v>
      </c>
      <c r="C5">
        <v>22.5</v>
      </c>
      <c r="F5">
        <v>1.9</v>
      </c>
      <c r="G5">
        <v>23.5</v>
      </c>
      <c r="J5">
        <v>1.9</v>
      </c>
      <c r="K5">
        <v>24.5</v>
      </c>
      <c r="N5">
        <v>1.9</v>
      </c>
      <c r="O5">
        <v>25.25</v>
      </c>
      <c r="R5">
        <v>1.9</v>
      </c>
      <c r="S5">
        <v>25.5</v>
      </c>
      <c r="V5">
        <v>1.9</v>
      </c>
      <c r="W5">
        <v>25.75</v>
      </c>
      <c r="Z5">
        <v>1.9</v>
      </c>
      <c r="AA5">
        <v>26</v>
      </c>
      <c r="AD5">
        <v>1.9</v>
      </c>
      <c r="AE5">
        <v>26.25</v>
      </c>
      <c r="AH5">
        <v>1.8</v>
      </c>
      <c r="AI5">
        <v>27.25</v>
      </c>
      <c r="AL5">
        <v>1.8</v>
      </c>
      <c r="AM5">
        <v>27.5</v>
      </c>
    </row>
    <row r="6" spans="1:39" x14ac:dyDescent="0.25">
      <c r="B6">
        <v>1.8</v>
      </c>
      <c r="C6">
        <v>23</v>
      </c>
      <c r="F6">
        <v>1.8</v>
      </c>
      <c r="G6">
        <v>24.5</v>
      </c>
      <c r="J6">
        <v>1.8</v>
      </c>
      <c r="K6">
        <v>25.5</v>
      </c>
      <c r="N6">
        <v>1.8</v>
      </c>
      <c r="O6">
        <v>26.25</v>
      </c>
      <c r="R6">
        <v>1.8</v>
      </c>
      <c r="S6">
        <v>26.5</v>
      </c>
      <c r="V6">
        <v>1.8</v>
      </c>
      <c r="W6">
        <v>26.75</v>
      </c>
      <c r="Z6">
        <v>1.8</v>
      </c>
      <c r="AA6">
        <v>27</v>
      </c>
      <c r="AD6">
        <v>1.8</v>
      </c>
      <c r="AE6">
        <v>27</v>
      </c>
      <c r="AH6">
        <v>1.6</v>
      </c>
      <c r="AI6">
        <v>29.25</v>
      </c>
      <c r="AL6">
        <v>1.6</v>
      </c>
      <c r="AM6">
        <v>29.5</v>
      </c>
    </row>
    <row r="7" spans="1:39" x14ac:dyDescent="0.25">
      <c r="B7">
        <v>1.75</v>
      </c>
      <c r="C7">
        <v>23.5</v>
      </c>
      <c r="F7">
        <v>1.75</v>
      </c>
      <c r="G7">
        <v>24.75</v>
      </c>
      <c r="J7">
        <v>1.7</v>
      </c>
      <c r="K7">
        <v>26.25</v>
      </c>
      <c r="N7">
        <v>1.7</v>
      </c>
      <c r="O7">
        <v>27</v>
      </c>
      <c r="R7">
        <v>1.7</v>
      </c>
      <c r="S7">
        <v>27.5</v>
      </c>
      <c r="V7">
        <v>1.7</v>
      </c>
      <c r="W7">
        <v>27.75</v>
      </c>
      <c r="Z7">
        <v>1.7</v>
      </c>
      <c r="AA7">
        <v>28</v>
      </c>
      <c r="AD7">
        <v>1.7</v>
      </c>
      <c r="AE7">
        <v>28.25</v>
      </c>
      <c r="AH7">
        <v>1.4</v>
      </c>
      <c r="AI7">
        <v>31.25</v>
      </c>
      <c r="AL7">
        <v>1.4</v>
      </c>
      <c r="AM7">
        <v>31.5</v>
      </c>
    </row>
    <row r="8" spans="1:39" x14ac:dyDescent="0.25">
      <c r="B8">
        <v>1.7</v>
      </c>
      <c r="C8">
        <v>24</v>
      </c>
      <c r="F8">
        <v>1.7</v>
      </c>
      <c r="G8">
        <v>25</v>
      </c>
      <c r="J8">
        <v>1.6</v>
      </c>
      <c r="K8">
        <v>27.25</v>
      </c>
      <c r="N8">
        <v>1.6</v>
      </c>
      <c r="O8">
        <v>28</v>
      </c>
      <c r="R8">
        <v>1.6</v>
      </c>
      <c r="S8">
        <v>28.5</v>
      </c>
      <c r="V8">
        <v>1.6</v>
      </c>
      <c r="W8">
        <v>28.75</v>
      </c>
      <c r="Z8">
        <v>1.6</v>
      </c>
      <c r="AA8">
        <v>29</v>
      </c>
      <c r="AD8">
        <v>1.6</v>
      </c>
      <c r="AE8">
        <v>29.25</v>
      </c>
      <c r="AH8">
        <v>1.2</v>
      </c>
      <c r="AI8">
        <v>33.25</v>
      </c>
      <c r="AL8">
        <v>1.2</v>
      </c>
      <c r="AM8">
        <v>33.75</v>
      </c>
    </row>
    <row r="9" spans="1:39" x14ac:dyDescent="0.25">
      <c r="B9">
        <v>1.65</v>
      </c>
      <c r="C9">
        <v>24</v>
      </c>
      <c r="F9">
        <v>1.65</v>
      </c>
      <c r="G9">
        <v>25.5</v>
      </c>
      <c r="J9">
        <v>1.5</v>
      </c>
      <c r="K9">
        <v>28</v>
      </c>
      <c r="N9">
        <v>1.5</v>
      </c>
      <c r="O9">
        <v>29</v>
      </c>
      <c r="R9">
        <v>1.5</v>
      </c>
      <c r="S9">
        <v>29.5</v>
      </c>
      <c r="V9">
        <v>1.5</v>
      </c>
      <c r="W9">
        <v>29.5</v>
      </c>
      <c r="Z9">
        <v>1.5</v>
      </c>
      <c r="AA9">
        <v>29.75</v>
      </c>
      <c r="AD9">
        <v>1.5</v>
      </c>
      <c r="AE9">
        <v>30</v>
      </c>
      <c r="AH9">
        <v>1</v>
      </c>
      <c r="AI9">
        <v>35</v>
      </c>
      <c r="AL9">
        <v>1</v>
      </c>
      <c r="AM9">
        <v>35.75</v>
      </c>
    </row>
    <row r="10" spans="1:39" x14ac:dyDescent="0.25">
      <c r="B10">
        <v>1.6</v>
      </c>
      <c r="C10">
        <v>24</v>
      </c>
      <c r="F10">
        <v>1.6</v>
      </c>
      <c r="G10">
        <v>26</v>
      </c>
      <c r="J10">
        <v>1.4</v>
      </c>
      <c r="K10">
        <v>29.25</v>
      </c>
      <c r="N10">
        <v>1.4</v>
      </c>
      <c r="O10">
        <v>29.75</v>
      </c>
      <c r="R10">
        <v>1.4</v>
      </c>
      <c r="S10">
        <v>30.25</v>
      </c>
      <c r="V10">
        <v>1.4</v>
      </c>
      <c r="W10">
        <v>30.5</v>
      </c>
      <c r="Z10">
        <v>1.4</v>
      </c>
      <c r="AA10">
        <v>30.75</v>
      </c>
      <c r="AD10">
        <v>1.4</v>
      </c>
      <c r="AE10">
        <v>31</v>
      </c>
      <c r="AH10">
        <v>0.9</v>
      </c>
      <c r="AI10">
        <v>35.75</v>
      </c>
      <c r="AL10">
        <v>0.9</v>
      </c>
      <c r="AM10">
        <v>36.25</v>
      </c>
    </row>
    <row r="11" spans="1:39" x14ac:dyDescent="0.25">
      <c r="B11">
        <v>1.55</v>
      </c>
      <c r="C11">
        <v>24</v>
      </c>
      <c r="F11">
        <v>1.55</v>
      </c>
      <c r="G11">
        <v>26.25</v>
      </c>
      <c r="J11">
        <v>1.3</v>
      </c>
      <c r="K11">
        <v>29.75</v>
      </c>
      <c r="N11">
        <v>1.3</v>
      </c>
      <c r="O11">
        <v>30.5</v>
      </c>
      <c r="R11">
        <v>1.3</v>
      </c>
      <c r="S11">
        <v>31.25</v>
      </c>
      <c r="V11">
        <v>1.3</v>
      </c>
      <c r="W11">
        <v>31.5</v>
      </c>
      <c r="Z11">
        <v>1.3</v>
      </c>
      <c r="AA11">
        <v>31.75</v>
      </c>
      <c r="AD11">
        <v>1.3</v>
      </c>
      <c r="AE11">
        <v>32.25</v>
      </c>
      <c r="AH11">
        <v>0.8</v>
      </c>
      <c r="AI11">
        <v>36.25</v>
      </c>
      <c r="AL11">
        <v>0.8</v>
      </c>
      <c r="AM11">
        <v>36.75</v>
      </c>
    </row>
    <row r="12" spans="1:39" x14ac:dyDescent="0.25">
      <c r="B12">
        <v>1.5</v>
      </c>
      <c r="C12">
        <v>24</v>
      </c>
      <c r="F12">
        <v>1.5</v>
      </c>
      <c r="G12">
        <v>26.75</v>
      </c>
      <c r="J12">
        <v>1.2</v>
      </c>
      <c r="K12">
        <v>30.25</v>
      </c>
      <c r="N12">
        <v>1.2</v>
      </c>
      <c r="O12">
        <v>31.5</v>
      </c>
      <c r="R12">
        <v>1.2</v>
      </c>
      <c r="S12">
        <v>32.25</v>
      </c>
      <c r="V12">
        <v>1.2</v>
      </c>
      <c r="W12">
        <v>32.25</v>
      </c>
      <c r="Z12">
        <v>1.2</v>
      </c>
      <c r="AA12">
        <v>32.75</v>
      </c>
      <c r="AD12">
        <v>1.2</v>
      </c>
      <c r="AE12">
        <v>33</v>
      </c>
      <c r="AH12">
        <v>0.75</v>
      </c>
      <c r="AI12">
        <v>36.25</v>
      </c>
      <c r="AL12">
        <v>0.75</v>
      </c>
      <c r="AM12">
        <v>37</v>
      </c>
    </row>
    <row r="13" spans="1:39" x14ac:dyDescent="0.25">
      <c r="B13">
        <v>1.4</v>
      </c>
      <c r="C13">
        <v>24</v>
      </c>
      <c r="F13">
        <v>1.45</v>
      </c>
      <c r="G13">
        <v>27</v>
      </c>
      <c r="J13">
        <v>1.1499999999999999</v>
      </c>
      <c r="K13">
        <v>30.5</v>
      </c>
      <c r="N13">
        <v>1.1000000000000001</v>
      </c>
      <c r="O13">
        <v>32</v>
      </c>
      <c r="R13">
        <v>1.1000000000000001</v>
      </c>
      <c r="S13">
        <v>32.75</v>
      </c>
      <c r="V13">
        <v>1.1000000000000001</v>
      </c>
      <c r="W13">
        <v>33.25</v>
      </c>
      <c r="Z13">
        <v>1.1000000000000001</v>
      </c>
      <c r="AA13">
        <v>33.5</v>
      </c>
      <c r="AD13">
        <v>1.1000000000000001</v>
      </c>
      <c r="AE13">
        <v>34</v>
      </c>
      <c r="AH13">
        <v>0.7</v>
      </c>
      <c r="AI13">
        <v>36.25</v>
      </c>
      <c r="AL13">
        <v>0.7</v>
      </c>
      <c r="AM13">
        <v>37.25</v>
      </c>
    </row>
    <row r="14" spans="1:39" x14ac:dyDescent="0.25">
      <c r="B14">
        <v>1.3</v>
      </c>
      <c r="C14">
        <v>24</v>
      </c>
      <c r="F14">
        <v>1.4</v>
      </c>
      <c r="G14">
        <v>27.5</v>
      </c>
      <c r="J14">
        <v>1.1000000000000001</v>
      </c>
      <c r="K14">
        <v>30.5</v>
      </c>
      <c r="N14">
        <v>1.05</v>
      </c>
      <c r="O14">
        <v>32.25</v>
      </c>
      <c r="R14">
        <v>1.05</v>
      </c>
      <c r="S14">
        <v>33.25</v>
      </c>
      <c r="V14">
        <v>1</v>
      </c>
      <c r="W14">
        <v>33.75</v>
      </c>
      <c r="Z14">
        <v>1</v>
      </c>
      <c r="AA14">
        <v>34.25</v>
      </c>
      <c r="AD14">
        <v>1</v>
      </c>
      <c r="AE14">
        <v>35</v>
      </c>
      <c r="AH14">
        <v>0.65</v>
      </c>
      <c r="AI14">
        <v>36.25</v>
      </c>
      <c r="AL14">
        <v>0.65</v>
      </c>
      <c r="AM14">
        <v>37.25</v>
      </c>
    </row>
    <row r="15" spans="1:39" x14ac:dyDescent="0.25">
      <c r="B15">
        <v>1.2</v>
      </c>
      <c r="C15">
        <v>24</v>
      </c>
      <c r="F15">
        <v>1.35</v>
      </c>
      <c r="G15">
        <v>27.5</v>
      </c>
      <c r="J15">
        <v>1.05</v>
      </c>
      <c r="K15">
        <v>30.75</v>
      </c>
      <c r="N15">
        <v>1</v>
      </c>
      <c r="O15">
        <v>32.5</v>
      </c>
      <c r="R15">
        <v>1</v>
      </c>
      <c r="S15">
        <v>33.5</v>
      </c>
      <c r="V15">
        <v>0.95</v>
      </c>
      <c r="W15">
        <v>34.25</v>
      </c>
      <c r="Z15">
        <v>0.9</v>
      </c>
      <c r="AA15">
        <v>34.75</v>
      </c>
      <c r="AD15">
        <v>0.95</v>
      </c>
      <c r="AE15">
        <v>35</v>
      </c>
      <c r="AH15">
        <v>0.6</v>
      </c>
      <c r="AI15">
        <v>36.5</v>
      </c>
      <c r="AL15">
        <v>0.6</v>
      </c>
      <c r="AM15">
        <v>37.5</v>
      </c>
    </row>
    <row r="16" spans="1:39" x14ac:dyDescent="0.25">
      <c r="B16">
        <v>1.1000000000000001</v>
      </c>
      <c r="C16">
        <v>24</v>
      </c>
      <c r="F16">
        <v>1.2</v>
      </c>
      <c r="G16">
        <v>27.5</v>
      </c>
      <c r="J16">
        <v>0.9</v>
      </c>
      <c r="K16">
        <v>30.75</v>
      </c>
      <c r="N16">
        <v>0.95</v>
      </c>
      <c r="O16">
        <v>32.75</v>
      </c>
      <c r="R16">
        <v>0.95</v>
      </c>
      <c r="S16">
        <v>33.75</v>
      </c>
      <c r="V16">
        <v>0.9</v>
      </c>
      <c r="W16">
        <v>34.25</v>
      </c>
      <c r="Z16">
        <v>0.8</v>
      </c>
      <c r="AA16">
        <v>35</v>
      </c>
      <c r="AD16">
        <v>0.9</v>
      </c>
      <c r="AE16">
        <v>35.5</v>
      </c>
      <c r="AH16">
        <v>0.55000000000000004</v>
      </c>
      <c r="AI16">
        <v>36.75</v>
      </c>
      <c r="AL16">
        <v>0.55000000000000004</v>
      </c>
      <c r="AM16">
        <v>38</v>
      </c>
    </row>
    <row r="17" spans="1:39" x14ac:dyDescent="0.25">
      <c r="B17">
        <v>1</v>
      </c>
      <c r="C17">
        <v>24</v>
      </c>
      <c r="F17">
        <v>1</v>
      </c>
      <c r="G17">
        <v>27.5</v>
      </c>
      <c r="J17">
        <v>0.7</v>
      </c>
      <c r="K17">
        <v>30.75</v>
      </c>
      <c r="N17">
        <v>0.9</v>
      </c>
      <c r="O17">
        <v>32.75</v>
      </c>
      <c r="R17">
        <v>0.9</v>
      </c>
      <c r="S17">
        <v>34</v>
      </c>
      <c r="V17">
        <v>0.85</v>
      </c>
      <c r="W17">
        <v>34.5</v>
      </c>
      <c r="Z17">
        <v>0.75</v>
      </c>
      <c r="AA17">
        <v>35</v>
      </c>
      <c r="AD17">
        <v>0.85</v>
      </c>
      <c r="AE17">
        <v>35.5</v>
      </c>
      <c r="AH17">
        <v>0.5</v>
      </c>
      <c r="AI17">
        <v>37.75</v>
      </c>
      <c r="AL17">
        <v>0.5</v>
      </c>
      <c r="AM17">
        <v>39.25</v>
      </c>
    </row>
    <row r="18" spans="1:39" x14ac:dyDescent="0.25">
      <c r="B18">
        <v>0.9</v>
      </c>
      <c r="C18">
        <v>24</v>
      </c>
      <c r="F18">
        <v>0.8</v>
      </c>
      <c r="G18">
        <v>27.5</v>
      </c>
      <c r="J18">
        <v>0.6</v>
      </c>
      <c r="K18">
        <v>30.75</v>
      </c>
      <c r="N18">
        <v>0.8</v>
      </c>
      <c r="O18">
        <v>32.75</v>
      </c>
      <c r="R18">
        <v>0.85</v>
      </c>
      <c r="S18">
        <v>34</v>
      </c>
      <c r="V18">
        <v>0.8</v>
      </c>
      <c r="W18">
        <v>34.5</v>
      </c>
      <c r="Z18">
        <v>0.7</v>
      </c>
      <c r="AA18">
        <v>35</v>
      </c>
      <c r="AD18">
        <v>0.8</v>
      </c>
      <c r="AE18">
        <v>35.75</v>
      </c>
      <c r="AH18">
        <v>0.45</v>
      </c>
      <c r="AI18">
        <v>43.75</v>
      </c>
      <c r="AL18">
        <v>0.45</v>
      </c>
      <c r="AM18">
        <v>44.75</v>
      </c>
    </row>
    <row r="19" spans="1:39" x14ac:dyDescent="0.25">
      <c r="B19">
        <v>0.8</v>
      </c>
      <c r="C19">
        <v>24</v>
      </c>
      <c r="F19">
        <v>0.6</v>
      </c>
      <c r="G19">
        <v>27.5</v>
      </c>
      <c r="J19">
        <v>0.55000000000000004</v>
      </c>
      <c r="K19">
        <v>31</v>
      </c>
      <c r="N19">
        <v>0.7</v>
      </c>
      <c r="O19">
        <v>32.75</v>
      </c>
      <c r="R19">
        <v>0.8</v>
      </c>
      <c r="S19">
        <v>34</v>
      </c>
      <c r="V19">
        <v>0.75</v>
      </c>
      <c r="W19">
        <v>34.5</v>
      </c>
      <c r="Z19">
        <v>0.65</v>
      </c>
      <c r="AA19">
        <v>35</v>
      </c>
      <c r="AD19">
        <v>0.75</v>
      </c>
      <c r="AE19">
        <v>35.75</v>
      </c>
    </row>
    <row r="20" spans="1:39" x14ac:dyDescent="0.25">
      <c r="B20">
        <v>0.7</v>
      </c>
      <c r="C20">
        <v>24</v>
      </c>
      <c r="F20">
        <v>0.5</v>
      </c>
      <c r="G20">
        <v>27.5</v>
      </c>
      <c r="J20">
        <v>0.5</v>
      </c>
      <c r="K20">
        <v>31</v>
      </c>
      <c r="N20">
        <v>0.6</v>
      </c>
      <c r="O20">
        <v>32.75</v>
      </c>
      <c r="R20">
        <v>0.7</v>
      </c>
      <c r="S20">
        <v>34</v>
      </c>
      <c r="V20">
        <v>0.7</v>
      </c>
      <c r="W20">
        <v>34.5</v>
      </c>
      <c r="Z20">
        <v>0.6</v>
      </c>
      <c r="AA20">
        <v>35</v>
      </c>
      <c r="AD20">
        <v>0.7</v>
      </c>
      <c r="AE20">
        <v>35.75</v>
      </c>
    </row>
    <row r="21" spans="1:39" x14ac:dyDescent="0.25">
      <c r="B21">
        <v>0.6</v>
      </c>
      <c r="C21">
        <v>24</v>
      </c>
      <c r="F21">
        <v>0.45</v>
      </c>
      <c r="G21">
        <v>27.5</v>
      </c>
      <c r="J21">
        <v>0.42499999999999999</v>
      </c>
      <c r="K21">
        <v>34.25</v>
      </c>
      <c r="N21">
        <v>0.55000000000000004</v>
      </c>
      <c r="O21">
        <v>32.75</v>
      </c>
      <c r="R21">
        <v>0.6</v>
      </c>
      <c r="S21">
        <v>34</v>
      </c>
      <c r="V21">
        <v>0.65</v>
      </c>
      <c r="W21">
        <v>34.5</v>
      </c>
      <c r="Z21">
        <v>0.55000000000000004</v>
      </c>
      <c r="AA21">
        <v>35.25</v>
      </c>
      <c r="AD21">
        <v>0.65</v>
      </c>
      <c r="AE21">
        <v>36</v>
      </c>
    </row>
    <row r="22" spans="1:39" x14ac:dyDescent="0.25">
      <c r="B22">
        <v>0.55000000000000004</v>
      </c>
      <c r="C22">
        <v>24</v>
      </c>
      <c r="F22">
        <v>0.4</v>
      </c>
      <c r="G22">
        <v>35</v>
      </c>
      <c r="J22">
        <v>0.4</v>
      </c>
      <c r="K22">
        <v>44.25</v>
      </c>
      <c r="N22">
        <v>0.5</v>
      </c>
      <c r="O22">
        <v>33</v>
      </c>
      <c r="R22">
        <v>0.55000000000000004</v>
      </c>
      <c r="S22">
        <v>34</v>
      </c>
      <c r="V22">
        <v>0.6</v>
      </c>
      <c r="W22">
        <v>34.5</v>
      </c>
      <c r="Z22">
        <v>0.5</v>
      </c>
      <c r="AA22">
        <v>36.25</v>
      </c>
      <c r="AD22">
        <v>0.6</v>
      </c>
      <c r="AE22">
        <v>36</v>
      </c>
    </row>
    <row r="23" spans="1:39" x14ac:dyDescent="0.25">
      <c r="B23">
        <v>0.5</v>
      </c>
      <c r="C23">
        <v>24</v>
      </c>
      <c r="F23">
        <v>0.39</v>
      </c>
      <c r="G23">
        <v>45</v>
      </c>
      <c r="N23">
        <v>0.45</v>
      </c>
      <c r="O23">
        <v>34.75</v>
      </c>
      <c r="R23">
        <v>0.5</v>
      </c>
      <c r="S23">
        <v>34</v>
      </c>
      <c r="V23">
        <v>0.55000000000000004</v>
      </c>
      <c r="W23">
        <v>34.75</v>
      </c>
      <c r="Z23">
        <v>0.44</v>
      </c>
      <c r="AA23">
        <v>43.75</v>
      </c>
      <c r="AD23">
        <v>0.55000000000000004</v>
      </c>
      <c r="AE23">
        <v>36</v>
      </c>
    </row>
    <row r="24" spans="1:39" x14ac:dyDescent="0.25">
      <c r="B24">
        <v>0.45</v>
      </c>
      <c r="C24">
        <v>24</v>
      </c>
      <c r="N24">
        <v>0.42499999999999999</v>
      </c>
      <c r="O24">
        <v>38.25</v>
      </c>
      <c r="R24">
        <v>0.45</v>
      </c>
      <c r="S24">
        <v>39</v>
      </c>
      <c r="V24">
        <v>0.5</v>
      </c>
      <c r="W24">
        <v>35.25</v>
      </c>
      <c r="AD24">
        <v>0.5</v>
      </c>
      <c r="AE24">
        <v>37</v>
      </c>
    </row>
    <row r="25" spans="1:39" x14ac:dyDescent="0.25">
      <c r="B25">
        <v>0.4</v>
      </c>
      <c r="C25">
        <v>26.5</v>
      </c>
      <c r="N25">
        <v>0.4</v>
      </c>
      <c r="O25">
        <v>45.5</v>
      </c>
      <c r="R25">
        <v>0.42499999999999999</v>
      </c>
      <c r="S25">
        <v>44</v>
      </c>
      <c r="V25">
        <v>0.45</v>
      </c>
      <c r="W25">
        <v>39.25</v>
      </c>
      <c r="AD25">
        <v>0.45</v>
      </c>
      <c r="AE25">
        <v>43.25</v>
      </c>
    </row>
    <row r="26" spans="1:39" x14ac:dyDescent="0.25">
      <c r="B26">
        <v>0.39</v>
      </c>
      <c r="C26">
        <v>30.5</v>
      </c>
      <c r="V26">
        <v>0.42499999999999999</v>
      </c>
      <c r="W26">
        <v>43.75</v>
      </c>
    </row>
    <row r="27" spans="1:39" x14ac:dyDescent="0.25">
      <c r="B27">
        <v>0.38</v>
      </c>
      <c r="C27">
        <v>35.5</v>
      </c>
    </row>
    <row r="28" spans="1:39" x14ac:dyDescent="0.25">
      <c r="B28">
        <v>0.37</v>
      </c>
      <c r="C28">
        <v>45</v>
      </c>
    </row>
    <row r="32" spans="1:39" x14ac:dyDescent="0.25">
      <c r="A32" t="s">
        <v>32</v>
      </c>
    </row>
    <row r="34" spans="2:23" x14ac:dyDescent="0.25">
      <c r="D34" t="s">
        <v>1</v>
      </c>
      <c r="F34" t="s">
        <v>4</v>
      </c>
      <c r="H34" t="s">
        <v>5</v>
      </c>
      <c r="J34" t="s">
        <v>6</v>
      </c>
      <c r="L34" t="s">
        <v>7</v>
      </c>
      <c r="N34" t="s">
        <v>8</v>
      </c>
      <c r="P34" t="s">
        <v>9</v>
      </c>
      <c r="R34" t="s">
        <v>10</v>
      </c>
      <c r="T34" t="s">
        <v>11</v>
      </c>
      <c r="V34" t="s">
        <v>12</v>
      </c>
    </row>
    <row r="35" spans="2:23" x14ac:dyDescent="0.25">
      <c r="B35" t="s">
        <v>2</v>
      </c>
      <c r="C35" t="s">
        <v>13</v>
      </c>
      <c r="D35" t="s">
        <v>3</v>
      </c>
      <c r="F35" t="s">
        <v>3</v>
      </c>
      <c r="H35" t="s">
        <v>3</v>
      </c>
      <c r="J35" t="s">
        <v>3</v>
      </c>
      <c r="L35" t="s">
        <v>3</v>
      </c>
      <c r="N35" t="s">
        <v>3</v>
      </c>
      <c r="P35" t="s">
        <v>3</v>
      </c>
      <c r="R35" t="s">
        <v>3</v>
      </c>
      <c r="T35" t="s">
        <v>3</v>
      </c>
      <c r="V35" t="s">
        <v>3</v>
      </c>
    </row>
    <row r="36" spans="2:23" x14ac:dyDescent="0.25">
      <c r="B36">
        <v>2</v>
      </c>
      <c r="C36">
        <v>2.5000000000000001E-2</v>
      </c>
      <c r="D36">
        <v>21.5</v>
      </c>
      <c r="E36">
        <v>0.5</v>
      </c>
      <c r="F36">
        <v>22.5</v>
      </c>
      <c r="G36">
        <v>0.5</v>
      </c>
      <c r="H36">
        <v>23.5</v>
      </c>
      <c r="I36">
        <v>0.5</v>
      </c>
      <c r="J36">
        <v>24.5</v>
      </c>
      <c r="K36">
        <v>0.5</v>
      </c>
      <c r="L36">
        <v>24.75</v>
      </c>
      <c r="M36">
        <v>0.5</v>
      </c>
      <c r="N36">
        <v>24.75</v>
      </c>
      <c r="O36">
        <v>0.5</v>
      </c>
      <c r="P36">
        <v>25</v>
      </c>
      <c r="Q36">
        <v>0.5</v>
      </c>
      <c r="R36">
        <v>25.25</v>
      </c>
      <c r="S36">
        <v>0.5</v>
      </c>
      <c r="T36">
        <v>25.25</v>
      </c>
      <c r="U36">
        <v>0.5</v>
      </c>
      <c r="V36">
        <v>25.5</v>
      </c>
      <c r="W36">
        <v>0.5</v>
      </c>
    </row>
    <row r="37" spans="2:23" x14ac:dyDescent="0.25">
      <c r="B37">
        <v>1.9</v>
      </c>
      <c r="C37">
        <v>2.5000000000000001E-2</v>
      </c>
      <c r="D37">
        <v>22.5</v>
      </c>
      <c r="E37">
        <v>0.5</v>
      </c>
      <c r="F37">
        <v>23.5</v>
      </c>
      <c r="G37">
        <v>0.5</v>
      </c>
      <c r="H37">
        <v>24.5</v>
      </c>
      <c r="I37">
        <v>0.5</v>
      </c>
      <c r="J37">
        <v>25.25</v>
      </c>
      <c r="K37">
        <v>0.5</v>
      </c>
      <c r="L37">
        <v>25.5</v>
      </c>
      <c r="M37">
        <v>0.5</v>
      </c>
      <c r="N37">
        <v>25.75</v>
      </c>
      <c r="O37">
        <v>0.5</v>
      </c>
      <c r="P37">
        <v>26</v>
      </c>
      <c r="Q37">
        <v>0.5</v>
      </c>
      <c r="R37">
        <v>26.25</v>
      </c>
      <c r="S37">
        <v>0.5</v>
      </c>
    </row>
    <row r="38" spans="2:23" x14ac:dyDescent="0.25">
      <c r="B38">
        <v>1.8</v>
      </c>
      <c r="C38">
        <v>2.5000000000000001E-2</v>
      </c>
      <c r="D38">
        <v>23</v>
      </c>
      <c r="E38">
        <v>0.5</v>
      </c>
      <c r="F38">
        <v>24.5</v>
      </c>
      <c r="G38">
        <v>0.5</v>
      </c>
      <c r="H38">
        <v>25.5</v>
      </c>
      <c r="I38">
        <v>0.5</v>
      </c>
      <c r="J38">
        <v>26.25</v>
      </c>
      <c r="K38">
        <v>0.5</v>
      </c>
      <c r="L38">
        <v>26.5</v>
      </c>
      <c r="M38">
        <v>0.5</v>
      </c>
      <c r="N38">
        <v>26.75</v>
      </c>
      <c r="O38">
        <v>0.5</v>
      </c>
      <c r="P38">
        <v>27</v>
      </c>
      <c r="Q38">
        <v>0.5</v>
      </c>
      <c r="R38">
        <v>27</v>
      </c>
      <c r="S38">
        <v>0.5</v>
      </c>
      <c r="T38">
        <v>27.25</v>
      </c>
      <c r="U38">
        <v>0.5</v>
      </c>
      <c r="V38">
        <v>27.5</v>
      </c>
      <c r="W38">
        <v>0.5</v>
      </c>
    </row>
    <row r="39" spans="2:23" x14ac:dyDescent="0.25">
      <c r="B39">
        <v>1.75</v>
      </c>
      <c r="C39">
        <v>2.5000000000000001E-2</v>
      </c>
      <c r="D39">
        <v>23.5</v>
      </c>
      <c r="E39">
        <v>0.5</v>
      </c>
      <c r="F39">
        <v>24.75</v>
      </c>
      <c r="G39">
        <v>0.5</v>
      </c>
    </row>
    <row r="40" spans="2:23" x14ac:dyDescent="0.25">
      <c r="B40">
        <v>1.7</v>
      </c>
      <c r="C40">
        <v>2.5000000000000001E-2</v>
      </c>
      <c r="D40">
        <v>24</v>
      </c>
      <c r="E40">
        <v>0.5</v>
      </c>
      <c r="F40">
        <v>25</v>
      </c>
      <c r="G40">
        <v>0.5</v>
      </c>
      <c r="H40">
        <v>26.25</v>
      </c>
      <c r="I40">
        <v>0.5</v>
      </c>
      <c r="J40">
        <v>27</v>
      </c>
      <c r="K40">
        <v>0.5</v>
      </c>
      <c r="L40">
        <v>27.5</v>
      </c>
      <c r="M40">
        <v>0.5</v>
      </c>
      <c r="N40">
        <v>27.75</v>
      </c>
      <c r="O40">
        <v>0.5</v>
      </c>
      <c r="P40">
        <v>28</v>
      </c>
      <c r="Q40">
        <v>0.5</v>
      </c>
      <c r="R40">
        <v>28.25</v>
      </c>
      <c r="S40">
        <v>0.5</v>
      </c>
    </row>
    <row r="41" spans="2:23" x14ac:dyDescent="0.25">
      <c r="B41">
        <v>1.65</v>
      </c>
      <c r="C41">
        <v>2.5000000000000001E-2</v>
      </c>
      <c r="D41">
        <v>24</v>
      </c>
      <c r="E41">
        <v>0.5</v>
      </c>
      <c r="F41">
        <v>25.5</v>
      </c>
      <c r="G41">
        <v>0.5</v>
      </c>
    </row>
    <row r="42" spans="2:23" x14ac:dyDescent="0.25">
      <c r="B42">
        <v>1.6</v>
      </c>
      <c r="C42">
        <v>2.5000000000000001E-2</v>
      </c>
      <c r="D42">
        <v>24</v>
      </c>
      <c r="E42">
        <v>0.5</v>
      </c>
      <c r="F42">
        <v>26</v>
      </c>
      <c r="G42">
        <v>0.5</v>
      </c>
      <c r="H42">
        <v>27.25</v>
      </c>
      <c r="I42">
        <v>0.5</v>
      </c>
      <c r="J42">
        <v>28</v>
      </c>
      <c r="K42">
        <v>0.5</v>
      </c>
      <c r="L42">
        <v>28.5</v>
      </c>
      <c r="M42">
        <v>0.5</v>
      </c>
      <c r="N42">
        <v>28.75</v>
      </c>
      <c r="O42">
        <v>0.5</v>
      </c>
      <c r="P42">
        <v>29</v>
      </c>
      <c r="Q42">
        <v>0.5</v>
      </c>
      <c r="R42">
        <v>29.25</v>
      </c>
      <c r="S42">
        <v>0.5</v>
      </c>
      <c r="T42">
        <v>29.25</v>
      </c>
      <c r="U42">
        <v>0.5</v>
      </c>
      <c r="V42">
        <v>29.5</v>
      </c>
      <c r="W42">
        <v>0.5</v>
      </c>
    </row>
    <row r="43" spans="2:23" x14ac:dyDescent="0.25">
      <c r="B43">
        <v>1.55</v>
      </c>
      <c r="C43">
        <v>2.5000000000000001E-2</v>
      </c>
      <c r="D43">
        <v>24</v>
      </c>
      <c r="E43">
        <v>0.5</v>
      </c>
      <c r="F43">
        <v>26.25</v>
      </c>
      <c r="G43">
        <v>0.5</v>
      </c>
    </row>
    <row r="44" spans="2:23" x14ac:dyDescent="0.25">
      <c r="B44">
        <v>1.5</v>
      </c>
      <c r="C44">
        <v>2.5000000000000001E-2</v>
      </c>
      <c r="D44">
        <v>24</v>
      </c>
      <c r="E44">
        <v>0.5</v>
      </c>
      <c r="F44">
        <v>26.75</v>
      </c>
      <c r="G44">
        <v>0.5</v>
      </c>
      <c r="H44">
        <v>28</v>
      </c>
      <c r="I44">
        <v>0.5</v>
      </c>
      <c r="J44">
        <v>29</v>
      </c>
      <c r="K44">
        <v>0.5</v>
      </c>
      <c r="L44">
        <v>29.5</v>
      </c>
      <c r="M44">
        <v>0.5</v>
      </c>
      <c r="N44">
        <v>29.5</v>
      </c>
      <c r="O44">
        <v>0.5</v>
      </c>
      <c r="P44">
        <v>29.75</v>
      </c>
      <c r="Q44">
        <v>0.5</v>
      </c>
      <c r="R44">
        <v>30</v>
      </c>
      <c r="S44">
        <v>0.5</v>
      </c>
    </row>
    <row r="45" spans="2:23" x14ac:dyDescent="0.25">
      <c r="B45">
        <v>1.45</v>
      </c>
      <c r="C45">
        <v>2.5000000000000001E-2</v>
      </c>
      <c r="F45">
        <v>27</v>
      </c>
      <c r="G45">
        <v>0.5</v>
      </c>
    </row>
    <row r="46" spans="2:23" x14ac:dyDescent="0.25">
      <c r="B46">
        <v>1.4</v>
      </c>
      <c r="C46">
        <v>2.5000000000000001E-2</v>
      </c>
      <c r="D46">
        <v>24</v>
      </c>
      <c r="E46">
        <v>0.5</v>
      </c>
      <c r="F46">
        <v>27.5</v>
      </c>
      <c r="G46">
        <v>0.5</v>
      </c>
      <c r="H46">
        <v>29.25</v>
      </c>
      <c r="I46">
        <v>0.5</v>
      </c>
      <c r="J46">
        <v>29.75</v>
      </c>
      <c r="K46">
        <v>0.5</v>
      </c>
      <c r="L46">
        <v>30.25</v>
      </c>
      <c r="M46">
        <v>0.5</v>
      </c>
      <c r="N46">
        <v>30.5</v>
      </c>
      <c r="O46">
        <v>0.5</v>
      </c>
      <c r="P46">
        <v>30.75</v>
      </c>
      <c r="Q46">
        <v>0.5</v>
      </c>
      <c r="R46">
        <v>31</v>
      </c>
      <c r="S46">
        <v>0.5</v>
      </c>
      <c r="T46">
        <v>31.25</v>
      </c>
      <c r="U46">
        <v>0.5</v>
      </c>
      <c r="V46">
        <v>31.5</v>
      </c>
      <c r="W46">
        <v>0.5</v>
      </c>
    </row>
    <row r="47" spans="2:23" x14ac:dyDescent="0.25">
      <c r="B47">
        <v>1.35</v>
      </c>
      <c r="C47">
        <v>2.5000000000000001E-2</v>
      </c>
      <c r="F47">
        <v>27.5</v>
      </c>
      <c r="G47">
        <v>0.5</v>
      </c>
    </row>
    <row r="48" spans="2:23" x14ac:dyDescent="0.25">
      <c r="B48">
        <v>1.3</v>
      </c>
      <c r="C48">
        <v>2.5000000000000001E-2</v>
      </c>
      <c r="D48">
        <v>24</v>
      </c>
      <c r="E48">
        <v>0.5</v>
      </c>
      <c r="H48">
        <v>29.75</v>
      </c>
      <c r="I48">
        <v>0.5</v>
      </c>
      <c r="J48">
        <v>30.5</v>
      </c>
      <c r="K48">
        <v>0.5</v>
      </c>
      <c r="L48">
        <v>31.25</v>
      </c>
      <c r="M48">
        <v>0.5</v>
      </c>
      <c r="N48">
        <v>31.5</v>
      </c>
      <c r="O48">
        <v>0.5</v>
      </c>
      <c r="P48">
        <v>31.75</v>
      </c>
      <c r="Q48">
        <v>0.5</v>
      </c>
      <c r="R48">
        <v>32.25</v>
      </c>
      <c r="S48">
        <v>0.5</v>
      </c>
    </row>
    <row r="49" spans="2:23" x14ac:dyDescent="0.25">
      <c r="B49">
        <v>1.2</v>
      </c>
      <c r="C49">
        <v>2.5000000000000001E-2</v>
      </c>
      <c r="D49">
        <v>24</v>
      </c>
      <c r="E49">
        <v>0.5</v>
      </c>
      <c r="F49">
        <v>27.5</v>
      </c>
      <c r="G49">
        <v>0.5</v>
      </c>
      <c r="H49">
        <v>30.25</v>
      </c>
      <c r="I49">
        <v>0.5</v>
      </c>
      <c r="J49">
        <v>31.5</v>
      </c>
      <c r="K49">
        <v>0.5</v>
      </c>
      <c r="L49">
        <v>32.25</v>
      </c>
      <c r="M49">
        <v>0.5</v>
      </c>
      <c r="N49">
        <v>32.25</v>
      </c>
      <c r="O49">
        <v>0.5</v>
      </c>
      <c r="P49">
        <v>32.75</v>
      </c>
      <c r="Q49">
        <v>0.5</v>
      </c>
      <c r="R49">
        <v>33</v>
      </c>
      <c r="S49">
        <v>0.5</v>
      </c>
      <c r="T49">
        <v>33.25</v>
      </c>
      <c r="U49">
        <v>0.5</v>
      </c>
      <c r="V49">
        <v>33.75</v>
      </c>
      <c r="W49">
        <v>0.5</v>
      </c>
    </row>
    <row r="50" spans="2:23" x14ac:dyDescent="0.25">
      <c r="B50">
        <v>1.1499999999999999</v>
      </c>
      <c r="C50">
        <v>2.5000000000000001E-2</v>
      </c>
      <c r="H50">
        <v>30.5</v>
      </c>
      <c r="I50">
        <v>0.5</v>
      </c>
    </row>
    <row r="51" spans="2:23" x14ac:dyDescent="0.25">
      <c r="B51">
        <v>1.1000000000000001</v>
      </c>
      <c r="C51">
        <v>2.5000000000000001E-2</v>
      </c>
      <c r="D51">
        <v>24</v>
      </c>
      <c r="E51">
        <v>0.5</v>
      </c>
      <c r="H51">
        <v>30.5</v>
      </c>
      <c r="I51">
        <v>0.5</v>
      </c>
      <c r="J51">
        <v>32</v>
      </c>
      <c r="K51">
        <v>0.5</v>
      </c>
      <c r="L51">
        <v>32.75</v>
      </c>
      <c r="M51">
        <v>0.5</v>
      </c>
      <c r="N51">
        <v>33.25</v>
      </c>
      <c r="O51">
        <v>0.5</v>
      </c>
      <c r="P51">
        <v>33.5</v>
      </c>
      <c r="Q51">
        <v>0.5</v>
      </c>
      <c r="R51">
        <v>34</v>
      </c>
      <c r="S51">
        <v>0.5</v>
      </c>
    </row>
    <row r="52" spans="2:23" x14ac:dyDescent="0.25">
      <c r="B52">
        <v>1.05</v>
      </c>
      <c r="C52">
        <v>2.5000000000000001E-2</v>
      </c>
      <c r="H52">
        <v>30.75</v>
      </c>
      <c r="I52">
        <v>0.5</v>
      </c>
      <c r="J52">
        <v>32.25</v>
      </c>
      <c r="K52">
        <v>0.5</v>
      </c>
      <c r="L52">
        <v>33.25</v>
      </c>
      <c r="M52">
        <v>0.5</v>
      </c>
    </row>
    <row r="53" spans="2:23" x14ac:dyDescent="0.25">
      <c r="B53">
        <v>1</v>
      </c>
      <c r="C53">
        <v>2.5000000000000001E-2</v>
      </c>
      <c r="D53">
        <v>24</v>
      </c>
      <c r="E53">
        <v>0.5</v>
      </c>
      <c r="F53">
        <v>27.5</v>
      </c>
      <c r="G53">
        <v>0.5</v>
      </c>
      <c r="J53">
        <v>32.5</v>
      </c>
      <c r="K53">
        <v>0.5</v>
      </c>
      <c r="L53">
        <v>33.5</v>
      </c>
      <c r="M53">
        <v>0.5</v>
      </c>
      <c r="N53">
        <v>33.75</v>
      </c>
      <c r="O53">
        <v>0.5</v>
      </c>
      <c r="P53">
        <v>34.25</v>
      </c>
      <c r="Q53">
        <v>0.5</v>
      </c>
      <c r="R53">
        <v>35</v>
      </c>
      <c r="S53">
        <v>0.5</v>
      </c>
      <c r="T53">
        <v>35</v>
      </c>
      <c r="U53">
        <v>0.5</v>
      </c>
      <c r="V53">
        <v>35.75</v>
      </c>
      <c r="W53">
        <v>0.5</v>
      </c>
    </row>
    <row r="54" spans="2:23" x14ac:dyDescent="0.25">
      <c r="B54">
        <v>0.95</v>
      </c>
      <c r="C54">
        <v>2.5000000000000001E-2</v>
      </c>
      <c r="J54">
        <v>32.75</v>
      </c>
      <c r="K54">
        <v>0.5</v>
      </c>
      <c r="L54">
        <v>33.75</v>
      </c>
      <c r="M54">
        <v>0.5</v>
      </c>
      <c r="N54">
        <v>34.25</v>
      </c>
      <c r="O54">
        <v>0.5</v>
      </c>
      <c r="R54">
        <v>35</v>
      </c>
      <c r="S54">
        <v>0.5</v>
      </c>
    </row>
    <row r="55" spans="2:23" x14ac:dyDescent="0.25">
      <c r="B55">
        <v>0.9</v>
      </c>
      <c r="C55">
        <v>2.5000000000000001E-2</v>
      </c>
      <c r="D55">
        <v>24</v>
      </c>
      <c r="E55">
        <v>0.5</v>
      </c>
      <c r="H55">
        <v>30.75</v>
      </c>
      <c r="I55">
        <v>0.5</v>
      </c>
      <c r="J55">
        <v>32.75</v>
      </c>
      <c r="K55">
        <v>0.5</v>
      </c>
      <c r="L55">
        <v>34</v>
      </c>
      <c r="M55">
        <v>0.5</v>
      </c>
      <c r="N55">
        <v>34.25</v>
      </c>
      <c r="O55">
        <v>0.5</v>
      </c>
      <c r="P55">
        <v>34.75</v>
      </c>
      <c r="Q55">
        <v>0.5</v>
      </c>
      <c r="R55">
        <v>35.5</v>
      </c>
      <c r="S55">
        <v>0.5</v>
      </c>
      <c r="T55">
        <v>35.75</v>
      </c>
      <c r="U55">
        <v>0.5</v>
      </c>
      <c r="V55">
        <v>36.25</v>
      </c>
      <c r="W55">
        <v>0.5</v>
      </c>
    </row>
    <row r="56" spans="2:23" x14ac:dyDescent="0.25">
      <c r="B56">
        <v>0.85</v>
      </c>
      <c r="C56">
        <v>2.5000000000000001E-2</v>
      </c>
      <c r="L56">
        <v>34</v>
      </c>
      <c r="M56">
        <v>0.5</v>
      </c>
      <c r="N56">
        <v>34.5</v>
      </c>
      <c r="O56">
        <v>0.5</v>
      </c>
      <c r="R56">
        <v>35.5</v>
      </c>
      <c r="S56">
        <v>0.5</v>
      </c>
    </row>
    <row r="57" spans="2:23" x14ac:dyDescent="0.25">
      <c r="B57">
        <v>0.8</v>
      </c>
      <c r="C57">
        <v>2.5000000000000001E-2</v>
      </c>
      <c r="D57">
        <v>24</v>
      </c>
      <c r="E57">
        <v>0.5</v>
      </c>
      <c r="F57">
        <v>27.5</v>
      </c>
      <c r="G57">
        <v>0.5</v>
      </c>
      <c r="J57">
        <v>32.75</v>
      </c>
      <c r="K57">
        <v>0.5</v>
      </c>
      <c r="L57">
        <v>34</v>
      </c>
      <c r="M57">
        <v>0.5</v>
      </c>
      <c r="N57">
        <v>34.5</v>
      </c>
      <c r="O57">
        <v>0.5</v>
      </c>
      <c r="P57">
        <v>35</v>
      </c>
      <c r="Q57">
        <v>0.5</v>
      </c>
      <c r="R57">
        <v>35.75</v>
      </c>
      <c r="S57">
        <v>0.5</v>
      </c>
      <c r="T57">
        <v>36.25</v>
      </c>
      <c r="U57">
        <v>0.5</v>
      </c>
      <c r="V57">
        <v>36.75</v>
      </c>
      <c r="W57">
        <v>0.5</v>
      </c>
    </row>
    <row r="58" spans="2:23" x14ac:dyDescent="0.25">
      <c r="B58">
        <v>0.75</v>
      </c>
      <c r="C58">
        <v>2.5000000000000001E-2</v>
      </c>
      <c r="N58">
        <v>34.5</v>
      </c>
      <c r="O58">
        <v>0.5</v>
      </c>
      <c r="P58">
        <v>35</v>
      </c>
      <c r="Q58">
        <v>0.5</v>
      </c>
      <c r="R58">
        <v>35.75</v>
      </c>
      <c r="S58">
        <v>0.5</v>
      </c>
      <c r="T58">
        <v>36.25</v>
      </c>
      <c r="U58">
        <v>0.5</v>
      </c>
      <c r="V58">
        <v>37</v>
      </c>
      <c r="W58">
        <v>0.5</v>
      </c>
    </row>
    <row r="59" spans="2:23" x14ac:dyDescent="0.25">
      <c r="B59">
        <v>0.7</v>
      </c>
      <c r="C59">
        <v>2.5000000000000001E-2</v>
      </c>
      <c r="D59">
        <v>24</v>
      </c>
      <c r="E59">
        <v>0.5</v>
      </c>
      <c r="H59">
        <v>30.75</v>
      </c>
      <c r="I59">
        <v>0.5</v>
      </c>
      <c r="J59">
        <v>32.75</v>
      </c>
      <c r="K59">
        <v>0.5</v>
      </c>
      <c r="L59">
        <v>34</v>
      </c>
      <c r="M59">
        <v>0.5</v>
      </c>
      <c r="N59">
        <v>34.5</v>
      </c>
      <c r="O59">
        <v>0.5</v>
      </c>
      <c r="P59">
        <v>35</v>
      </c>
      <c r="Q59">
        <v>0.5</v>
      </c>
      <c r="R59">
        <v>35.75</v>
      </c>
      <c r="S59">
        <v>0.5</v>
      </c>
      <c r="T59">
        <v>36.25</v>
      </c>
      <c r="U59">
        <v>0.5</v>
      </c>
      <c r="V59">
        <v>37.25</v>
      </c>
      <c r="W59">
        <v>0.5</v>
      </c>
    </row>
    <row r="60" spans="2:23" x14ac:dyDescent="0.25">
      <c r="B60">
        <v>0.65</v>
      </c>
      <c r="C60">
        <v>2.5000000000000001E-2</v>
      </c>
      <c r="N60">
        <v>34.5</v>
      </c>
      <c r="O60">
        <v>0.5</v>
      </c>
      <c r="P60">
        <v>35</v>
      </c>
      <c r="Q60">
        <v>0.5</v>
      </c>
      <c r="R60">
        <v>36</v>
      </c>
      <c r="S60">
        <v>0.5</v>
      </c>
      <c r="T60">
        <v>36.25</v>
      </c>
      <c r="U60">
        <v>0.5</v>
      </c>
      <c r="V60">
        <v>37.25</v>
      </c>
      <c r="W60">
        <v>0.5</v>
      </c>
    </row>
    <row r="61" spans="2:23" x14ac:dyDescent="0.25">
      <c r="B61">
        <v>0.6</v>
      </c>
      <c r="C61">
        <v>2.5000000000000001E-2</v>
      </c>
      <c r="D61">
        <v>24</v>
      </c>
      <c r="E61">
        <v>0.5</v>
      </c>
      <c r="F61">
        <v>27.5</v>
      </c>
      <c r="G61">
        <v>0.5</v>
      </c>
      <c r="H61">
        <v>30.75</v>
      </c>
      <c r="I61">
        <v>0.5</v>
      </c>
      <c r="J61">
        <v>32.75</v>
      </c>
      <c r="K61">
        <v>0.5</v>
      </c>
      <c r="L61">
        <v>34</v>
      </c>
      <c r="M61">
        <v>0.5</v>
      </c>
      <c r="N61">
        <v>34.5</v>
      </c>
      <c r="O61">
        <v>0.5</v>
      </c>
      <c r="P61">
        <v>35</v>
      </c>
      <c r="Q61">
        <v>0.5</v>
      </c>
      <c r="R61">
        <v>36</v>
      </c>
      <c r="S61">
        <v>0.5</v>
      </c>
      <c r="T61">
        <v>36.5</v>
      </c>
      <c r="U61">
        <v>0.5</v>
      </c>
      <c r="V61">
        <v>37.5</v>
      </c>
      <c r="W61">
        <v>0.5</v>
      </c>
    </row>
    <row r="62" spans="2:23" x14ac:dyDescent="0.25">
      <c r="B62">
        <v>0.55000000000000004</v>
      </c>
      <c r="C62">
        <v>2.5000000000000001E-2</v>
      </c>
      <c r="D62">
        <v>24</v>
      </c>
      <c r="E62">
        <v>0.5</v>
      </c>
      <c r="H62">
        <v>31</v>
      </c>
      <c r="I62">
        <v>0.5</v>
      </c>
      <c r="J62">
        <v>32.75</v>
      </c>
      <c r="K62">
        <v>0.5</v>
      </c>
      <c r="L62">
        <v>34</v>
      </c>
      <c r="M62">
        <v>0.5</v>
      </c>
      <c r="N62">
        <v>34.75</v>
      </c>
      <c r="O62">
        <v>0.5</v>
      </c>
      <c r="P62">
        <v>35.25</v>
      </c>
      <c r="Q62">
        <v>0.5</v>
      </c>
      <c r="R62">
        <v>36</v>
      </c>
      <c r="S62">
        <v>0.5</v>
      </c>
      <c r="T62">
        <v>36.75</v>
      </c>
      <c r="U62">
        <v>0.5</v>
      </c>
      <c r="V62">
        <v>38</v>
      </c>
      <c r="W62">
        <v>0.5</v>
      </c>
    </row>
    <row r="63" spans="2:23" x14ac:dyDescent="0.25">
      <c r="B63">
        <v>0.5</v>
      </c>
      <c r="C63">
        <v>2.5000000000000001E-2</v>
      </c>
      <c r="D63">
        <v>24</v>
      </c>
      <c r="E63">
        <v>0.5</v>
      </c>
      <c r="F63">
        <v>27.5</v>
      </c>
      <c r="G63">
        <v>0.5</v>
      </c>
      <c r="H63">
        <v>31</v>
      </c>
      <c r="I63">
        <v>0.5</v>
      </c>
      <c r="J63">
        <v>33</v>
      </c>
      <c r="K63">
        <v>0.5</v>
      </c>
      <c r="L63">
        <v>34</v>
      </c>
      <c r="M63">
        <v>0.5</v>
      </c>
      <c r="N63">
        <v>35.25</v>
      </c>
      <c r="O63">
        <v>0.5</v>
      </c>
      <c r="P63">
        <v>36.25</v>
      </c>
      <c r="Q63">
        <v>0.5</v>
      </c>
      <c r="R63">
        <v>37</v>
      </c>
      <c r="S63">
        <v>0.5</v>
      </c>
      <c r="T63">
        <v>37.75</v>
      </c>
      <c r="U63">
        <v>0.5</v>
      </c>
      <c r="V63">
        <v>39.25</v>
      </c>
      <c r="W63">
        <v>0.5</v>
      </c>
    </row>
    <row r="64" spans="2:23" x14ac:dyDescent="0.25">
      <c r="B64">
        <v>0.45</v>
      </c>
      <c r="C64">
        <v>2.5000000000000001E-2</v>
      </c>
      <c r="D64">
        <v>24</v>
      </c>
      <c r="E64">
        <v>0.5</v>
      </c>
      <c r="F64">
        <v>27.5</v>
      </c>
      <c r="G64">
        <v>0.5</v>
      </c>
      <c r="J64">
        <v>34.75</v>
      </c>
      <c r="K64">
        <v>0.5</v>
      </c>
      <c r="L64">
        <v>39</v>
      </c>
      <c r="M64">
        <v>0.5</v>
      </c>
      <c r="N64">
        <v>39.25</v>
      </c>
      <c r="O64">
        <v>0.5</v>
      </c>
      <c r="P64">
        <v>43.75</v>
      </c>
      <c r="Q64">
        <v>0.5</v>
      </c>
      <c r="R64">
        <v>43.25</v>
      </c>
      <c r="S64">
        <v>0.5</v>
      </c>
      <c r="T64">
        <v>43.75</v>
      </c>
      <c r="U64">
        <v>0.5</v>
      </c>
      <c r="V64">
        <v>44.75</v>
      </c>
      <c r="W64">
        <v>0.5</v>
      </c>
    </row>
    <row r="65" spans="1:15" x14ac:dyDescent="0.25">
      <c r="B65">
        <v>0.42499999999999999</v>
      </c>
      <c r="C65">
        <v>2.5000000000000001E-2</v>
      </c>
      <c r="H65">
        <v>34.25</v>
      </c>
      <c r="I65">
        <v>0.5</v>
      </c>
      <c r="J65">
        <v>38.25</v>
      </c>
      <c r="K65">
        <v>0.5</v>
      </c>
      <c r="L65">
        <v>44</v>
      </c>
      <c r="M65">
        <v>0.5</v>
      </c>
      <c r="N65">
        <v>43.75</v>
      </c>
      <c r="O65">
        <v>0.5</v>
      </c>
    </row>
    <row r="66" spans="1:15" x14ac:dyDescent="0.25">
      <c r="B66">
        <v>0.4</v>
      </c>
      <c r="C66">
        <v>2.5000000000000001E-2</v>
      </c>
      <c r="D66">
        <v>26.5</v>
      </c>
      <c r="E66">
        <v>0.5</v>
      </c>
      <c r="F66">
        <v>35</v>
      </c>
      <c r="G66">
        <v>0.5</v>
      </c>
      <c r="H66">
        <v>44.25</v>
      </c>
      <c r="I66">
        <v>0.5</v>
      </c>
      <c r="J66">
        <v>45.5</v>
      </c>
      <c r="K66">
        <v>0.5</v>
      </c>
    </row>
    <row r="67" spans="1:15" x14ac:dyDescent="0.25">
      <c r="B67">
        <v>0.39</v>
      </c>
      <c r="C67">
        <v>2.5000000000000001E-2</v>
      </c>
      <c r="D67">
        <v>30.5</v>
      </c>
      <c r="E67">
        <v>0.5</v>
      </c>
      <c r="F67">
        <v>45</v>
      </c>
      <c r="G67">
        <v>0.5</v>
      </c>
    </row>
    <row r="68" spans="1:15" x14ac:dyDescent="0.25">
      <c r="B68">
        <v>0.38</v>
      </c>
      <c r="C68">
        <v>2.5000000000000001E-2</v>
      </c>
      <c r="D68">
        <v>35.5</v>
      </c>
      <c r="E68">
        <v>0.5</v>
      </c>
    </row>
    <row r="69" spans="1:15" x14ac:dyDescent="0.25">
      <c r="B69">
        <v>0.37</v>
      </c>
      <c r="C69">
        <v>2.5000000000000001E-2</v>
      </c>
      <c r="D69">
        <v>45</v>
      </c>
      <c r="E69">
        <v>0.5</v>
      </c>
    </row>
    <row r="75" spans="1:15" x14ac:dyDescent="0.25">
      <c r="A75" t="s">
        <v>27</v>
      </c>
    </row>
    <row r="76" spans="1:15" x14ac:dyDescent="0.25">
      <c r="B76" t="s">
        <v>28</v>
      </c>
      <c r="C76" t="s">
        <v>29</v>
      </c>
      <c r="D76" t="s">
        <v>3</v>
      </c>
      <c r="E76" t="s">
        <v>20</v>
      </c>
      <c r="G76" t="s">
        <v>30</v>
      </c>
      <c r="H76" t="s">
        <v>3</v>
      </c>
      <c r="I76" t="s">
        <v>20</v>
      </c>
      <c r="L76" t="s">
        <v>30</v>
      </c>
      <c r="M76" t="s">
        <v>31</v>
      </c>
      <c r="N76" t="s">
        <v>20</v>
      </c>
    </row>
    <row r="77" spans="1:15" x14ac:dyDescent="0.25">
      <c r="B77">
        <v>30.7</v>
      </c>
      <c r="C77">
        <f>B77+272.15</f>
        <v>302.84999999999997</v>
      </c>
      <c r="D77">
        <v>24</v>
      </c>
      <c r="G77">
        <f>1/C77*10^3</f>
        <v>3.3019646689780422</v>
      </c>
      <c r="H77">
        <v>24</v>
      </c>
      <c r="I77">
        <v>0.56000000000000005</v>
      </c>
      <c r="L77">
        <f>G77</f>
        <v>3.3019646689780422</v>
      </c>
      <c r="M77">
        <f>LN(H77)</f>
        <v>3.1780538303479458</v>
      </c>
      <c r="N77">
        <f>-LN(I77)</f>
        <v>0.57981849525294205</v>
      </c>
    </row>
    <row r="78" spans="1:15" x14ac:dyDescent="0.25">
      <c r="B78">
        <v>35</v>
      </c>
      <c r="C78">
        <f t="shared" ref="C78:C85" si="0">B78+272.15</f>
        <v>307.14999999999998</v>
      </c>
      <c r="D78">
        <v>27.5</v>
      </c>
      <c r="G78">
        <f t="shared" ref="G78:G85" si="1">1/C78*10^3</f>
        <v>3.2557382386456131</v>
      </c>
      <c r="H78">
        <v>27.5</v>
      </c>
      <c r="I78">
        <v>0.56000000000000005</v>
      </c>
      <c r="L78">
        <f t="shared" ref="L78:L85" si="2">G78</f>
        <v>3.2557382386456131</v>
      </c>
      <c r="M78">
        <f t="shared" ref="M78:M85" si="3">LN(H78)</f>
        <v>3.3141860046725258</v>
      </c>
      <c r="N78">
        <f t="shared" ref="N78:N85" si="4">-LN(I78)</f>
        <v>0.57981849525294205</v>
      </c>
    </row>
    <row r="79" spans="1:15" x14ac:dyDescent="0.25">
      <c r="B79">
        <v>40.1</v>
      </c>
      <c r="C79">
        <f t="shared" si="0"/>
        <v>312.25</v>
      </c>
      <c r="D79">
        <v>30.69</v>
      </c>
      <c r="E79">
        <v>8.1000000000000003E-2</v>
      </c>
      <c r="G79">
        <f t="shared" si="1"/>
        <v>3.2025620496397114</v>
      </c>
      <c r="H79">
        <v>30.69</v>
      </c>
      <c r="I79">
        <v>0.56000000000000005</v>
      </c>
      <c r="L79">
        <f t="shared" si="2"/>
        <v>3.2025620496397114</v>
      </c>
      <c r="M79">
        <f t="shared" si="3"/>
        <v>3.4239368686316447</v>
      </c>
      <c r="N79">
        <f t="shared" si="4"/>
        <v>0.57981849525294205</v>
      </c>
    </row>
    <row r="80" spans="1:15" x14ac:dyDescent="0.25">
      <c r="B80">
        <v>42.7</v>
      </c>
      <c r="C80">
        <f t="shared" si="0"/>
        <v>314.84999999999997</v>
      </c>
      <c r="D80">
        <v>32.786000000000001</v>
      </c>
      <c r="E80">
        <v>2.7E-2</v>
      </c>
      <c r="G80">
        <f t="shared" si="1"/>
        <v>3.1761156106082264</v>
      </c>
      <c r="H80">
        <v>32.786000000000001</v>
      </c>
      <c r="I80">
        <v>0.56000000000000005</v>
      </c>
      <c r="L80">
        <f t="shared" si="2"/>
        <v>3.1761156106082264</v>
      </c>
      <c r="M80">
        <f t="shared" si="3"/>
        <v>3.4900015950042644</v>
      </c>
      <c r="N80">
        <f t="shared" si="4"/>
        <v>0.57981849525294205</v>
      </c>
    </row>
    <row r="81" spans="2:14" x14ac:dyDescent="0.25">
      <c r="B81">
        <v>44.5</v>
      </c>
      <c r="C81">
        <f t="shared" si="0"/>
        <v>316.64999999999998</v>
      </c>
      <c r="D81">
        <v>34</v>
      </c>
      <c r="G81">
        <f t="shared" si="1"/>
        <v>3.1580609505763464</v>
      </c>
      <c r="H81">
        <v>34</v>
      </c>
      <c r="I81">
        <v>0.56000000000000005</v>
      </c>
      <c r="L81">
        <f t="shared" si="2"/>
        <v>3.1580609505763464</v>
      </c>
      <c r="M81">
        <f t="shared" si="3"/>
        <v>3.5263605246161616</v>
      </c>
      <c r="N81">
        <f t="shared" si="4"/>
        <v>0.57981849525294205</v>
      </c>
    </row>
    <row r="82" spans="2:14" x14ac:dyDescent="0.25">
      <c r="B82">
        <v>45.1</v>
      </c>
      <c r="C82">
        <f t="shared" si="0"/>
        <v>317.25</v>
      </c>
      <c r="D82">
        <v>34.472000000000001</v>
      </c>
      <c r="E82">
        <v>0.05</v>
      </c>
      <c r="G82">
        <f t="shared" si="1"/>
        <v>3.1520882584712373</v>
      </c>
      <c r="H82">
        <v>34.472000000000001</v>
      </c>
      <c r="I82">
        <v>0.56000000000000005</v>
      </c>
      <c r="L82">
        <f t="shared" si="2"/>
        <v>3.1520882584712373</v>
      </c>
      <c r="M82">
        <f t="shared" si="3"/>
        <v>3.5401474003135367</v>
      </c>
      <c r="N82">
        <f t="shared" si="4"/>
        <v>0.57981849525294205</v>
      </c>
    </row>
    <row r="83" spans="2:14" x14ac:dyDescent="0.25">
      <c r="B83">
        <v>45.6</v>
      </c>
      <c r="C83">
        <f t="shared" si="0"/>
        <v>317.75</v>
      </c>
      <c r="D83">
        <v>35</v>
      </c>
      <c r="G83">
        <f t="shared" si="1"/>
        <v>3.147128245476003</v>
      </c>
      <c r="H83">
        <v>35</v>
      </c>
      <c r="I83">
        <v>0.56000000000000005</v>
      </c>
      <c r="L83">
        <f t="shared" si="2"/>
        <v>3.147128245476003</v>
      </c>
      <c r="M83">
        <f t="shared" si="3"/>
        <v>3.5553480614894135</v>
      </c>
      <c r="N83">
        <f t="shared" si="4"/>
        <v>0.57981849525294205</v>
      </c>
    </row>
    <row r="84" spans="2:14" x14ac:dyDescent="0.25">
      <c r="B84">
        <v>46</v>
      </c>
      <c r="C84">
        <f t="shared" si="0"/>
        <v>318.14999999999998</v>
      </c>
      <c r="D84">
        <v>35.780999999999999</v>
      </c>
      <c r="E84">
        <v>6.5000000000000002E-2</v>
      </c>
      <c r="G84">
        <f t="shared" si="1"/>
        <v>3.1431714600031433</v>
      </c>
      <c r="H84">
        <v>35.780999999999999</v>
      </c>
      <c r="I84">
        <v>0.56000000000000005</v>
      </c>
      <c r="L84">
        <f t="shared" si="2"/>
        <v>3.1431714600031433</v>
      </c>
      <c r="M84">
        <f t="shared" si="3"/>
        <v>3.5774170262646416</v>
      </c>
      <c r="N84">
        <f t="shared" si="4"/>
        <v>0.57981849525294205</v>
      </c>
    </row>
    <row r="85" spans="2:14" x14ac:dyDescent="0.25">
      <c r="B85">
        <v>46.9</v>
      </c>
      <c r="C85">
        <f t="shared" si="0"/>
        <v>319.04999999999995</v>
      </c>
      <c r="D85">
        <v>36.299999999999997</v>
      </c>
      <c r="E85">
        <v>2.5999999999999999E-2</v>
      </c>
      <c r="G85">
        <f t="shared" si="1"/>
        <v>3.1343049678733745</v>
      </c>
      <c r="H85">
        <v>36.299999999999997</v>
      </c>
      <c r="I85">
        <v>0.56000000000000005</v>
      </c>
      <c r="L85">
        <f t="shared" si="2"/>
        <v>3.1343049678733745</v>
      </c>
      <c r="M85">
        <f t="shared" si="3"/>
        <v>3.591817741270805</v>
      </c>
      <c r="N85">
        <f t="shared" si="4"/>
        <v>0.57981849525294205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3D60-F422-499B-A39A-AAF30ED3F8FC}">
  <dimension ref="A2:U32"/>
  <sheetViews>
    <sheetView workbookViewId="0">
      <selection activeCell="O3" sqref="O3:O20"/>
    </sheetView>
  </sheetViews>
  <sheetFormatPr baseColWidth="10" defaultRowHeight="15" x14ac:dyDescent="0.25"/>
  <sheetData>
    <row r="2" spans="1:21" x14ac:dyDescent="0.25">
      <c r="C2" t="s">
        <v>15</v>
      </c>
      <c r="G2" t="s">
        <v>17</v>
      </c>
      <c r="H2" t="s">
        <v>18</v>
      </c>
      <c r="I2" t="s">
        <v>19</v>
      </c>
      <c r="J2" t="s">
        <v>20</v>
      </c>
      <c r="N2" t="s">
        <v>17</v>
      </c>
      <c r="O2" t="s">
        <v>21</v>
      </c>
    </row>
    <row r="3" spans="1:21" x14ac:dyDescent="0.25">
      <c r="B3">
        <v>36.25</v>
      </c>
      <c r="C3">
        <f>(B3-$B$13)^2</f>
        <v>2.499999999999716E-3</v>
      </c>
      <c r="G3">
        <v>0.40200000000000002</v>
      </c>
      <c r="H3">
        <v>8.3000000000000004E-2</v>
      </c>
      <c r="I3">
        <v>24</v>
      </c>
      <c r="N3">
        <v>0.40200000000000002</v>
      </c>
      <c r="O3">
        <f>$R$3*(N3-$U$4)^$R$5*EXP(-$R$6*(N3-$R$4)+$R$7)</f>
        <v>31.910894199168567</v>
      </c>
      <c r="Q3" t="s">
        <v>22</v>
      </c>
      <c r="R3">
        <v>1E-3</v>
      </c>
    </row>
    <row r="4" spans="1:21" x14ac:dyDescent="0.25">
      <c r="B4">
        <v>36.25</v>
      </c>
      <c r="C4">
        <f t="shared" ref="C4:C7" si="0">(B4-$B$13)^2</f>
        <v>2.499999999999716E-3</v>
      </c>
      <c r="G4">
        <v>0.45</v>
      </c>
      <c r="H4">
        <v>0.28999999999999998</v>
      </c>
      <c r="I4">
        <v>27.5</v>
      </c>
      <c r="N4">
        <v>0.45</v>
      </c>
      <c r="O4">
        <f t="shared" ref="O4:O20" si="1">$R$3*(N4-$U$4)^$R$5*EXP(-$R$6*(N4-$R$4)+$R$7)</f>
        <v>35.67207843336552</v>
      </c>
      <c r="Q4" t="s">
        <v>23</v>
      </c>
      <c r="R4">
        <v>0.43014000000000002</v>
      </c>
      <c r="S4">
        <v>6.6019999999999995E-2</v>
      </c>
      <c r="U4">
        <f>R4-S4</f>
        <v>0.36412</v>
      </c>
    </row>
    <row r="5" spans="1:21" x14ac:dyDescent="0.25">
      <c r="B5">
        <v>36.25</v>
      </c>
      <c r="C5">
        <f t="shared" si="0"/>
        <v>2.499999999999716E-3</v>
      </c>
      <c r="G5">
        <v>0.49</v>
      </c>
      <c r="H5">
        <v>0.42</v>
      </c>
      <c r="I5">
        <v>30.69</v>
      </c>
      <c r="J5">
        <v>8.1000000000000003E-2</v>
      </c>
      <c r="N5">
        <v>0.49</v>
      </c>
      <c r="O5">
        <f t="shared" si="1"/>
        <v>37.104394549923384</v>
      </c>
      <c r="Q5" t="s">
        <v>24</v>
      </c>
      <c r="R5">
        <v>0.17843999999999999</v>
      </c>
    </row>
    <row r="6" spans="1:21" x14ac:dyDescent="0.25">
      <c r="B6">
        <v>36.25</v>
      </c>
      <c r="C6">
        <f t="shared" si="0"/>
        <v>2.499999999999716E-3</v>
      </c>
      <c r="G6">
        <v>0.48</v>
      </c>
      <c r="H6">
        <v>0.23</v>
      </c>
      <c r="I6">
        <v>32.786000000000001</v>
      </c>
      <c r="J6">
        <v>2.7E-2</v>
      </c>
      <c r="N6">
        <v>0.48</v>
      </c>
      <c r="O6">
        <f t="shared" si="1"/>
        <v>36.825161188536164</v>
      </c>
      <c r="Q6" t="s">
        <v>25</v>
      </c>
      <c r="R6">
        <v>0.72160999999999997</v>
      </c>
    </row>
    <row r="7" spans="1:21" x14ac:dyDescent="0.25">
      <c r="B7">
        <v>36.5</v>
      </c>
      <c r="C7">
        <f t="shared" si="0"/>
        <v>4.0000000000001139E-2</v>
      </c>
      <c r="G7">
        <v>0.5</v>
      </c>
      <c r="H7">
        <v>0.13</v>
      </c>
      <c r="I7">
        <v>34</v>
      </c>
      <c r="N7">
        <v>0.5</v>
      </c>
      <c r="O7">
        <f t="shared" si="1"/>
        <v>37.343535427891517</v>
      </c>
      <c r="Q7" t="s">
        <v>26</v>
      </c>
      <c r="R7">
        <v>10.93449</v>
      </c>
    </row>
    <row r="8" spans="1:21" x14ac:dyDescent="0.25">
      <c r="G8">
        <v>0.54</v>
      </c>
      <c r="H8">
        <v>0.22</v>
      </c>
      <c r="I8">
        <v>34.472000000000001</v>
      </c>
      <c r="J8">
        <v>0.05</v>
      </c>
      <c r="N8">
        <v>0.54</v>
      </c>
      <c r="O8">
        <f t="shared" si="1"/>
        <v>37.990580726412915</v>
      </c>
    </row>
    <row r="9" spans="1:21" x14ac:dyDescent="0.25">
      <c r="G9">
        <v>0.56999999999999995</v>
      </c>
      <c r="H9">
        <v>0.31</v>
      </c>
      <c r="I9">
        <v>35</v>
      </c>
      <c r="N9">
        <v>0.56999999999999995</v>
      </c>
      <c r="O9">
        <f t="shared" si="1"/>
        <v>38.236583557518216</v>
      </c>
    </row>
    <row r="10" spans="1:21" x14ac:dyDescent="0.25">
      <c r="G10">
        <v>0.54</v>
      </c>
      <c r="H10">
        <v>0.3</v>
      </c>
      <c r="I10">
        <v>35.780999999999999</v>
      </c>
      <c r="J10">
        <v>6.5000000000000002E-2</v>
      </c>
      <c r="N10">
        <v>0.54</v>
      </c>
      <c r="O10">
        <f t="shared" si="1"/>
        <v>37.990580726412915</v>
      </c>
    </row>
    <row r="11" spans="1:21" x14ac:dyDescent="0.25">
      <c r="G11">
        <v>0.57999999999999996</v>
      </c>
      <c r="H11">
        <v>0.32</v>
      </c>
      <c r="I11">
        <v>36.299999999999997</v>
      </c>
      <c r="J11">
        <v>2.7E-2</v>
      </c>
      <c r="N11">
        <v>0.57999999999999996</v>
      </c>
      <c r="O11">
        <f t="shared" si="1"/>
        <v>38.284300847926531</v>
      </c>
    </row>
    <row r="12" spans="1:21" x14ac:dyDescent="0.25">
      <c r="G12">
        <v>0.84199999999999997</v>
      </c>
      <c r="H12">
        <v>3.9E-2</v>
      </c>
      <c r="I12">
        <v>36.299999999999997</v>
      </c>
      <c r="J12">
        <v>2.7E-2</v>
      </c>
      <c r="N12">
        <v>0.84199999999999997</v>
      </c>
      <c r="O12">
        <f t="shared" si="1"/>
        <v>36.516824926300181</v>
      </c>
    </row>
    <row r="13" spans="1:21" x14ac:dyDescent="0.25">
      <c r="A13" t="s">
        <v>14</v>
      </c>
      <c r="B13">
        <f>AVERAGE(B3:B7)</f>
        <v>36.299999999999997</v>
      </c>
      <c r="G13">
        <v>0.89800000000000002</v>
      </c>
      <c r="H13">
        <v>2.7E-2</v>
      </c>
      <c r="I13">
        <v>35.780999999999999</v>
      </c>
      <c r="J13">
        <v>6.5000000000000002E-2</v>
      </c>
      <c r="N13">
        <v>0.89800000000000002</v>
      </c>
      <c r="O13">
        <f t="shared" si="1"/>
        <v>35.77095118297715</v>
      </c>
    </row>
    <row r="14" spans="1:21" x14ac:dyDescent="0.25">
      <c r="A14" t="s">
        <v>16</v>
      </c>
      <c r="B14">
        <f>SQRT(1/(8*9)*SUM(C3:C7))</f>
        <v>2.6352313834736494E-2</v>
      </c>
      <c r="G14">
        <v>0.89300000000000002</v>
      </c>
      <c r="H14">
        <v>2.7E-2</v>
      </c>
      <c r="I14">
        <v>35</v>
      </c>
      <c r="N14">
        <v>0.89300000000000002</v>
      </c>
      <c r="O14">
        <f t="shared" si="1"/>
        <v>35.840020415752875</v>
      </c>
    </row>
    <row r="15" spans="1:21" x14ac:dyDescent="0.25">
      <c r="D15">
        <v>0.40200000000000002</v>
      </c>
      <c r="E15">
        <v>8.3000000000000004E-2</v>
      </c>
      <c r="G15">
        <v>0.95399999999999996</v>
      </c>
      <c r="H15">
        <v>2.8000000000000001E-2</v>
      </c>
      <c r="I15">
        <v>34.472000000000001</v>
      </c>
      <c r="J15">
        <v>0.05</v>
      </c>
      <c r="N15">
        <v>0.95399999999999996</v>
      </c>
      <c r="O15">
        <f t="shared" si="1"/>
        <v>34.971205516156097</v>
      </c>
    </row>
    <row r="16" spans="1:21" x14ac:dyDescent="0.25">
      <c r="D16">
        <v>1.69</v>
      </c>
      <c r="E16">
        <v>0.17</v>
      </c>
      <c r="G16">
        <v>0.95199999999999996</v>
      </c>
      <c r="H16">
        <v>3.6999999999999998E-2</v>
      </c>
      <c r="I16">
        <v>34</v>
      </c>
      <c r="N16">
        <v>0.95199999999999996</v>
      </c>
      <c r="O16">
        <f t="shared" si="1"/>
        <v>35.000495235545849</v>
      </c>
    </row>
    <row r="17" spans="4:15" x14ac:dyDescent="0.25">
      <c r="D17">
        <v>0.45</v>
      </c>
      <c r="E17">
        <v>0.28999999999999998</v>
      </c>
      <c r="G17">
        <v>0.996</v>
      </c>
      <c r="H17">
        <v>4.3999999999999997E-2</v>
      </c>
      <c r="I17">
        <v>32.786000000000001</v>
      </c>
      <c r="J17">
        <v>2.7E-2</v>
      </c>
      <c r="N17">
        <v>0.996</v>
      </c>
      <c r="O17">
        <f t="shared" si="1"/>
        <v>34.346172078581674</v>
      </c>
    </row>
    <row r="18" spans="4:15" x14ac:dyDescent="0.25">
      <c r="D18">
        <v>1.401</v>
      </c>
      <c r="E18">
        <v>5.1999999999999998E-2</v>
      </c>
      <c r="G18">
        <v>1.19</v>
      </c>
      <c r="H18">
        <v>6.5000000000000002E-2</v>
      </c>
      <c r="I18">
        <v>30.69</v>
      </c>
      <c r="J18">
        <v>8.1000000000000003E-2</v>
      </c>
      <c r="N18">
        <v>1.19</v>
      </c>
      <c r="O18">
        <f t="shared" si="1"/>
        <v>31.320584728900272</v>
      </c>
    </row>
    <row r="19" spans="4:15" x14ac:dyDescent="0.25">
      <c r="D19">
        <v>0.49</v>
      </c>
      <c r="E19">
        <v>0.42</v>
      </c>
      <c r="G19">
        <v>1.401</v>
      </c>
      <c r="H19">
        <v>5.1999999999999998E-2</v>
      </c>
      <c r="I19">
        <v>27.5</v>
      </c>
      <c r="N19">
        <v>1.401</v>
      </c>
      <c r="O19">
        <f t="shared" si="1"/>
        <v>28.011492037521059</v>
      </c>
    </row>
    <row r="20" spans="4:15" x14ac:dyDescent="0.25">
      <c r="D20">
        <v>1.19</v>
      </c>
      <c r="E20">
        <v>6.5000000000000002E-2</v>
      </c>
      <c r="G20">
        <v>1.69</v>
      </c>
      <c r="H20">
        <v>0.17</v>
      </c>
      <c r="I20">
        <v>24</v>
      </c>
      <c r="N20">
        <v>1.69</v>
      </c>
      <c r="O20">
        <f t="shared" si="1"/>
        <v>23.758511790127532</v>
      </c>
    </row>
    <row r="21" spans="4:15" x14ac:dyDescent="0.25">
      <c r="D21">
        <v>0.48</v>
      </c>
      <c r="E21">
        <v>0.23</v>
      </c>
    </row>
    <row r="22" spans="4:15" x14ac:dyDescent="0.25">
      <c r="D22">
        <v>0.996</v>
      </c>
      <c r="E22">
        <v>4.3999999999999997E-2</v>
      </c>
    </row>
    <row r="23" spans="4:15" x14ac:dyDescent="0.25">
      <c r="D23">
        <v>0.5</v>
      </c>
      <c r="E23">
        <v>0.13</v>
      </c>
    </row>
    <row r="24" spans="4:15" x14ac:dyDescent="0.25">
      <c r="D24">
        <v>0.95199999999999996</v>
      </c>
      <c r="E24">
        <v>3.6999999999999998E-2</v>
      </c>
    </row>
    <row r="25" spans="4:15" x14ac:dyDescent="0.25">
      <c r="D25">
        <v>0.54</v>
      </c>
      <c r="E25">
        <v>0.22</v>
      </c>
    </row>
    <row r="26" spans="4:15" x14ac:dyDescent="0.25">
      <c r="D26">
        <v>0.95399999999999996</v>
      </c>
      <c r="E26">
        <v>2.8000000000000001E-2</v>
      </c>
    </row>
    <row r="27" spans="4:15" x14ac:dyDescent="0.25">
      <c r="D27">
        <v>0.56999999999999995</v>
      </c>
      <c r="E27">
        <v>0.31</v>
      </c>
    </row>
    <row r="28" spans="4:15" x14ac:dyDescent="0.25">
      <c r="D28">
        <v>0.89300000000000002</v>
      </c>
      <c r="E28">
        <v>2.7E-2</v>
      </c>
    </row>
    <row r="29" spans="4:15" x14ac:dyDescent="0.25">
      <c r="D29">
        <v>0.54</v>
      </c>
      <c r="E29">
        <v>0.3</v>
      </c>
    </row>
    <row r="30" spans="4:15" x14ac:dyDescent="0.25">
      <c r="D30">
        <v>0.89800000000000002</v>
      </c>
      <c r="E30">
        <v>2.7E-2</v>
      </c>
    </row>
    <row r="31" spans="4:15" x14ac:dyDescent="0.25">
      <c r="D31">
        <v>0.57999999999999996</v>
      </c>
      <c r="E31">
        <v>0.32</v>
      </c>
    </row>
    <row r="32" spans="4:15" x14ac:dyDescent="0.25">
      <c r="D32">
        <v>0.84199999999999997</v>
      </c>
      <c r="E32">
        <v>3.9E-2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2022-09-19T11:47:44Z</dcterms:created>
  <dcterms:modified xsi:type="dcterms:W3CDTF">2022-10-14T09:52:54Z</dcterms:modified>
</cp:coreProperties>
</file>