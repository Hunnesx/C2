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\Nextcloud\Shares\Praktikum\C41\"/>
    </mc:Choice>
  </mc:AlternateContent>
  <xr:revisionPtr revIDLastSave="0" documentId="13_ncr:1_{BA3946CC-7B85-471D-8E85-CECB42284658}" xr6:coauthVersionLast="46" xr6:coauthVersionMax="46" xr10:uidLastSave="{00000000-0000-0000-0000-000000000000}"/>
  <bookViews>
    <workbookView xWindow="28680" yWindow="-7710" windowWidth="29040" windowHeight="15840" xr2:uid="{D639EB14-929B-45EB-BA4B-5AB576E2B0D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1" l="1"/>
  <c r="K6" i="1"/>
  <c r="J7" i="1"/>
  <c r="J6" i="1"/>
  <c r="F7" i="1"/>
  <c r="F10" i="1"/>
  <c r="D10" i="1"/>
  <c r="F6" i="1"/>
  <c r="F9" i="1"/>
  <c r="D9" i="1"/>
  <c r="E7" i="1"/>
  <c r="G7" i="1" s="1"/>
  <c r="E6" i="1"/>
  <c r="G6" i="1" s="1"/>
  <c r="M6" i="1" s="1"/>
  <c r="H3" i="1"/>
  <c r="E35" i="1"/>
  <c r="E36" i="1"/>
  <c r="C44" i="1"/>
  <c r="C45" i="1" s="1"/>
  <c r="G35" i="1"/>
  <c r="L36" i="1"/>
  <c r="L37" i="1"/>
  <c r="L35" i="1"/>
  <c r="F36" i="1"/>
  <c r="H36" i="1" s="1"/>
  <c r="M36" i="1" s="1"/>
  <c r="F37" i="1"/>
  <c r="H37" i="1" s="1"/>
  <c r="M37" i="1" s="1"/>
  <c r="F35" i="1"/>
  <c r="H35" i="1" s="1"/>
  <c r="M35" i="1" s="1"/>
  <c r="E37" i="1"/>
  <c r="D44" i="1"/>
  <c r="D45" i="1" s="1"/>
  <c r="E44" i="1"/>
  <c r="E45" i="1" s="1"/>
  <c r="I17" i="1"/>
  <c r="D49" i="1"/>
  <c r="E49" i="1"/>
  <c r="C49" i="1"/>
  <c r="D48" i="1"/>
  <c r="E48" i="1"/>
  <c r="C48" i="1"/>
  <c r="D50" i="1"/>
  <c r="E50" i="1"/>
  <c r="C50" i="1"/>
  <c r="D23" i="1"/>
  <c r="D28" i="1" s="1"/>
  <c r="E23" i="1"/>
  <c r="E27" i="1" s="1"/>
  <c r="C23" i="1"/>
  <c r="C35" i="1" s="1"/>
  <c r="G3" i="1" l="1"/>
  <c r="H7" i="1"/>
  <c r="I3" i="1"/>
  <c r="J3" i="1"/>
  <c r="K35" i="1"/>
  <c r="M7" i="1"/>
  <c r="I35" i="1"/>
  <c r="H6" i="1"/>
  <c r="N6" i="1" s="1"/>
  <c r="D51" i="1"/>
  <c r="C51" i="1"/>
  <c r="E51" i="1"/>
  <c r="D25" i="1"/>
  <c r="E26" i="1"/>
  <c r="D29" i="1"/>
  <c r="C28" i="1"/>
  <c r="D26" i="1"/>
  <c r="C37" i="1"/>
  <c r="G37" i="1" s="1"/>
  <c r="C29" i="1"/>
  <c r="D27" i="1"/>
  <c r="C36" i="1"/>
  <c r="G36" i="1" s="1"/>
  <c r="C27" i="1"/>
  <c r="E29" i="1"/>
  <c r="C26" i="1"/>
  <c r="E28" i="1"/>
  <c r="E25" i="1"/>
  <c r="C25" i="1"/>
  <c r="N7" i="1" l="1"/>
  <c r="J35" i="1"/>
  <c r="D30" i="1"/>
  <c r="D31" i="1" s="1"/>
  <c r="D32" i="1" s="1"/>
  <c r="D36" i="1" s="1"/>
  <c r="C30" i="1"/>
  <c r="I36" i="1"/>
  <c r="J36" i="1"/>
  <c r="E30" i="1"/>
  <c r="E31" i="1" s="1"/>
  <c r="I37" i="1"/>
  <c r="J37" i="1"/>
  <c r="K36" i="1" l="1"/>
  <c r="E32" i="1"/>
  <c r="D37" i="1" s="1"/>
  <c r="K37" i="1" s="1"/>
  <c r="C31" i="1"/>
  <c r="C32" i="1" s="1"/>
  <c r="D35" i="1" s="1"/>
</calcChain>
</file>

<file path=xl/sharedStrings.xml><?xml version="1.0" encoding="utf-8"?>
<sst xmlns="http://schemas.openxmlformats.org/spreadsheetml/2006/main" count="69" uniqueCount="54">
  <si>
    <t>mean:</t>
  </si>
  <si>
    <t>in</t>
  </si>
  <si>
    <t>kHz</t>
  </si>
  <si>
    <t>Versuch C41</t>
  </si>
  <si>
    <t>sum:</t>
  </si>
  <si>
    <t>error s:</t>
  </si>
  <si>
    <t>error s²:</t>
  </si>
  <si>
    <t>value for:</t>
  </si>
  <si>
    <t>λ/4 =</t>
  </si>
  <si>
    <t>λ3/4 =</t>
  </si>
  <si>
    <t>λ/2 =</t>
  </si>
  <si>
    <t>Fehler:</t>
  </si>
  <si>
    <t>best (kHz):</t>
  </si>
  <si>
    <t>λ (m)</t>
  </si>
  <si>
    <t>error:</t>
  </si>
  <si>
    <t>freq.for λ:</t>
  </si>
  <si>
    <t>c in km/s</t>
  </si>
  <si>
    <t>error</t>
  </si>
  <si>
    <t>% of c0</t>
  </si>
  <si>
    <t>cable length</t>
  </si>
  <si>
    <t>speed of light</t>
  </si>
  <si>
    <t>P-P (mV)</t>
  </si>
  <si>
    <t>Fehler</t>
  </si>
  <si>
    <t>epsilon r:</t>
  </si>
  <si>
    <t>2.1.1.3 Ausbreitungsgeschwindigkeit Reflexion</t>
  </si>
  <si>
    <t>200 kHz</t>
  </si>
  <si>
    <t>v=s/t</t>
  </si>
  <si>
    <t>Koaxial:</t>
  </si>
  <si>
    <t>Verzögerung:</t>
  </si>
  <si>
    <t>fehler</t>
  </si>
  <si>
    <t>V</t>
  </si>
  <si>
    <t>delta t (s)</t>
  </si>
  <si>
    <t>Länge (m)</t>
  </si>
  <si>
    <t>*10^6 m/s</t>
  </si>
  <si>
    <t>v</t>
  </si>
  <si>
    <t>Fehler v:</t>
  </si>
  <si>
    <t>Dämpfung:</t>
  </si>
  <si>
    <t>Freq (kHz)</t>
  </si>
  <si>
    <t>U0 - PP (mV):</t>
  </si>
  <si>
    <t>Pi</t>
  </si>
  <si>
    <r>
      <rPr>
        <sz val="11"/>
        <color theme="1"/>
        <rFont val="Calibri"/>
        <family val="2"/>
      </rPr>
      <t>ω (kHz)</t>
    </r>
    <r>
      <rPr>
        <sz val="11"/>
        <color theme="1"/>
        <rFont val="Calibri"/>
        <family val="2"/>
        <scheme val="minor"/>
      </rPr>
      <t>:</t>
    </r>
  </si>
  <si>
    <t>Messreihe:</t>
  </si>
  <si>
    <t>Werte richtig abgeschrieben:</t>
  </si>
  <si>
    <t>2.1.2.2 Ausbreitungsgeschwindigkeit Kabel stehende Welle</t>
  </si>
  <si>
    <t>2.1.2.2 Dämpfung</t>
  </si>
  <si>
    <t>C0</t>
  </si>
  <si>
    <t>%</t>
  </si>
  <si>
    <t>eroor:</t>
  </si>
  <si>
    <t>c in 10^6 m/s</t>
  </si>
  <si>
    <t>U_0:</t>
  </si>
  <si>
    <t>Signalstärke (mV):</t>
  </si>
  <si>
    <t>Eingangassignal</t>
  </si>
  <si>
    <t>ausgang</t>
  </si>
  <si>
    <t>Einheit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</si>
</sst>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"/>
    <numFmt numFmtId="166" formatCode="0.0"/>
    <numFmt numFmtId="167" formatCode="0.000000000"/>
    <numFmt numFmtId="168" formatCode="0.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0" xfId="0" applyFont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7" xfId="0" applyBorder="1"/>
    <xf numFmtId="0" fontId="0" fillId="0" borderId="17" xfId="0" applyBorder="1"/>
    <xf numFmtId="0" fontId="0" fillId="0" borderId="18" xfId="0" applyBorder="1"/>
    <xf numFmtId="0" fontId="0" fillId="0" borderId="6" xfId="0" applyBorder="1"/>
    <xf numFmtId="0" fontId="0" fillId="0" borderId="22" xfId="0" applyBorder="1"/>
    <xf numFmtId="2" fontId="0" fillId="0" borderId="23" xfId="0" applyNumberFormat="1" applyBorder="1"/>
    <xf numFmtId="2" fontId="0" fillId="0" borderId="24" xfId="0" applyNumberFormat="1" applyBorder="1"/>
    <xf numFmtId="0" fontId="0" fillId="0" borderId="8" xfId="0" applyBorder="1"/>
    <xf numFmtId="0" fontId="0" fillId="2" borderId="11" xfId="0" applyFill="1" applyBorder="1"/>
    <xf numFmtId="0" fontId="0" fillId="2" borderId="12" xfId="0" applyFill="1" applyBorder="1"/>
    <xf numFmtId="0" fontId="0" fillId="2" borderId="1" xfId="0" applyFill="1" applyBorder="1"/>
    <xf numFmtId="0" fontId="0" fillId="2" borderId="20" xfId="0" applyFill="1" applyBorder="1"/>
    <xf numFmtId="0" fontId="0" fillId="2" borderId="25" xfId="0" applyFill="1" applyBorder="1"/>
    <xf numFmtId="0" fontId="0" fillId="3" borderId="25" xfId="0" applyFill="1" applyBorder="1"/>
    <xf numFmtId="0" fontId="0" fillId="3" borderId="26" xfId="0" applyFill="1" applyBorder="1"/>
    <xf numFmtId="0" fontId="0" fillId="3" borderId="20" xfId="0" applyFill="1" applyBorder="1"/>
    <xf numFmtId="0" fontId="0" fillId="3" borderId="13" xfId="0" applyFill="1" applyBorder="1"/>
    <xf numFmtId="0" fontId="0" fillId="3" borderId="14" xfId="0" applyFill="1" applyBorder="1"/>
    <xf numFmtId="2" fontId="0" fillId="3" borderId="15" xfId="0" applyNumberFormat="1" applyFill="1" applyBorder="1"/>
    <xf numFmtId="2" fontId="0" fillId="3" borderId="16" xfId="0" applyNumberFormat="1" applyFill="1" applyBorder="1"/>
    <xf numFmtId="165" fontId="0" fillId="2" borderId="6" xfId="0" applyNumberFormat="1" applyFill="1" applyBorder="1"/>
    <xf numFmtId="165" fontId="0" fillId="2" borderId="9" xfId="0" applyNumberFormat="1" applyFill="1" applyBorder="1"/>
    <xf numFmtId="165" fontId="0" fillId="2" borderId="7" xfId="0" applyNumberFormat="1" applyFill="1" applyBorder="1"/>
    <xf numFmtId="2" fontId="0" fillId="2" borderId="7" xfId="0" applyNumberFormat="1" applyFill="1" applyBorder="1"/>
    <xf numFmtId="2" fontId="0" fillId="2" borderId="12" xfId="0" applyNumberFormat="1" applyFill="1" applyBorder="1"/>
    <xf numFmtId="2" fontId="0" fillId="2" borderId="2" xfId="0" applyNumberFormat="1" applyFill="1" applyBorder="1"/>
    <xf numFmtId="2" fontId="0" fillId="2" borderId="10" xfId="0" applyNumberFormat="1" applyFill="1" applyBorder="1"/>
    <xf numFmtId="2" fontId="0" fillId="2" borderId="4" xfId="0" applyNumberFormat="1" applyFill="1" applyBorder="1"/>
    <xf numFmtId="165" fontId="0" fillId="2" borderId="5" xfId="0" applyNumberFormat="1" applyFill="1" applyBorder="1"/>
    <xf numFmtId="166" fontId="0" fillId="4" borderId="19" xfId="0" applyNumberFormat="1" applyFill="1" applyBorder="1"/>
    <xf numFmtId="1" fontId="0" fillId="4" borderId="16" xfId="0" applyNumberFormat="1" applyFill="1" applyBorder="1"/>
    <xf numFmtId="0" fontId="0" fillId="4" borderId="0" xfId="0" applyFill="1" applyBorder="1"/>
    <xf numFmtId="0" fontId="0" fillId="4" borderId="18" xfId="0" applyFill="1" applyBorder="1"/>
    <xf numFmtId="0" fontId="0" fillId="4" borderId="20" xfId="0" applyFill="1" applyBorder="1"/>
    <xf numFmtId="0" fontId="0" fillId="4" borderId="25" xfId="0" applyFill="1" applyBorder="1"/>
    <xf numFmtId="0" fontId="0" fillId="4" borderId="5" xfId="0" applyFill="1" applyBorder="1"/>
    <xf numFmtId="1" fontId="0" fillId="4" borderId="7" xfId="0" applyNumberFormat="1" applyFill="1" applyBorder="1"/>
    <xf numFmtId="0" fontId="0" fillId="4" borderId="7" xfId="0" applyFill="1" applyBorder="1"/>
    <xf numFmtId="0" fontId="1" fillId="4" borderId="17" xfId="0" applyFont="1" applyFill="1" applyBorder="1"/>
    <xf numFmtId="0" fontId="1" fillId="4" borderId="15" xfId="0" applyFont="1" applyFill="1" applyBorder="1"/>
    <xf numFmtId="166" fontId="0" fillId="4" borderId="11" xfId="0" applyNumberFormat="1" applyFill="1" applyBorder="1"/>
    <xf numFmtId="0" fontId="0" fillId="0" borderId="27" xfId="0" applyBorder="1"/>
    <xf numFmtId="166" fontId="0" fillId="4" borderId="6" xfId="0" applyNumberFormat="1" applyFill="1" applyBorder="1" applyAlignment="1">
      <alignment horizontal="right"/>
    </xf>
    <xf numFmtId="1" fontId="0" fillId="4" borderId="9" xfId="0" applyNumberFormat="1" applyFill="1" applyBorder="1" applyAlignment="1">
      <alignment horizontal="right"/>
    </xf>
    <xf numFmtId="0" fontId="0" fillId="3" borderId="29" xfId="0" applyFill="1" applyBorder="1"/>
    <xf numFmtId="2" fontId="0" fillId="3" borderId="21" xfId="0" applyNumberFormat="1" applyFill="1" applyBorder="1"/>
    <xf numFmtId="167" fontId="0" fillId="0" borderId="0" xfId="0" applyNumberFormat="1" applyBorder="1"/>
    <xf numFmtId="0" fontId="0" fillId="0" borderId="28" xfId="0" applyBorder="1"/>
    <xf numFmtId="0" fontId="4" fillId="4" borderId="3" xfId="0" applyFont="1" applyFill="1" applyBorder="1"/>
    <xf numFmtId="0" fontId="4" fillId="4" borderId="4" xfId="0" applyFont="1" applyFill="1" applyBorder="1"/>
    <xf numFmtId="1" fontId="4" fillId="4" borderId="4" xfId="0" applyNumberFormat="1" applyFont="1" applyFill="1" applyBorder="1"/>
    <xf numFmtId="0" fontId="4" fillId="4" borderId="7" xfId="0" applyFont="1" applyFill="1" applyBorder="1"/>
    <xf numFmtId="1" fontId="4" fillId="4" borderId="9" xfId="0" applyNumberFormat="1" applyFont="1" applyFill="1" applyBorder="1"/>
    <xf numFmtId="164" fontId="0" fillId="0" borderId="7" xfId="0" applyNumberFormat="1" applyBorder="1"/>
    <xf numFmtId="165" fontId="0" fillId="0" borderId="30" xfId="0" applyNumberFormat="1" applyBorder="1"/>
    <xf numFmtId="165" fontId="0" fillId="0" borderId="31" xfId="0" applyNumberFormat="1" applyBorder="1"/>
    <xf numFmtId="2" fontId="0" fillId="4" borderId="11" xfId="0" applyNumberFormat="1" applyFill="1" applyBorder="1"/>
    <xf numFmtId="166" fontId="0" fillId="4" borderId="12" xfId="0" applyNumberFormat="1" applyFill="1" applyBorder="1"/>
    <xf numFmtId="2" fontId="0" fillId="5" borderId="5" xfId="0" applyNumberFormat="1" applyFill="1" applyBorder="1"/>
    <xf numFmtId="2" fontId="0" fillId="5" borderId="6" xfId="0" applyNumberFormat="1" applyFill="1" applyBorder="1"/>
    <xf numFmtId="166" fontId="0" fillId="5" borderId="7" xfId="0" applyNumberFormat="1" applyFill="1" applyBorder="1"/>
    <xf numFmtId="166" fontId="0" fillId="5" borderId="9" xfId="0" applyNumberFormat="1" applyFill="1" applyBorder="1"/>
    <xf numFmtId="166" fontId="0" fillId="4" borderId="6" xfId="0" applyNumberFormat="1" applyFill="1" applyBorder="1"/>
    <xf numFmtId="2" fontId="0" fillId="4" borderId="6" xfId="0" applyNumberFormat="1" applyFill="1" applyBorder="1"/>
    <xf numFmtId="166" fontId="0" fillId="4" borderId="9" xfId="0" applyNumberFormat="1" applyFill="1" applyBorder="1"/>
    <xf numFmtId="0" fontId="0" fillId="4" borderId="1" xfId="0" applyFill="1" applyBorder="1"/>
    <xf numFmtId="166" fontId="0" fillId="5" borderId="4" xfId="0" applyNumberFormat="1" applyFill="1" applyBorder="1"/>
    <xf numFmtId="166" fontId="0" fillId="5" borderId="2" xfId="0" applyNumberFormat="1" applyFill="1" applyBorder="1"/>
    <xf numFmtId="0" fontId="0" fillId="5" borderId="2" xfId="0" applyFill="1" applyBorder="1"/>
    <xf numFmtId="0" fontId="0" fillId="5" borderId="4" xfId="0" applyFill="1" applyBorder="1"/>
    <xf numFmtId="0" fontId="0" fillId="6" borderId="1" xfId="0" applyFill="1" applyBorder="1"/>
    <xf numFmtId="0" fontId="0" fillId="6" borderId="20" xfId="0" applyFill="1" applyBorder="1"/>
    <xf numFmtId="0" fontId="0" fillId="6" borderId="11" xfId="0" applyFill="1" applyBorder="1"/>
    <xf numFmtId="1" fontId="0" fillId="6" borderId="6" xfId="0" applyNumberFormat="1" applyFill="1" applyBorder="1"/>
    <xf numFmtId="0" fontId="0" fillId="6" borderId="12" xfId="0" applyFill="1" applyBorder="1"/>
    <xf numFmtId="0" fontId="0" fillId="7" borderId="0" xfId="0" applyFill="1"/>
    <xf numFmtId="0" fontId="0" fillId="7" borderId="0" xfId="0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4" xfId="0" applyFont="1" applyFill="1" applyBorder="1"/>
    <xf numFmtId="0" fontId="4" fillId="2" borderId="5" xfId="0" applyFont="1" applyFill="1" applyBorder="1"/>
    <xf numFmtId="0" fontId="4" fillId="2" borderId="0" xfId="0" applyFont="1" applyFill="1" applyBorder="1"/>
    <xf numFmtId="0" fontId="4" fillId="2" borderId="6" xfId="0" applyFont="1" applyFill="1" applyBorder="1"/>
    <xf numFmtId="1" fontId="0" fillId="0" borderId="3" xfId="0" applyNumberFormat="1" applyFill="1" applyBorder="1"/>
    <xf numFmtId="1" fontId="0" fillId="0" borderId="4" xfId="0" applyNumberFormat="1" applyFill="1" applyBorder="1"/>
    <xf numFmtId="1" fontId="0" fillId="0" borderId="7" xfId="0" applyNumberFormat="1" applyFill="1" applyBorder="1" applyAlignment="1"/>
    <xf numFmtId="1" fontId="0" fillId="0" borderId="8" xfId="0" applyNumberFormat="1" applyFill="1" applyBorder="1" applyAlignment="1"/>
    <xf numFmtId="1" fontId="0" fillId="0" borderId="9" xfId="0" applyNumberFormat="1" applyFill="1" applyBorder="1" applyAlignment="1">
      <alignment horizontal="right"/>
    </xf>
    <xf numFmtId="1" fontId="4" fillId="4" borderId="2" xfId="0" applyNumberFormat="1" applyFont="1" applyFill="1" applyBorder="1"/>
    <xf numFmtId="168" fontId="0" fillId="0" borderId="9" xfId="0" applyNumberFormat="1" applyBorder="1"/>
    <xf numFmtId="0" fontId="0" fillId="8" borderId="2" xfId="0" applyFill="1" applyBorder="1"/>
    <xf numFmtId="0" fontId="0" fillId="8" borderId="4" xfId="0" applyFill="1" applyBorder="1"/>
    <xf numFmtId="2" fontId="0" fillId="8" borderId="7" xfId="0" applyNumberFormat="1" applyFill="1" applyBorder="1"/>
    <xf numFmtId="0" fontId="0" fillId="8" borderId="9" xfId="0" applyFill="1" applyBorder="1"/>
    <xf numFmtId="1" fontId="0" fillId="8" borderId="2" xfId="0" applyNumberFormat="1" applyFill="1" applyBorder="1"/>
    <xf numFmtId="1" fontId="0" fillId="8" borderId="3" xfId="0" applyNumberFormat="1" applyFill="1" applyBorder="1"/>
    <xf numFmtId="0" fontId="0" fillId="8" borderId="1" xfId="0" applyFill="1" applyBorder="1"/>
    <xf numFmtId="165" fontId="0" fillId="8" borderId="8" xfId="0" applyNumberForma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972E7-C775-4B7A-ABD1-7537777F7EB7}">
  <dimension ref="A1:N51"/>
  <sheetViews>
    <sheetView tabSelected="1" topLeftCell="A19" zoomScaleNormal="100" workbookViewId="0">
      <selection activeCell="L12" sqref="L12"/>
    </sheetView>
  </sheetViews>
  <sheetFormatPr baseColWidth="10" defaultColWidth="12.28515625" defaultRowHeight="15" x14ac:dyDescent="0.25"/>
  <cols>
    <col min="3" max="3" width="16.7109375" customWidth="1"/>
    <col min="4" max="4" width="15.28515625" customWidth="1"/>
    <col min="5" max="5" width="13" customWidth="1"/>
    <col min="6" max="6" width="11.42578125" customWidth="1"/>
    <col min="7" max="7" width="15.85546875" customWidth="1"/>
    <col min="8" max="8" width="13.5703125" bestFit="1" customWidth="1"/>
    <col min="9" max="9" width="9.85546875" customWidth="1"/>
    <col min="11" max="11" width="13.5703125" bestFit="1" customWidth="1"/>
  </cols>
  <sheetData>
    <row r="1" spans="1:14" x14ac:dyDescent="0.25">
      <c r="A1" s="1" t="s">
        <v>3</v>
      </c>
      <c r="B1" s="5"/>
      <c r="C1" s="5"/>
      <c r="D1" s="5"/>
      <c r="E1" s="5"/>
    </row>
    <row r="3" spans="1:14" ht="15.75" thickBot="1" x14ac:dyDescent="0.3">
      <c r="A3" s="1" t="s">
        <v>24</v>
      </c>
      <c r="G3">
        <f>G7/G6</f>
        <v>2.3414634146341463E-3</v>
      </c>
      <c r="H3">
        <f>I7/I6</f>
        <v>2.4999999999999998E-2</v>
      </c>
      <c r="I3">
        <f>G6/G7</f>
        <v>427.08333333333331</v>
      </c>
      <c r="J3">
        <f>G7/G6</f>
        <v>2.3414634146341463E-3</v>
      </c>
    </row>
    <row r="4" spans="1:14" ht="15.75" thickBot="1" x14ac:dyDescent="0.3">
      <c r="J4" s="1" t="s">
        <v>42</v>
      </c>
      <c r="M4" s="2" t="s">
        <v>45</v>
      </c>
      <c r="N4" s="3">
        <v>299792458</v>
      </c>
    </row>
    <row r="5" spans="1:14" ht="15.75" thickBot="1" x14ac:dyDescent="0.3">
      <c r="A5" t="s">
        <v>25</v>
      </c>
      <c r="B5" s="47"/>
      <c r="C5" s="53" t="s">
        <v>32</v>
      </c>
      <c r="D5" s="53" t="s">
        <v>22</v>
      </c>
      <c r="E5" s="53" t="s">
        <v>31</v>
      </c>
      <c r="F5" s="53" t="s">
        <v>29</v>
      </c>
      <c r="G5" s="54" t="s">
        <v>30</v>
      </c>
      <c r="H5" s="55" t="s">
        <v>22</v>
      </c>
      <c r="J5" s="96" t="s">
        <v>34</v>
      </c>
      <c r="K5" s="102" t="s">
        <v>35</v>
      </c>
      <c r="L5" s="97" t="s">
        <v>53</v>
      </c>
      <c r="M5" s="2" t="s">
        <v>46</v>
      </c>
      <c r="N5" s="3" t="s">
        <v>22</v>
      </c>
    </row>
    <row r="6" spans="1:14" x14ac:dyDescent="0.25">
      <c r="A6" t="s">
        <v>26</v>
      </c>
      <c r="B6" s="4" t="s">
        <v>27</v>
      </c>
      <c r="C6" s="5">
        <v>50</v>
      </c>
      <c r="D6" s="5">
        <v>0.2</v>
      </c>
      <c r="E6" s="52">
        <f>(E9-C9)*10^(-9)</f>
        <v>2.5000000000000004E-7</v>
      </c>
      <c r="F6" s="5">
        <f>SQRT(D9^2+F9^2)</f>
        <v>4.4721359549995796E-8</v>
      </c>
      <c r="G6" s="94">
        <f>C6/E6</f>
        <v>199999999.99999997</v>
      </c>
      <c r="H6" s="56">
        <f>G6*SQRT((F6/E6)^2+(D6/C6)^2)</f>
        <v>35786030.794152059</v>
      </c>
      <c r="I6">
        <v>192</v>
      </c>
      <c r="J6" s="100">
        <f>G6/1000000</f>
        <v>199.99999999999997</v>
      </c>
      <c r="K6" s="101">
        <f>H6/1000000</f>
        <v>35.786030794152062</v>
      </c>
      <c r="L6" s="97" t="s">
        <v>33</v>
      </c>
      <c r="M6" s="60">
        <f>G6/$N$4</f>
        <v>0.667128190396304</v>
      </c>
      <c r="N6" s="61">
        <f>(H6/G6)*M6</f>
        <v>0.11936934982584538</v>
      </c>
    </row>
    <row r="7" spans="1:14" ht="15.75" thickBot="1" x14ac:dyDescent="0.3">
      <c r="B7" s="6" t="s">
        <v>28</v>
      </c>
      <c r="C7" s="13">
        <v>0.48</v>
      </c>
      <c r="D7" s="13">
        <v>0.02</v>
      </c>
      <c r="E7" s="52">
        <f>(E10-C10)*10^(-9)</f>
        <v>2.0500000000000003E-6</v>
      </c>
      <c r="F7" s="5">
        <f>SQRT(D10^2+F10^2)</f>
        <v>2.8284271247461903E-7</v>
      </c>
      <c r="G7" s="57">
        <f>2*C7/E7</f>
        <v>468292.68292682921</v>
      </c>
      <c r="H7" s="58">
        <f>G7*SQRT((F7/E7)^2+(D7/C7)^2)</f>
        <v>67493.305814090665</v>
      </c>
      <c r="I7">
        <v>4.8</v>
      </c>
      <c r="J7" s="98">
        <f>G7/1000000</f>
        <v>0.46829268292682918</v>
      </c>
      <c r="K7" s="103">
        <f>H7/1000000</f>
        <v>6.7493305814090659E-2</v>
      </c>
      <c r="L7" s="99" t="s">
        <v>33</v>
      </c>
      <c r="M7" s="59">
        <f>G7/$N$4</f>
        <v>1.5620562506840289E-3</v>
      </c>
      <c r="N7" s="95">
        <f>(H7/G7)*M7</f>
        <v>2.2513343485809327E-4</v>
      </c>
    </row>
    <row r="8" spans="1:14" x14ac:dyDescent="0.25">
      <c r="C8" t="s">
        <v>51</v>
      </c>
      <c r="D8" t="s">
        <v>29</v>
      </c>
      <c r="E8" t="s">
        <v>52</v>
      </c>
      <c r="F8" t="s">
        <v>29</v>
      </c>
    </row>
    <row r="9" spans="1:14" x14ac:dyDescent="0.25">
      <c r="B9" t="s">
        <v>27</v>
      </c>
      <c r="C9">
        <v>0</v>
      </c>
      <c r="D9">
        <f>20*10^(-9)</f>
        <v>2E-8</v>
      </c>
      <c r="E9">
        <v>250</v>
      </c>
      <c r="F9">
        <f>40*10^(-9)</f>
        <v>4.0000000000000001E-8</v>
      </c>
    </row>
    <row r="10" spans="1:14" x14ac:dyDescent="0.25">
      <c r="B10" t="s">
        <v>28</v>
      </c>
      <c r="C10">
        <v>0</v>
      </c>
      <c r="D10">
        <f>200*10^(-9)</f>
        <v>2.0000000000000002E-7</v>
      </c>
      <c r="E10">
        <v>2050</v>
      </c>
      <c r="F10">
        <f>200*10^(-9)</f>
        <v>2.0000000000000002E-7</v>
      </c>
    </row>
    <row r="13" spans="1:14" x14ac:dyDescent="0.25">
      <c r="A13" s="1" t="s">
        <v>43</v>
      </c>
    </row>
    <row r="15" spans="1:14" x14ac:dyDescent="0.25">
      <c r="A15" t="s">
        <v>41</v>
      </c>
    </row>
    <row r="16" spans="1:14" x14ac:dyDescent="0.25">
      <c r="B16" s="10" t="s">
        <v>15</v>
      </c>
      <c r="C16" s="11">
        <v>0.25</v>
      </c>
      <c r="D16" s="11">
        <v>0.75</v>
      </c>
      <c r="E16" s="12">
        <v>0.5</v>
      </c>
      <c r="G16" s="22" t="s">
        <v>19</v>
      </c>
      <c r="H16" s="50" t="s">
        <v>20</v>
      </c>
      <c r="I16" s="23" t="s">
        <v>39</v>
      </c>
    </row>
    <row r="17" spans="2:13" x14ac:dyDescent="0.25">
      <c r="B17" s="7" t="s">
        <v>1</v>
      </c>
      <c r="C17" s="5" t="s">
        <v>2</v>
      </c>
      <c r="D17" s="5" t="s">
        <v>2</v>
      </c>
      <c r="E17" s="8" t="s">
        <v>2</v>
      </c>
      <c r="G17" s="24">
        <v>50</v>
      </c>
      <c r="H17" s="51">
        <v>299792</v>
      </c>
      <c r="I17" s="25">
        <f>PI()</f>
        <v>3.1415926535897931</v>
      </c>
    </row>
    <row r="18" spans="2:13" x14ac:dyDescent="0.25">
      <c r="B18" s="7"/>
      <c r="C18" s="5">
        <v>939</v>
      </c>
      <c r="D18" s="5">
        <v>2884</v>
      </c>
      <c r="E18" s="8">
        <v>1922</v>
      </c>
      <c r="G18">
        <v>0.2</v>
      </c>
    </row>
    <row r="19" spans="2:13" x14ac:dyDescent="0.25">
      <c r="B19" s="7"/>
      <c r="C19" s="5">
        <v>944</v>
      </c>
      <c r="D19" s="5">
        <v>2887</v>
      </c>
      <c r="E19" s="8">
        <v>1896</v>
      </c>
    </row>
    <row r="20" spans="2:13" x14ac:dyDescent="0.25">
      <c r="B20" s="7"/>
      <c r="C20" s="5">
        <v>934</v>
      </c>
      <c r="D20" s="5">
        <v>2882</v>
      </c>
      <c r="E20" s="8">
        <v>1899</v>
      </c>
    </row>
    <row r="21" spans="2:13" x14ac:dyDescent="0.25">
      <c r="B21" s="7"/>
      <c r="C21" s="5">
        <v>937</v>
      </c>
      <c r="D21" s="5">
        <v>2881</v>
      </c>
      <c r="E21" s="8">
        <v>1909</v>
      </c>
    </row>
    <row r="22" spans="2:13" x14ac:dyDescent="0.25">
      <c r="B22" s="7"/>
      <c r="C22" s="5">
        <v>940</v>
      </c>
      <c r="D22" s="5">
        <v>2887</v>
      </c>
      <c r="E22" s="8">
        <v>1905</v>
      </c>
    </row>
    <row r="23" spans="2:13" x14ac:dyDescent="0.25">
      <c r="B23" s="44" t="s">
        <v>0</v>
      </c>
      <c r="C23" s="37">
        <f>SUM(C18:C22)/COUNT(C18:C22)</f>
        <v>938.8</v>
      </c>
      <c r="D23" s="37">
        <f>SUM(D18:D22)/COUNT(D18:D22)</f>
        <v>2884.2</v>
      </c>
      <c r="E23" s="38">
        <f>SUM(E18:E22)/COUNT(E18:E22)</f>
        <v>1906.2</v>
      </c>
    </row>
    <row r="24" spans="2:13" x14ac:dyDescent="0.25">
      <c r="B24" s="7"/>
      <c r="C24" s="5"/>
      <c r="D24" s="5"/>
      <c r="E24" s="8"/>
    </row>
    <row r="25" spans="2:13" x14ac:dyDescent="0.25">
      <c r="B25" s="7"/>
      <c r="C25" s="5">
        <f t="shared" ref="C25:E29" si="0">(C18-C$23)^2</f>
        <v>4.0000000000018188E-2</v>
      </c>
      <c r="D25" s="5">
        <f t="shared" si="0"/>
        <v>3.999999999992724E-2</v>
      </c>
      <c r="E25" s="8">
        <f t="shared" si="0"/>
        <v>249.63999999999857</v>
      </c>
    </row>
    <row r="26" spans="2:13" x14ac:dyDescent="0.25">
      <c r="B26" s="7"/>
      <c r="C26" s="5">
        <f t="shared" si="0"/>
        <v>27.040000000000472</v>
      </c>
      <c r="D26" s="5">
        <f t="shared" si="0"/>
        <v>7.8400000000010186</v>
      </c>
      <c r="E26" s="8">
        <f t="shared" si="0"/>
        <v>104.04000000000093</v>
      </c>
    </row>
    <row r="27" spans="2:13" x14ac:dyDescent="0.25">
      <c r="B27" s="7"/>
      <c r="C27" s="5">
        <f t="shared" si="0"/>
        <v>23.039999999999562</v>
      </c>
      <c r="D27" s="5">
        <f t="shared" si="0"/>
        <v>4.8399999999991996</v>
      </c>
      <c r="E27" s="8">
        <f t="shared" si="0"/>
        <v>51.840000000000657</v>
      </c>
    </row>
    <row r="28" spans="2:13" x14ac:dyDescent="0.25">
      <c r="B28" s="7"/>
      <c r="C28" s="5">
        <f t="shared" si="0"/>
        <v>3.2399999999998363</v>
      </c>
      <c r="D28" s="5">
        <f t="shared" si="0"/>
        <v>10.239999999998837</v>
      </c>
      <c r="E28" s="8">
        <f t="shared" si="0"/>
        <v>7.839999999999745</v>
      </c>
      <c r="H28">
        <v>38.799999999999997</v>
      </c>
    </row>
    <row r="29" spans="2:13" x14ac:dyDescent="0.25">
      <c r="B29" s="7"/>
      <c r="C29" s="5">
        <f t="shared" si="0"/>
        <v>1.4400000000001092</v>
      </c>
      <c r="D29" s="5">
        <f t="shared" si="0"/>
        <v>7.8400000000010186</v>
      </c>
      <c r="E29" s="8">
        <f t="shared" si="0"/>
        <v>1.4400000000001092</v>
      </c>
    </row>
    <row r="30" spans="2:13" x14ac:dyDescent="0.25">
      <c r="B30" s="7" t="s">
        <v>4</v>
      </c>
      <c r="C30" s="5">
        <f>SUM(C25:C29)</f>
        <v>54.8</v>
      </c>
      <c r="D30" s="5">
        <f>SUM(D25:D29)</f>
        <v>30.8</v>
      </c>
      <c r="E30" s="8">
        <f>SUM(E25:E29)</f>
        <v>414.8</v>
      </c>
    </row>
    <row r="31" spans="2:13" x14ac:dyDescent="0.25">
      <c r="B31" s="7" t="s">
        <v>6</v>
      </c>
      <c r="C31" s="5">
        <f>(1/4)*C30</f>
        <v>13.7</v>
      </c>
      <c r="D31" s="5">
        <f>(1/4)*D30</f>
        <v>7.7</v>
      </c>
      <c r="E31" s="8">
        <f>(1/4)*E30</f>
        <v>103.7</v>
      </c>
    </row>
    <row r="32" spans="2:13" x14ac:dyDescent="0.25">
      <c r="B32" s="45" t="s">
        <v>5</v>
      </c>
      <c r="C32" s="35">
        <f>SQRT(C31)</f>
        <v>3.7013511046643495</v>
      </c>
      <c r="D32" s="35">
        <f>SQRT(D31)</f>
        <v>2.7748873851023217</v>
      </c>
      <c r="E32" s="36">
        <f>SQRT(E31)</f>
        <v>10.183319694480774</v>
      </c>
      <c r="G32" s="81"/>
      <c r="H32" s="81"/>
      <c r="I32" s="81"/>
      <c r="J32" s="81"/>
      <c r="K32" s="82"/>
      <c r="L32" s="82"/>
      <c r="M32" s="81"/>
    </row>
    <row r="33" spans="1:13" ht="15.75" thickBot="1" x14ac:dyDescent="0.3">
      <c r="G33" s="81"/>
      <c r="H33" s="81"/>
      <c r="L33" s="81"/>
      <c r="M33" s="81"/>
    </row>
    <row r="34" spans="1:13" ht="15.75" thickBot="1" x14ac:dyDescent="0.3">
      <c r="B34" s="40"/>
      <c r="C34" s="40" t="s">
        <v>12</v>
      </c>
      <c r="D34" s="39" t="s">
        <v>14</v>
      </c>
      <c r="E34" s="71" t="s">
        <v>13</v>
      </c>
      <c r="F34" s="39" t="s">
        <v>47</v>
      </c>
      <c r="G34" s="76" t="s">
        <v>16</v>
      </c>
      <c r="H34" s="77" t="s">
        <v>17</v>
      </c>
      <c r="I34" s="16" t="s">
        <v>18</v>
      </c>
      <c r="J34" s="18" t="s">
        <v>23</v>
      </c>
      <c r="K34" s="17" t="s">
        <v>17</v>
      </c>
      <c r="L34" s="74" t="s">
        <v>48</v>
      </c>
      <c r="M34" s="75"/>
    </row>
    <row r="35" spans="1:13" x14ac:dyDescent="0.25">
      <c r="A35" t="s">
        <v>7</v>
      </c>
      <c r="B35" s="41" t="s">
        <v>8</v>
      </c>
      <c r="C35" s="41">
        <f>C23</f>
        <v>938.8</v>
      </c>
      <c r="D35" s="48">
        <f>C32</f>
        <v>3.7013511046643495</v>
      </c>
      <c r="E35" s="46">
        <f>(1/C16)*$G$17</f>
        <v>200</v>
      </c>
      <c r="F35" s="68">
        <f>($G$18/$G$17)*E35</f>
        <v>0.8</v>
      </c>
      <c r="G35" s="78">
        <f>C35*E35</f>
        <v>187760</v>
      </c>
      <c r="H35" s="79">
        <f>G35*SQRT((D35/C35)^2+(F35/E35)^2)</f>
        <v>1054.5430676838191</v>
      </c>
      <c r="I35" s="14">
        <f>G35/$H$17</f>
        <v>0.62630090195869137</v>
      </c>
      <c r="J35" s="34">
        <f>$H$17^2/G35^2</f>
        <v>2.5493761919276512</v>
      </c>
      <c r="K35" s="26">
        <f>(H35/G35)*J35</f>
        <v>1.4318422401552396E-2</v>
      </c>
      <c r="L35" s="73">
        <f t="shared" ref="L35:M37" si="1">G35*10^(-3)</f>
        <v>187.76</v>
      </c>
      <c r="M35" s="72">
        <f t="shared" si="1"/>
        <v>1.0545430676838192</v>
      </c>
    </row>
    <row r="36" spans="1:13" x14ac:dyDescent="0.25">
      <c r="B36" s="41" t="s">
        <v>9</v>
      </c>
      <c r="C36" s="41">
        <f>D23</f>
        <v>2884.2</v>
      </c>
      <c r="D36" s="48">
        <f>D32</f>
        <v>2.7748873851023217</v>
      </c>
      <c r="E36" s="62">
        <f>(1/D16)*$G$17</f>
        <v>66.666666666666657</v>
      </c>
      <c r="F36" s="69">
        <f>($G$18/$G$17)*E36</f>
        <v>0.26666666666666661</v>
      </c>
      <c r="G36" s="78">
        <f>C36*E36</f>
        <v>192279.99999999997</v>
      </c>
      <c r="H36" s="79">
        <f>G36*SQRT((D36/C36)^2+(F36/E36)^2)</f>
        <v>791.05486321886804</v>
      </c>
      <c r="I36" s="14">
        <f>G36/$H$17</f>
        <v>0.64137802209531936</v>
      </c>
      <c r="J36" s="34">
        <f>$H$17^2/G36^2</f>
        <v>2.4309266343215503</v>
      </c>
      <c r="K36" s="26">
        <f>(H36/G36)*J36</f>
        <v>1.0001021095321081E-2</v>
      </c>
      <c r="L36" s="64">
        <f t="shared" si="1"/>
        <v>192.27999999999997</v>
      </c>
      <c r="M36" s="65">
        <f t="shared" si="1"/>
        <v>0.79105486321886809</v>
      </c>
    </row>
    <row r="37" spans="1:13" ht="15.75" thickBot="1" x14ac:dyDescent="0.3">
      <c r="B37" s="43" t="s">
        <v>10</v>
      </c>
      <c r="C37" s="42">
        <f>E23</f>
        <v>1906.2</v>
      </c>
      <c r="D37" s="49">
        <f>E32</f>
        <v>10.183319694480774</v>
      </c>
      <c r="E37" s="63">
        <f>(1/E16)*$G$17</f>
        <v>100</v>
      </c>
      <c r="F37" s="70">
        <f>($G$18/$G$17)*E37</f>
        <v>0.4</v>
      </c>
      <c r="G37" s="80">
        <f>C37*E37</f>
        <v>190620</v>
      </c>
      <c r="H37" s="79">
        <f>G37*SQRT((D37/C37)^2+(F37/E37)^2)</f>
        <v>1272.1539806171265</v>
      </c>
      <c r="I37" s="15">
        <f>G37/$H$17</f>
        <v>0.63584084965576138</v>
      </c>
      <c r="J37" s="28">
        <f>$H$17^2/G37^2</f>
        <v>2.4734500729255045</v>
      </c>
      <c r="K37" s="27">
        <f>(H37/G37)*J37</f>
        <v>1.6507236156383918E-2</v>
      </c>
      <c r="L37" s="66">
        <f t="shared" si="1"/>
        <v>190.62</v>
      </c>
      <c r="M37" s="67">
        <f t="shared" si="1"/>
        <v>1.2721539806171265</v>
      </c>
    </row>
    <row r="40" spans="1:13" ht="15.75" thickBot="1" x14ac:dyDescent="0.3">
      <c r="A40" s="1" t="s">
        <v>44</v>
      </c>
      <c r="D40" t="s">
        <v>49</v>
      </c>
      <c r="E40" t="s">
        <v>22</v>
      </c>
    </row>
    <row r="41" spans="1:13" ht="15.75" thickBot="1" x14ac:dyDescent="0.3">
      <c r="B41" s="2"/>
      <c r="C41" s="19" t="s">
        <v>50</v>
      </c>
      <c r="D41" s="20">
        <v>1000</v>
      </c>
      <c r="E41" s="21">
        <v>15</v>
      </c>
    </row>
    <row r="42" spans="1:13" x14ac:dyDescent="0.25">
      <c r="B42" s="2" t="s">
        <v>37</v>
      </c>
      <c r="C42" s="83">
        <v>900</v>
      </c>
      <c r="D42" s="84">
        <v>1900</v>
      </c>
      <c r="E42" s="85">
        <v>2885</v>
      </c>
      <c r="H42">
        <v>10</v>
      </c>
    </row>
    <row r="43" spans="1:13" ht="15.75" thickBot="1" x14ac:dyDescent="0.3">
      <c r="B43" s="4" t="s">
        <v>11</v>
      </c>
      <c r="C43" s="86">
        <v>10</v>
      </c>
      <c r="D43" s="87">
        <v>10</v>
      </c>
      <c r="E43" s="88">
        <v>10</v>
      </c>
    </row>
    <row r="44" spans="1:13" x14ac:dyDescent="0.25">
      <c r="B44" s="4" t="s">
        <v>40</v>
      </c>
      <c r="C44" s="89">
        <f>PI()*C42</f>
        <v>2827.4333882308138</v>
      </c>
      <c r="D44" s="89">
        <f>PI()*D42</f>
        <v>5969.0260418206071</v>
      </c>
      <c r="E44" s="90">
        <f>PI()*E42</f>
        <v>9063.4948056065532</v>
      </c>
    </row>
    <row r="45" spans="1:13" ht="15.75" thickBot="1" x14ac:dyDescent="0.3">
      <c r="B45" s="4" t="s">
        <v>11</v>
      </c>
      <c r="C45" s="91">
        <f>(C43/C42)*C44</f>
        <v>31.415926535897931</v>
      </c>
      <c r="D45" s="92">
        <f>(D43/D42)*D44</f>
        <v>31.415926535897931</v>
      </c>
      <c r="E45" s="93">
        <f>(E43/E42)*E44</f>
        <v>31.415926535897931</v>
      </c>
    </row>
    <row r="46" spans="1:13" x14ac:dyDescent="0.25">
      <c r="B46" s="4" t="s">
        <v>21</v>
      </c>
      <c r="C46" s="4">
        <v>142</v>
      </c>
      <c r="D46" s="5">
        <v>244</v>
      </c>
      <c r="E46" s="9">
        <v>264</v>
      </c>
    </row>
    <row r="47" spans="1:13" x14ac:dyDescent="0.25">
      <c r="B47" s="4" t="s">
        <v>11</v>
      </c>
      <c r="C47" s="4">
        <v>5</v>
      </c>
      <c r="D47" s="5">
        <v>5</v>
      </c>
      <c r="E47" s="9">
        <v>5</v>
      </c>
    </row>
    <row r="48" spans="1:13" x14ac:dyDescent="0.25">
      <c r="B48" s="4" t="s">
        <v>38</v>
      </c>
      <c r="C48" s="4">
        <f>$D$41-C46</f>
        <v>858</v>
      </c>
      <c r="D48" s="5">
        <f>$D$41-D46</f>
        <v>756</v>
      </c>
      <c r="E48" s="9">
        <f>$D$41-E46</f>
        <v>736</v>
      </c>
    </row>
    <row r="49" spans="2:5" ht="15.75" thickBot="1" x14ac:dyDescent="0.3">
      <c r="B49" s="4" t="s">
        <v>11</v>
      </c>
      <c r="C49" s="4">
        <f>SQRT(C47^2+$E$41^2)</f>
        <v>15.811388300841896</v>
      </c>
      <c r="D49" s="5">
        <f>SQRT(D47^2+$E$41^2)</f>
        <v>15.811388300841896</v>
      </c>
      <c r="E49" s="9">
        <f>SQRT(E47^2+$E$41^2)</f>
        <v>15.811388300841896</v>
      </c>
    </row>
    <row r="50" spans="2:5" x14ac:dyDescent="0.25">
      <c r="B50" s="4" t="s">
        <v>36</v>
      </c>
      <c r="C50" s="31">
        <f>20*LOG10($D$41/($D$41-C46))</f>
        <v>1.3302542430258915</v>
      </c>
      <c r="D50" s="32">
        <f>20*LOG10($D$41/($D$41-D46))</f>
        <v>2.4295640899758695</v>
      </c>
      <c r="E50" s="33">
        <f>20*LOG10($D$41/($D$41-E46))</f>
        <v>2.6624437132500232</v>
      </c>
    </row>
    <row r="51" spans="2:5" ht="15.75" thickBot="1" x14ac:dyDescent="0.3">
      <c r="B51" s="6" t="s">
        <v>22</v>
      </c>
      <c r="C51" s="29">
        <f>SQRT((((20/LN(10))*1/$D$41)^2)*$E$41^2+(((20/LN(10))/C48)^2)*C49^2)</f>
        <v>0.20638782182685392</v>
      </c>
      <c r="D51" s="29">
        <f>SQRT((((20/LN(10))*1/$D$41)^2)*$E$41^2+(((20/LN(10))/D48)^2)*D49^2)</f>
        <v>0.22355289206276838</v>
      </c>
      <c r="E51" s="30">
        <f>SQRT((((20/LN(10))*1/$D$41)^2)*$E$41^2+(((20/LN(10))/E48)^2)*E49^2)</f>
        <v>0.22758248647328647</v>
      </c>
    </row>
  </sheetData>
  <phoneticPr fontId="2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</cp:lastModifiedBy>
  <dcterms:created xsi:type="dcterms:W3CDTF">2021-09-18T10:46:04Z</dcterms:created>
  <dcterms:modified xsi:type="dcterms:W3CDTF">2021-10-04T18:07:12Z</dcterms:modified>
</cp:coreProperties>
</file>