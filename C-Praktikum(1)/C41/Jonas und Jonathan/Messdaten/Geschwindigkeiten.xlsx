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1\Jonas und Jonathan\Messdaten\"/>
    </mc:Choice>
  </mc:AlternateContent>
  <xr:revisionPtr revIDLastSave="0" documentId="13_ncr:1_{2482E390-D4E1-4B53-9B17-902576471397}" xr6:coauthVersionLast="47" xr6:coauthVersionMax="47" xr10:uidLastSave="{00000000-0000-0000-0000-000000000000}"/>
  <bookViews>
    <workbookView xWindow="-120" yWindow="-120" windowWidth="29040" windowHeight="15840" xr2:uid="{D5F90B7A-7F5F-4C42-9160-AA7A79E7A3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 s="1"/>
  <c r="M20" i="1"/>
  <c r="L20" i="1"/>
  <c r="N17" i="1"/>
  <c r="N18" i="1"/>
  <c r="N16" i="1"/>
  <c r="F29" i="1"/>
  <c r="D29" i="1"/>
  <c r="B29" i="1"/>
  <c r="B28" i="1"/>
  <c r="F28" i="1"/>
  <c r="D28" i="1"/>
  <c r="F24" i="1"/>
  <c r="D24" i="1"/>
  <c r="B24" i="1"/>
  <c r="F23" i="1"/>
  <c r="D23" i="1"/>
  <c r="B23" i="1"/>
  <c r="D22" i="1"/>
  <c r="F22" i="1"/>
  <c r="B22" i="1"/>
  <c r="F21" i="1"/>
  <c r="D21" i="1"/>
  <c r="B21" i="1"/>
  <c r="F18" i="1"/>
  <c r="D18" i="1"/>
  <c r="B18" i="1"/>
  <c r="F17" i="1"/>
  <c r="D17" i="1"/>
  <c r="B17" i="1"/>
  <c r="F15" i="1"/>
  <c r="D15" i="1"/>
  <c r="B15" i="1"/>
  <c r="F14" i="1"/>
  <c r="D14" i="1"/>
  <c r="B14" i="1"/>
  <c r="F12" i="1"/>
  <c r="F9" i="1"/>
  <c r="F8" i="1"/>
  <c r="D9" i="1"/>
  <c r="D8" i="1"/>
  <c r="B8" i="1"/>
  <c r="B9" i="1"/>
</calcChain>
</file>

<file path=xl/sharedStrings.xml><?xml version="1.0" encoding="utf-8"?>
<sst xmlns="http://schemas.openxmlformats.org/spreadsheetml/2006/main" count="21" uniqueCount="19">
  <si>
    <t>Frequenzen:</t>
  </si>
  <si>
    <t>Mittelwert:</t>
  </si>
  <si>
    <t>Fehler:</t>
  </si>
  <si>
    <t>Länge:</t>
  </si>
  <si>
    <t>Geschwindigkeit[10^8]</t>
  </si>
  <si>
    <t>Fehler[10^8]</t>
  </si>
  <si>
    <t>Vakuumlichtgeschw. [10^8]</t>
  </si>
  <si>
    <t>rel. Permitt.</t>
  </si>
  <si>
    <t xml:space="preserve">Fehler rel. Permitt. </t>
  </si>
  <si>
    <t>Anfangsspannung:</t>
  </si>
  <si>
    <t>Minimumsspannung:</t>
  </si>
  <si>
    <t>Spannung bei 2l</t>
  </si>
  <si>
    <t>Dämpfungskoeff.</t>
  </si>
  <si>
    <t>Fehler</t>
  </si>
  <si>
    <t>Widerstände:</t>
  </si>
  <si>
    <t>Widerstandsfehler:</t>
  </si>
  <si>
    <t>weight:</t>
  </si>
  <si>
    <t>weighted mean:</t>
  </si>
  <si>
    <t>Laufzeitmessung: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</si>
</sst>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85D-3A0F-4AC5-881B-02BFE46A2624}">
  <dimension ref="A2:N29"/>
  <sheetViews>
    <sheetView tabSelected="1" workbookViewId="0">
      <selection activeCell="M11" sqref="M11"/>
    </sheetView>
  </sheetViews>
  <sheetFormatPr baseColWidth="10" defaultRowHeight="15" x14ac:dyDescent="0.25"/>
  <cols>
    <col min="1" max="1" width="21.42578125" bestFit="1" customWidth="1"/>
    <col min="2" max="2" width="12" bestFit="1" customWidth="1"/>
    <col min="4" max="4" width="12" bestFit="1" customWidth="1"/>
    <col min="6" max="6" width="12" bestFit="1" customWidth="1"/>
    <col min="8" max="8" width="16.5703125" bestFit="1" customWidth="1"/>
    <col min="11" max="11" width="15.42578125" bestFit="1" customWidth="1"/>
    <col min="12" max="12" width="13" bestFit="1" customWidth="1"/>
    <col min="13" max="13" width="18.28515625" bestFit="1" customWidth="1"/>
  </cols>
  <sheetData>
    <row r="2" spans="1:14" x14ac:dyDescent="0.25">
      <c r="B2" t="s">
        <v>0</v>
      </c>
      <c r="J2" t="s">
        <v>6</v>
      </c>
    </row>
    <row r="3" spans="1:14" x14ac:dyDescent="0.25">
      <c r="B3">
        <v>968</v>
      </c>
      <c r="D3">
        <v>1942</v>
      </c>
      <c r="F3">
        <v>2928</v>
      </c>
      <c r="J3">
        <v>2.9979245799999998</v>
      </c>
    </row>
    <row r="4" spans="1:14" x14ac:dyDescent="0.25">
      <c r="B4">
        <v>966</v>
      </c>
      <c r="D4">
        <v>1943</v>
      </c>
      <c r="F4">
        <v>2927</v>
      </c>
      <c r="J4" t="s">
        <v>9</v>
      </c>
    </row>
    <row r="5" spans="1:14" x14ac:dyDescent="0.25">
      <c r="B5">
        <v>967</v>
      </c>
      <c r="D5">
        <v>1945</v>
      </c>
      <c r="F5">
        <v>2926</v>
      </c>
      <c r="J5">
        <v>10</v>
      </c>
    </row>
    <row r="6" spans="1:14" x14ac:dyDescent="0.25">
      <c r="B6">
        <v>966</v>
      </c>
      <c r="D6">
        <v>1941</v>
      </c>
      <c r="F6">
        <v>2924</v>
      </c>
    </row>
    <row r="7" spans="1:14" x14ac:dyDescent="0.25">
      <c r="B7">
        <v>966</v>
      </c>
      <c r="D7">
        <v>1943</v>
      </c>
      <c r="F7">
        <v>2926</v>
      </c>
    </row>
    <row r="8" spans="1:14" x14ac:dyDescent="0.25">
      <c r="A8" t="s">
        <v>1</v>
      </c>
      <c r="B8">
        <f>AVERAGE(B3:B7)</f>
        <v>966.6</v>
      </c>
      <c r="D8">
        <f>AVERAGE(D3:D7)</f>
        <v>1942.8</v>
      </c>
      <c r="F8">
        <f>AVERAGE(F3:F7)</f>
        <v>2926.2</v>
      </c>
    </row>
    <row r="9" spans="1:14" x14ac:dyDescent="0.25">
      <c r="A9" t="s">
        <v>2</v>
      </c>
      <c r="B9">
        <f>_xlfn.STDEV.S(B3:B7)/SQRT(5)</f>
        <v>0.39999999999999997</v>
      </c>
      <c r="D9">
        <f>_xlfn.STDEV.S(D3:D7)/SQRT(5)</f>
        <v>0.66332495807107994</v>
      </c>
      <c r="F9">
        <f>_xlfn.STDEV.S(F3:F7)/SQRT(5)</f>
        <v>0.66332495807107994</v>
      </c>
    </row>
    <row r="12" spans="1:14" x14ac:dyDescent="0.25">
      <c r="A12" t="s">
        <v>3</v>
      </c>
      <c r="B12">
        <v>200</v>
      </c>
      <c r="D12">
        <v>100</v>
      </c>
      <c r="F12">
        <f>50*4/3</f>
        <v>66.666666666666671</v>
      </c>
      <c r="H12" t="s">
        <v>18</v>
      </c>
    </row>
    <row r="14" spans="1:14" x14ac:dyDescent="0.25">
      <c r="A14" t="s">
        <v>4</v>
      </c>
      <c r="B14">
        <f>B8*B12/100000</f>
        <v>1.9332</v>
      </c>
      <c r="D14">
        <f>D8*D12/100000</f>
        <v>1.9428000000000001</v>
      </c>
      <c r="F14">
        <f>F8*F12/100000</f>
        <v>1.9508000000000001</v>
      </c>
      <c r="H14">
        <v>1.923</v>
      </c>
    </row>
    <row r="15" spans="1:14" x14ac:dyDescent="0.25">
      <c r="A15" t="s">
        <v>5</v>
      </c>
      <c r="B15">
        <f>B9/B8*B14</f>
        <v>7.9999999999999993E-4</v>
      </c>
      <c r="D15">
        <f>D9/D8*D14</f>
        <v>6.633249580710799E-4</v>
      </c>
      <c r="F15">
        <f>F9/F8*F14</f>
        <v>4.4221663871405332E-4</v>
      </c>
      <c r="H15">
        <v>5.1999999999999998E-2</v>
      </c>
      <c r="L15" t="s">
        <v>14</v>
      </c>
      <c r="M15" t="s">
        <v>15</v>
      </c>
      <c r="N15" t="s">
        <v>16</v>
      </c>
    </row>
    <row r="16" spans="1:14" x14ac:dyDescent="0.25">
      <c r="L16">
        <v>50.4</v>
      </c>
      <c r="M16">
        <v>1.1000000000000001</v>
      </c>
      <c r="N16">
        <f>1/M16^2</f>
        <v>0.82644628099173545</v>
      </c>
    </row>
    <row r="17" spans="1:14" x14ac:dyDescent="0.25">
      <c r="A17" t="s">
        <v>7</v>
      </c>
      <c r="B17">
        <f>($J$3/B14)^2</f>
        <v>2.4048491141922579</v>
      </c>
      <c r="D17">
        <f>($J$3/D14)^2</f>
        <v>2.3811415658536679</v>
      </c>
      <c r="F17">
        <f>($J$3/F14)^2</f>
        <v>2.3616520503652128</v>
      </c>
      <c r="H17">
        <f>($J$3/H14)^2</f>
        <v>2.4304284336903645</v>
      </c>
      <c r="L17">
        <v>50</v>
      </c>
      <c r="M17">
        <v>1.1000000000000001</v>
      </c>
      <c r="N17">
        <f t="shared" ref="N17:N18" si="0">1/M17^2</f>
        <v>0.82644628099173545</v>
      </c>
    </row>
    <row r="18" spans="1:14" x14ac:dyDescent="0.25">
      <c r="A18" t="s">
        <v>8</v>
      </c>
      <c r="B18">
        <f>2*B15/B14*B17</f>
        <v>1.9903572225882537E-3</v>
      </c>
      <c r="D18">
        <f>2*D15/D14*D17</f>
        <v>1.6259734705900658E-3</v>
      </c>
      <c r="F18">
        <f>2*F15/F14*F17</f>
        <v>1.0707010780445524E-3</v>
      </c>
      <c r="H18">
        <f>2*H15/H14*H17</f>
        <v>0.13144282740707119</v>
      </c>
      <c r="L18">
        <v>48.2</v>
      </c>
      <c r="M18">
        <v>1.1000000000000001</v>
      </c>
      <c r="N18">
        <f t="shared" si="0"/>
        <v>0.82644628099173545</v>
      </c>
    </row>
    <row r="20" spans="1:14" x14ac:dyDescent="0.25">
      <c r="K20" t="s">
        <v>17</v>
      </c>
      <c r="L20">
        <f>(L16*N16+L17*N17+L18*N18)/(N16+N17+N18)</f>
        <v>49.533333333333331</v>
      </c>
      <c r="M20">
        <f>1/SQRT(N16+N17+N18)</f>
        <v>0.63508529610858844</v>
      </c>
    </row>
    <row r="21" spans="1:14" x14ac:dyDescent="0.25">
      <c r="A21" t="s">
        <v>10</v>
      </c>
      <c r="B21">
        <f>0.616/2</f>
        <v>0.308</v>
      </c>
      <c r="D21">
        <f>0.912/2</f>
        <v>0.45600000000000002</v>
      </c>
      <c r="F21">
        <f>1.07/2</f>
        <v>0.53500000000000003</v>
      </c>
    </row>
    <row r="22" spans="1:14" x14ac:dyDescent="0.25">
      <c r="A22" t="s">
        <v>13</v>
      </c>
      <c r="B22">
        <f>0.004/2</f>
        <v>2E-3</v>
      </c>
      <c r="D22">
        <f>0.008/2</f>
        <v>4.0000000000000001E-3</v>
      </c>
      <c r="F22">
        <f>0.008/2</f>
        <v>4.0000000000000001E-3</v>
      </c>
    </row>
    <row r="23" spans="1:14" x14ac:dyDescent="0.25">
      <c r="A23" t="s">
        <v>11</v>
      </c>
      <c r="B23">
        <f>5-B21</f>
        <v>4.6920000000000002</v>
      </c>
      <c r="D23">
        <f>5-D21</f>
        <v>4.5439999999999996</v>
      </c>
      <c r="F23">
        <f>5-F21</f>
        <v>4.4649999999999999</v>
      </c>
    </row>
    <row r="24" spans="1:14" x14ac:dyDescent="0.25">
      <c r="A24" t="s">
        <v>13</v>
      </c>
      <c r="B24">
        <f>B22</f>
        <v>2E-3</v>
      </c>
      <c r="D24">
        <f>D22</f>
        <v>4.0000000000000001E-3</v>
      </c>
      <c r="F24">
        <f>F22</f>
        <v>4.0000000000000001E-3</v>
      </c>
    </row>
    <row r="28" spans="1:14" x14ac:dyDescent="0.25">
      <c r="A28" t="s">
        <v>12</v>
      </c>
      <c r="B28">
        <f>1/100*20*LOG10(5/B23)</f>
        <v>5.522400178505439E-3</v>
      </c>
      <c r="D28">
        <f>1/100*20*LOG10(5/D23)</f>
        <v>8.3063363266112824E-3</v>
      </c>
      <c r="F28">
        <f>1/100*20*LOG10(5/F23)</f>
        <v>9.8297082222907131E-3</v>
      </c>
    </row>
    <row r="29" spans="1:14" x14ac:dyDescent="0.25">
      <c r="A29" t="s">
        <v>2</v>
      </c>
      <c r="B29">
        <f>20/100*LOG10(EXP(1))*B23/5*B24</f>
        <v>1.6301677672720462E-4</v>
      </c>
      <c r="D29">
        <f>20/100*LOG10(EXP(1))*D23/5*D24</f>
        <v>3.1574946012294017E-4</v>
      </c>
      <c r="F29">
        <f>20/100*LOG10(EXP(1))*F23/5*F24</f>
        <v>3.1025997787168311E-4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2022-01-16T13:49:57Z</dcterms:created>
  <dcterms:modified xsi:type="dcterms:W3CDTF">2022-01-18T15:38:44Z</dcterms:modified>
</cp:coreProperties>
</file>