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4. Semester\C1 Praktikum\C42\"/>
    </mc:Choice>
  </mc:AlternateContent>
  <xr:revisionPtr revIDLastSave="0" documentId="13_ncr:1_{2F3FD22C-05E8-44D2-BF38-84EB19A79E1A}" xr6:coauthVersionLast="47" xr6:coauthVersionMax="47" xr10:uidLastSave="{00000000-0000-0000-0000-000000000000}"/>
  <bookViews>
    <workbookView xWindow="28680" yWindow="-2460" windowWidth="29040" windowHeight="16440" xr2:uid="{658B1E33-390C-4AC0-AE8C-1B31E065D385}"/>
  </bookViews>
  <sheets>
    <sheet name="Tabelle1" sheetId="1" r:id="rId1"/>
    <sheet name="Fehlerrechnung Bildwei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9" i="2" l="1"/>
  <c r="J29" i="2" s="1"/>
  <c r="L29" i="2" s="1"/>
  <c r="L72" i="1"/>
  <c r="L64" i="1"/>
  <c r="L66" i="1"/>
  <c r="L68" i="1"/>
  <c r="L70" i="1"/>
  <c r="L74" i="1"/>
  <c r="L76" i="1"/>
  <c r="L78" i="1"/>
  <c r="L80" i="1"/>
  <c r="L63" i="1"/>
  <c r="E29" i="2"/>
  <c r="F29" i="2"/>
  <c r="G29" i="2"/>
  <c r="H29" i="2"/>
  <c r="D13" i="2"/>
  <c r="J13" i="2" s="1"/>
  <c r="L13" i="2" s="1"/>
  <c r="E13" i="2"/>
  <c r="F13" i="2"/>
  <c r="G13" i="2"/>
  <c r="H13" i="2"/>
  <c r="D14" i="2"/>
  <c r="J14" i="2" s="1"/>
  <c r="L14" i="2" s="1"/>
  <c r="E14" i="2"/>
  <c r="F14" i="2"/>
  <c r="G14" i="2"/>
  <c r="H14" i="2"/>
  <c r="D15" i="2"/>
  <c r="J15" i="2" s="1"/>
  <c r="L15" i="2" s="1"/>
  <c r="E15" i="2"/>
  <c r="F15" i="2"/>
  <c r="G15" i="2"/>
  <c r="H15" i="2"/>
  <c r="D16" i="2"/>
  <c r="E16" i="2"/>
  <c r="J16" i="2" s="1"/>
  <c r="L16" i="2" s="1"/>
  <c r="F16" i="2"/>
  <c r="G16" i="2"/>
  <c r="H16" i="2"/>
  <c r="D17" i="2"/>
  <c r="E17" i="2"/>
  <c r="F17" i="2"/>
  <c r="G17" i="2"/>
  <c r="J17" i="2" s="1"/>
  <c r="L17" i="2" s="1"/>
  <c r="H17" i="2"/>
  <c r="D18" i="2"/>
  <c r="E18" i="2"/>
  <c r="F18" i="2"/>
  <c r="G18" i="2"/>
  <c r="J18" i="2" s="1"/>
  <c r="L18" i="2" s="1"/>
  <c r="H18" i="2"/>
  <c r="D19" i="2"/>
  <c r="E19" i="2"/>
  <c r="F19" i="2"/>
  <c r="G19" i="2"/>
  <c r="H19" i="2"/>
  <c r="J19" i="2"/>
  <c r="L19" i="2"/>
  <c r="D20" i="2"/>
  <c r="E20" i="2"/>
  <c r="F20" i="2"/>
  <c r="G20" i="2"/>
  <c r="H20" i="2"/>
  <c r="J20" i="2"/>
  <c r="L20" i="2"/>
  <c r="D21" i="2"/>
  <c r="J21" i="2" s="1"/>
  <c r="L21" i="2" s="1"/>
  <c r="E21" i="2"/>
  <c r="F21" i="2"/>
  <c r="G21" i="2"/>
  <c r="H21" i="2"/>
  <c r="D22" i="2"/>
  <c r="J22" i="2" s="1"/>
  <c r="L22" i="2" s="1"/>
  <c r="E22" i="2"/>
  <c r="F22" i="2"/>
  <c r="G22" i="2"/>
  <c r="H22" i="2"/>
  <c r="D23" i="2"/>
  <c r="J23" i="2" s="1"/>
  <c r="L23" i="2" s="1"/>
  <c r="E23" i="2"/>
  <c r="F23" i="2"/>
  <c r="G23" i="2"/>
  <c r="H23" i="2"/>
  <c r="D24" i="2"/>
  <c r="E24" i="2"/>
  <c r="J24" i="2" s="1"/>
  <c r="L24" i="2" s="1"/>
  <c r="F24" i="2"/>
  <c r="G24" i="2"/>
  <c r="H24" i="2"/>
  <c r="D25" i="2"/>
  <c r="E25" i="2"/>
  <c r="F25" i="2"/>
  <c r="G25" i="2"/>
  <c r="J25" i="2" s="1"/>
  <c r="L25" i="2" s="1"/>
  <c r="H25" i="2"/>
  <c r="D26" i="2"/>
  <c r="E26" i="2"/>
  <c r="F26" i="2"/>
  <c r="G26" i="2"/>
  <c r="H26" i="2"/>
  <c r="J26" i="2"/>
  <c r="L26" i="2" s="1"/>
  <c r="D27" i="2"/>
  <c r="E27" i="2"/>
  <c r="F27" i="2"/>
  <c r="G27" i="2"/>
  <c r="H27" i="2"/>
  <c r="J27" i="2"/>
  <c r="L27" i="2"/>
  <c r="J12" i="2"/>
  <c r="H12" i="2"/>
  <c r="G12" i="2"/>
  <c r="F12" i="2"/>
  <c r="E12" i="2"/>
  <c r="D12" i="2"/>
  <c r="C6" i="2"/>
  <c r="C5" i="2"/>
  <c r="C4" i="2"/>
  <c r="C3" i="2"/>
  <c r="J3" i="2"/>
  <c r="J4" i="2"/>
  <c r="I3" i="2"/>
  <c r="J5" i="2"/>
  <c r="I4" i="2"/>
  <c r="H3" i="2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87" i="1"/>
  <c r="F63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F64" i="1"/>
  <c r="F66" i="1"/>
  <c r="F68" i="1"/>
  <c r="F70" i="1"/>
  <c r="F72" i="1"/>
  <c r="F74" i="1"/>
  <c r="F76" i="1"/>
  <c r="F78" i="1"/>
  <c r="F80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J64" i="1"/>
  <c r="J66" i="1"/>
  <c r="J68" i="1"/>
  <c r="J70" i="1"/>
  <c r="J72" i="1"/>
  <c r="J74" i="1"/>
  <c r="J76" i="1"/>
  <c r="J78" i="1"/>
  <c r="J80" i="1"/>
  <c r="J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6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43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34" i="1"/>
  <c r="G5" i="1"/>
  <c r="H15" i="1"/>
  <c r="H14" i="1"/>
  <c r="H13" i="1"/>
  <c r="H12" i="1"/>
  <c r="H11" i="1"/>
  <c r="H10" i="1"/>
  <c r="H9" i="1"/>
  <c r="H8" i="1"/>
  <c r="H7" i="1"/>
  <c r="H6" i="1"/>
  <c r="H5" i="1"/>
  <c r="H16" i="1"/>
  <c r="H17" i="1"/>
  <c r="H18" i="1"/>
  <c r="H19" i="1"/>
  <c r="H20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1" i="1"/>
  <c r="F21" i="1"/>
  <c r="G21" i="1" s="1"/>
  <c r="F28" i="1"/>
  <c r="G28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F35" i="1"/>
  <c r="G35" i="1" s="1"/>
  <c r="L12" i="2" l="1"/>
</calcChain>
</file>

<file path=xl/sharedStrings.xml><?xml version="1.0" encoding="utf-8"?>
<sst xmlns="http://schemas.openxmlformats.org/spreadsheetml/2006/main" count="58" uniqueCount="41">
  <si>
    <t>2.2 Winkelverteilung des Senders</t>
  </si>
  <si>
    <t>Messung nach rechts</t>
  </si>
  <si>
    <t>Winkel/°</t>
  </si>
  <si>
    <t>U/mV</t>
  </si>
  <si>
    <t>Messung nach links</t>
  </si>
  <si>
    <t>Nullstellung</t>
  </si>
  <si>
    <t>Gesamt</t>
  </si>
  <si>
    <t>Winkel/rad</t>
  </si>
  <si>
    <t>2.3 Brennweite der Wachslinse</t>
  </si>
  <si>
    <t>2.6 Totalreflexion und Tunneleffekt</t>
  </si>
  <si>
    <t>Stellung am Anfang/cm</t>
  </si>
  <si>
    <t>Position Prisma /cm</t>
  </si>
  <si>
    <t>d /cm</t>
  </si>
  <si>
    <t>x/cm</t>
  </si>
  <si>
    <t>Stellung A</t>
  </si>
  <si>
    <t>Stellung B</t>
  </si>
  <si>
    <t>relative Intensität</t>
  </si>
  <si>
    <t>Fehler A</t>
  </si>
  <si>
    <t>Fehler B</t>
  </si>
  <si>
    <t>2.8 Bestimmung der Gitterkonstanten</t>
  </si>
  <si>
    <t>Theta/°</t>
  </si>
  <si>
    <t>Fehler /°</t>
  </si>
  <si>
    <t>Fehler U/mV</t>
  </si>
  <si>
    <t>Intensität</t>
  </si>
  <si>
    <t>Fehler Intensität</t>
  </si>
  <si>
    <t>Koeffizientenvektor</t>
  </si>
  <si>
    <t>A</t>
  </si>
  <si>
    <t>y0</t>
  </si>
  <si>
    <t>xc</t>
  </si>
  <si>
    <t>w</t>
  </si>
  <si>
    <t>b/cm</t>
  </si>
  <si>
    <t>Kovarianzmatrix</t>
  </si>
  <si>
    <t>dx_c^2</t>
  </si>
  <si>
    <t>Fehler</t>
  </si>
  <si>
    <t>dw^2</t>
  </si>
  <si>
    <t>dAw</t>
  </si>
  <si>
    <t>dAx_c</t>
  </si>
  <si>
    <t>dwx_c</t>
  </si>
  <si>
    <t>Fehler b/cm</t>
  </si>
  <si>
    <t xml:space="preserve">Fehler b^2 </t>
  </si>
  <si>
    <t>Summe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</si>
</sst>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109F-6AB3-4547-8DEE-B6AC9C92FDE5}">
  <dimension ref="A1:L117"/>
  <sheetViews>
    <sheetView tabSelected="1" topLeftCell="A85" workbookViewId="0">
      <selection activeCell="M59" sqref="M59"/>
    </sheetView>
  </sheetViews>
  <sheetFormatPr baseColWidth="10" defaultRowHeight="15" x14ac:dyDescent="0.25"/>
  <cols>
    <col min="1" max="1" width="19.42578125" bestFit="1" customWidth="1"/>
    <col min="4" max="4" width="12.28515625" bestFit="1" customWidth="1"/>
  </cols>
  <sheetData>
    <row r="1" spans="1:8" ht="15.75" x14ac:dyDescent="0.25">
      <c r="A1" s="2" t="s">
        <v>0</v>
      </c>
      <c r="B1" s="2"/>
      <c r="C1" s="2"/>
    </row>
    <row r="2" spans="1:8" x14ac:dyDescent="0.25">
      <c r="E2" t="s">
        <v>5</v>
      </c>
      <c r="F2">
        <v>40</v>
      </c>
    </row>
    <row r="3" spans="1:8" x14ac:dyDescent="0.25">
      <c r="A3" t="s">
        <v>1</v>
      </c>
      <c r="C3" t="s">
        <v>4</v>
      </c>
      <c r="F3" t="s">
        <v>6</v>
      </c>
    </row>
    <row r="4" spans="1:8" x14ac:dyDescent="0.25">
      <c r="A4" t="s">
        <v>2</v>
      </c>
      <c r="B4" t="s">
        <v>3</v>
      </c>
      <c r="C4" t="s">
        <v>2</v>
      </c>
      <c r="D4" t="s">
        <v>3</v>
      </c>
      <c r="F4" t="s">
        <v>2</v>
      </c>
      <c r="G4" t="s">
        <v>7</v>
      </c>
      <c r="H4" t="s">
        <v>3</v>
      </c>
    </row>
    <row r="5" spans="1:8" x14ac:dyDescent="0.25">
      <c r="A5">
        <v>40</v>
      </c>
      <c r="B5">
        <v>1.4</v>
      </c>
      <c r="C5">
        <v>38</v>
      </c>
      <c r="D5">
        <v>1.3</v>
      </c>
      <c r="F5">
        <v>-32</v>
      </c>
      <c r="G5">
        <f>F5*2*PI()/360</f>
        <v>-0.55850536063818546</v>
      </c>
      <c r="H5">
        <f>D20</f>
        <v>0</v>
      </c>
    </row>
    <row r="6" spans="1:8" x14ac:dyDescent="0.25">
      <c r="A6">
        <v>42</v>
      </c>
      <c r="B6">
        <v>1.3</v>
      </c>
      <c r="C6">
        <v>36</v>
      </c>
      <c r="D6">
        <v>1.2</v>
      </c>
      <c r="F6">
        <v>-30</v>
      </c>
      <c r="G6">
        <f t="shared" ref="G6:G35" si="0">F6*2*PI()/360</f>
        <v>-0.52359877559829882</v>
      </c>
      <c r="H6">
        <f>D19</f>
        <v>0.1</v>
      </c>
    </row>
    <row r="7" spans="1:8" x14ac:dyDescent="0.25">
      <c r="A7">
        <v>44</v>
      </c>
      <c r="B7">
        <v>1.3</v>
      </c>
      <c r="C7">
        <v>34</v>
      </c>
      <c r="D7">
        <v>1</v>
      </c>
      <c r="F7">
        <v>-28</v>
      </c>
      <c r="G7">
        <f t="shared" si="0"/>
        <v>-0.48869219055841229</v>
      </c>
      <c r="H7">
        <f>D18</f>
        <v>0.1</v>
      </c>
    </row>
    <row r="8" spans="1:8" x14ac:dyDescent="0.25">
      <c r="A8">
        <v>46</v>
      </c>
      <c r="B8">
        <v>1.1000000000000001</v>
      </c>
      <c r="C8">
        <v>32</v>
      </c>
      <c r="D8">
        <v>0.9</v>
      </c>
      <c r="F8">
        <v>-26</v>
      </c>
      <c r="G8">
        <f t="shared" si="0"/>
        <v>-0.4537856055185257</v>
      </c>
      <c r="H8">
        <f>D17</f>
        <v>0.1</v>
      </c>
    </row>
    <row r="9" spans="1:8" x14ac:dyDescent="0.25">
      <c r="A9">
        <v>48</v>
      </c>
      <c r="B9">
        <v>1</v>
      </c>
      <c r="C9">
        <v>30</v>
      </c>
      <c r="D9">
        <v>0.7</v>
      </c>
      <c r="F9">
        <v>-24</v>
      </c>
      <c r="G9">
        <f t="shared" si="0"/>
        <v>-0.41887902047863906</v>
      </c>
      <c r="H9">
        <f>D16</f>
        <v>0.1</v>
      </c>
    </row>
    <row r="10" spans="1:8" x14ac:dyDescent="0.25">
      <c r="A10">
        <v>50</v>
      </c>
      <c r="B10">
        <v>0.7</v>
      </c>
      <c r="C10">
        <v>28</v>
      </c>
      <c r="D10">
        <v>0.5</v>
      </c>
      <c r="F10">
        <v>-22</v>
      </c>
      <c r="G10">
        <f t="shared" si="0"/>
        <v>-0.38397243543875248</v>
      </c>
      <c r="H10">
        <f>D15</f>
        <v>0.1</v>
      </c>
    </row>
    <row r="11" spans="1:8" x14ac:dyDescent="0.25">
      <c r="A11">
        <v>52</v>
      </c>
      <c r="B11">
        <v>0.6</v>
      </c>
      <c r="C11">
        <v>26</v>
      </c>
      <c r="D11">
        <v>0.4</v>
      </c>
      <c r="F11">
        <v>-20</v>
      </c>
      <c r="G11">
        <f t="shared" si="0"/>
        <v>-0.3490658503988659</v>
      </c>
      <c r="H11">
        <f>D14</f>
        <v>0.2</v>
      </c>
    </row>
    <row r="12" spans="1:8" x14ac:dyDescent="0.25">
      <c r="A12">
        <v>54</v>
      </c>
      <c r="B12">
        <v>0.4</v>
      </c>
      <c r="C12">
        <v>24</v>
      </c>
      <c r="D12">
        <v>0.3</v>
      </c>
      <c r="F12">
        <v>-18</v>
      </c>
      <c r="G12">
        <f t="shared" si="0"/>
        <v>-0.31415926535897931</v>
      </c>
      <c r="H12">
        <f>D13</f>
        <v>0.2</v>
      </c>
    </row>
    <row r="13" spans="1:8" x14ac:dyDescent="0.25">
      <c r="A13">
        <v>56</v>
      </c>
      <c r="B13">
        <v>0.3</v>
      </c>
      <c r="C13">
        <v>22</v>
      </c>
      <c r="D13">
        <v>0.2</v>
      </c>
      <c r="F13">
        <v>-16</v>
      </c>
      <c r="G13">
        <f t="shared" si="0"/>
        <v>-0.27925268031909273</v>
      </c>
      <c r="H13">
        <f>D12</f>
        <v>0.3</v>
      </c>
    </row>
    <row r="14" spans="1:8" x14ac:dyDescent="0.25">
      <c r="A14">
        <v>58</v>
      </c>
      <c r="B14">
        <v>0.2</v>
      </c>
      <c r="C14">
        <v>20</v>
      </c>
      <c r="D14">
        <v>0.2</v>
      </c>
      <c r="F14">
        <v>-14</v>
      </c>
      <c r="G14">
        <f t="shared" si="0"/>
        <v>-0.24434609527920614</v>
      </c>
      <c r="H14">
        <f>D11</f>
        <v>0.4</v>
      </c>
    </row>
    <row r="15" spans="1:8" x14ac:dyDescent="0.25">
      <c r="A15">
        <v>60</v>
      </c>
      <c r="B15">
        <v>0.2</v>
      </c>
      <c r="C15">
        <v>18</v>
      </c>
      <c r="D15">
        <v>0.1</v>
      </c>
      <c r="F15">
        <v>-12</v>
      </c>
      <c r="G15">
        <f t="shared" si="0"/>
        <v>-0.20943951023931953</v>
      </c>
      <c r="H15">
        <f>D10</f>
        <v>0.5</v>
      </c>
    </row>
    <row r="16" spans="1:8" x14ac:dyDescent="0.25">
      <c r="A16">
        <v>62</v>
      </c>
      <c r="B16">
        <v>0.1</v>
      </c>
      <c r="C16">
        <v>16</v>
      </c>
      <c r="D16">
        <v>0.1</v>
      </c>
      <c r="F16">
        <v>-10</v>
      </c>
      <c r="G16">
        <f t="shared" si="0"/>
        <v>-0.17453292519943295</v>
      </c>
      <c r="H16">
        <f>D9</f>
        <v>0.7</v>
      </c>
    </row>
    <row r="17" spans="1:8" x14ac:dyDescent="0.25">
      <c r="A17">
        <v>64</v>
      </c>
      <c r="B17">
        <v>0.1</v>
      </c>
      <c r="C17">
        <v>14</v>
      </c>
      <c r="D17">
        <v>0.1</v>
      </c>
      <c r="F17">
        <v>-8</v>
      </c>
      <c r="G17">
        <f t="shared" si="0"/>
        <v>-0.13962634015954636</v>
      </c>
      <c r="H17">
        <f>D8</f>
        <v>0.9</v>
      </c>
    </row>
    <row r="18" spans="1:8" x14ac:dyDescent="0.25">
      <c r="A18">
        <v>70</v>
      </c>
      <c r="B18">
        <v>0.1</v>
      </c>
      <c r="C18">
        <v>12</v>
      </c>
      <c r="D18">
        <v>0.1</v>
      </c>
      <c r="F18">
        <v>-6</v>
      </c>
      <c r="G18">
        <f t="shared" si="0"/>
        <v>-0.10471975511965977</v>
      </c>
      <c r="H18">
        <f>D7</f>
        <v>1</v>
      </c>
    </row>
    <row r="19" spans="1:8" x14ac:dyDescent="0.25">
      <c r="A19">
        <v>72</v>
      </c>
      <c r="B19">
        <v>0</v>
      </c>
      <c r="C19">
        <v>10</v>
      </c>
      <c r="D19">
        <v>0.1</v>
      </c>
      <c r="F19">
        <v>-4</v>
      </c>
      <c r="G19">
        <f t="shared" si="0"/>
        <v>-6.9813170079773182E-2</v>
      </c>
      <c r="H19">
        <f>D6</f>
        <v>1.2</v>
      </c>
    </row>
    <row r="20" spans="1:8" x14ac:dyDescent="0.25">
      <c r="C20">
        <v>8</v>
      </c>
      <c r="D20">
        <v>0</v>
      </c>
      <c r="F20">
        <v>-2</v>
      </c>
      <c r="G20">
        <f t="shared" si="0"/>
        <v>-3.4906585039886591E-2</v>
      </c>
      <c r="H20">
        <f>D5</f>
        <v>1.3</v>
      </c>
    </row>
    <row r="21" spans="1:8" x14ac:dyDescent="0.25">
      <c r="F21">
        <f t="shared" ref="F21:F35" si="1">A5-$F$2</f>
        <v>0</v>
      </c>
      <c r="G21">
        <f t="shared" si="0"/>
        <v>0</v>
      </c>
      <c r="H21">
        <f t="shared" ref="H21:H35" si="2">B5</f>
        <v>1.4</v>
      </c>
    </row>
    <row r="22" spans="1:8" x14ac:dyDescent="0.25">
      <c r="F22">
        <f t="shared" si="1"/>
        <v>2</v>
      </c>
      <c r="G22">
        <f t="shared" si="0"/>
        <v>3.4906585039886591E-2</v>
      </c>
      <c r="H22">
        <f t="shared" si="2"/>
        <v>1.3</v>
      </c>
    </row>
    <row r="23" spans="1:8" x14ac:dyDescent="0.25">
      <c r="F23">
        <f t="shared" si="1"/>
        <v>4</v>
      </c>
      <c r="G23">
        <f t="shared" si="0"/>
        <v>6.9813170079773182E-2</v>
      </c>
      <c r="H23">
        <f t="shared" si="2"/>
        <v>1.3</v>
      </c>
    </row>
    <row r="24" spans="1:8" x14ac:dyDescent="0.25">
      <c r="F24">
        <f t="shared" si="1"/>
        <v>6</v>
      </c>
      <c r="G24">
        <f t="shared" si="0"/>
        <v>0.10471975511965977</v>
      </c>
      <c r="H24">
        <f t="shared" si="2"/>
        <v>1.1000000000000001</v>
      </c>
    </row>
    <row r="25" spans="1:8" x14ac:dyDescent="0.25">
      <c r="F25">
        <f t="shared" si="1"/>
        <v>8</v>
      </c>
      <c r="G25">
        <f t="shared" si="0"/>
        <v>0.13962634015954636</v>
      </c>
      <c r="H25">
        <f t="shared" si="2"/>
        <v>1</v>
      </c>
    </row>
    <row r="26" spans="1:8" x14ac:dyDescent="0.25">
      <c r="F26">
        <f t="shared" si="1"/>
        <v>10</v>
      </c>
      <c r="G26">
        <f t="shared" si="0"/>
        <v>0.17453292519943295</v>
      </c>
      <c r="H26">
        <f t="shared" si="2"/>
        <v>0.7</v>
      </c>
    </row>
    <row r="27" spans="1:8" x14ac:dyDescent="0.25">
      <c r="F27">
        <f t="shared" si="1"/>
        <v>12</v>
      </c>
      <c r="G27">
        <f t="shared" si="0"/>
        <v>0.20943951023931953</v>
      </c>
      <c r="H27">
        <f t="shared" si="2"/>
        <v>0.6</v>
      </c>
    </row>
    <row r="28" spans="1:8" x14ac:dyDescent="0.25">
      <c r="F28">
        <f t="shared" si="1"/>
        <v>14</v>
      </c>
      <c r="G28">
        <f t="shared" si="0"/>
        <v>0.24434609527920614</v>
      </c>
      <c r="H28">
        <f t="shared" si="2"/>
        <v>0.4</v>
      </c>
    </row>
    <row r="29" spans="1:8" x14ac:dyDescent="0.25">
      <c r="F29">
        <f t="shared" si="1"/>
        <v>16</v>
      </c>
      <c r="G29">
        <f t="shared" si="0"/>
        <v>0.27925268031909273</v>
      </c>
      <c r="H29">
        <f t="shared" si="2"/>
        <v>0.3</v>
      </c>
    </row>
    <row r="30" spans="1:8" x14ac:dyDescent="0.25">
      <c r="F30">
        <f t="shared" si="1"/>
        <v>18</v>
      </c>
      <c r="G30">
        <f t="shared" si="0"/>
        <v>0.31415926535897931</v>
      </c>
      <c r="H30">
        <f t="shared" si="2"/>
        <v>0.2</v>
      </c>
    </row>
    <row r="31" spans="1:8" x14ac:dyDescent="0.25">
      <c r="F31">
        <f t="shared" si="1"/>
        <v>20</v>
      </c>
      <c r="G31">
        <f t="shared" si="0"/>
        <v>0.3490658503988659</v>
      </c>
      <c r="H31">
        <f t="shared" si="2"/>
        <v>0.2</v>
      </c>
    </row>
    <row r="32" spans="1:8" x14ac:dyDescent="0.25">
      <c r="F32">
        <f t="shared" si="1"/>
        <v>22</v>
      </c>
      <c r="G32">
        <f t="shared" si="0"/>
        <v>0.38397243543875248</v>
      </c>
      <c r="H32">
        <f t="shared" si="2"/>
        <v>0.1</v>
      </c>
    </row>
    <row r="33" spans="1:8" x14ac:dyDescent="0.25">
      <c r="F33">
        <f t="shared" si="1"/>
        <v>24</v>
      </c>
      <c r="G33">
        <f t="shared" si="0"/>
        <v>0.41887902047863906</v>
      </c>
      <c r="H33">
        <f t="shared" si="2"/>
        <v>0.1</v>
      </c>
    </row>
    <row r="34" spans="1:8" x14ac:dyDescent="0.25">
      <c r="F34">
        <f t="shared" si="1"/>
        <v>30</v>
      </c>
      <c r="G34">
        <f t="shared" si="0"/>
        <v>0.52359877559829882</v>
      </c>
      <c r="H34">
        <f t="shared" si="2"/>
        <v>0.1</v>
      </c>
    </row>
    <row r="35" spans="1:8" x14ac:dyDescent="0.25">
      <c r="F35">
        <f t="shared" si="1"/>
        <v>32</v>
      </c>
      <c r="G35">
        <f t="shared" si="0"/>
        <v>0.55850536063818546</v>
      </c>
      <c r="H35">
        <f t="shared" si="2"/>
        <v>0</v>
      </c>
    </row>
    <row r="40" spans="1:8" ht="15.75" x14ac:dyDescent="0.25">
      <c r="A40" s="2" t="s">
        <v>8</v>
      </c>
      <c r="B40" s="2"/>
      <c r="C40" s="2"/>
    </row>
    <row r="42" spans="1:8" x14ac:dyDescent="0.25">
      <c r="A42" t="s">
        <v>13</v>
      </c>
      <c r="B42" t="s">
        <v>30</v>
      </c>
      <c r="C42" t="s">
        <v>3</v>
      </c>
    </row>
    <row r="43" spans="1:8" x14ac:dyDescent="0.25">
      <c r="A43">
        <v>115</v>
      </c>
      <c r="B43">
        <f>A43-87.5</f>
        <v>27.5</v>
      </c>
      <c r="C43">
        <v>0.1</v>
      </c>
    </row>
    <row r="44" spans="1:8" x14ac:dyDescent="0.25">
      <c r="A44">
        <v>120</v>
      </c>
      <c r="B44">
        <f t="shared" ref="B44:B58" si="3">A44-87.5</f>
        <v>32.5</v>
      </c>
      <c r="C44">
        <v>0.2</v>
      </c>
    </row>
    <row r="45" spans="1:8" x14ac:dyDescent="0.25">
      <c r="A45">
        <v>125</v>
      </c>
      <c r="B45">
        <f t="shared" si="3"/>
        <v>37.5</v>
      </c>
      <c r="C45">
        <v>0.5</v>
      </c>
    </row>
    <row r="46" spans="1:8" x14ac:dyDescent="0.25">
      <c r="A46">
        <v>130</v>
      </c>
      <c r="B46">
        <f t="shared" si="3"/>
        <v>42.5</v>
      </c>
      <c r="C46">
        <v>0.6</v>
      </c>
    </row>
    <row r="47" spans="1:8" x14ac:dyDescent="0.25">
      <c r="A47">
        <v>135</v>
      </c>
      <c r="B47">
        <f t="shared" si="3"/>
        <v>47.5</v>
      </c>
      <c r="C47">
        <v>0.6</v>
      </c>
    </row>
    <row r="48" spans="1:8" x14ac:dyDescent="0.25">
      <c r="A48">
        <v>140</v>
      </c>
      <c r="B48">
        <f t="shared" si="3"/>
        <v>52.5</v>
      </c>
      <c r="C48">
        <v>0.7</v>
      </c>
    </row>
    <row r="49" spans="1:12" x14ac:dyDescent="0.25">
      <c r="A49">
        <v>145</v>
      </c>
      <c r="B49">
        <f t="shared" si="3"/>
        <v>57.5</v>
      </c>
      <c r="C49">
        <v>0.75</v>
      </c>
    </row>
    <row r="50" spans="1:12" x14ac:dyDescent="0.25">
      <c r="A50">
        <v>150</v>
      </c>
      <c r="B50">
        <f t="shared" si="3"/>
        <v>62.5</v>
      </c>
      <c r="C50">
        <v>0.8</v>
      </c>
    </row>
    <row r="51" spans="1:12" x14ac:dyDescent="0.25">
      <c r="A51">
        <v>155</v>
      </c>
      <c r="B51">
        <f t="shared" si="3"/>
        <v>67.5</v>
      </c>
      <c r="C51">
        <v>0.9</v>
      </c>
    </row>
    <row r="52" spans="1:12" x14ac:dyDescent="0.25">
      <c r="A52">
        <v>160</v>
      </c>
      <c r="B52">
        <f t="shared" si="3"/>
        <v>72.5</v>
      </c>
      <c r="C52">
        <v>0.8</v>
      </c>
    </row>
    <row r="53" spans="1:12" x14ac:dyDescent="0.25">
      <c r="A53">
        <v>165</v>
      </c>
      <c r="B53">
        <f t="shared" si="3"/>
        <v>77.5</v>
      </c>
      <c r="C53">
        <v>0.7</v>
      </c>
    </row>
    <row r="54" spans="1:12" x14ac:dyDescent="0.25">
      <c r="A54">
        <v>170</v>
      </c>
      <c r="B54">
        <f t="shared" si="3"/>
        <v>82.5</v>
      </c>
      <c r="C54">
        <v>0.6</v>
      </c>
    </row>
    <row r="55" spans="1:12" x14ac:dyDescent="0.25">
      <c r="A55">
        <v>175</v>
      </c>
      <c r="B55">
        <f t="shared" si="3"/>
        <v>87.5</v>
      </c>
      <c r="C55">
        <v>0.5</v>
      </c>
    </row>
    <row r="56" spans="1:12" x14ac:dyDescent="0.25">
      <c r="A56">
        <v>180</v>
      </c>
      <c r="B56">
        <f t="shared" si="3"/>
        <v>92.5</v>
      </c>
      <c r="C56">
        <v>0.4</v>
      </c>
    </row>
    <row r="57" spans="1:12" x14ac:dyDescent="0.25">
      <c r="A57">
        <v>185</v>
      </c>
      <c r="B57">
        <f t="shared" si="3"/>
        <v>97.5</v>
      </c>
      <c r="C57">
        <v>0.3</v>
      </c>
    </row>
    <row r="58" spans="1:12" x14ac:dyDescent="0.25">
      <c r="A58">
        <v>190</v>
      </c>
      <c r="B58">
        <f t="shared" si="3"/>
        <v>102.5</v>
      </c>
      <c r="C58">
        <v>0.2</v>
      </c>
    </row>
    <row r="60" spans="1:12" ht="15.75" x14ac:dyDescent="0.25">
      <c r="A60" s="2" t="s">
        <v>9</v>
      </c>
      <c r="B60" s="2"/>
      <c r="C60" s="2"/>
      <c r="D60" s="2"/>
      <c r="E60" t="s">
        <v>10</v>
      </c>
      <c r="G60">
        <v>15.3</v>
      </c>
    </row>
    <row r="61" spans="1:12" x14ac:dyDescent="0.25">
      <c r="J61" s="3" t="s">
        <v>16</v>
      </c>
      <c r="K61" s="3"/>
    </row>
    <row r="62" spans="1:12" x14ac:dyDescent="0.25">
      <c r="A62" t="s">
        <v>11</v>
      </c>
      <c r="B62" t="s">
        <v>12</v>
      </c>
      <c r="C62" t="s">
        <v>14</v>
      </c>
      <c r="D62" t="s">
        <v>15</v>
      </c>
      <c r="F62" t="s">
        <v>17</v>
      </c>
      <c r="G62" t="s">
        <v>18</v>
      </c>
      <c r="J62" t="s">
        <v>14</v>
      </c>
      <c r="K62" t="s">
        <v>15</v>
      </c>
      <c r="L62" t="s">
        <v>40</v>
      </c>
    </row>
    <row r="63" spans="1:12" x14ac:dyDescent="0.25">
      <c r="A63">
        <v>15.3</v>
      </c>
      <c r="B63">
        <f>($G$60-A63)</f>
        <v>0</v>
      </c>
      <c r="C63">
        <v>1.22</v>
      </c>
      <c r="D63">
        <v>0.01</v>
      </c>
      <c r="F63">
        <f>0.0005*C63+0.00005*100</f>
        <v>5.6100000000000004E-3</v>
      </c>
      <c r="G63">
        <f>0.0005*D63+0.00005*100</f>
        <v>5.0049999999999999E-3</v>
      </c>
      <c r="J63">
        <f>C63/$C$63</f>
        <v>1</v>
      </c>
      <c r="K63">
        <f>D63/$C$63</f>
        <v>8.1967213114754103E-3</v>
      </c>
      <c r="L63">
        <f>SUM(J63:K63)</f>
        <v>1.0081967213114753</v>
      </c>
    </row>
    <row r="64" spans="1:12" x14ac:dyDescent="0.25">
      <c r="A64">
        <v>15.2</v>
      </c>
      <c r="B64">
        <f t="shared" ref="B64:B80" si="4">($G$60-A64)</f>
        <v>0.10000000000000142</v>
      </c>
      <c r="C64">
        <v>1.2450000000000001</v>
      </c>
      <c r="D64">
        <v>0.03</v>
      </c>
      <c r="F64">
        <f t="shared" ref="F64:G80" si="5">0.0005*C64+0.00005*100</f>
        <v>5.6224999999999999E-3</v>
      </c>
      <c r="G64">
        <f t="shared" si="5"/>
        <v>5.0150000000000004E-3</v>
      </c>
      <c r="J64">
        <f>C64/$C$63</f>
        <v>1.0204918032786887</v>
      </c>
      <c r="K64">
        <f>D64/$C$63</f>
        <v>2.4590163934426229E-2</v>
      </c>
      <c r="L64">
        <f t="shared" ref="L64:L80" si="6">SUM(J64:K64)</f>
        <v>1.0450819672131149</v>
      </c>
    </row>
    <row r="65" spans="1:12" x14ac:dyDescent="0.25">
      <c r="A65">
        <v>15.1</v>
      </c>
      <c r="B65">
        <f t="shared" si="4"/>
        <v>0.20000000000000107</v>
      </c>
      <c r="D65">
        <v>6.5000000000000002E-2</v>
      </c>
      <c r="G65">
        <f t="shared" si="5"/>
        <v>5.0325000000000005E-3</v>
      </c>
      <c r="K65">
        <f t="shared" ref="K65:K80" si="7">D65/$C$63</f>
        <v>5.3278688524590168E-2</v>
      </c>
    </row>
    <row r="66" spans="1:12" x14ac:dyDescent="0.25">
      <c r="A66">
        <v>15</v>
      </c>
      <c r="B66">
        <f t="shared" si="4"/>
        <v>0.30000000000000071</v>
      </c>
      <c r="C66">
        <v>1.17</v>
      </c>
      <c r="D66">
        <v>0.14899999999999999</v>
      </c>
      <c r="F66">
        <f t="shared" si="5"/>
        <v>5.5849999999999997E-3</v>
      </c>
      <c r="G66">
        <f t="shared" si="5"/>
        <v>5.0745E-3</v>
      </c>
      <c r="J66">
        <f>C66/$C$63</f>
        <v>0.95901639344262291</v>
      </c>
      <c r="K66">
        <f t="shared" si="7"/>
        <v>0.1221311475409836</v>
      </c>
      <c r="L66">
        <f t="shared" si="6"/>
        <v>1.0811475409836064</v>
      </c>
    </row>
    <row r="67" spans="1:12" x14ac:dyDescent="0.25">
      <c r="A67">
        <v>14.9</v>
      </c>
      <c r="B67">
        <f t="shared" si="4"/>
        <v>0.40000000000000036</v>
      </c>
      <c r="D67">
        <v>0.255</v>
      </c>
      <c r="G67">
        <f t="shared" si="5"/>
        <v>5.1275000000000001E-3</v>
      </c>
      <c r="K67">
        <f t="shared" si="7"/>
        <v>0.20901639344262296</v>
      </c>
    </row>
    <row r="68" spans="1:12" x14ac:dyDescent="0.25">
      <c r="A68">
        <v>14.8</v>
      </c>
      <c r="B68">
        <f t="shared" si="4"/>
        <v>0.5</v>
      </c>
      <c r="C68">
        <v>0.89700000000000002</v>
      </c>
      <c r="D68">
        <v>0.33</v>
      </c>
      <c r="F68">
        <f t="shared" si="5"/>
        <v>5.4485000000000002E-3</v>
      </c>
      <c r="G68">
        <f t="shared" si="5"/>
        <v>5.1650000000000003E-3</v>
      </c>
      <c r="J68">
        <f>C68/$C$63</f>
        <v>0.73524590163934433</v>
      </c>
      <c r="K68">
        <f t="shared" si="7"/>
        <v>0.27049180327868855</v>
      </c>
      <c r="L68">
        <f t="shared" si="6"/>
        <v>1.0057377049180329</v>
      </c>
    </row>
    <row r="69" spans="1:12" x14ac:dyDescent="0.25">
      <c r="A69">
        <v>14.7</v>
      </c>
      <c r="B69">
        <f t="shared" si="4"/>
        <v>0.60000000000000142</v>
      </c>
      <c r="D69">
        <v>0.39500000000000002</v>
      </c>
      <c r="G69">
        <f t="shared" si="5"/>
        <v>5.1974999999999999E-3</v>
      </c>
      <c r="K69">
        <f t="shared" si="7"/>
        <v>0.32377049180327871</v>
      </c>
    </row>
    <row r="70" spans="1:12" x14ac:dyDescent="0.25">
      <c r="A70">
        <v>14.6</v>
      </c>
      <c r="B70">
        <f t="shared" si="4"/>
        <v>0.70000000000000107</v>
      </c>
      <c r="C70">
        <v>0.56000000000000005</v>
      </c>
      <c r="D70">
        <v>0.42</v>
      </c>
      <c r="F70">
        <f t="shared" si="5"/>
        <v>5.28E-3</v>
      </c>
      <c r="G70">
        <f t="shared" si="5"/>
        <v>5.2100000000000002E-3</v>
      </c>
      <c r="J70">
        <f>C70/$C$63</f>
        <v>0.45901639344262302</v>
      </c>
      <c r="K70">
        <f t="shared" si="7"/>
        <v>0.34426229508196721</v>
      </c>
      <c r="L70">
        <f t="shared" si="6"/>
        <v>0.80327868852459017</v>
      </c>
    </row>
    <row r="71" spans="1:12" x14ac:dyDescent="0.25">
      <c r="A71">
        <v>14.5</v>
      </c>
      <c r="B71">
        <f t="shared" si="4"/>
        <v>0.80000000000000071</v>
      </c>
      <c r="D71">
        <v>0.48199999999999998</v>
      </c>
      <c r="G71">
        <f t="shared" si="5"/>
        <v>5.241E-3</v>
      </c>
      <c r="K71">
        <f t="shared" si="7"/>
        <v>0.39508196721311473</v>
      </c>
    </row>
    <row r="72" spans="1:12" x14ac:dyDescent="0.25">
      <c r="A72">
        <v>14.4</v>
      </c>
      <c r="B72">
        <f t="shared" si="4"/>
        <v>0.90000000000000036</v>
      </c>
      <c r="C72">
        <v>0.40899999999999997</v>
      </c>
      <c r="D72">
        <v>0.53900000000000003</v>
      </c>
      <c r="F72">
        <f t="shared" si="5"/>
        <v>5.2044999999999999E-3</v>
      </c>
      <c r="G72">
        <f t="shared" si="5"/>
        <v>5.2694999999999999E-3</v>
      </c>
      <c r="J72">
        <f>C72/$C$63</f>
        <v>0.33524590163934426</v>
      </c>
      <c r="K72">
        <f t="shared" si="7"/>
        <v>0.44180327868852465</v>
      </c>
      <c r="L72">
        <f>SUM(J72:K72)</f>
        <v>0.77704918032786896</v>
      </c>
    </row>
    <row r="73" spans="1:12" x14ac:dyDescent="0.25">
      <c r="A73">
        <v>14.3</v>
      </c>
      <c r="B73">
        <f t="shared" si="4"/>
        <v>1</v>
      </c>
      <c r="D73">
        <v>0.6</v>
      </c>
      <c r="G73">
        <f t="shared" si="5"/>
        <v>5.3E-3</v>
      </c>
      <c r="K73">
        <f t="shared" si="7"/>
        <v>0.49180327868852458</v>
      </c>
    </row>
    <row r="74" spans="1:12" x14ac:dyDescent="0.25">
      <c r="A74">
        <v>14.2</v>
      </c>
      <c r="B74">
        <f t="shared" si="4"/>
        <v>1.1000000000000014</v>
      </c>
      <c r="C74">
        <v>0.32500000000000001</v>
      </c>
      <c r="D74">
        <v>0.67</v>
      </c>
      <c r="F74">
        <f t="shared" si="5"/>
        <v>5.1625000000000004E-3</v>
      </c>
      <c r="G74">
        <f t="shared" si="5"/>
        <v>5.3350000000000003E-3</v>
      </c>
      <c r="J74">
        <f>C74/$C$63</f>
        <v>0.26639344262295084</v>
      </c>
      <c r="K74">
        <f t="shared" si="7"/>
        <v>0.54918032786885251</v>
      </c>
      <c r="L74">
        <f t="shared" si="6"/>
        <v>0.81557377049180335</v>
      </c>
    </row>
    <row r="75" spans="1:12" x14ac:dyDescent="0.25">
      <c r="A75">
        <v>14.1</v>
      </c>
      <c r="B75">
        <f t="shared" si="4"/>
        <v>1.2000000000000011</v>
      </c>
      <c r="D75">
        <v>0.755</v>
      </c>
      <c r="G75">
        <f t="shared" si="5"/>
        <v>5.3775000000000003E-3</v>
      </c>
      <c r="K75">
        <f t="shared" si="7"/>
        <v>0.61885245901639341</v>
      </c>
    </row>
    <row r="76" spans="1:12" x14ac:dyDescent="0.25">
      <c r="A76">
        <v>14</v>
      </c>
      <c r="B76">
        <f t="shared" si="4"/>
        <v>1.3000000000000007</v>
      </c>
      <c r="C76">
        <v>0.26400000000000001</v>
      </c>
      <c r="D76">
        <v>0.874</v>
      </c>
      <c r="F76">
        <f t="shared" si="5"/>
        <v>5.1320000000000003E-3</v>
      </c>
      <c r="G76">
        <f t="shared" si="5"/>
        <v>5.437E-3</v>
      </c>
      <c r="J76">
        <f>C76/$C$63</f>
        <v>0.21639344262295082</v>
      </c>
      <c r="K76">
        <f t="shared" si="7"/>
        <v>0.71639344262295079</v>
      </c>
      <c r="L76">
        <f t="shared" si="6"/>
        <v>0.93278688524590159</v>
      </c>
    </row>
    <row r="77" spans="1:12" x14ac:dyDescent="0.25">
      <c r="A77">
        <v>13.9</v>
      </c>
      <c r="B77">
        <f t="shared" si="4"/>
        <v>1.4000000000000004</v>
      </c>
      <c r="D77">
        <v>0.98199999999999998</v>
      </c>
      <c r="G77">
        <f t="shared" si="5"/>
        <v>5.4910000000000002E-3</v>
      </c>
      <c r="K77">
        <f t="shared" si="7"/>
        <v>0.80491803278688523</v>
      </c>
    </row>
    <row r="78" spans="1:12" x14ac:dyDescent="0.25">
      <c r="A78">
        <v>13.8</v>
      </c>
      <c r="B78">
        <f t="shared" si="4"/>
        <v>1.5</v>
      </c>
      <c r="C78">
        <v>0.17599999999999999</v>
      </c>
      <c r="D78">
        <v>1.0780000000000001</v>
      </c>
      <c r="F78">
        <f t="shared" si="5"/>
        <v>5.0880000000000005E-3</v>
      </c>
      <c r="G78">
        <f t="shared" si="5"/>
        <v>5.5390000000000005E-3</v>
      </c>
      <c r="J78">
        <f>C78/$C$63</f>
        <v>0.1442622950819672</v>
      </c>
      <c r="K78">
        <f t="shared" si="7"/>
        <v>0.8836065573770493</v>
      </c>
      <c r="L78">
        <f t="shared" si="6"/>
        <v>1.0278688524590165</v>
      </c>
    </row>
    <row r="79" spans="1:12" x14ac:dyDescent="0.25">
      <c r="A79">
        <v>13.7</v>
      </c>
      <c r="B79">
        <f t="shared" si="4"/>
        <v>1.6000000000000014</v>
      </c>
      <c r="D79">
        <v>1.1399999999999999</v>
      </c>
      <c r="G79">
        <f t="shared" si="5"/>
        <v>5.5700000000000003E-3</v>
      </c>
      <c r="K79">
        <f t="shared" si="7"/>
        <v>0.93442622950819665</v>
      </c>
    </row>
    <row r="80" spans="1:12" x14ac:dyDescent="0.25">
      <c r="A80">
        <v>13.5</v>
      </c>
      <c r="B80">
        <f t="shared" si="4"/>
        <v>1.8000000000000007</v>
      </c>
      <c r="C80">
        <v>0.114</v>
      </c>
      <c r="D80">
        <v>1.1779999999999999</v>
      </c>
      <c r="F80">
        <f t="shared" si="5"/>
        <v>5.0569999999999999E-3</v>
      </c>
      <c r="G80">
        <f t="shared" si="5"/>
        <v>5.5890000000000002E-3</v>
      </c>
      <c r="J80">
        <f>C80/$C$63</f>
        <v>9.3442622950819676E-2</v>
      </c>
      <c r="K80">
        <f t="shared" si="7"/>
        <v>0.96557377049180326</v>
      </c>
      <c r="L80">
        <f t="shared" si="6"/>
        <v>1.0590163934426229</v>
      </c>
    </row>
    <row r="85" spans="1:7" ht="15.75" x14ac:dyDescent="0.25">
      <c r="A85" s="2" t="s">
        <v>19</v>
      </c>
      <c r="B85" s="2"/>
      <c r="C85" s="2"/>
    </row>
    <row r="86" spans="1:7" x14ac:dyDescent="0.25">
      <c r="A86" t="s">
        <v>20</v>
      </c>
      <c r="B86" t="s">
        <v>21</v>
      </c>
      <c r="C86" t="s">
        <v>3</v>
      </c>
      <c r="D86" t="s">
        <v>22</v>
      </c>
      <c r="F86" t="s">
        <v>23</v>
      </c>
      <c r="G86" t="s">
        <v>24</v>
      </c>
    </row>
    <row r="87" spans="1:7" x14ac:dyDescent="0.25">
      <c r="A87">
        <v>0</v>
      </c>
      <c r="B87">
        <v>1</v>
      </c>
      <c r="C87">
        <v>0.24</v>
      </c>
      <c r="D87">
        <f>0.0005*C87+0.00005*100</f>
        <v>5.1200000000000004E-3</v>
      </c>
      <c r="F87">
        <f>C87/$C$102</f>
        <v>0.75</v>
      </c>
      <c r="G87">
        <f>D87/$C$102</f>
        <v>1.6E-2</v>
      </c>
    </row>
    <row r="88" spans="1:7" x14ac:dyDescent="0.25">
      <c r="A88">
        <v>2</v>
      </c>
      <c r="B88">
        <v>1</v>
      </c>
      <c r="C88">
        <v>0.248</v>
      </c>
      <c r="D88">
        <f t="shared" ref="D88:D117" si="8">0.0005*C88+0.00005*100</f>
        <v>5.1240000000000001E-3</v>
      </c>
      <c r="F88">
        <f t="shared" ref="F88:G117" si="9">C88/$C$102</f>
        <v>0.77500000000000002</v>
      </c>
      <c r="G88">
        <f t="shared" si="9"/>
        <v>1.6012499999999999E-2</v>
      </c>
    </row>
    <row r="89" spans="1:7" x14ac:dyDescent="0.25">
      <c r="A89">
        <v>4</v>
      </c>
      <c r="B89">
        <v>1</v>
      </c>
      <c r="C89">
        <v>0.14000000000000001</v>
      </c>
      <c r="D89">
        <f t="shared" si="8"/>
        <v>5.0699999999999999E-3</v>
      </c>
      <c r="F89">
        <f t="shared" si="9"/>
        <v>0.43750000000000006</v>
      </c>
      <c r="G89">
        <f t="shared" si="9"/>
        <v>1.584375E-2</v>
      </c>
    </row>
    <row r="90" spans="1:7" x14ac:dyDescent="0.25">
      <c r="A90">
        <v>6</v>
      </c>
      <c r="B90">
        <v>1</v>
      </c>
      <c r="C90">
        <v>8.0000000000000002E-3</v>
      </c>
      <c r="D90">
        <f t="shared" si="8"/>
        <v>5.0039999999999998E-3</v>
      </c>
      <c r="F90">
        <f t="shared" si="9"/>
        <v>2.5000000000000001E-2</v>
      </c>
      <c r="G90">
        <f t="shared" si="9"/>
        <v>1.5637499999999999E-2</v>
      </c>
    </row>
    <row r="91" spans="1:7" x14ac:dyDescent="0.25">
      <c r="A91">
        <v>8</v>
      </c>
      <c r="B91">
        <v>1</v>
      </c>
      <c r="C91">
        <v>0.02</v>
      </c>
      <c r="D91">
        <f t="shared" si="8"/>
        <v>5.0099999999999997E-3</v>
      </c>
      <c r="F91">
        <f t="shared" si="9"/>
        <v>6.25E-2</v>
      </c>
      <c r="G91">
        <f t="shared" si="9"/>
        <v>1.565625E-2</v>
      </c>
    </row>
    <row r="92" spans="1:7" x14ac:dyDescent="0.25">
      <c r="A92">
        <v>10</v>
      </c>
      <c r="B92">
        <v>1</v>
      </c>
      <c r="C92">
        <v>0.11899999999999999</v>
      </c>
      <c r="D92">
        <f t="shared" si="8"/>
        <v>5.0594999999999998E-3</v>
      </c>
      <c r="F92">
        <f t="shared" si="9"/>
        <v>0.37187499999999996</v>
      </c>
      <c r="G92">
        <f t="shared" si="9"/>
        <v>1.58109375E-2</v>
      </c>
    </row>
    <row r="93" spans="1:7" x14ac:dyDescent="0.25">
      <c r="A93">
        <v>12</v>
      </c>
      <c r="B93">
        <v>1</v>
      </c>
      <c r="C93">
        <v>0.14599999999999999</v>
      </c>
      <c r="D93">
        <f t="shared" si="8"/>
        <v>5.0730000000000003E-3</v>
      </c>
      <c r="F93">
        <f t="shared" si="9"/>
        <v>0.45624999999999999</v>
      </c>
      <c r="G93">
        <f t="shared" si="9"/>
        <v>1.5853124999999999E-2</v>
      </c>
    </row>
    <row r="94" spans="1:7" x14ac:dyDescent="0.25">
      <c r="A94">
        <v>14</v>
      </c>
      <c r="B94">
        <v>1</v>
      </c>
      <c r="C94">
        <v>7.9000000000000001E-2</v>
      </c>
      <c r="D94">
        <f t="shared" si="8"/>
        <v>5.0394999999999997E-3</v>
      </c>
      <c r="F94">
        <f t="shared" si="9"/>
        <v>0.24687500000000001</v>
      </c>
      <c r="G94">
        <f t="shared" si="9"/>
        <v>1.57484375E-2</v>
      </c>
    </row>
    <row r="95" spans="1:7" x14ac:dyDescent="0.25">
      <c r="A95">
        <v>16</v>
      </c>
      <c r="B95">
        <v>1</v>
      </c>
      <c r="C95">
        <v>3.3000000000000002E-2</v>
      </c>
      <c r="D95">
        <f t="shared" si="8"/>
        <v>5.0165000000000001E-3</v>
      </c>
      <c r="F95">
        <f t="shared" si="9"/>
        <v>0.10312500000000001</v>
      </c>
      <c r="G95">
        <f t="shared" si="9"/>
        <v>1.5676562500000001E-2</v>
      </c>
    </row>
    <row r="96" spans="1:7" x14ac:dyDescent="0.25">
      <c r="A96">
        <v>18</v>
      </c>
      <c r="B96">
        <v>1</v>
      </c>
      <c r="C96">
        <v>0.06</v>
      </c>
      <c r="D96">
        <f t="shared" si="8"/>
        <v>5.0299999999999997E-3</v>
      </c>
      <c r="F96">
        <f t="shared" si="9"/>
        <v>0.1875</v>
      </c>
      <c r="G96">
        <f t="shared" si="9"/>
        <v>1.571875E-2</v>
      </c>
    </row>
    <row r="97" spans="1:7" x14ac:dyDescent="0.25">
      <c r="A97">
        <v>20</v>
      </c>
      <c r="B97">
        <v>1</v>
      </c>
      <c r="C97">
        <v>0.13800000000000001</v>
      </c>
      <c r="D97">
        <f t="shared" si="8"/>
        <v>5.0689999999999997E-3</v>
      </c>
      <c r="F97">
        <f t="shared" si="9"/>
        <v>0.43125000000000002</v>
      </c>
      <c r="G97">
        <f t="shared" si="9"/>
        <v>1.5840624999999997E-2</v>
      </c>
    </row>
    <row r="98" spans="1:7" x14ac:dyDescent="0.25">
      <c r="A98">
        <v>22</v>
      </c>
      <c r="B98">
        <v>1</v>
      </c>
      <c r="C98">
        <v>0.16200000000000001</v>
      </c>
      <c r="D98">
        <f t="shared" si="8"/>
        <v>5.0810000000000004E-3</v>
      </c>
      <c r="F98">
        <f t="shared" si="9"/>
        <v>0.50624999999999998</v>
      </c>
      <c r="G98">
        <f t="shared" si="9"/>
        <v>1.5878125E-2</v>
      </c>
    </row>
    <row r="99" spans="1:7" x14ac:dyDescent="0.25">
      <c r="A99">
        <v>24</v>
      </c>
      <c r="B99">
        <v>1</v>
      </c>
      <c r="C99">
        <v>4.8000000000000001E-2</v>
      </c>
      <c r="D99">
        <f t="shared" si="8"/>
        <v>5.0239999999999998E-3</v>
      </c>
      <c r="F99">
        <f t="shared" si="9"/>
        <v>0.15</v>
      </c>
      <c r="G99">
        <f t="shared" si="9"/>
        <v>1.5699999999999999E-2</v>
      </c>
    </row>
    <row r="100" spans="1:7" x14ac:dyDescent="0.25">
      <c r="A100">
        <v>26</v>
      </c>
      <c r="B100">
        <v>1</v>
      </c>
      <c r="C100">
        <v>1.6E-2</v>
      </c>
      <c r="D100">
        <f t="shared" si="8"/>
        <v>5.0080000000000003E-3</v>
      </c>
      <c r="F100">
        <f t="shared" si="9"/>
        <v>0.05</v>
      </c>
      <c r="G100">
        <f t="shared" si="9"/>
        <v>1.5650000000000001E-2</v>
      </c>
    </row>
    <row r="101" spans="1:7" x14ac:dyDescent="0.25">
      <c r="A101">
        <v>28</v>
      </c>
      <c r="B101">
        <v>1</v>
      </c>
      <c r="C101">
        <v>0.105</v>
      </c>
      <c r="D101">
        <f t="shared" si="8"/>
        <v>5.0524999999999997E-3</v>
      </c>
      <c r="F101">
        <f t="shared" si="9"/>
        <v>0.328125</v>
      </c>
      <c r="G101">
        <f t="shared" si="9"/>
        <v>1.5789062499999999E-2</v>
      </c>
    </row>
    <row r="102" spans="1:7" x14ac:dyDescent="0.25">
      <c r="A102">
        <v>30</v>
      </c>
      <c r="B102">
        <v>1</v>
      </c>
      <c r="C102">
        <v>0.32</v>
      </c>
      <c r="D102">
        <f t="shared" si="8"/>
        <v>5.1600000000000005E-3</v>
      </c>
      <c r="F102">
        <f t="shared" si="9"/>
        <v>1</v>
      </c>
      <c r="G102">
        <f t="shared" si="9"/>
        <v>1.6125E-2</v>
      </c>
    </row>
    <row r="103" spans="1:7" x14ac:dyDescent="0.25">
      <c r="A103">
        <v>32</v>
      </c>
      <c r="B103">
        <v>1</v>
      </c>
      <c r="C103">
        <v>0.24</v>
      </c>
      <c r="D103">
        <f t="shared" si="8"/>
        <v>5.1200000000000004E-3</v>
      </c>
      <c r="F103">
        <f t="shared" si="9"/>
        <v>0.75</v>
      </c>
      <c r="G103">
        <f t="shared" si="9"/>
        <v>1.6E-2</v>
      </c>
    </row>
    <row r="104" spans="1:7" x14ac:dyDescent="0.25">
      <c r="A104">
        <v>34</v>
      </c>
      <c r="B104">
        <v>1</v>
      </c>
      <c r="C104">
        <v>2.5000000000000001E-2</v>
      </c>
      <c r="D104">
        <f t="shared" si="8"/>
        <v>5.0125000000000005E-3</v>
      </c>
      <c r="F104">
        <f t="shared" si="9"/>
        <v>7.8125E-2</v>
      </c>
      <c r="G104">
        <f t="shared" si="9"/>
        <v>1.5664062500000003E-2</v>
      </c>
    </row>
    <row r="105" spans="1:7" x14ac:dyDescent="0.25">
      <c r="A105">
        <v>36</v>
      </c>
      <c r="B105">
        <v>1</v>
      </c>
      <c r="C105">
        <v>3.4000000000000002E-2</v>
      </c>
      <c r="D105">
        <f t="shared" si="8"/>
        <v>5.0169999999999998E-3</v>
      </c>
      <c r="F105">
        <f t="shared" si="9"/>
        <v>0.10625000000000001</v>
      </c>
      <c r="G105">
        <f t="shared" si="9"/>
        <v>1.5678124999999998E-2</v>
      </c>
    </row>
    <row r="106" spans="1:7" x14ac:dyDescent="0.25">
      <c r="A106">
        <v>38</v>
      </c>
      <c r="B106">
        <v>1</v>
      </c>
      <c r="C106">
        <v>8.0000000000000002E-3</v>
      </c>
      <c r="D106">
        <f t="shared" si="8"/>
        <v>5.0039999999999998E-3</v>
      </c>
      <c r="F106">
        <f t="shared" si="9"/>
        <v>2.5000000000000001E-2</v>
      </c>
      <c r="G106">
        <f t="shared" si="9"/>
        <v>1.5637499999999999E-2</v>
      </c>
    </row>
    <row r="107" spans="1:7" x14ac:dyDescent="0.25">
      <c r="A107">
        <v>40</v>
      </c>
      <c r="B107">
        <v>1</v>
      </c>
      <c r="C107">
        <v>2.4E-2</v>
      </c>
      <c r="D107">
        <f t="shared" si="8"/>
        <v>5.012E-3</v>
      </c>
      <c r="F107">
        <f t="shared" si="9"/>
        <v>7.4999999999999997E-2</v>
      </c>
      <c r="G107">
        <f t="shared" si="9"/>
        <v>1.5662499999999999E-2</v>
      </c>
    </row>
    <row r="108" spans="1:7" x14ac:dyDescent="0.25">
      <c r="A108">
        <v>42</v>
      </c>
      <c r="B108">
        <v>1</v>
      </c>
      <c r="C108">
        <v>4.4999999999999998E-2</v>
      </c>
      <c r="D108">
        <f t="shared" si="8"/>
        <v>5.0225000000000001E-3</v>
      </c>
      <c r="F108">
        <f t="shared" si="9"/>
        <v>0.140625</v>
      </c>
      <c r="G108">
        <f t="shared" si="9"/>
        <v>1.5695312499999999E-2</v>
      </c>
    </row>
    <row r="109" spans="1:7" x14ac:dyDescent="0.25">
      <c r="A109">
        <v>44</v>
      </c>
      <c r="B109">
        <v>1</v>
      </c>
      <c r="C109">
        <v>1.7999999999999999E-2</v>
      </c>
      <c r="D109">
        <f t="shared" si="8"/>
        <v>5.0090000000000004E-3</v>
      </c>
      <c r="F109">
        <f t="shared" si="9"/>
        <v>5.6249999999999994E-2</v>
      </c>
      <c r="G109">
        <f t="shared" si="9"/>
        <v>1.5653125E-2</v>
      </c>
    </row>
    <row r="110" spans="1:7" x14ac:dyDescent="0.25">
      <c r="A110">
        <v>46</v>
      </c>
      <c r="B110">
        <v>1</v>
      </c>
      <c r="C110">
        <v>4.2999999999999997E-2</v>
      </c>
      <c r="D110">
        <f t="shared" si="8"/>
        <v>5.0214999999999999E-3</v>
      </c>
      <c r="F110">
        <f t="shared" si="9"/>
        <v>0.13437499999999999</v>
      </c>
      <c r="G110">
        <f t="shared" si="9"/>
        <v>1.56921875E-2</v>
      </c>
    </row>
    <row r="111" spans="1:7" x14ac:dyDescent="0.25">
      <c r="A111">
        <v>48</v>
      </c>
      <c r="B111">
        <v>1</v>
      </c>
      <c r="C111">
        <v>0.08</v>
      </c>
      <c r="D111">
        <f t="shared" si="8"/>
        <v>5.0400000000000002E-3</v>
      </c>
      <c r="F111">
        <f t="shared" si="9"/>
        <v>0.25</v>
      </c>
      <c r="G111">
        <f t="shared" si="9"/>
        <v>1.575E-2</v>
      </c>
    </row>
    <row r="112" spans="1:7" x14ac:dyDescent="0.25">
      <c r="A112">
        <v>50</v>
      </c>
      <c r="B112">
        <v>1</v>
      </c>
      <c r="C112">
        <v>0.20100000000000001</v>
      </c>
      <c r="D112">
        <f t="shared" si="8"/>
        <v>5.1005E-3</v>
      </c>
      <c r="F112">
        <f t="shared" si="9"/>
        <v>0.62812500000000004</v>
      </c>
      <c r="G112">
        <f t="shared" si="9"/>
        <v>1.59390625E-2</v>
      </c>
    </row>
    <row r="113" spans="1:7" x14ac:dyDescent="0.25">
      <c r="A113">
        <v>52</v>
      </c>
      <c r="B113">
        <v>1</v>
      </c>
      <c r="C113">
        <v>0.17599999999999999</v>
      </c>
      <c r="D113">
        <f t="shared" si="8"/>
        <v>5.0880000000000005E-3</v>
      </c>
      <c r="F113">
        <f t="shared" si="9"/>
        <v>0.54999999999999993</v>
      </c>
      <c r="G113">
        <f t="shared" si="9"/>
        <v>1.5900000000000001E-2</v>
      </c>
    </row>
    <row r="114" spans="1:7" x14ac:dyDescent="0.25">
      <c r="A114">
        <v>54</v>
      </c>
      <c r="B114">
        <v>1</v>
      </c>
      <c r="C114">
        <v>0.13400000000000001</v>
      </c>
      <c r="D114">
        <f t="shared" si="8"/>
        <v>5.0670000000000003E-3</v>
      </c>
      <c r="F114">
        <f t="shared" si="9"/>
        <v>0.41875000000000001</v>
      </c>
      <c r="G114">
        <f t="shared" si="9"/>
        <v>1.5834375000000001E-2</v>
      </c>
    </row>
    <row r="115" spans="1:7" x14ac:dyDescent="0.25">
      <c r="A115">
        <v>56</v>
      </c>
      <c r="B115">
        <v>1</v>
      </c>
      <c r="C115">
        <v>0.124</v>
      </c>
      <c r="D115">
        <f t="shared" si="8"/>
        <v>5.0620000000000005E-3</v>
      </c>
      <c r="F115">
        <f t="shared" si="9"/>
        <v>0.38750000000000001</v>
      </c>
      <c r="G115">
        <f t="shared" si="9"/>
        <v>1.5818750000000003E-2</v>
      </c>
    </row>
    <row r="116" spans="1:7" x14ac:dyDescent="0.25">
      <c r="A116">
        <v>58</v>
      </c>
      <c r="B116">
        <v>1</v>
      </c>
      <c r="C116">
        <v>4.9000000000000002E-2</v>
      </c>
      <c r="D116">
        <f t="shared" si="8"/>
        <v>5.0245000000000003E-3</v>
      </c>
      <c r="F116">
        <f t="shared" si="9"/>
        <v>0.15312500000000001</v>
      </c>
      <c r="G116">
        <f t="shared" si="9"/>
        <v>1.5701562500000002E-2</v>
      </c>
    </row>
    <row r="117" spans="1:7" x14ac:dyDescent="0.25">
      <c r="A117">
        <v>60</v>
      </c>
      <c r="B117">
        <v>1</v>
      </c>
      <c r="C117">
        <v>1.2999999999999999E-2</v>
      </c>
      <c r="D117">
        <f t="shared" si="8"/>
        <v>5.0065000000000005E-3</v>
      </c>
      <c r="F117">
        <f t="shared" si="9"/>
        <v>4.0624999999999994E-2</v>
      </c>
      <c r="G117">
        <f t="shared" si="9"/>
        <v>1.5645312500000001E-2</v>
      </c>
    </row>
  </sheetData>
  <mergeCells count="5">
    <mergeCell ref="A1:C1"/>
    <mergeCell ref="A40:C40"/>
    <mergeCell ref="A60:D60"/>
    <mergeCell ref="J61:K61"/>
    <mergeCell ref="A85:C85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FCFC-15AE-476E-A30E-EB9A7DB1EB71}">
  <dimension ref="A1:L29"/>
  <sheetViews>
    <sheetView workbookViewId="0">
      <selection activeCell="B29" sqref="B29"/>
    </sheetView>
  </sheetViews>
  <sheetFormatPr baseColWidth="10" defaultRowHeight="15" x14ac:dyDescent="0.25"/>
  <cols>
    <col min="4" max="4" width="12" bestFit="1" customWidth="1"/>
    <col min="5" max="5" width="11.7109375" bestFit="1" customWidth="1"/>
    <col min="6" max="6" width="12.7109375" bestFit="1" customWidth="1"/>
    <col min="7" max="7" width="14.85546875" customWidth="1"/>
    <col min="8" max="8" width="16.28515625" customWidth="1"/>
  </cols>
  <sheetData>
    <row r="1" spans="1:12" x14ac:dyDescent="0.25">
      <c r="F1" t="s">
        <v>31</v>
      </c>
    </row>
    <row r="2" spans="1:12" x14ac:dyDescent="0.25">
      <c r="A2" t="s">
        <v>25</v>
      </c>
      <c r="C2" t="s">
        <v>33</v>
      </c>
      <c r="G2" t="s">
        <v>27</v>
      </c>
      <c r="H2" t="s">
        <v>28</v>
      </c>
      <c r="I2" t="s">
        <v>29</v>
      </c>
      <c r="J2" t="s">
        <v>26</v>
      </c>
    </row>
    <row r="3" spans="1:12" x14ac:dyDescent="0.25">
      <c r="A3" t="s">
        <v>27</v>
      </c>
      <c r="B3">
        <v>-1.8165199999999999</v>
      </c>
      <c r="C3">
        <f>SQRT(G3)</f>
        <v>1.7832077837425453</v>
      </c>
      <c r="F3" t="s">
        <v>27</v>
      </c>
      <c r="G3">
        <v>3.1798299999999999</v>
      </c>
      <c r="H3">
        <f>G4</f>
        <v>2.3599999999999999E-2</v>
      </c>
      <c r="I3">
        <f>G5</f>
        <v>-100.87657</v>
      </c>
      <c r="J3">
        <f>G6</f>
        <v>-1051.3805600000001</v>
      </c>
    </row>
    <row r="4" spans="1:12" x14ac:dyDescent="0.25">
      <c r="A4" t="s">
        <v>28</v>
      </c>
      <c r="B4">
        <v>65.197140000000005</v>
      </c>
      <c r="C4">
        <f>SQRT(H4)</f>
        <v>0.69636915497457241</v>
      </c>
      <c r="F4" t="s">
        <v>28</v>
      </c>
      <c r="G4">
        <v>2.3599999999999999E-2</v>
      </c>
      <c r="H4">
        <v>0.48493000000000003</v>
      </c>
      <c r="I4">
        <f>H5</f>
        <v>-0.70947000000000005</v>
      </c>
      <c r="J4">
        <f>H6</f>
        <v>-7.6584500000000002</v>
      </c>
    </row>
    <row r="5" spans="1:12" x14ac:dyDescent="0.25">
      <c r="A5" t="s">
        <v>29</v>
      </c>
      <c r="B5">
        <v>128.00452000000001</v>
      </c>
      <c r="C5">
        <f>SQRT(I5)</f>
        <v>56.760573111976235</v>
      </c>
      <c r="F5" t="s">
        <v>29</v>
      </c>
      <c r="G5">
        <v>-100.87657</v>
      </c>
      <c r="H5">
        <v>-0.70947000000000005</v>
      </c>
      <c r="I5">
        <v>3221.7626599999999</v>
      </c>
      <c r="J5">
        <f>I6</f>
        <v>33427.216639999999</v>
      </c>
    </row>
    <row r="6" spans="1:12" x14ac:dyDescent="0.25">
      <c r="A6" t="s">
        <v>26</v>
      </c>
      <c r="B6">
        <v>530.13100999999995</v>
      </c>
      <c r="C6">
        <f>SQRT(J6)</f>
        <v>589.82078097503484</v>
      </c>
      <c r="F6" t="s">
        <v>26</v>
      </c>
      <c r="G6">
        <v>-1051.3805600000001</v>
      </c>
      <c r="H6">
        <v>-7.6584500000000002</v>
      </c>
      <c r="I6">
        <v>33427.216639999999</v>
      </c>
      <c r="J6">
        <v>347888.55366999999</v>
      </c>
    </row>
    <row r="11" spans="1:12" x14ac:dyDescent="0.25">
      <c r="B11" t="s">
        <v>30</v>
      </c>
      <c r="D11" t="s">
        <v>32</v>
      </c>
      <c r="E11" t="s">
        <v>34</v>
      </c>
      <c r="F11" t="s">
        <v>35</v>
      </c>
      <c r="G11" t="s">
        <v>36</v>
      </c>
      <c r="H11" t="s">
        <v>37</v>
      </c>
      <c r="J11" t="s">
        <v>39</v>
      </c>
      <c r="L11" t="s">
        <v>38</v>
      </c>
    </row>
    <row r="12" spans="1:12" x14ac:dyDescent="0.25">
      <c r="B12">
        <v>27.5</v>
      </c>
      <c r="D12">
        <f>-(16*$B$6*$B$5*($B$5^2-12*(B12-$B$4)^2))/(PI()*($B$5^2+4*(B12-$B$4)^2)^3)</f>
        <v>2.1468816941231848E-5</v>
      </c>
      <c r="E12">
        <f>4*$B$6*$B$5/PI()*($B$5^2-12*(B12-$B$4)^2)/(($B$5^2+4*(B12-$B$4)^2)^3)</f>
        <v>-5.367204235307962E-6</v>
      </c>
      <c r="F12">
        <f>-2/PI()*($B$5^2-4*(B12-$B$4)^2)/(($B$5^2+4*(B12-$B$4)^2)^2)</f>
        <v>-1.398671067208032E-5</v>
      </c>
      <c r="G12">
        <f>16*$B$5/PI()*(B12-$B$4)/(($B$5^2+4*(B12-$B$4)^2)^2)</f>
        <v>-5.0456906057755014E-5</v>
      </c>
      <c r="H12">
        <f>16*$B$6/PI()*(B12-$B$4)*(-3*$B$5^2+4*(B12-$B$4)^2)/(($B$5^2+4*(B12-$B$4)^2)^3)</f>
        <v>4.116122473009357E-4</v>
      </c>
      <c r="J12">
        <f>D12*$C$4^2+E12*$C$5^2+2*(G12*$H$6+F12*$I$6+H12*$H$5)</f>
        <v>-0.95216627245155661</v>
      </c>
      <c r="L12">
        <f>SQRT(-1*J12)</f>
        <v>0.97579007601612577</v>
      </c>
    </row>
    <row r="13" spans="1:12" x14ac:dyDescent="0.25">
      <c r="B13">
        <v>32.5</v>
      </c>
      <c r="D13">
        <f t="shared" ref="D13:D27" si="0">-(16*$B$6*$B$5*($B$5^2-12*(B13-$B$4)^2))/(PI()*($B$5^2+4*(B13-$B$4)^2)^3)</f>
        <v>-1.393288024606388E-4</v>
      </c>
      <c r="E13">
        <f t="shared" ref="E13:E27" si="1">4*$B$6*$B$5/PI()*($B$5^2-12*(B13-$B$4)^2)/(($B$5^2+4*(B13-$B$4)^2)^3)</f>
        <v>3.4832200615159706E-5</v>
      </c>
      <c r="F13">
        <f t="shared" ref="F13:F27" si="2">-2/PI()*($B$5^2-4*(B13-$B$4)^2)/(($B$5^2+4*(B13-$B$4)^2)^2)</f>
        <v>-1.8057294072874687E-5</v>
      </c>
      <c r="G13">
        <f t="shared" ref="G13:G27" si="3">16*$B$5/PI()*(B13-$B$4)/(($B$5^2+4*(B13-$B$4)^2)^2)</f>
        <v>-4.9931956841628805E-5</v>
      </c>
      <c r="H13">
        <f t="shared" ref="H13:H27" si="4">16*$B$6/PI()*(B13-$B$4)*(-3*$B$5^2+4*(B13-$B$4)^2)/(($B$5^2+4*(B13-$B$4)^2)^3)</f>
        <v>4.4917641020446791E-4</v>
      </c>
      <c r="J13">
        <f t="shared" ref="J13:J27" si="5">D13*$C$4^2+E13*$C$5^2+2*(G13*$H$6+F13*$I$6+H13*$H$5)</f>
        <v>-1.0949291948067148</v>
      </c>
      <c r="L13">
        <f t="shared" ref="L13:L27" si="6">SQRT(-1*J13)</f>
        <v>1.0463886442458723</v>
      </c>
    </row>
    <row r="14" spans="1:12" x14ac:dyDescent="0.25">
      <c r="B14">
        <v>37.5</v>
      </c>
      <c r="D14">
        <f t="shared" si="0"/>
        <v>-3.3703269577775764E-4</v>
      </c>
      <c r="E14">
        <f t="shared" si="1"/>
        <v>8.425817394443941E-5</v>
      </c>
      <c r="F14">
        <f t="shared" si="2"/>
        <v>-2.2401174945117252E-5</v>
      </c>
      <c r="G14">
        <f t="shared" si="3"/>
        <v>-4.7711893726842625E-5</v>
      </c>
      <c r="H14">
        <f t="shared" si="4"/>
        <v>4.6812370829078093E-4</v>
      </c>
      <c r="J14">
        <f t="shared" si="5"/>
        <v>-1.2262548955627501</v>
      </c>
      <c r="L14">
        <f t="shared" si="6"/>
        <v>1.1073639399776165</v>
      </c>
    </row>
    <row r="15" spans="1:12" x14ac:dyDescent="0.25">
      <c r="B15">
        <v>42.5</v>
      </c>
      <c r="D15">
        <f t="shared" si="0"/>
        <v>-5.6185492264302858E-4</v>
      </c>
      <c r="E15">
        <f t="shared" si="1"/>
        <v>1.4046373066075714E-4</v>
      </c>
      <c r="F15">
        <f t="shared" si="2"/>
        <v>-2.6801876846747883E-5</v>
      </c>
      <c r="G15">
        <f t="shared" si="3"/>
        <v>-4.3488223260687574E-5</v>
      </c>
      <c r="H15">
        <f t="shared" si="4"/>
        <v>4.5983853757277927E-4</v>
      </c>
      <c r="J15">
        <f t="shared" si="5"/>
        <v>-1.3395423237378379</v>
      </c>
      <c r="L15">
        <f t="shared" si="6"/>
        <v>1.1573859873602401</v>
      </c>
    </row>
    <row r="16" spans="1:12" x14ac:dyDescent="0.25">
      <c r="B16">
        <v>47.5</v>
      </c>
      <c r="D16">
        <f t="shared" si="0"/>
        <v>-7.9530472064301351E-4</v>
      </c>
      <c r="E16">
        <f t="shared" si="1"/>
        <v>1.9882618016075343E-4</v>
      </c>
      <c r="F16">
        <f t="shared" si="2"/>
        <v>-3.0966608446339957E-5</v>
      </c>
      <c r="G16">
        <f t="shared" si="3"/>
        <v>-3.7085500902857686E-5</v>
      </c>
      <c r="H16">
        <f t="shared" si="4"/>
        <v>4.1713345031766069E-4</v>
      </c>
      <c r="J16">
        <f t="shared" si="5"/>
        <v>-1.4300938147587674</v>
      </c>
      <c r="L16">
        <f t="shared" si="6"/>
        <v>1.1958652995880295</v>
      </c>
    </row>
    <row r="17" spans="2:12" x14ac:dyDescent="0.25">
      <c r="B17">
        <v>52.5</v>
      </c>
      <c r="D17">
        <f t="shared" si="0"/>
        <v>-1.0111532584876196E-3</v>
      </c>
      <c r="E17">
        <f t="shared" si="1"/>
        <v>2.5278831462190491E-4</v>
      </c>
      <c r="F17">
        <f t="shared" si="2"/>
        <v>-3.455112049634662E-5</v>
      </c>
      <c r="G17">
        <f t="shared" si="3"/>
        <v>-2.8541097626138646E-5</v>
      </c>
      <c r="H17">
        <f t="shared" si="4"/>
        <v>3.3670526874035746E-4</v>
      </c>
      <c r="J17">
        <f t="shared" si="5"/>
        <v>-1.4960025690244954</v>
      </c>
      <c r="L17">
        <f t="shared" si="6"/>
        <v>1.2231118383142627</v>
      </c>
    </row>
    <row r="18" spans="2:12" x14ac:dyDescent="0.25">
      <c r="B18">
        <v>57.5</v>
      </c>
      <c r="D18">
        <f t="shared" si="0"/>
        <v>-1.1795144807625604E-3</v>
      </c>
      <c r="E18">
        <f t="shared" si="1"/>
        <v>2.9487862019064015E-4</v>
      </c>
      <c r="F18">
        <f t="shared" si="2"/>
        <v>-3.7207423740369024E-5</v>
      </c>
      <c r="G18">
        <f t="shared" si="3"/>
        <v>-1.816146497163968E-5</v>
      </c>
      <c r="H18">
        <f t="shared" si="4"/>
        <v>2.2135780539192412E-4</v>
      </c>
      <c r="J18">
        <f t="shared" si="5"/>
        <v>-1.5380601982673774</v>
      </c>
      <c r="L18">
        <f t="shared" si="6"/>
        <v>1.240185549934919</v>
      </c>
    </row>
    <row r="19" spans="2:12" x14ac:dyDescent="0.25">
      <c r="B19">
        <v>62.5</v>
      </c>
      <c r="D19">
        <f t="shared" si="0"/>
        <v>-1.2736371280935243E-3</v>
      </c>
      <c r="E19">
        <f t="shared" si="1"/>
        <v>3.1840928202338107E-4</v>
      </c>
      <c r="F19">
        <f t="shared" si="2"/>
        <v>-3.8647055897483478E-5</v>
      </c>
      <c r="G19">
        <f t="shared" si="3"/>
        <v>-6.5261421949545727E-6</v>
      </c>
      <c r="H19">
        <f t="shared" si="4"/>
        <v>8.0892443095727709E-5</v>
      </c>
      <c r="J19">
        <f t="shared" si="5"/>
        <v>-1.5585203306547482</v>
      </c>
      <c r="L19">
        <f t="shared" si="6"/>
        <v>1.248407117351847</v>
      </c>
    </row>
    <row r="20" spans="2:12" x14ac:dyDescent="0.25">
      <c r="B20">
        <v>67.5</v>
      </c>
      <c r="D20">
        <f t="shared" si="0"/>
        <v>-1.2773258903346482E-3</v>
      </c>
      <c r="E20">
        <f t="shared" si="1"/>
        <v>3.193314725836621E-4</v>
      </c>
      <c r="F20">
        <f t="shared" si="2"/>
        <v>-3.8702866141375361E-5</v>
      </c>
      <c r="G20">
        <f t="shared" si="3"/>
        <v>5.577479197111557E-6</v>
      </c>
      <c r="H20">
        <f t="shared" si="4"/>
        <v>-6.9177963870756422E-5</v>
      </c>
      <c r="J20">
        <f t="shared" si="5"/>
        <v>-1.5592546516155532</v>
      </c>
      <c r="L20">
        <f t="shared" si="6"/>
        <v>1.2487011858789729</v>
      </c>
    </row>
    <row r="21" spans="2:12" x14ac:dyDescent="0.25">
      <c r="B21">
        <v>72.5</v>
      </c>
      <c r="D21">
        <f t="shared" si="0"/>
        <v>-1.1899284691192632E-3</v>
      </c>
      <c r="E21">
        <f t="shared" si="1"/>
        <v>2.9748211727981586E-4</v>
      </c>
      <c r="F21">
        <f t="shared" si="2"/>
        <v>-3.7368221961336862E-5</v>
      </c>
      <c r="G21">
        <f t="shared" si="3"/>
        <v>1.728031010143732E-5</v>
      </c>
      <c r="H21">
        <f t="shared" si="4"/>
        <v>-2.1102018518071575E-4</v>
      </c>
      <c r="J21">
        <f t="shared" si="5"/>
        <v>-1.540356812249337</v>
      </c>
      <c r="L21">
        <f t="shared" si="6"/>
        <v>1.2411111200248497</v>
      </c>
    </row>
    <row r="22" spans="2:12" x14ac:dyDescent="0.25">
      <c r="B22">
        <v>77.5</v>
      </c>
      <c r="D22">
        <f t="shared" si="0"/>
        <v>-1.0265434664149971E-3</v>
      </c>
      <c r="E22">
        <f t="shared" si="1"/>
        <v>2.5663586660374928E-4</v>
      </c>
      <c r="F22">
        <f t="shared" si="2"/>
        <v>-3.4798613243760163E-5</v>
      </c>
      <c r="G22">
        <f t="shared" si="3"/>
        <v>2.7783319790700466E-5</v>
      </c>
      <c r="H22">
        <f t="shared" si="4"/>
        <v>-3.2879322788611256E-4</v>
      </c>
      <c r="J22">
        <f t="shared" si="5"/>
        <v>-1.5000785332920814</v>
      </c>
      <c r="L22">
        <f t="shared" si="6"/>
        <v>1.224776932054193</v>
      </c>
    </row>
    <row r="23" spans="2:12" x14ac:dyDescent="0.25">
      <c r="B23">
        <v>82.5</v>
      </c>
      <c r="D23">
        <f t="shared" si="0"/>
        <v>-8.1334730960699658E-4</v>
      </c>
      <c r="E23">
        <f t="shared" si="1"/>
        <v>2.0333682740174917E-4</v>
      </c>
      <c r="F23">
        <f t="shared" si="2"/>
        <v>-3.1275015660622336E-5</v>
      </c>
      <c r="G23">
        <f t="shared" si="3"/>
        <v>3.648728381950674E-5</v>
      </c>
      <c r="H23">
        <f t="shared" si="4"/>
        <v>-4.1216760061511918E-4</v>
      </c>
      <c r="J23">
        <f t="shared" si="5"/>
        <v>-1.4361388973813765</v>
      </c>
      <c r="L23">
        <f t="shared" si="6"/>
        <v>1.1983901273714568</v>
      </c>
    </row>
    <row r="24" spans="2:12" x14ac:dyDescent="0.25">
      <c r="B24">
        <v>87.5</v>
      </c>
      <c r="D24">
        <f t="shared" si="0"/>
        <v>-5.8025099479163647E-4</v>
      </c>
      <c r="E24">
        <f t="shared" si="1"/>
        <v>1.4506274869790915E-4</v>
      </c>
      <c r="F24">
        <f t="shared" si="2"/>
        <v>-2.7143131118485922E-5</v>
      </c>
      <c r="G24">
        <f t="shared" si="3"/>
        <v>4.3063511178438707E-5</v>
      </c>
      <c r="H24">
        <f t="shared" si="4"/>
        <v>-4.5779525638659158E-4</v>
      </c>
      <c r="J24">
        <f t="shared" si="5"/>
        <v>-1.3475722978673979</v>
      </c>
      <c r="L24">
        <f t="shared" si="6"/>
        <v>1.1608498171027111</v>
      </c>
    </row>
    <row r="25" spans="2:12" x14ac:dyDescent="0.25">
      <c r="B25">
        <v>92.5</v>
      </c>
      <c r="D25">
        <f t="shared" si="0"/>
        <v>-3.5396223452374259E-4</v>
      </c>
      <c r="E25">
        <f t="shared" si="1"/>
        <v>8.8490558630935646E-5</v>
      </c>
      <c r="F25">
        <f t="shared" si="2"/>
        <v>-2.2749513576344472E-5</v>
      </c>
      <c r="G25">
        <f t="shared" si="3"/>
        <v>4.7454943730193957E-5</v>
      </c>
      <c r="H25">
        <f t="shared" si="4"/>
        <v>-4.6856826487729234E-4</v>
      </c>
      <c r="J25">
        <f t="shared" si="5"/>
        <v>-1.2360438992627301</v>
      </c>
      <c r="L25">
        <f t="shared" si="6"/>
        <v>1.1117751118201604</v>
      </c>
    </row>
    <row r="26" spans="2:12" x14ac:dyDescent="0.25">
      <c r="B26">
        <v>97.5</v>
      </c>
      <c r="D26">
        <f t="shared" si="0"/>
        <v>-1.5365458367077499E-4</v>
      </c>
      <c r="E26">
        <f t="shared" si="1"/>
        <v>3.8413645917693754E-5</v>
      </c>
      <c r="F26">
        <f t="shared" si="2"/>
        <v>-1.8392221381325977E-5</v>
      </c>
      <c r="G26">
        <f t="shared" si="3"/>
        <v>4.9823019387861258E-5</v>
      </c>
      <c r="H26">
        <f t="shared" si="4"/>
        <v>-4.5146013346519516E-4</v>
      </c>
      <c r="J26">
        <f t="shared" si="5"/>
        <v>-1.1060389382379021</v>
      </c>
      <c r="L26">
        <f t="shared" si="6"/>
        <v>1.0516838585040194</v>
      </c>
    </row>
    <row r="27" spans="2:12" x14ac:dyDescent="0.25">
      <c r="B27">
        <v>102.5</v>
      </c>
      <c r="D27">
        <f t="shared" si="0"/>
        <v>1.0223223500466881E-5</v>
      </c>
      <c r="E27">
        <f t="shared" si="1"/>
        <v>-2.5558058751167207E-6</v>
      </c>
      <c r="F27">
        <f t="shared" si="2"/>
        <v>-1.4294127169489006E-5</v>
      </c>
      <c r="G27">
        <f t="shared" si="3"/>
        <v>5.0468706703495635E-5</v>
      </c>
      <c r="H27">
        <f t="shared" si="4"/>
        <v>-4.150532921903788E-4</v>
      </c>
      <c r="J27">
        <f t="shared" si="5"/>
        <v>-0.9640391019506116</v>
      </c>
      <c r="L27">
        <f t="shared" si="6"/>
        <v>0.98185492917773332</v>
      </c>
    </row>
    <row r="29" spans="2:12" x14ac:dyDescent="0.25">
      <c r="B29">
        <v>65.2</v>
      </c>
      <c r="D29">
        <f>-(16*$B$6*$B$5*($B$5^2-12*(B29-$B$4)^2))/(PI()*($B$5^2+4*(B29-$B$4)^2)^3)</f>
        <v>-1.2872929700725622E-3</v>
      </c>
      <c r="E29">
        <f t="shared" ref="E29" si="7">4*$B$6*$B$5/PI()*($B$5^2-12*(B29-$B$4)^2)/(($B$5^2+4*(B29-$B$4)^2)^3)</f>
        <v>3.218232425181406E-4</v>
      </c>
      <c r="F29">
        <f t="shared" ref="F29" si="8">-2/PI()*($B$5^2-4*(B29-$B$4)^2)/(($B$5^2+4*(B29-$B$4)^2)^2)</f>
        <v>-3.885344297266784E-5</v>
      </c>
      <c r="G29">
        <f t="shared" ref="G29" si="9">16*$B$5/PI()*(B29-$B$4)/(($B$5^2+4*(B29-$B$4)^2)^2)</f>
        <v>6.9448077067062248E-9</v>
      </c>
      <c r="H29">
        <f t="shared" ref="H29" si="10">16*$B$6/PI()*(B29-$B$4)*(-3*$B$5^2+4*(B29-$B$4)^2)/(($B$5^2+4*(B29-$B$4)^2)^3)</f>
        <v>-8.6285810391924098E-8</v>
      </c>
      <c r="J29">
        <f t="shared" ref="J29" si="11">D29*$C$4^2+E29*$C$5^2+2*(G29*$H$6+F29*$I$6+H29*$H$5)</f>
        <v>-1.5613110359679518</v>
      </c>
      <c r="L29" s="1">
        <f t="shared" ref="L29" si="12">SQRT(-1*J29)</f>
        <v>1.2495243238800724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Fehlerrechnung Bildweite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2022-09-14T12:17:30Z</dcterms:created>
  <dcterms:modified xsi:type="dcterms:W3CDTF">2022-09-29T14:23:00Z</dcterms:modified>
</cp:coreProperties>
</file>