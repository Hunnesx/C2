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bo1\Nextcloud\Physik\Experimentalphysik\Physikalisches Praktikum\C\C42\Jonas und Jonathan\"/>
    </mc:Choice>
  </mc:AlternateContent>
  <xr:revisionPtr revIDLastSave="0" documentId="13_ncr:1_{6643DE6F-29C2-4E80-BE55-9A466C6C1A8A}" xr6:coauthVersionLast="47" xr6:coauthVersionMax="47" xr10:uidLastSave="{00000000-0000-0000-0000-000000000000}"/>
  <bookViews>
    <workbookView xWindow="-110" yWindow="-110" windowWidth="19420" windowHeight="10420" firstSheet="4" activeTab="6" xr2:uid="{51D9366B-E585-4316-8642-DFE357882190}"/>
  </bookViews>
  <sheets>
    <sheet name="Winkelverteilung" sheetId="1" r:id="rId1"/>
    <sheet name="Brennweite Wachslinse" sheetId="2" r:id="rId2"/>
    <sheet name="Wellenlänge stehende Wellen" sheetId="3" r:id="rId3"/>
    <sheet name="Wellenlänge Interferometer" sheetId="4" r:id="rId4"/>
    <sheet name="Totalreflexion und Tunneleffekt" sheetId="5" r:id="rId5"/>
    <sheet name="Polarisation von Mikrowellen" sheetId="6" r:id="rId6"/>
    <sheet name="Gitterkonstante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4" l="1"/>
  <c r="C10" i="4"/>
  <c r="C10" i="3"/>
  <c r="C9" i="3"/>
</calcChain>
</file>

<file path=xl/sharedStrings.xml><?xml version="1.0" encoding="utf-8"?>
<sst xmlns="http://schemas.openxmlformats.org/spreadsheetml/2006/main" count="165" uniqueCount="58">
  <si>
    <t>Winkelverteilung der Strahlung:</t>
  </si>
  <si>
    <t>Winkel [Grad]</t>
  </si>
  <si>
    <t>Winkelfehler [Grad]</t>
  </si>
  <si>
    <t>Diodenspannung [V]</t>
  </si>
  <si>
    <t>Spannungsfehler [V]</t>
  </si>
  <si>
    <t>Versuchsteil 1:</t>
  </si>
  <si>
    <t>Versuchsteil 2:</t>
  </si>
  <si>
    <t>Brennweite einer Wachslinse:</t>
  </si>
  <si>
    <t>Positionsfehler:</t>
  </si>
  <si>
    <t>Positionsfehler [cm]</t>
  </si>
  <si>
    <t>Empfängerposition [cm]</t>
  </si>
  <si>
    <t>Spannung [V]</t>
  </si>
  <si>
    <t>Wellenlängenbestimmung mit stehenden Wellen</t>
  </si>
  <si>
    <t>Wellenlängenbestimmung mit Interferometer</t>
  </si>
  <si>
    <t>Position 1 [cm]</t>
  </si>
  <si>
    <t>Position 2 [cm]</t>
  </si>
  <si>
    <t>Anzahl Knoten (ohne Startknoten)</t>
  </si>
  <si>
    <t>Wellenlänge [cm]</t>
  </si>
  <si>
    <t>Fehler Wellenlänge [cm]</t>
  </si>
  <si>
    <t>Wellenlängenfehler [cm]</t>
  </si>
  <si>
    <t>Totalreflexion und Tunneleffekt:</t>
  </si>
  <si>
    <t>d[cm]</t>
  </si>
  <si>
    <t>Fehler d [cm]</t>
  </si>
  <si>
    <t>Spannung in Pos. A [V]</t>
  </si>
  <si>
    <t>Spannung in Pos. B [V]</t>
  </si>
  <si>
    <t>Spannungsfehler A [V]</t>
  </si>
  <si>
    <t>Spannungsfehler B [V]</t>
  </si>
  <si>
    <t>Polarisation von Mikrowellen:</t>
  </si>
  <si>
    <t>Empfängerspannung [V]</t>
  </si>
  <si>
    <t>Gitterkonstante eines kubischen Kristalls</t>
  </si>
  <si>
    <t>[100]-Ebene:</t>
  </si>
  <si>
    <t>[110]-Ebene:</t>
  </si>
  <si>
    <t>Einfallswinkel [Grad]</t>
  </si>
  <si>
    <t>Einfallswinkel [Grad]:</t>
  </si>
  <si>
    <t>Offset:</t>
  </si>
  <si>
    <t>-0.0852</t>
  </si>
  <si>
    <t>0.5</t>
  </si>
  <si>
    <t>neg. nach links</t>
  </si>
  <si>
    <t>Messbereich:</t>
  </si>
  <si>
    <t>10V</t>
  </si>
  <si>
    <t>Wenn aus am Ende [V]</t>
  </si>
  <si>
    <t>Senderposition Hornende [cm]</t>
  </si>
  <si>
    <t>Senderposition Hornanfang [cm]</t>
  </si>
  <si>
    <t>Senderposition Diode [cm]</t>
  </si>
  <si>
    <t>Fehler [cm]</t>
  </si>
  <si>
    <t>Linsenposition linker Rand  [cm]</t>
  </si>
  <si>
    <t>Linsenposition rechter Rand [cm]</t>
  </si>
  <si>
    <t>Messung der Position des linken Randes der Empfängeraufhängung</t>
  </si>
  <si>
    <t>Sender selbst (9+-2)cm links davon. Hornende (20+-1)cm links davon</t>
  </si>
  <si>
    <t>Anzahl Maxima:</t>
  </si>
  <si>
    <t>Herstellerangabe Frequenz [GHz]</t>
  </si>
  <si>
    <t>Skala bei 0 [cm]</t>
  </si>
  <si>
    <t>Messung Pos.b</t>
  </si>
  <si>
    <t>ohne Sender:</t>
  </si>
  <si>
    <t>rg 10 V</t>
  </si>
  <si>
    <t>Untegrund [V]:</t>
  </si>
  <si>
    <t>Untergrundrauschen [V]</t>
  </si>
  <si>
    <t>Untegrgrund [V]: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</si>
</sst>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quotePrefix="1"/>
    <xf numFmtId="0" fontId="0" fillId="3" borderId="0" xfId="0" quotePrefix="1" applyFill="1"/>
    <xf numFmtId="164" fontId="0" fillId="3" borderId="0" xfId="0" applyNumberFormat="1" applyFill="1"/>
    <xf numFmtId="11" fontId="0" fillId="2" borderId="0" xfId="0" applyNumberFormat="1" applyFill="1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C0843-AE6E-4BD4-84E7-F96D28FEB11A}">
  <dimension ref="B1:J99"/>
  <sheetViews>
    <sheetView topLeftCell="B1" zoomScale="103" workbookViewId="0">
      <selection activeCell="H53" sqref="H53"/>
    </sheetView>
  </sheetViews>
  <sheetFormatPr baseColWidth="10" defaultRowHeight="14.5" x14ac:dyDescent="0.35"/>
  <cols>
    <col min="2" max="2" width="13" bestFit="1" customWidth="1"/>
    <col min="3" max="3" width="27.26953125" bestFit="1" customWidth="1"/>
    <col min="4" max="4" width="17.36328125" bestFit="1" customWidth="1"/>
    <col min="7" max="7" width="17.90625" bestFit="1" customWidth="1"/>
    <col min="8" max="8" width="17.7265625" bestFit="1" customWidth="1"/>
    <col min="12" max="12" width="25.6328125" bestFit="1" customWidth="1"/>
    <col min="16" max="16" width="21" bestFit="1" customWidth="1"/>
    <col min="19" max="19" width="11.90625" bestFit="1" customWidth="1"/>
    <col min="20" max="20" width="17.7265625" bestFit="1" customWidth="1"/>
  </cols>
  <sheetData>
    <row r="1" spans="2:10" x14ac:dyDescent="0.35">
      <c r="C1" t="s">
        <v>5</v>
      </c>
    </row>
    <row r="2" spans="2:10" x14ac:dyDescent="0.35">
      <c r="C2" t="s">
        <v>0</v>
      </c>
      <c r="G2" t="s">
        <v>38</v>
      </c>
      <c r="H2" t="s">
        <v>39</v>
      </c>
    </row>
    <row r="3" spans="2:10" x14ac:dyDescent="0.35">
      <c r="J3" t="s">
        <v>34</v>
      </c>
    </row>
    <row r="4" spans="2:10" x14ac:dyDescent="0.35">
      <c r="C4" t="s">
        <v>1</v>
      </c>
      <c r="D4" t="s">
        <v>2</v>
      </c>
      <c r="G4" t="s">
        <v>3</v>
      </c>
      <c r="H4" t="s">
        <v>4</v>
      </c>
      <c r="J4" s="4" t="s">
        <v>35</v>
      </c>
    </row>
    <row r="5" spans="2:10" x14ac:dyDescent="0.35">
      <c r="C5">
        <v>-90</v>
      </c>
      <c r="D5" s="1" t="s">
        <v>36</v>
      </c>
      <c r="G5" s="2"/>
      <c r="H5" s="1"/>
    </row>
    <row r="6" spans="2:10" x14ac:dyDescent="0.35">
      <c r="C6">
        <v>-88</v>
      </c>
      <c r="D6" s="1" t="s">
        <v>36</v>
      </c>
      <c r="G6" s="2"/>
      <c r="H6" s="1"/>
    </row>
    <row r="7" spans="2:10" x14ac:dyDescent="0.35">
      <c r="B7" t="s">
        <v>37</v>
      </c>
      <c r="C7">
        <v>-86</v>
      </c>
      <c r="D7" s="1" t="s">
        <v>36</v>
      </c>
      <c r="G7" s="2"/>
      <c r="H7" s="1"/>
    </row>
    <row r="8" spans="2:10" x14ac:dyDescent="0.35">
      <c r="C8">
        <v>-84</v>
      </c>
      <c r="D8" s="1" t="s">
        <v>36</v>
      </c>
      <c r="G8" s="2"/>
      <c r="H8" s="1"/>
    </row>
    <row r="9" spans="2:10" x14ac:dyDescent="0.35">
      <c r="C9">
        <v>-82</v>
      </c>
      <c r="D9" s="1" t="s">
        <v>36</v>
      </c>
      <c r="G9" s="2"/>
      <c r="H9" s="1"/>
    </row>
    <row r="10" spans="2:10" x14ac:dyDescent="0.35">
      <c r="C10">
        <v>-80</v>
      </c>
      <c r="D10" s="1" t="s">
        <v>36</v>
      </c>
      <c r="G10" s="2"/>
      <c r="H10" s="1"/>
    </row>
    <row r="11" spans="2:10" x14ac:dyDescent="0.35">
      <c r="C11">
        <v>-78</v>
      </c>
      <c r="D11" s="1" t="s">
        <v>36</v>
      </c>
      <c r="G11" s="2"/>
      <c r="H11" s="1"/>
    </row>
    <row r="12" spans="2:10" x14ac:dyDescent="0.35">
      <c r="C12">
        <v>-76</v>
      </c>
      <c r="D12" s="1" t="s">
        <v>36</v>
      </c>
      <c r="G12" s="2"/>
      <c r="H12" s="1"/>
    </row>
    <row r="13" spans="2:10" x14ac:dyDescent="0.35">
      <c r="C13">
        <v>-74</v>
      </c>
      <c r="D13" s="1" t="s">
        <v>36</v>
      </c>
      <c r="G13" s="2"/>
      <c r="H13" s="1"/>
    </row>
    <row r="14" spans="2:10" x14ac:dyDescent="0.35">
      <c r="C14">
        <v>-72</v>
      </c>
      <c r="D14" s="1" t="s">
        <v>36</v>
      </c>
      <c r="G14" s="2"/>
      <c r="H14" s="1"/>
    </row>
    <row r="15" spans="2:10" x14ac:dyDescent="0.35">
      <c r="C15">
        <v>-70</v>
      </c>
      <c r="D15" s="1" t="s">
        <v>36</v>
      </c>
      <c r="G15" s="2"/>
      <c r="H15" s="1"/>
    </row>
    <row r="16" spans="2:10" x14ac:dyDescent="0.35">
      <c r="C16">
        <v>-68</v>
      </c>
      <c r="D16" s="1" t="s">
        <v>36</v>
      </c>
      <c r="G16" s="2"/>
      <c r="H16" s="1"/>
    </row>
    <row r="17" spans="3:8" x14ac:dyDescent="0.35">
      <c r="C17">
        <v>-66</v>
      </c>
      <c r="D17" s="1" t="s">
        <v>36</v>
      </c>
      <c r="G17" s="2"/>
      <c r="H17" s="1"/>
    </row>
    <row r="18" spans="3:8" x14ac:dyDescent="0.35">
      <c r="C18">
        <v>-64</v>
      </c>
      <c r="D18" s="1" t="s">
        <v>36</v>
      </c>
      <c r="G18" s="2"/>
      <c r="H18" s="1"/>
    </row>
    <row r="19" spans="3:8" x14ac:dyDescent="0.35">
      <c r="C19">
        <v>-62</v>
      </c>
      <c r="D19" s="1" t="s">
        <v>36</v>
      </c>
      <c r="G19" s="2"/>
      <c r="H19" s="1"/>
    </row>
    <row r="20" spans="3:8" x14ac:dyDescent="0.35">
      <c r="C20">
        <v>-60</v>
      </c>
      <c r="D20" s="1" t="s">
        <v>36</v>
      </c>
      <c r="G20" s="2"/>
      <c r="H20" s="1"/>
    </row>
    <row r="21" spans="3:8" x14ac:dyDescent="0.35">
      <c r="C21">
        <v>-58</v>
      </c>
      <c r="D21" s="1" t="s">
        <v>36</v>
      </c>
      <c r="G21" s="2"/>
      <c r="H21" s="1"/>
    </row>
    <row r="22" spans="3:8" x14ac:dyDescent="0.35">
      <c r="C22">
        <v>-56</v>
      </c>
      <c r="D22" s="1" t="s">
        <v>36</v>
      </c>
      <c r="G22" s="2"/>
      <c r="H22" s="1"/>
    </row>
    <row r="23" spans="3:8" x14ac:dyDescent="0.35">
      <c r="C23">
        <v>-54</v>
      </c>
      <c r="D23" s="1" t="s">
        <v>36</v>
      </c>
      <c r="G23" s="2"/>
      <c r="H23" s="1"/>
    </row>
    <row r="24" spans="3:8" x14ac:dyDescent="0.35">
      <c r="C24">
        <v>-52</v>
      </c>
      <c r="D24" s="1" t="s">
        <v>36</v>
      </c>
      <c r="G24" s="2"/>
      <c r="H24" s="1"/>
    </row>
    <row r="25" spans="3:8" x14ac:dyDescent="0.35">
      <c r="C25">
        <v>-50</v>
      </c>
      <c r="D25" s="1" t="s">
        <v>36</v>
      </c>
      <c r="G25" s="2"/>
      <c r="H25" s="1"/>
    </row>
    <row r="26" spans="3:8" x14ac:dyDescent="0.35">
      <c r="C26">
        <v>-48</v>
      </c>
      <c r="D26" s="1" t="s">
        <v>36</v>
      </c>
      <c r="G26" s="2"/>
      <c r="H26" s="1"/>
    </row>
    <row r="27" spans="3:8" x14ac:dyDescent="0.35">
      <c r="C27">
        <v>-46</v>
      </c>
      <c r="D27" s="1" t="s">
        <v>36</v>
      </c>
      <c r="G27" s="2"/>
      <c r="H27" s="1"/>
    </row>
    <row r="28" spans="3:8" x14ac:dyDescent="0.35">
      <c r="C28">
        <v>-44</v>
      </c>
      <c r="D28" s="1" t="s">
        <v>36</v>
      </c>
      <c r="G28" s="2"/>
      <c r="H28" s="1"/>
    </row>
    <row r="29" spans="3:8" x14ac:dyDescent="0.35">
      <c r="C29">
        <v>-42</v>
      </c>
      <c r="D29" s="1" t="s">
        <v>36</v>
      </c>
      <c r="G29" s="5">
        <v>-0.18</v>
      </c>
      <c r="H29" s="1">
        <v>0</v>
      </c>
    </row>
    <row r="30" spans="3:8" x14ac:dyDescent="0.35">
      <c r="C30">
        <v>-40</v>
      </c>
      <c r="D30" s="1" t="s">
        <v>36</v>
      </c>
      <c r="G30" s="5">
        <v>-0.18160000000000001</v>
      </c>
      <c r="H30" s="1">
        <v>0</v>
      </c>
    </row>
    <row r="31" spans="3:8" x14ac:dyDescent="0.35">
      <c r="C31">
        <v>-38</v>
      </c>
      <c r="D31" s="1" t="s">
        <v>36</v>
      </c>
      <c r="G31" s="5">
        <v>-0.18440000000000001</v>
      </c>
      <c r="H31" s="1">
        <v>0</v>
      </c>
    </row>
    <row r="32" spans="3:8" x14ac:dyDescent="0.35">
      <c r="C32">
        <v>-36</v>
      </c>
      <c r="D32" s="1" t="s">
        <v>36</v>
      </c>
      <c r="G32" s="5">
        <v>-0.188</v>
      </c>
      <c r="H32" s="1">
        <v>1E-4</v>
      </c>
    </row>
    <row r="33" spans="3:8" x14ac:dyDescent="0.35">
      <c r="C33">
        <v>-34</v>
      </c>
      <c r="D33" s="1" t="s">
        <v>36</v>
      </c>
      <c r="G33" s="5">
        <v>-0.1918</v>
      </c>
      <c r="H33" s="1">
        <v>2.0000000000000001E-4</v>
      </c>
    </row>
    <row r="34" spans="3:8" x14ac:dyDescent="0.35">
      <c r="C34">
        <v>-32</v>
      </c>
      <c r="D34" s="1" t="s">
        <v>36</v>
      </c>
      <c r="G34" s="5">
        <v>-0.19639999999999999</v>
      </c>
      <c r="H34" s="1">
        <v>5.0000000000000001E-4</v>
      </c>
    </row>
    <row r="35" spans="3:8" x14ac:dyDescent="0.35">
      <c r="C35">
        <v>-30</v>
      </c>
      <c r="D35" s="1" t="s">
        <v>36</v>
      </c>
      <c r="G35" s="5">
        <v>-0.20100000000000001</v>
      </c>
      <c r="H35" s="1">
        <v>2.9999999999999997E-4</v>
      </c>
    </row>
    <row r="36" spans="3:8" x14ac:dyDescent="0.35">
      <c r="C36">
        <v>-28</v>
      </c>
      <c r="D36" s="1" t="s">
        <v>36</v>
      </c>
      <c r="G36" s="5">
        <v>-0.20300000000000001</v>
      </c>
      <c r="H36" s="1">
        <v>2.9999999999999997E-4</v>
      </c>
    </row>
    <row r="37" spans="3:8" x14ac:dyDescent="0.35">
      <c r="C37">
        <v>-26</v>
      </c>
      <c r="D37" s="1" t="s">
        <v>36</v>
      </c>
      <c r="G37" s="5">
        <v>-0.20250000000000001</v>
      </c>
      <c r="H37" s="1">
        <v>1E-3</v>
      </c>
    </row>
    <row r="38" spans="3:8" x14ac:dyDescent="0.35">
      <c r="C38">
        <v>-24</v>
      </c>
      <c r="D38" s="1" t="s">
        <v>36</v>
      </c>
      <c r="G38" s="5">
        <v>-0.19</v>
      </c>
      <c r="H38" s="1">
        <v>5.0000000000000001E-4</v>
      </c>
    </row>
    <row r="39" spans="3:8" x14ac:dyDescent="0.35">
      <c r="C39">
        <v>-22</v>
      </c>
      <c r="D39" s="1" t="s">
        <v>36</v>
      </c>
      <c r="G39" s="5">
        <v>-0.1605</v>
      </c>
      <c r="H39" s="1">
        <v>5.0000000000000001E-4</v>
      </c>
    </row>
    <row r="40" spans="3:8" x14ac:dyDescent="0.35">
      <c r="C40">
        <v>-20</v>
      </c>
      <c r="D40" s="1" t="s">
        <v>36</v>
      </c>
      <c r="G40" s="5">
        <v>-0.113</v>
      </c>
      <c r="H40" s="1">
        <v>1E-3</v>
      </c>
    </row>
    <row r="41" spans="3:8" x14ac:dyDescent="0.35">
      <c r="C41">
        <v>-18</v>
      </c>
      <c r="D41" s="1" t="s">
        <v>36</v>
      </c>
      <c r="G41" s="5">
        <v>-1.2999999999999999E-2</v>
      </c>
      <c r="H41" s="1">
        <v>1E-3</v>
      </c>
    </row>
    <row r="42" spans="3:8" x14ac:dyDescent="0.35">
      <c r="C42">
        <v>-16</v>
      </c>
      <c r="D42" s="1" t="s">
        <v>36</v>
      </c>
      <c r="G42" s="5">
        <v>-8.5000000000000006E-2</v>
      </c>
      <c r="H42" s="1">
        <v>1E-3</v>
      </c>
    </row>
    <row r="43" spans="3:8" x14ac:dyDescent="0.35">
      <c r="C43">
        <v>-14</v>
      </c>
      <c r="D43" s="1" t="s">
        <v>36</v>
      </c>
      <c r="G43" s="2">
        <v>0.32400000000000001</v>
      </c>
      <c r="H43" s="1">
        <v>2E-3</v>
      </c>
    </row>
    <row r="44" spans="3:8" x14ac:dyDescent="0.35">
      <c r="C44">
        <v>-12</v>
      </c>
      <c r="D44" s="1" t="s">
        <v>36</v>
      </c>
      <c r="G44" s="2">
        <v>0.68300000000000005</v>
      </c>
      <c r="H44" s="1">
        <v>2E-3</v>
      </c>
    </row>
    <row r="45" spans="3:8" x14ac:dyDescent="0.35">
      <c r="C45">
        <v>-10</v>
      </c>
      <c r="D45" s="1" t="s">
        <v>36</v>
      </c>
      <c r="G45" s="6">
        <v>1.139</v>
      </c>
      <c r="H45" s="1">
        <v>2E-3</v>
      </c>
    </row>
    <row r="46" spans="3:8" x14ac:dyDescent="0.35">
      <c r="C46">
        <v>-8</v>
      </c>
      <c r="D46" s="1" t="s">
        <v>36</v>
      </c>
      <c r="G46" s="2">
        <v>1.4502999999999999</v>
      </c>
      <c r="H46" s="1">
        <v>3.0000000000000001E-3</v>
      </c>
    </row>
    <row r="47" spans="3:8" x14ac:dyDescent="0.35">
      <c r="C47">
        <v>-6</v>
      </c>
      <c r="D47" s="1" t="s">
        <v>36</v>
      </c>
      <c r="G47" s="2">
        <v>1.6065</v>
      </c>
      <c r="H47" s="1">
        <v>3.0000000000000001E-3</v>
      </c>
    </row>
    <row r="48" spans="3:8" x14ac:dyDescent="0.35">
      <c r="C48">
        <v>-4</v>
      </c>
      <c r="D48" s="1" t="s">
        <v>36</v>
      </c>
      <c r="G48" s="2">
        <v>1.698</v>
      </c>
      <c r="H48" s="1">
        <v>3.0000000000000001E-3</v>
      </c>
    </row>
    <row r="49" spans="3:8" x14ac:dyDescent="0.35">
      <c r="C49">
        <v>-2</v>
      </c>
      <c r="D49" s="1" t="s">
        <v>36</v>
      </c>
      <c r="G49" s="2">
        <v>1.8534999999999999</v>
      </c>
      <c r="H49" s="1">
        <v>3.0000000000000001E-3</v>
      </c>
    </row>
    <row r="50" spans="3:8" x14ac:dyDescent="0.35">
      <c r="C50">
        <v>0</v>
      </c>
      <c r="D50" s="1" t="s">
        <v>36</v>
      </c>
      <c r="G50" s="2">
        <v>1.782</v>
      </c>
      <c r="H50" s="1">
        <v>3.0000000000000001E-3</v>
      </c>
    </row>
    <row r="51" spans="3:8" x14ac:dyDescent="0.35">
      <c r="C51">
        <v>2</v>
      </c>
      <c r="D51" s="1" t="s">
        <v>36</v>
      </c>
      <c r="G51" s="2">
        <v>1.28</v>
      </c>
      <c r="H51" s="1">
        <v>3.0000000000000001E-3</v>
      </c>
    </row>
    <row r="52" spans="3:8" x14ac:dyDescent="0.35">
      <c r="C52">
        <v>4</v>
      </c>
      <c r="D52" s="1" t="s">
        <v>36</v>
      </c>
      <c r="G52" s="2">
        <v>0.85029999999999994</v>
      </c>
      <c r="H52" s="1">
        <v>3.0000000000000001E-3</v>
      </c>
    </row>
    <row r="53" spans="3:8" x14ac:dyDescent="0.35">
      <c r="C53">
        <v>6</v>
      </c>
      <c r="D53" s="1" t="s">
        <v>36</v>
      </c>
      <c r="G53" s="2">
        <v>0.74299999999999999</v>
      </c>
      <c r="H53" s="1">
        <v>2E-3</v>
      </c>
    </row>
    <row r="54" spans="3:8" x14ac:dyDescent="0.35">
      <c r="C54">
        <v>8</v>
      </c>
      <c r="D54" s="1" t="s">
        <v>36</v>
      </c>
      <c r="G54" s="2">
        <v>0.5665</v>
      </c>
      <c r="H54" s="1">
        <v>2E-3</v>
      </c>
    </row>
    <row r="55" spans="3:8" x14ac:dyDescent="0.35">
      <c r="C55">
        <v>10</v>
      </c>
      <c r="D55" s="1" t="s">
        <v>36</v>
      </c>
      <c r="G55" s="2">
        <v>0.33400000000000002</v>
      </c>
      <c r="H55" s="1">
        <v>3.0000000000000001E-3</v>
      </c>
    </row>
    <row r="56" spans="3:8" x14ac:dyDescent="0.35">
      <c r="C56">
        <v>12</v>
      </c>
      <c r="D56" s="1" t="s">
        <v>36</v>
      </c>
      <c r="G56" s="2">
        <v>5.0500000000000003E-2</v>
      </c>
      <c r="H56" s="1">
        <v>1E-3</v>
      </c>
    </row>
    <row r="57" spans="3:8" x14ac:dyDescent="0.35">
      <c r="C57">
        <v>14</v>
      </c>
      <c r="D57" s="1" t="s">
        <v>36</v>
      </c>
      <c r="G57" s="2">
        <v>-7.2499999999999995E-2</v>
      </c>
      <c r="H57" s="1">
        <v>1E-3</v>
      </c>
    </row>
    <row r="58" spans="3:8" x14ac:dyDescent="0.35">
      <c r="C58">
        <v>16</v>
      </c>
      <c r="D58" s="1" t="s">
        <v>36</v>
      </c>
      <c r="G58" s="2">
        <v>-0.14899999999999999</v>
      </c>
      <c r="H58" s="1">
        <v>5.0000000000000001E-4</v>
      </c>
    </row>
    <row r="59" spans="3:8" x14ac:dyDescent="0.35">
      <c r="C59">
        <v>18</v>
      </c>
      <c r="D59" s="1" t="s">
        <v>36</v>
      </c>
      <c r="G59" s="2">
        <v>-0.1825</v>
      </c>
      <c r="H59" s="1">
        <v>2.9999999999999997E-4</v>
      </c>
    </row>
    <row r="60" spans="3:8" x14ac:dyDescent="0.35">
      <c r="C60">
        <v>20</v>
      </c>
      <c r="D60" s="1" t="s">
        <v>36</v>
      </c>
      <c r="G60" s="2">
        <v>-0.20300000000000001</v>
      </c>
      <c r="H60" s="1">
        <v>5.0000000000000001E-4</v>
      </c>
    </row>
    <row r="61" spans="3:8" x14ac:dyDescent="0.35">
      <c r="C61">
        <v>22</v>
      </c>
      <c r="D61" s="1" t="s">
        <v>36</v>
      </c>
      <c r="G61" s="2">
        <v>-0.2074</v>
      </c>
      <c r="H61" s="1">
        <v>4.0000000000000002E-4</v>
      </c>
    </row>
    <row r="62" spans="3:8" x14ac:dyDescent="0.35">
      <c r="C62">
        <v>24</v>
      </c>
      <c r="D62" s="1" t="s">
        <v>36</v>
      </c>
      <c r="G62" s="2">
        <v>-0.20569999999999999</v>
      </c>
      <c r="H62" s="1">
        <v>4.0000000000000002E-4</v>
      </c>
    </row>
    <row r="63" spans="3:8" x14ac:dyDescent="0.35">
      <c r="C63">
        <v>26</v>
      </c>
      <c r="D63" s="1" t="s">
        <v>36</v>
      </c>
      <c r="G63" s="2">
        <v>-0.2014</v>
      </c>
      <c r="H63" s="1">
        <v>2.9999999999999997E-4</v>
      </c>
    </row>
    <row r="64" spans="3:8" x14ac:dyDescent="0.35">
      <c r="C64">
        <v>28</v>
      </c>
      <c r="D64" s="1" t="s">
        <v>36</v>
      </c>
      <c r="G64" s="2">
        <v>-0.19769999999999999</v>
      </c>
      <c r="H64" s="1">
        <v>2.0000000000000001E-4</v>
      </c>
    </row>
    <row r="65" spans="3:8" x14ac:dyDescent="0.35">
      <c r="C65">
        <v>30</v>
      </c>
      <c r="D65" s="1" t="s">
        <v>36</v>
      </c>
      <c r="G65" s="2">
        <v>-0.19159999999999999</v>
      </c>
      <c r="H65" s="1">
        <v>2.0000000000000001E-4</v>
      </c>
    </row>
    <row r="66" spans="3:8" x14ac:dyDescent="0.35">
      <c r="C66">
        <v>32</v>
      </c>
      <c r="D66" s="1" t="s">
        <v>36</v>
      </c>
      <c r="G66" s="2">
        <v>-0.188</v>
      </c>
      <c r="H66" s="1">
        <v>2.0000000000000001E-4</v>
      </c>
    </row>
    <row r="67" spans="3:8" x14ac:dyDescent="0.35">
      <c r="C67">
        <v>34</v>
      </c>
      <c r="D67" s="1" t="s">
        <v>36</v>
      </c>
      <c r="G67" s="2">
        <v>-0.18579999999999999</v>
      </c>
      <c r="H67" s="1">
        <v>2.0000000000000001E-4</v>
      </c>
    </row>
    <row r="68" spans="3:8" x14ac:dyDescent="0.35">
      <c r="C68">
        <v>36</v>
      </c>
      <c r="D68" s="1" t="s">
        <v>36</v>
      </c>
      <c r="G68" s="2">
        <v>-0.18310000000000001</v>
      </c>
      <c r="H68" s="1">
        <v>1E-4</v>
      </c>
    </row>
    <row r="69" spans="3:8" x14ac:dyDescent="0.35">
      <c r="C69">
        <v>38</v>
      </c>
      <c r="D69" s="1" t="s">
        <v>36</v>
      </c>
      <c r="G69" s="2">
        <v>-0.18129999999999999</v>
      </c>
      <c r="H69" s="1">
        <v>1E-4</v>
      </c>
    </row>
    <row r="70" spans="3:8" x14ac:dyDescent="0.35">
      <c r="C70">
        <v>40</v>
      </c>
      <c r="D70" s="1" t="s">
        <v>36</v>
      </c>
      <c r="G70" s="2">
        <v>-0.18010000000000001</v>
      </c>
      <c r="H70" s="1">
        <v>1E-4</v>
      </c>
    </row>
    <row r="71" spans="3:8" x14ac:dyDescent="0.35">
      <c r="C71">
        <v>42</v>
      </c>
      <c r="D71" s="1" t="s">
        <v>36</v>
      </c>
      <c r="G71" s="2">
        <v>-0.1792</v>
      </c>
      <c r="H71" s="1">
        <v>1E-4</v>
      </c>
    </row>
    <row r="72" spans="3:8" x14ac:dyDescent="0.35">
      <c r="C72">
        <v>44</v>
      </c>
      <c r="D72" s="1" t="s">
        <v>36</v>
      </c>
      <c r="G72" s="2"/>
      <c r="H72" s="1"/>
    </row>
    <row r="73" spans="3:8" x14ac:dyDescent="0.35">
      <c r="C73">
        <v>46</v>
      </c>
      <c r="D73" s="1" t="s">
        <v>36</v>
      </c>
      <c r="G73" s="2">
        <v>-0.17780000000000001</v>
      </c>
      <c r="H73" s="1">
        <v>1E-4</v>
      </c>
    </row>
    <row r="74" spans="3:8" x14ac:dyDescent="0.35">
      <c r="C74">
        <v>48</v>
      </c>
      <c r="D74" s="1" t="s">
        <v>36</v>
      </c>
      <c r="G74" s="2"/>
      <c r="H74" s="1"/>
    </row>
    <row r="75" spans="3:8" x14ac:dyDescent="0.35">
      <c r="C75">
        <v>50</v>
      </c>
      <c r="D75" s="1" t="s">
        <v>36</v>
      </c>
      <c r="G75" s="2">
        <v>-0.1774</v>
      </c>
      <c r="H75" s="1">
        <v>1E-4</v>
      </c>
    </row>
    <row r="76" spans="3:8" x14ac:dyDescent="0.35">
      <c r="C76">
        <v>52</v>
      </c>
      <c r="D76" s="1" t="s">
        <v>36</v>
      </c>
      <c r="G76" s="2"/>
      <c r="H76" s="1"/>
    </row>
    <row r="77" spans="3:8" x14ac:dyDescent="0.35">
      <c r="C77">
        <v>54</v>
      </c>
      <c r="D77" s="1" t="s">
        <v>36</v>
      </c>
      <c r="G77" s="2">
        <v>-0.17730000000000001</v>
      </c>
      <c r="H77" s="1">
        <v>1E-4</v>
      </c>
    </row>
    <row r="78" spans="3:8" x14ac:dyDescent="0.35">
      <c r="C78">
        <v>56</v>
      </c>
      <c r="D78" s="1" t="s">
        <v>36</v>
      </c>
      <c r="G78" s="2"/>
      <c r="H78" s="1"/>
    </row>
    <row r="79" spans="3:8" x14ac:dyDescent="0.35">
      <c r="C79">
        <v>58</v>
      </c>
      <c r="D79" s="1" t="s">
        <v>36</v>
      </c>
      <c r="G79" s="2">
        <v>-0.1772</v>
      </c>
      <c r="H79" s="1">
        <v>1E-4</v>
      </c>
    </row>
    <row r="80" spans="3:8" x14ac:dyDescent="0.35">
      <c r="C80">
        <v>60</v>
      </c>
      <c r="D80" s="1" t="s">
        <v>36</v>
      </c>
      <c r="G80" s="2"/>
      <c r="H80" s="1"/>
    </row>
    <row r="81" spans="3:8" x14ac:dyDescent="0.35">
      <c r="C81">
        <v>62</v>
      </c>
      <c r="D81" s="1" t="s">
        <v>36</v>
      </c>
      <c r="G81" s="2"/>
      <c r="H81" s="1"/>
    </row>
    <row r="82" spans="3:8" x14ac:dyDescent="0.35">
      <c r="C82">
        <v>64</v>
      </c>
      <c r="D82" s="1" t="s">
        <v>36</v>
      </c>
      <c r="G82" s="2"/>
      <c r="H82" s="1"/>
    </row>
    <row r="83" spans="3:8" x14ac:dyDescent="0.35">
      <c r="C83">
        <v>66</v>
      </c>
      <c r="D83" s="1" t="s">
        <v>36</v>
      </c>
      <c r="G83" s="2"/>
      <c r="H83" s="1"/>
    </row>
    <row r="84" spans="3:8" x14ac:dyDescent="0.35">
      <c r="C84">
        <v>68</v>
      </c>
      <c r="D84" s="1" t="s">
        <v>36</v>
      </c>
      <c r="G84" s="2"/>
      <c r="H84" s="1"/>
    </row>
    <row r="85" spans="3:8" x14ac:dyDescent="0.35">
      <c r="C85">
        <v>70</v>
      </c>
      <c r="D85" s="1" t="s">
        <v>36</v>
      </c>
      <c r="G85" s="2"/>
      <c r="H85" s="1"/>
    </row>
    <row r="86" spans="3:8" x14ac:dyDescent="0.35">
      <c r="C86">
        <v>72</v>
      </c>
      <c r="D86" s="1" t="s">
        <v>36</v>
      </c>
      <c r="G86" s="2"/>
      <c r="H86" s="1"/>
    </row>
    <row r="87" spans="3:8" x14ac:dyDescent="0.35">
      <c r="C87">
        <v>74</v>
      </c>
      <c r="D87" s="1" t="s">
        <v>36</v>
      </c>
      <c r="G87" s="2"/>
      <c r="H87" s="1"/>
    </row>
    <row r="88" spans="3:8" x14ac:dyDescent="0.35">
      <c r="C88">
        <v>76</v>
      </c>
      <c r="D88" s="1" t="s">
        <v>36</v>
      </c>
      <c r="G88" s="2"/>
      <c r="H88" s="1"/>
    </row>
    <row r="89" spans="3:8" x14ac:dyDescent="0.35">
      <c r="C89">
        <v>78</v>
      </c>
      <c r="D89" s="1" t="s">
        <v>36</v>
      </c>
      <c r="G89" s="2"/>
      <c r="H89" s="1"/>
    </row>
    <row r="90" spans="3:8" x14ac:dyDescent="0.35">
      <c r="C90">
        <v>80</v>
      </c>
      <c r="D90" s="1" t="s">
        <v>36</v>
      </c>
      <c r="G90" s="2"/>
      <c r="H90" s="1"/>
    </row>
    <row r="91" spans="3:8" x14ac:dyDescent="0.35">
      <c r="C91">
        <v>82</v>
      </c>
      <c r="D91" s="1" t="s">
        <v>36</v>
      </c>
      <c r="G91" s="2"/>
      <c r="H91" s="1"/>
    </row>
    <row r="92" spans="3:8" x14ac:dyDescent="0.35">
      <c r="C92">
        <v>84</v>
      </c>
      <c r="D92" s="1" t="s">
        <v>36</v>
      </c>
      <c r="G92" s="2"/>
      <c r="H92" s="1"/>
    </row>
    <row r="93" spans="3:8" x14ac:dyDescent="0.35">
      <c r="C93">
        <v>86</v>
      </c>
      <c r="D93" s="1" t="s">
        <v>36</v>
      </c>
      <c r="G93" s="2"/>
      <c r="H93" s="1"/>
    </row>
    <row r="94" spans="3:8" x14ac:dyDescent="0.35">
      <c r="C94">
        <v>88</v>
      </c>
      <c r="D94" s="1" t="s">
        <v>36</v>
      </c>
      <c r="G94" s="2"/>
      <c r="H94" s="1"/>
    </row>
    <row r="95" spans="3:8" x14ac:dyDescent="0.35">
      <c r="C95">
        <v>90</v>
      </c>
      <c r="D95" s="1" t="s">
        <v>36</v>
      </c>
      <c r="G95" s="2"/>
      <c r="H95" s="1"/>
    </row>
    <row r="98" spans="3:3" x14ac:dyDescent="0.35">
      <c r="C98" t="s">
        <v>40</v>
      </c>
    </row>
    <row r="99" spans="3:3" x14ac:dyDescent="0.35">
      <c r="C99">
        <v>-0.1757</v>
      </c>
    </row>
  </sheetData>
  <phoneticPr fontId="1" type="noConversion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82011-ED6C-4B8A-B271-334BAB50410B}">
  <dimension ref="B1:J45"/>
  <sheetViews>
    <sheetView workbookViewId="0">
      <selection activeCell="H15" sqref="H15"/>
    </sheetView>
  </sheetViews>
  <sheetFormatPr baseColWidth="10" defaultRowHeight="14.5" x14ac:dyDescent="0.35"/>
  <cols>
    <col min="2" max="2" width="28.1796875" bestFit="1" customWidth="1"/>
    <col min="6" max="6" width="57.54296875" bestFit="1" customWidth="1"/>
    <col min="9" max="9" width="11.90625" bestFit="1" customWidth="1"/>
    <col min="10" max="10" width="17.7265625" bestFit="1" customWidth="1"/>
  </cols>
  <sheetData>
    <row r="1" spans="2:10" x14ac:dyDescent="0.35">
      <c r="B1" t="s">
        <v>6</v>
      </c>
      <c r="F1" t="s">
        <v>47</v>
      </c>
    </row>
    <row r="2" spans="2:10" x14ac:dyDescent="0.35">
      <c r="B2" t="s">
        <v>7</v>
      </c>
      <c r="D2" t="s">
        <v>44</v>
      </c>
      <c r="F2" t="s">
        <v>48</v>
      </c>
    </row>
    <row r="3" spans="2:10" x14ac:dyDescent="0.35">
      <c r="F3" t="s">
        <v>10</v>
      </c>
      <c r="I3" t="s">
        <v>11</v>
      </c>
      <c r="J3" t="s">
        <v>4</v>
      </c>
    </row>
    <row r="4" spans="2:10" x14ac:dyDescent="0.35">
      <c r="B4" t="s">
        <v>41</v>
      </c>
      <c r="C4" s="2">
        <v>23</v>
      </c>
      <c r="D4" s="1">
        <v>0.5</v>
      </c>
      <c r="F4" s="2">
        <v>200</v>
      </c>
      <c r="I4" s="2">
        <v>0.34699999999999998</v>
      </c>
      <c r="J4" s="1">
        <v>2E-3</v>
      </c>
    </row>
    <row r="5" spans="2:10" x14ac:dyDescent="0.35">
      <c r="B5" t="s">
        <v>42</v>
      </c>
      <c r="C5" s="2">
        <v>10</v>
      </c>
      <c r="D5" s="1">
        <v>0.5</v>
      </c>
      <c r="F5" s="2">
        <v>198</v>
      </c>
      <c r="I5" s="2">
        <v>0.57750000000000001</v>
      </c>
      <c r="J5" s="1">
        <v>1.5E-3</v>
      </c>
    </row>
    <row r="6" spans="2:10" x14ac:dyDescent="0.35">
      <c r="B6" t="s">
        <v>43</v>
      </c>
      <c r="C6" s="2">
        <v>8</v>
      </c>
      <c r="D6" s="1">
        <v>1</v>
      </c>
      <c r="F6" s="2">
        <v>196</v>
      </c>
      <c r="I6" s="2">
        <v>0.80700000000000005</v>
      </c>
      <c r="J6" s="1">
        <v>1E-3</v>
      </c>
    </row>
    <row r="7" spans="2:10" x14ac:dyDescent="0.35">
      <c r="B7" t="s">
        <v>45</v>
      </c>
      <c r="C7" s="2">
        <v>90</v>
      </c>
      <c r="D7" s="1">
        <v>0.5</v>
      </c>
      <c r="F7" s="2">
        <v>194</v>
      </c>
      <c r="I7" s="2">
        <v>0.48249999999999998</v>
      </c>
      <c r="J7" s="1">
        <v>2E-3</v>
      </c>
    </row>
    <row r="8" spans="2:10" x14ac:dyDescent="0.35">
      <c r="B8" t="s">
        <v>46</v>
      </c>
      <c r="C8" s="2">
        <v>95</v>
      </c>
      <c r="D8" s="1">
        <v>0.5</v>
      </c>
      <c r="F8" s="2">
        <v>192</v>
      </c>
      <c r="I8" s="2">
        <v>0.36499999999999999</v>
      </c>
      <c r="J8" s="1">
        <v>2E-3</v>
      </c>
    </row>
    <row r="9" spans="2:10" x14ac:dyDescent="0.35">
      <c r="B9" t="s">
        <v>9</v>
      </c>
      <c r="C9" s="1"/>
      <c r="F9" s="2">
        <v>190</v>
      </c>
      <c r="I9" s="2">
        <v>0.52739999999999998</v>
      </c>
      <c r="J9" s="1">
        <v>1.5E-3</v>
      </c>
    </row>
    <row r="10" spans="2:10" x14ac:dyDescent="0.35">
      <c r="F10" s="2">
        <v>188</v>
      </c>
      <c r="I10" s="2">
        <v>0.88770000000000004</v>
      </c>
      <c r="J10" s="1">
        <v>2E-3</v>
      </c>
    </row>
    <row r="11" spans="2:10" x14ac:dyDescent="0.35">
      <c r="F11" s="2">
        <v>186</v>
      </c>
      <c r="I11" s="2">
        <v>0.71250000000000002</v>
      </c>
      <c r="J11" s="1">
        <v>1.5E-3</v>
      </c>
    </row>
    <row r="12" spans="2:10" x14ac:dyDescent="0.35">
      <c r="F12" s="2">
        <v>185</v>
      </c>
      <c r="I12" s="2">
        <v>0.69199999999999995</v>
      </c>
      <c r="J12" s="1">
        <v>1.5E-3</v>
      </c>
    </row>
    <row r="13" spans="2:10" x14ac:dyDescent="0.35">
      <c r="F13" s="2">
        <v>184</v>
      </c>
      <c r="I13" s="2">
        <v>0.46100000000000002</v>
      </c>
      <c r="J13" s="1">
        <v>2E-3</v>
      </c>
    </row>
    <row r="14" spans="2:10" x14ac:dyDescent="0.35">
      <c r="F14" s="2">
        <v>182</v>
      </c>
      <c r="I14" s="2">
        <v>0.5514</v>
      </c>
      <c r="J14" s="1">
        <v>1E-3</v>
      </c>
    </row>
    <row r="15" spans="2:10" x14ac:dyDescent="0.35">
      <c r="F15" s="2">
        <v>180</v>
      </c>
      <c r="I15" s="2">
        <v>0.83140000000000003</v>
      </c>
      <c r="J15" s="1">
        <v>2E-3</v>
      </c>
    </row>
    <row r="16" spans="2:10" x14ac:dyDescent="0.35">
      <c r="F16" s="2">
        <v>178</v>
      </c>
      <c r="I16" s="2">
        <v>0.85199999999999998</v>
      </c>
      <c r="J16" s="1">
        <v>1E-3</v>
      </c>
    </row>
    <row r="17" spans="6:10" x14ac:dyDescent="0.35">
      <c r="F17" s="2">
        <v>176</v>
      </c>
      <c r="I17" s="2">
        <v>0.53910000000000002</v>
      </c>
      <c r="J17" s="1">
        <v>1E-3</v>
      </c>
    </row>
    <row r="18" spans="6:10" x14ac:dyDescent="0.35">
      <c r="F18" s="2">
        <v>174</v>
      </c>
      <c r="I18" s="2">
        <v>0.52700000000000002</v>
      </c>
      <c r="J18" s="1">
        <v>1E-3</v>
      </c>
    </row>
    <row r="19" spans="6:10" x14ac:dyDescent="0.35">
      <c r="F19" s="2">
        <v>172</v>
      </c>
      <c r="I19" s="2">
        <v>0.71020000000000005</v>
      </c>
      <c r="J19" s="7">
        <v>5.0000000000000001E-4</v>
      </c>
    </row>
    <row r="20" spans="6:10" x14ac:dyDescent="0.35">
      <c r="F20" s="2">
        <v>170</v>
      </c>
      <c r="I20" s="2">
        <v>0.88700000000000001</v>
      </c>
      <c r="J20" s="1">
        <v>2E-3</v>
      </c>
    </row>
    <row r="21" spans="6:10" x14ac:dyDescent="0.35">
      <c r="F21" s="2">
        <v>168</v>
      </c>
      <c r="I21" s="2">
        <v>0.58799999999999997</v>
      </c>
      <c r="J21" s="1">
        <v>1E-3</v>
      </c>
    </row>
    <row r="22" spans="6:10" x14ac:dyDescent="0.35">
      <c r="F22" s="2">
        <v>166</v>
      </c>
      <c r="I22" s="2">
        <v>0.434</v>
      </c>
      <c r="J22" s="1">
        <v>1E-3</v>
      </c>
    </row>
    <row r="23" spans="6:10" x14ac:dyDescent="0.35">
      <c r="F23" s="2">
        <v>164</v>
      </c>
      <c r="I23" s="2">
        <v>0.54969999999999997</v>
      </c>
      <c r="J23" s="1">
        <v>1E-3</v>
      </c>
    </row>
    <row r="24" spans="6:10" x14ac:dyDescent="0.35">
      <c r="F24" s="2">
        <v>162</v>
      </c>
      <c r="I24" s="2">
        <v>0.72960000000000003</v>
      </c>
      <c r="J24" s="1">
        <v>1E-3</v>
      </c>
    </row>
    <row r="25" spans="6:10" x14ac:dyDescent="0.35">
      <c r="F25" s="2">
        <v>160</v>
      </c>
      <c r="I25" s="2">
        <v>0.53239999999999998</v>
      </c>
      <c r="J25" s="1">
        <v>1E-3</v>
      </c>
    </row>
    <row r="26" spans="6:10" x14ac:dyDescent="0.35">
      <c r="F26" s="2">
        <v>158</v>
      </c>
      <c r="I26" s="2">
        <v>0.27300000000000002</v>
      </c>
      <c r="J26" s="1">
        <v>1E-3</v>
      </c>
    </row>
    <row r="27" spans="6:10" x14ac:dyDescent="0.35">
      <c r="F27" s="2">
        <v>156</v>
      </c>
      <c r="I27" s="2">
        <v>0.29480000000000001</v>
      </c>
      <c r="J27" s="1">
        <v>1E-3</v>
      </c>
    </row>
    <row r="28" spans="6:10" x14ac:dyDescent="0.35">
      <c r="F28" s="2">
        <v>154</v>
      </c>
      <c r="I28" s="2">
        <v>0.41539999999999999</v>
      </c>
      <c r="J28" s="1">
        <v>1E-3</v>
      </c>
    </row>
    <row r="29" spans="6:10" x14ac:dyDescent="0.35">
      <c r="F29" s="2">
        <v>152</v>
      </c>
      <c r="I29" s="2">
        <v>0.41739999999999999</v>
      </c>
      <c r="J29" s="1">
        <v>1.5E-3</v>
      </c>
    </row>
    <row r="30" spans="6:10" x14ac:dyDescent="0.35">
      <c r="F30" s="2">
        <v>150</v>
      </c>
      <c r="I30" s="2">
        <v>0.114</v>
      </c>
      <c r="J30" s="1">
        <v>1E-3</v>
      </c>
    </row>
    <row r="31" spans="6:10" x14ac:dyDescent="0.35">
      <c r="F31" s="2">
        <v>148</v>
      </c>
      <c r="I31" s="2">
        <v>3.7999999999999999E-2</v>
      </c>
      <c r="J31" s="1">
        <v>1E-3</v>
      </c>
    </row>
    <row r="32" spans="6:10" x14ac:dyDescent="0.35">
      <c r="F32" s="2">
        <v>146</v>
      </c>
      <c r="I32" s="2">
        <v>9.8299999999999998E-2</v>
      </c>
      <c r="J32" s="1">
        <v>1E-3</v>
      </c>
    </row>
    <row r="33" spans="6:10" x14ac:dyDescent="0.35">
      <c r="F33" s="2">
        <v>144</v>
      </c>
      <c r="I33" s="2">
        <v>0.1845</v>
      </c>
      <c r="J33" s="1">
        <v>1E-3</v>
      </c>
    </row>
    <row r="34" spans="6:10" x14ac:dyDescent="0.35">
      <c r="F34" s="2">
        <v>142</v>
      </c>
      <c r="I34" s="2">
        <v>5.7599999999999998E-2</v>
      </c>
      <c r="J34" s="7">
        <v>5.0000000000000001E-4</v>
      </c>
    </row>
    <row r="35" spans="6:10" x14ac:dyDescent="0.35">
      <c r="F35" s="2">
        <v>140</v>
      </c>
      <c r="I35" s="2">
        <v>-4.5400000000000003E-2</v>
      </c>
      <c r="J35" s="7">
        <v>5.0000000000000001E-4</v>
      </c>
    </row>
    <row r="36" spans="6:10" x14ac:dyDescent="0.35">
      <c r="F36">
        <v>138</v>
      </c>
      <c r="I36">
        <v>-4.3700000000000003E-2</v>
      </c>
      <c r="J36" s="8">
        <v>5.0000000000000001E-4</v>
      </c>
    </row>
    <row r="37" spans="6:10" x14ac:dyDescent="0.35">
      <c r="F37">
        <v>136</v>
      </c>
      <c r="I37">
        <v>3.5000000000000001E-3</v>
      </c>
      <c r="J37">
        <v>1E-3</v>
      </c>
    </row>
    <row r="38" spans="6:10" x14ac:dyDescent="0.35">
      <c r="F38">
        <v>134</v>
      </c>
      <c r="I38">
        <v>1.4999999999999999E-2</v>
      </c>
      <c r="J38">
        <v>1E-3</v>
      </c>
    </row>
    <row r="39" spans="6:10" x14ac:dyDescent="0.35">
      <c r="F39">
        <v>132</v>
      </c>
      <c r="I39">
        <v>-6.5000000000000002E-2</v>
      </c>
      <c r="J39" s="8">
        <v>5.0000000000000001E-4</v>
      </c>
    </row>
    <row r="40" spans="6:10" x14ac:dyDescent="0.35">
      <c r="F40">
        <v>130</v>
      </c>
      <c r="I40">
        <v>-8.3699999999999997E-2</v>
      </c>
      <c r="J40" s="8">
        <v>2.9999999999999997E-4</v>
      </c>
    </row>
    <row r="41" spans="6:10" x14ac:dyDescent="0.35">
      <c r="F41">
        <v>128</v>
      </c>
      <c r="I41">
        <v>-5.6099999999999997E-2</v>
      </c>
      <c r="J41" s="8">
        <v>5.0000000000000001E-4</v>
      </c>
    </row>
    <row r="42" spans="6:10" x14ac:dyDescent="0.35">
      <c r="F42">
        <v>126</v>
      </c>
      <c r="I42">
        <v>1.4500000000000001E-2</v>
      </c>
      <c r="J42" s="8">
        <v>5.0000000000000001E-4</v>
      </c>
    </row>
    <row r="43" spans="6:10" x14ac:dyDescent="0.35">
      <c r="F43">
        <v>124</v>
      </c>
      <c r="I43">
        <v>-0.01</v>
      </c>
      <c r="J43" s="8">
        <v>5.0000000000000001E-4</v>
      </c>
    </row>
    <row r="44" spans="6:10" x14ac:dyDescent="0.35">
      <c r="F44">
        <v>122</v>
      </c>
      <c r="I44">
        <v>-7.1199999999999999E-2</v>
      </c>
      <c r="J44" s="8">
        <v>2.9999999999999997E-4</v>
      </c>
    </row>
    <row r="45" spans="6:10" x14ac:dyDescent="0.35">
      <c r="F45">
        <v>120</v>
      </c>
      <c r="I45">
        <v>-6.5299999999999997E-2</v>
      </c>
      <c r="J45" s="8">
        <v>5.0000000000000001E-4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411CB-6377-436B-AC6D-0F207B434EEC}">
  <dimension ref="B2:C10"/>
  <sheetViews>
    <sheetView workbookViewId="0">
      <selection activeCell="E3" sqref="E3"/>
    </sheetView>
  </sheetViews>
  <sheetFormatPr baseColWidth="10" defaultRowHeight="14.5" x14ac:dyDescent="0.35"/>
  <cols>
    <col min="2" max="2" width="41.81640625" bestFit="1" customWidth="1"/>
  </cols>
  <sheetData>
    <row r="2" spans="2:3" x14ac:dyDescent="0.35">
      <c r="B2" t="s">
        <v>12</v>
      </c>
    </row>
    <row r="4" spans="2:3" x14ac:dyDescent="0.35">
      <c r="B4" t="s">
        <v>16</v>
      </c>
      <c r="C4" s="2">
        <v>35</v>
      </c>
    </row>
    <row r="5" spans="2:3" x14ac:dyDescent="0.35">
      <c r="B5" t="s">
        <v>14</v>
      </c>
      <c r="C5" s="2">
        <v>69.900000000000006</v>
      </c>
    </row>
    <row r="6" spans="2:3" x14ac:dyDescent="0.35">
      <c r="B6" t="s">
        <v>15</v>
      </c>
      <c r="C6" s="2">
        <v>126.8</v>
      </c>
    </row>
    <row r="7" spans="2:3" x14ac:dyDescent="0.35">
      <c r="B7" t="s">
        <v>8</v>
      </c>
      <c r="C7" s="1">
        <v>0.1</v>
      </c>
    </row>
    <row r="9" spans="2:3" x14ac:dyDescent="0.35">
      <c r="B9" t="s">
        <v>17</v>
      </c>
      <c r="C9" s="3">
        <f>(C5-C6)*2/C4</f>
        <v>-3.2514285714285709</v>
      </c>
    </row>
    <row r="10" spans="2:3" x14ac:dyDescent="0.35">
      <c r="B10" t="s">
        <v>19</v>
      </c>
      <c r="C10" s="3">
        <f xml:space="preserve"> SQRT(2)*C7*2/C4</f>
        <v>8.0812203564176871E-3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C75D1-BC7B-4C39-BB03-69990F71EBA1}">
  <dimension ref="B2:C11"/>
  <sheetViews>
    <sheetView workbookViewId="0">
      <selection activeCell="B5" sqref="B5"/>
    </sheetView>
  </sheetViews>
  <sheetFormatPr baseColWidth="10" defaultRowHeight="14.5" x14ac:dyDescent="0.35"/>
  <cols>
    <col min="2" max="2" width="41.81640625" bestFit="1" customWidth="1"/>
  </cols>
  <sheetData>
    <row r="2" spans="2:3" x14ac:dyDescent="0.35">
      <c r="B2" t="s">
        <v>13</v>
      </c>
    </row>
    <row r="4" spans="2:3" x14ac:dyDescent="0.35">
      <c r="B4" t="s">
        <v>50</v>
      </c>
      <c r="C4">
        <v>9.35</v>
      </c>
    </row>
    <row r="5" spans="2:3" x14ac:dyDescent="0.35">
      <c r="B5" t="s">
        <v>49</v>
      </c>
      <c r="C5" s="2">
        <v>15</v>
      </c>
    </row>
    <row r="6" spans="2:3" x14ac:dyDescent="0.35">
      <c r="B6" t="s">
        <v>14</v>
      </c>
      <c r="C6" s="2">
        <v>0.5</v>
      </c>
    </row>
    <row r="7" spans="2:3" x14ac:dyDescent="0.35">
      <c r="B7" t="s">
        <v>15</v>
      </c>
      <c r="C7" s="2">
        <v>25.05</v>
      </c>
    </row>
    <row r="8" spans="2:3" x14ac:dyDescent="0.35">
      <c r="B8" t="s">
        <v>9</v>
      </c>
      <c r="C8" s="1">
        <v>0.05</v>
      </c>
    </row>
    <row r="10" spans="2:3" x14ac:dyDescent="0.35">
      <c r="B10" t="s">
        <v>17</v>
      </c>
      <c r="C10" s="3">
        <f xml:space="preserve"> (C6-C7)*2/C5</f>
        <v>-3.2733333333333334</v>
      </c>
    </row>
    <row r="11" spans="2:3" x14ac:dyDescent="0.35">
      <c r="B11" t="s">
        <v>18</v>
      </c>
      <c r="C11" s="3">
        <f xml:space="preserve"> SQRT(2)*C8*2/(C6-C7)</f>
        <v>-5.760544042252934E-3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F18AD-CE51-4AB8-8849-77D290EED8A9}">
  <dimension ref="B2:O31"/>
  <sheetViews>
    <sheetView topLeftCell="A12" workbookViewId="0">
      <selection activeCell="O6" sqref="O6"/>
    </sheetView>
  </sheetViews>
  <sheetFormatPr baseColWidth="10" defaultRowHeight="14.5" x14ac:dyDescent="0.35"/>
  <cols>
    <col min="2" max="2" width="27.90625" bestFit="1" customWidth="1"/>
    <col min="3" max="3" width="11.7265625" bestFit="1" customWidth="1"/>
    <col min="5" max="5" width="19.54296875" bestFit="1" customWidth="1"/>
    <col min="6" max="6" width="19.36328125" bestFit="1" customWidth="1"/>
    <col min="8" max="8" width="19.453125" bestFit="1" customWidth="1"/>
    <col min="9" max="9" width="19.26953125" bestFit="1" customWidth="1"/>
    <col min="12" max="12" width="19.453125" bestFit="1" customWidth="1"/>
    <col min="13" max="13" width="19.26953125" bestFit="1" customWidth="1"/>
  </cols>
  <sheetData>
    <row r="2" spans="2:15" x14ac:dyDescent="0.35">
      <c r="B2" t="s">
        <v>20</v>
      </c>
      <c r="E2" t="s">
        <v>51</v>
      </c>
      <c r="F2">
        <v>15.4</v>
      </c>
      <c r="H2" t="s">
        <v>52</v>
      </c>
    </row>
    <row r="3" spans="2:15" x14ac:dyDescent="0.35">
      <c r="E3" t="s">
        <v>54</v>
      </c>
    </row>
    <row r="4" spans="2:15" x14ac:dyDescent="0.35">
      <c r="B4" t="s">
        <v>21</v>
      </c>
      <c r="C4" t="s">
        <v>22</v>
      </c>
      <c r="E4" t="s">
        <v>23</v>
      </c>
      <c r="F4" t="s">
        <v>25</v>
      </c>
      <c r="H4" t="s">
        <v>21</v>
      </c>
      <c r="I4" t="s">
        <v>22</v>
      </c>
      <c r="L4" t="s">
        <v>24</v>
      </c>
      <c r="M4" t="s">
        <v>26</v>
      </c>
      <c r="O4" t="s">
        <v>53</v>
      </c>
    </row>
    <row r="5" spans="2:15" x14ac:dyDescent="0.35">
      <c r="B5">
        <v>15.4</v>
      </c>
      <c r="E5">
        <v>2.6</v>
      </c>
      <c r="F5">
        <v>0.01</v>
      </c>
      <c r="H5">
        <v>15.4</v>
      </c>
      <c r="L5">
        <v>-9.1200000000000003E-2</v>
      </c>
      <c r="M5">
        <v>1E-4</v>
      </c>
      <c r="O5">
        <v>-9.0499999999999997E-2</v>
      </c>
    </row>
    <row r="6" spans="2:15" x14ac:dyDescent="0.35">
      <c r="B6">
        <v>15.3</v>
      </c>
      <c r="E6">
        <v>2.33</v>
      </c>
      <c r="F6">
        <v>0.01</v>
      </c>
      <c r="H6">
        <v>15.3</v>
      </c>
      <c r="L6">
        <v>-9.5689999999999997E-2</v>
      </c>
      <c r="M6">
        <v>1E-4</v>
      </c>
    </row>
    <row r="7" spans="2:15" x14ac:dyDescent="0.35">
      <c r="B7">
        <v>15.2</v>
      </c>
      <c r="E7">
        <v>2.02</v>
      </c>
      <c r="F7">
        <v>0.01</v>
      </c>
      <c r="H7">
        <v>15.2</v>
      </c>
      <c r="L7">
        <v>-0.1022</v>
      </c>
      <c r="M7">
        <v>1E-4</v>
      </c>
    </row>
    <row r="8" spans="2:15" x14ac:dyDescent="0.35">
      <c r="B8">
        <v>15.1</v>
      </c>
      <c r="E8">
        <v>1.6</v>
      </c>
      <c r="F8">
        <v>0.01</v>
      </c>
      <c r="H8">
        <v>15.1</v>
      </c>
      <c r="L8">
        <v>-0.1118</v>
      </c>
      <c r="M8">
        <v>1E-4</v>
      </c>
    </row>
    <row r="9" spans="2:15" x14ac:dyDescent="0.35">
      <c r="B9">
        <v>15</v>
      </c>
      <c r="E9">
        <v>1.23</v>
      </c>
      <c r="F9">
        <v>0.01</v>
      </c>
      <c r="H9">
        <v>15</v>
      </c>
      <c r="L9">
        <v>-0.1176</v>
      </c>
      <c r="M9">
        <v>4.0000000000000002E-4</v>
      </c>
    </row>
    <row r="10" spans="2:15" x14ac:dyDescent="0.35">
      <c r="B10">
        <v>14.9</v>
      </c>
      <c r="E10">
        <v>0.89</v>
      </c>
      <c r="F10">
        <v>0.01</v>
      </c>
      <c r="H10">
        <v>14.9</v>
      </c>
      <c r="L10">
        <v>-0.1148</v>
      </c>
      <c r="M10">
        <v>4.0000000000000002E-4</v>
      </c>
    </row>
    <row r="11" spans="2:15" x14ac:dyDescent="0.35">
      <c r="B11">
        <v>14.8</v>
      </c>
      <c r="E11">
        <v>0.7</v>
      </c>
      <c r="F11">
        <v>0.1</v>
      </c>
      <c r="H11">
        <v>14.8</v>
      </c>
      <c r="L11">
        <v>-9.1499999999999998E-2</v>
      </c>
      <c r="M11">
        <v>4.0000000000000002E-4</v>
      </c>
    </row>
    <row r="12" spans="2:15" x14ac:dyDescent="0.35">
      <c r="B12">
        <v>14.7</v>
      </c>
      <c r="E12">
        <v>0.47</v>
      </c>
      <c r="F12">
        <v>0.04</v>
      </c>
      <c r="H12">
        <v>14.7</v>
      </c>
      <c r="L12">
        <v>-4.8899999999999999E-2</v>
      </c>
      <c r="M12">
        <v>1E-3</v>
      </c>
    </row>
    <row r="13" spans="2:15" x14ac:dyDescent="0.35">
      <c r="B13">
        <v>14.6</v>
      </c>
      <c r="E13">
        <v>0.35</v>
      </c>
      <c r="F13">
        <v>0.03</v>
      </c>
      <c r="H13">
        <v>14.6</v>
      </c>
      <c r="L13">
        <v>6.0000000000000001E-3</v>
      </c>
      <c r="M13">
        <v>1E-3</v>
      </c>
    </row>
    <row r="14" spans="2:15" x14ac:dyDescent="0.35">
      <c r="B14">
        <v>14.5</v>
      </c>
      <c r="E14">
        <v>0.23</v>
      </c>
      <c r="F14">
        <v>0.01</v>
      </c>
      <c r="H14">
        <v>14.5</v>
      </c>
      <c r="L14">
        <v>6.5000000000000002E-2</v>
      </c>
      <c r="M14">
        <v>1E-3</v>
      </c>
    </row>
    <row r="15" spans="2:15" x14ac:dyDescent="0.35">
      <c r="B15">
        <v>14.4</v>
      </c>
      <c r="E15">
        <v>0.16</v>
      </c>
      <c r="F15">
        <v>0.01</v>
      </c>
      <c r="H15">
        <v>14.4</v>
      </c>
      <c r="L15">
        <v>9.8000000000000004E-2</v>
      </c>
      <c r="M15">
        <v>1E-3</v>
      </c>
    </row>
    <row r="16" spans="2:15" x14ac:dyDescent="0.35">
      <c r="B16">
        <v>14.3</v>
      </c>
      <c r="E16">
        <v>9.1999999999999998E-2</v>
      </c>
      <c r="F16">
        <v>4.0000000000000001E-3</v>
      </c>
      <c r="H16">
        <v>14.3</v>
      </c>
      <c r="L16">
        <v>0.13200000000000001</v>
      </c>
      <c r="M16">
        <v>2E-3</v>
      </c>
    </row>
    <row r="17" spans="2:13" x14ac:dyDescent="0.35">
      <c r="B17">
        <v>14.2</v>
      </c>
      <c r="E17">
        <v>6.2E-2</v>
      </c>
      <c r="F17">
        <v>4.0000000000000001E-3</v>
      </c>
      <c r="H17">
        <v>14.2</v>
      </c>
      <c r="L17">
        <v>0.14899999999999999</v>
      </c>
      <c r="M17">
        <v>3.0000000000000001E-3</v>
      </c>
    </row>
    <row r="18" spans="2:13" x14ac:dyDescent="0.35">
      <c r="B18">
        <v>14.1</v>
      </c>
      <c r="E18">
        <v>1.7999999999999999E-2</v>
      </c>
      <c r="F18">
        <v>3.0000000000000001E-3</v>
      </c>
      <c r="H18">
        <v>14.1</v>
      </c>
      <c r="L18">
        <v>0.16800000000000001</v>
      </c>
      <c r="M18">
        <v>4.0000000000000001E-3</v>
      </c>
    </row>
    <row r="19" spans="2:13" x14ac:dyDescent="0.35">
      <c r="B19">
        <v>14</v>
      </c>
      <c r="E19">
        <v>-5.0000000000000001E-3</v>
      </c>
      <c r="F19">
        <v>8.0000000000000002E-3</v>
      </c>
      <c r="H19">
        <v>14</v>
      </c>
      <c r="L19">
        <v>0.214</v>
      </c>
      <c r="M19">
        <v>4.0000000000000001E-3</v>
      </c>
    </row>
    <row r="20" spans="2:13" x14ac:dyDescent="0.35">
      <c r="B20">
        <v>13.9</v>
      </c>
      <c r="E20">
        <v>-4.5999999999999999E-2</v>
      </c>
      <c r="F20">
        <v>5.0000000000000001E-3</v>
      </c>
      <c r="H20">
        <v>13.9</v>
      </c>
      <c r="L20">
        <v>0.25800000000000001</v>
      </c>
      <c r="M20">
        <v>5.0000000000000001E-3</v>
      </c>
    </row>
    <row r="21" spans="2:13" x14ac:dyDescent="0.35">
      <c r="B21">
        <v>13.8</v>
      </c>
      <c r="E21">
        <v>-7.0000000000000007E-2</v>
      </c>
      <c r="F21">
        <v>5.0000000000000001E-3</v>
      </c>
      <c r="H21">
        <v>13.8</v>
      </c>
      <c r="L21">
        <v>0.32800000000000001</v>
      </c>
      <c r="M21">
        <v>5.0000000000000001E-3</v>
      </c>
    </row>
    <row r="22" spans="2:13" x14ac:dyDescent="0.35">
      <c r="B22">
        <v>13.7</v>
      </c>
      <c r="E22">
        <v>-0.09</v>
      </c>
      <c r="F22">
        <v>3.0000000000000001E-3</v>
      </c>
      <c r="H22">
        <v>13.7</v>
      </c>
      <c r="L22">
        <v>0.39300000000000002</v>
      </c>
      <c r="M22">
        <v>5.0000000000000001E-3</v>
      </c>
    </row>
    <row r="23" spans="2:13" x14ac:dyDescent="0.35">
      <c r="B23">
        <v>13.6</v>
      </c>
      <c r="E23">
        <v>-0.1</v>
      </c>
      <c r="F23">
        <v>2E-3</v>
      </c>
      <c r="H23">
        <v>13.6</v>
      </c>
      <c r="L23">
        <v>0.44500000000000001</v>
      </c>
      <c r="M23">
        <v>5.0000000000000001E-3</v>
      </c>
    </row>
    <row r="24" spans="2:13" x14ac:dyDescent="0.35">
      <c r="B24">
        <v>13.5</v>
      </c>
      <c r="E24">
        <v>-0.11</v>
      </c>
      <c r="F24">
        <v>3.0000000000000001E-3</v>
      </c>
      <c r="H24">
        <v>13.5</v>
      </c>
      <c r="L24">
        <v>0.53400000000000003</v>
      </c>
      <c r="M24">
        <v>5.0000000000000001E-3</v>
      </c>
    </row>
    <row r="25" spans="2:13" x14ac:dyDescent="0.35">
      <c r="B25">
        <v>13.4</v>
      </c>
      <c r="E25">
        <v>-0.12</v>
      </c>
      <c r="F25">
        <v>3.0000000000000001E-3</v>
      </c>
      <c r="H25">
        <v>13.4</v>
      </c>
      <c r="L25">
        <v>0.62</v>
      </c>
      <c r="M25">
        <v>5.0000000000000001E-3</v>
      </c>
    </row>
    <row r="26" spans="2:13" x14ac:dyDescent="0.35">
      <c r="B26">
        <v>13.3</v>
      </c>
      <c r="E26">
        <v>-0.11700000000000001</v>
      </c>
      <c r="F26">
        <v>2E-3</v>
      </c>
      <c r="H26">
        <v>13.3</v>
      </c>
      <c r="L26">
        <v>0.66400000000000003</v>
      </c>
      <c r="M26">
        <v>5.0000000000000001E-3</v>
      </c>
    </row>
    <row r="27" spans="2:13" x14ac:dyDescent="0.35">
      <c r="B27">
        <v>13.2</v>
      </c>
      <c r="E27">
        <v>-0.11799999999999999</v>
      </c>
      <c r="F27">
        <v>5.0000000000000001E-4</v>
      </c>
      <c r="H27">
        <v>13.2</v>
      </c>
      <c r="L27">
        <v>0.74299999999999999</v>
      </c>
      <c r="M27">
        <v>5.0000000000000001E-3</v>
      </c>
    </row>
    <row r="30" spans="2:13" x14ac:dyDescent="0.35">
      <c r="B30" t="s">
        <v>53</v>
      </c>
    </row>
    <row r="31" spans="2:13" x14ac:dyDescent="0.35">
      <c r="B31">
        <v>-9.0700000000000003E-2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8F348-7F82-42DE-B333-29BBE5ADDF2A}">
  <dimension ref="B2:H23"/>
  <sheetViews>
    <sheetView topLeftCell="A2" workbookViewId="0">
      <selection activeCell="H12" sqref="H12"/>
    </sheetView>
  </sheetViews>
  <sheetFormatPr baseColWidth="10" defaultRowHeight="14.5" x14ac:dyDescent="0.35"/>
  <cols>
    <col min="2" max="2" width="25.7265625" bestFit="1" customWidth="1"/>
    <col min="3" max="3" width="17.36328125" bestFit="1" customWidth="1"/>
    <col min="5" max="5" width="21.08984375" bestFit="1" customWidth="1"/>
    <col min="6" max="6" width="17.7265625" bestFit="1" customWidth="1"/>
  </cols>
  <sheetData>
    <row r="2" spans="2:8" x14ac:dyDescent="0.35">
      <c r="B2" t="s">
        <v>27</v>
      </c>
    </row>
    <row r="4" spans="2:8" x14ac:dyDescent="0.35">
      <c r="B4" t="s">
        <v>1</v>
      </c>
      <c r="C4" t="s">
        <v>2</v>
      </c>
      <c r="E4" t="s">
        <v>28</v>
      </c>
      <c r="F4" t="s">
        <v>4</v>
      </c>
      <c r="H4" t="s">
        <v>55</v>
      </c>
    </row>
    <row r="5" spans="2:8" x14ac:dyDescent="0.35">
      <c r="B5">
        <v>0</v>
      </c>
      <c r="C5">
        <v>0.5</v>
      </c>
      <c r="E5">
        <v>-0.121</v>
      </c>
      <c r="F5">
        <v>5.0000000000000001E-4</v>
      </c>
      <c r="H5">
        <v>-9.0399999999999994E-2</v>
      </c>
    </row>
    <row r="6" spans="2:8" x14ac:dyDescent="0.35">
      <c r="B6">
        <v>10</v>
      </c>
      <c r="C6">
        <v>0.5</v>
      </c>
      <c r="E6" s="2">
        <v>-0.125</v>
      </c>
      <c r="F6" s="1">
        <v>5.0000000000000001E-4</v>
      </c>
    </row>
    <row r="7" spans="2:8" x14ac:dyDescent="0.35">
      <c r="B7">
        <v>20</v>
      </c>
      <c r="C7">
        <v>0.5</v>
      </c>
      <c r="E7" s="2">
        <v>-0.106</v>
      </c>
      <c r="F7" s="1">
        <v>5.0000000000000001E-4</v>
      </c>
    </row>
    <row r="8" spans="2:8" x14ac:dyDescent="0.35">
      <c r="B8">
        <v>30</v>
      </c>
      <c r="C8">
        <v>0.5</v>
      </c>
      <c r="E8" s="2">
        <v>-9.1300000000000006E-2</v>
      </c>
      <c r="F8" s="1">
        <v>5.0000000000000001E-4</v>
      </c>
    </row>
    <row r="9" spans="2:8" x14ac:dyDescent="0.35">
      <c r="B9">
        <v>40</v>
      </c>
      <c r="C9">
        <v>0.5</v>
      </c>
      <c r="E9" s="2">
        <v>-0.113</v>
      </c>
      <c r="F9" s="1">
        <v>5.0000000000000001E-4</v>
      </c>
    </row>
    <row r="10" spans="2:8" x14ac:dyDescent="0.35">
      <c r="B10">
        <v>50</v>
      </c>
      <c r="C10">
        <v>0.5</v>
      </c>
      <c r="E10" s="2">
        <v>-8.5500000000000007E-2</v>
      </c>
      <c r="F10" s="1">
        <v>5.0000000000000001E-4</v>
      </c>
    </row>
    <row r="11" spans="2:8" x14ac:dyDescent="0.35">
      <c r="B11">
        <v>60</v>
      </c>
      <c r="C11">
        <v>0.5</v>
      </c>
      <c r="E11" s="2">
        <v>9.1999999999999998E-2</v>
      </c>
      <c r="F11" s="1">
        <v>1E-3</v>
      </c>
    </row>
    <row r="12" spans="2:8" x14ac:dyDescent="0.35">
      <c r="B12">
        <v>70</v>
      </c>
      <c r="C12">
        <v>0.5</v>
      </c>
      <c r="E12" s="2">
        <v>0.33500000000000002</v>
      </c>
      <c r="F12" s="1">
        <v>2E-3</v>
      </c>
    </row>
    <row r="13" spans="2:8" x14ac:dyDescent="0.35">
      <c r="B13">
        <v>80</v>
      </c>
      <c r="C13">
        <v>0.5</v>
      </c>
      <c r="E13" s="2">
        <v>0.55000000000000004</v>
      </c>
      <c r="F13" s="1">
        <v>4.0000000000000001E-3</v>
      </c>
    </row>
    <row r="14" spans="2:8" x14ac:dyDescent="0.35">
      <c r="B14">
        <v>90</v>
      </c>
      <c r="C14">
        <v>0.5</v>
      </c>
      <c r="E14" s="2">
        <v>0.65900000000000003</v>
      </c>
      <c r="F14" s="1">
        <v>3.0000000000000001E-3</v>
      </c>
    </row>
    <row r="15" spans="2:8" x14ac:dyDescent="0.35">
      <c r="B15">
        <v>100</v>
      </c>
      <c r="C15">
        <v>0.5</v>
      </c>
      <c r="E15" s="2">
        <v>0.59</v>
      </c>
      <c r="F15" s="1">
        <v>3.0000000000000001E-3</v>
      </c>
    </row>
    <row r="16" spans="2:8" x14ac:dyDescent="0.35">
      <c r="B16">
        <v>110</v>
      </c>
      <c r="C16">
        <v>0.5</v>
      </c>
      <c r="E16" s="2">
        <v>0.39200000000000002</v>
      </c>
      <c r="F16" s="1">
        <v>3.0000000000000001E-3</v>
      </c>
    </row>
    <row r="17" spans="2:6" x14ac:dyDescent="0.35">
      <c r="B17">
        <v>120</v>
      </c>
      <c r="C17">
        <v>0.5</v>
      </c>
      <c r="E17" s="2">
        <v>0.11600000000000001</v>
      </c>
      <c r="F17" s="1">
        <v>2E-3</v>
      </c>
    </row>
    <row r="18" spans="2:6" x14ac:dyDescent="0.35">
      <c r="B18">
        <v>130</v>
      </c>
      <c r="C18">
        <v>0.5</v>
      </c>
      <c r="E18" s="2">
        <v>-8.1000000000000003E-2</v>
      </c>
      <c r="F18" s="1">
        <v>1E-3</v>
      </c>
    </row>
    <row r="19" spans="2:6" x14ac:dyDescent="0.35">
      <c r="B19">
        <v>140</v>
      </c>
      <c r="C19">
        <v>0.5</v>
      </c>
      <c r="E19" s="2">
        <v>-0.109</v>
      </c>
      <c r="F19" s="1">
        <v>1E-3</v>
      </c>
    </row>
    <row r="20" spans="2:6" x14ac:dyDescent="0.35">
      <c r="B20">
        <v>150</v>
      </c>
      <c r="C20">
        <v>0.5</v>
      </c>
      <c r="E20" s="2">
        <v>-9.1600000000000001E-2</v>
      </c>
      <c r="F20" s="1">
        <v>2.9999999999999997E-4</v>
      </c>
    </row>
    <row r="21" spans="2:6" x14ac:dyDescent="0.35">
      <c r="B21">
        <v>160</v>
      </c>
      <c r="C21">
        <v>0.5</v>
      </c>
      <c r="E21" s="2">
        <v>-0.1024</v>
      </c>
      <c r="F21" s="1">
        <v>2.9999999999999997E-4</v>
      </c>
    </row>
    <row r="22" spans="2:6" x14ac:dyDescent="0.35">
      <c r="B22">
        <v>170</v>
      </c>
      <c r="C22">
        <v>0.5</v>
      </c>
      <c r="E22" s="2">
        <v>-0.12</v>
      </c>
      <c r="F22" s="1">
        <v>4.0000000000000002E-4</v>
      </c>
    </row>
    <row r="23" spans="2:6" x14ac:dyDescent="0.35">
      <c r="B23">
        <v>180</v>
      </c>
      <c r="C23">
        <v>0.5</v>
      </c>
      <c r="E23" s="2">
        <v>-0.11799999999999999</v>
      </c>
      <c r="F23" s="1">
        <v>5.0000000000000001E-4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ECB45-5D7F-439B-9F1C-14B77BEB2105}">
  <dimension ref="B2:N42"/>
  <sheetViews>
    <sheetView tabSelected="1" topLeftCell="A3" zoomScale="75" workbookViewId="0">
      <selection activeCell="G12" sqref="G12"/>
    </sheetView>
  </sheetViews>
  <sheetFormatPr baseColWidth="10" defaultRowHeight="14.5" x14ac:dyDescent="0.35"/>
  <cols>
    <col min="2" max="2" width="34.6328125" bestFit="1" customWidth="1"/>
    <col min="3" max="3" width="17.36328125" bestFit="1" customWidth="1"/>
    <col min="5" max="5" width="21.08984375" bestFit="1" customWidth="1"/>
    <col min="6" max="6" width="17.7265625" bestFit="1" customWidth="1"/>
    <col min="10" max="10" width="18" bestFit="1" customWidth="1"/>
    <col min="11" max="11" width="17.36328125" bestFit="1" customWidth="1"/>
    <col min="13" max="13" width="21.08984375" bestFit="1" customWidth="1"/>
    <col min="14" max="14" width="17.7265625" bestFit="1" customWidth="1"/>
  </cols>
  <sheetData>
    <row r="2" spans="2:14" x14ac:dyDescent="0.35">
      <c r="B2" t="s">
        <v>29</v>
      </c>
    </row>
    <row r="4" spans="2:14" x14ac:dyDescent="0.35">
      <c r="B4" t="s">
        <v>30</v>
      </c>
      <c r="J4" t="s">
        <v>31</v>
      </c>
    </row>
    <row r="6" spans="2:14" x14ac:dyDescent="0.35">
      <c r="B6" t="s">
        <v>33</v>
      </c>
      <c r="C6" t="s">
        <v>2</v>
      </c>
      <c r="E6" t="s">
        <v>28</v>
      </c>
      <c r="F6" t="s">
        <v>4</v>
      </c>
      <c r="J6" t="s">
        <v>32</v>
      </c>
      <c r="K6" t="s">
        <v>2</v>
      </c>
      <c r="M6" t="s">
        <v>28</v>
      </c>
      <c r="N6" t="s">
        <v>4</v>
      </c>
    </row>
    <row r="7" spans="2:14" x14ac:dyDescent="0.35">
      <c r="B7">
        <v>0</v>
      </c>
      <c r="C7" s="1">
        <v>1</v>
      </c>
      <c r="E7" s="2">
        <v>2.66</v>
      </c>
      <c r="F7" s="1">
        <v>0.02</v>
      </c>
      <c r="J7">
        <v>0</v>
      </c>
      <c r="K7" s="1">
        <v>1</v>
      </c>
      <c r="M7" s="2">
        <v>3.3</v>
      </c>
      <c r="N7" s="1">
        <v>0.02</v>
      </c>
    </row>
    <row r="8" spans="2:14" x14ac:dyDescent="0.35">
      <c r="B8">
        <v>2</v>
      </c>
      <c r="C8" s="1">
        <v>1</v>
      </c>
      <c r="E8" s="2">
        <v>0.17299999999999999</v>
      </c>
      <c r="F8" s="1">
        <v>5.0000000000000001E-3</v>
      </c>
      <c r="J8">
        <v>2</v>
      </c>
      <c r="K8" s="1">
        <v>1</v>
      </c>
      <c r="M8" s="2">
        <v>0.215</v>
      </c>
      <c r="N8" s="1">
        <v>7.0000000000000001E-3</v>
      </c>
    </row>
    <row r="9" spans="2:14" x14ac:dyDescent="0.35">
      <c r="B9">
        <v>4</v>
      </c>
      <c r="C9" s="1">
        <v>1</v>
      </c>
      <c r="E9" s="2">
        <v>-0.11550000000000001</v>
      </c>
      <c r="F9" s="1">
        <v>2.0000000000000001E-4</v>
      </c>
      <c r="J9">
        <v>4</v>
      </c>
      <c r="K9" s="1">
        <v>1</v>
      </c>
      <c r="M9" s="2">
        <v>-0.11650000000000001</v>
      </c>
      <c r="N9" s="1">
        <v>5.0000000000000001E-4</v>
      </c>
    </row>
    <row r="10" spans="2:14" x14ac:dyDescent="0.35">
      <c r="B10">
        <v>6</v>
      </c>
      <c r="C10" s="1">
        <v>1</v>
      </c>
      <c r="E10" s="2">
        <v>-0.1004</v>
      </c>
      <c r="F10" s="1">
        <v>2.0000000000000001E-4</v>
      </c>
      <c r="J10">
        <v>6</v>
      </c>
      <c r="K10" s="1">
        <v>1</v>
      </c>
      <c r="M10" s="2">
        <v>-0.10150000000000001</v>
      </c>
      <c r="N10" s="1">
        <v>5.0000000000000001E-4</v>
      </c>
    </row>
    <row r="11" spans="2:14" x14ac:dyDescent="0.35">
      <c r="B11">
        <v>8</v>
      </c>
      <c r="C11" s="1">
        <v>1</v>
      </c>
      <c r="E11" s="2">
        <v>-9.1499999999999998E-2</v>
      </c>
      <c r="F11" s="1">
        <v>2.0000000000000001E-4</v>
      </c>
      <c r="J11">
        <v>8</v>
      </c>
      <c r="K11" s="1">
        <v>1</v>
      </c>
      <c r="M11" s="2">
        <v>-9.1700000000000004E-2</v>
      </c>
      <c r="N11" s="1">
        <v>2.0000000000000001E-4</v>
      </c>
    </row>
    <row r="12" spans="2:14" x14ac:dyDescent="0.35">
      <c r="B12">
        <v>10</v>
      </c>
      <c r="C12" s="1">
        <v>1</v>
      </c>
      <c r="E12" s="2">
        <v>-9.2100000000000001E-2</v>
      </c>
      <c r="F12" s="7">
        <v>2.0000000000000001E-4</v>
      </c>
      <c r="J12">
        <v>10</v>
      </c>
      <c r="K12" s="1">
        <v>1</v>
      </c>
      <c r="M12" s="2">
        <v>-9.06E-2</v>
      </c>
      <c r="N12" s="1">
        <v>2.0000000000000001E-4</v>
      </c>
    </row>
    <row r="13" spans="2:14" x14ac:dyDescent="0.35">
      <c r="B13">
        <v>12</v>
      </c>
      <c r="C13" s="1">
        <v>1</v>
      </c>
      <c r="E13" s="2">
        <v>-9.0800000000000006E-2</v>
      </c>
      <c r="F13" s="7">
        <v>2.0000000000000001E-4</v>
      </c>
      <c r="J13">
        <v>12</v>
      </c>
      <c r="K13" s="1">
        <v>1</v>
      </c>
      <c r="M13" s="2">
        <v>-9.06E-2</v>
      </c>
      <c r="N13" s="1">
        <v>2.0000000000000001E-4</v>
      </c>
    </row>
    <row r="14" spans="2:14" x14ac:dyDescent="0.35">
      <c r="B14">
        <v>14</v>
      </c>
      <c r="C14" s="1">
        <v>1</v>
      </c>
      <c r="E14" s="2">
        <v>-9.4299999999999995E-2</v>
      </c>
      <c r="F14" s="7">
        <v>4.0000000000000002E-4</v>
      </c>
      <c r="J14">
        <v>14</v>
      </c>
      <c r="K14" s="1">
        <v>1</v>
      </c>
      <c r="M14" s="2">
        <v>-9.2999999999999999E-2</v>
      </c>
      <c r="N14" s="1">
        <v>5.0000000000000001E-4</v>
      </c>
    </row>
    <row r="15" spans="2:14" x14ac:dyDescent="0.35">
      <c r="B15">
        <v>16</v>
      </c>
      <c r="C15" s="1">
        <v>1</v>
      </c>
      <c r="E15" s="2">
        <v>-0.1037</v>
      </c>
      <c r="F15" s="7">
        <v>2.9999999999999997E-4</v>
      </c>
      <c r="J15">
        <v>16</v>
      </c>
      <c r="K15" s="1">
        <v>1</v>
      </c>
      <c r="M15" s="2">
        <v>-9.2399999999999996E-2</v>
      </c>
      <c r="N15" s="1">
        <v>5.0000000000000001E-4</v>
      </c>
    </row>
    <row r="16" spans="2:14" x14ac:dyDescent="0.35">
      <c r="B16">
        <v>18</v>
      </c>
      <c r="C16" s="1">
        <v>1</v>
      </c>
      <c r="E16" s="2">
        <v>-9.8000000000000004E-2</v>
      </c>
      <c r="F16" s="7">
        <v>5.0000000000000001E-4</v>
      </c>
      <c r="J16">
        <v>18</v>
      </c>
      <c r="K16" s="1">
        <v>1</v>
      </c>
      <c r="M16" s="2">
        <v>-9.1899999999999996E-2</v>
      </c>
      <c r="N16" s="1">
        <v>2.0000000000000001E-4</v>
      </c>
    </row>
    <row r="17" spans="2:14" x14ac:dyDescent="0.35">
      <c r="B17">
        <v>20</v>
      </c>
      <c r="C17" s="1">
        <v>1</v>
      </c>
      <c r="E17" s="2">
        <v>-0.113</v>
      </c>
      <c r="F17" s="7">
        <v>5.0000000000000001E-4</v>
      </c>
      <c r="J17">
        <v>20</v>
      </c>
      <c r="K17" s="1">
        <v>1</v>
      </c>
      <c r="M17" s="2">
        <v>-9.4E-2</v>
      </c>
      <c r="N17" s="1">
        <v>2.0000000000000001E-4</v>
      </c>
    </row>
    <row r="18" spans="2:14" x14ac:dyDescent="0.35">
      <c r="B18">
        <v>21</v>
      </c>
      <c r="C18" s="1">
        <v>1</v>
      </c>
      <c r="E18" s="2">
        <v>4.8000000000000001E-2</v>
      </c>
      <c r="F18" s="1">
        <v>5.0000000000000001E-3</v>
      </c>
      <c r="J18">
        <v>22</v>
      </c>
      <c r="K18" s="1">
        <v>1</v>
      </c>
      <c r="M18" s="2">
        <v>-9.5799999999999996E-2</v>
      </c>
      <c r="N18" s="1">
        <v>2.0000000000000001E-4</v>
      </c>
    </row>
    <row r="19" spans="2:14" x14ac:dyDescent="0.35">
      <c r="B19">
        <v>22</v>
      </c>
      <c r="C19" s="1">
        <v>1</v>
      </c>
      <c r="E19" s="2">
        <v>0.19</v>
      </c>
      <c r="F19" s="1">
        <v>5.0000000000000001E-3</v>
      </c>
      <c r="J19">
        <v>24</v>
      </c>
      <c r="K19" s="1">
        <v>1</v>
      </c>
      <c r="M19" s="2">
        <v>-9.8799999999999999E-2</v>
      </c>
      <c r="N19" s="1">
        <v>1E-4</v>
      </c>
    </row>
    <row r="20" spans="2:14" x14ac:dyDescent="0.35">
      <c r="B20">
        <v>23</v>
      </c>
      <c r="C20" s="1">
        <v>1</v>
      </c>
      <c r="E20" s="2">
        <v>0.25900000000000001</v>
      </c>
      <c r="F20" s="1">
        <v>5.0000000000000001E-3</v>
      </c>
      <c r="J20">
        <v>26</v>
      </c>
      <c r="K20" s="1">
        <v>1</v>
      </c>
      <c r="M20" s="2">
        <v>-9.74E-2</v>
      </c>
      <c r="N20" s="1">
        <v>2.0000000000000001E-4</v>
      </c>
    </row>
    <row r="21" spans="2:14" x14ac:dyDescent="0.35">
      <c r="B21">
        <v>24</v>
      </c>
      <c r="C21" s="1">
        <v>1</v>
      </c>
      <c r="E21" s="2">
        <v>6.8000000000000005E-2</v>
      </c>
      <c r="F21" s="1">
        <v>5.0000000000000001E-3</v>
      </c>
      <c r="J21">
        <v>28</v>
      </c>
      <c r="K21" s="1">
        <v>1</v>
      </c>
      <c r="M21" s="2">
        <v>-0.1</v>
      </c>
      <c r="N21" s="1">
        <v>2.9999999999999997E-4</v>
      </c>
    </row>
    <row r="22" spans="2:14" x14ac:dyDescent="0.35">
      <c r="B22">
        <v>25</v>
      </c>
      <c r="C22" s="1">
        <v>1</v>
      </c>
      <c r="E22" s="2">
        <v>-6.4000000000000001E-2</v>
      </c>
      <c r="F22" s="1">
        <v>2E-3</v>
      </c>
      <c r="J22">
        <v>30</v>
      </c>
      <c r="K22" s="1">
        <v>1</v>
      </c>
      <c r="M22" s="2">
        <v>-0.11899999999999999</v>
      </c>
      <c r="N22" s="1">
        <v>5.0000000000000001E-4</v>
      </c>
    </row>
    <row r="23" spans="2:14" x14ac:dyDescent="0.35">
      <c r="B23">
        <v>26</v>
      </c>
      <c r="C23" s="1">
        <v>1</v>
      </c>
      <c r="E23" s="2">
        <v>-0.11700000000000001</v>
      </c>
      <c r="F23" s="1">
        <v>1E-3</v>
      </c>
      <c r="J23">
        <v>31</v>
      </c>
      <c r="K23" s="1">
        <v>1</v>
      </c>
      <c r="M23" s="2">
        <v>-0.115</v>
      </c>
      <c r="N23" s="1">
        <v>5.0000000000000001E-4</v>
      </c>
    </row>
    <row r="24" spans="2:14" x14ac:dyDescent="0.35">
      <c r="B24">
        <v>28</v>
      </c>
      <c r="C24" s="1">
        <v>1</v>
      </c>
      <c r="E24" s="2">
        <v>-0.109</v>
      </c>
      <c r="F24" s="7">
        <v>5.0000000000000001E-4</v>
      </c>
      <c r="J24">
        <v>32</v>
      </c>
      <c r="K24" s="1">
        <v>1</v>
      </c>
      <c r="M24" s="2">
        <v>-5.7000000000000002E-2</v>
      </c>
      <c r="N24" s="1">
        <v>8.0000000000000004E-4</v>
      </c>
    </row>
    <row r="25" spans="2:14" x14ac:dyDescent="0.35">
      <c r="B25">
        <v>30</v>
      </c>
      <c r="C25" s="1">
        <v>1</v>
      </c>
      <c r="E25" s="2">
        <v>-0.1115</v>
      </c>
      <c r="F25" s="7">
        <v>5.0000000000000001E-4</v>
      </c>
      <c r="J25">
        <v>33</v>
      </c>
      <c r="K25" s="1">
        <v>1</v>
      </c>
      <c r="M25" s="2">
        <v>-4.2000000000000003E-2</v>
      </c>
      <c r="N25" s="1">
        <v>1E-3</v>
      </c>
    </row>
    <row r="26" spans="2:14" x14ac:dyDescent="0.35">
      <c r="B26">
        <v>32</v>
      </c>
      <c r="C26" s="1">
        <v>1</v>
      </c>
      <c r="E26" s="2">
        <v>-0.11</v>
      </c>
      <c r="F26" s="7">
        <v>5.0000000000000001E-4</v>
      </c>
      <c r="J26">
        <v>34</v>
      </c>
      <c r="K26" s="1">
        <v>1</v>
      </c>
      <c r="M26" s="2">
        <v>-4.2999999999999997E-2</v>
      </c>
      <c r="N26" s="1">
        <v>1E-3</v>
      </c>
    </row>
    <row r="27" spans="2:14" x14ac:dyDescent="0.35">
      <c r="B27">
        <v>34</v>
      </c>
      <c r="C27" s="1">
        <v>1</v>
      </c>
      <c r="E27" s="2">
        <v>-0.1</v>
      </c>
      <c r="F27" s="7">
        <v>5.0000000000000001E-4</v>
      </c>
      <c r="J27">
        <v>35</v>
      </c>
      <c r="K27" s="1">
        <v>1</v>
      </c>
      <c r="M27" s="2">
        <v>-6.8099999999999994E-2</v>
      </c>
      <c r="N27" s="1">
        <v>8.0000000000000004E-4</v>
      </c>
    </row>
    <row r="28" spans="2:14" x14ac:dyDescent="0.35">
      <c r="B28">
        <v>36</v>
      </c>
      <c r="C28" s="1">
        <v>1</v>
      </c>
      <c r="E28" s="2">
        <v>-9.35E-2</v>
      </c>
      <c r="F28" s="7">
        <v>5.0000000000000001E-4</v>
      </c>
      <c r="J28">
        <v>36</v>
      </c>
      <c r="K28" s="1">
        <v>1</v>
      </c>
      <c r="M28" s="2">
        <v>-0.10340000000000001</v>
      </c>
      <c r="N28" s="1">
        <v>6.9999999999999999E-4</v>
      </c>
    </row>
    <row r="29" spans="2:14" x14ac:dyDescent="0.35">
      <c r="B29">
        <v>38</v>
      </c>
      <c r="C29" s="1">
        <v>1</v>
      </c>
      <c r="E29" s="2">
        <v>-9.2999999999999999E-2</v>
      </c>
      <c r="F29" s="7">
        <v>2.9999999999999997E-4</v>
      </c>
      <c r="J29">
        <v>37</v>
      </c>
      <c r="K29" s="1">
        <v>1</v>
      </c>
      <c r="M29" s="2">
        <v>-0.1154</v>
      </c>
      <c r="N29" s="1">
        <v>8.0000000000000004E-4</v>
      </c>
    </row>
    <row r="30" spans="2:14" x14ac:dyDescent="0.35">
      <c r="B30">
        <v>40</v>
      </c>
      <c r="C30" s="1">
        <v>1</v>
      </c>
      <c r="E30" s="2">
        <v>-9.8000000000000004E-2</v>
      </c>
      <c r="F30" s="7">
        <v>2.9999999999999997E-4</v>
      </c>
      <c r="J30">
        <v>38</v>
      </c>
      <c r="K30" s="1">
        <v>1</v>
      </c>
      <c r="M30" s="2">
        <v>-0.113</v>
      </c>
      <c r="N30" s="1">
        <v>5.0000000000000001E-4</v>
      </c>
    </row>
    <row r="31" spans="2:14" x14ac:dyDescent="0.35">
      <c r="B31">
        <v>42</v>
      </c>
      <c r="C31" s="1">
        <v>1</v>
      </c>
      <c r="E31" s="2">
        <v>-0.10299999999999999</v>
      </c>
      <c r="F31" s="7">
        <v>2.9999999999999997E-4</v>
      </c>
      <c r="J31">
        <v>40</v>
      </c>
      <c r="K31" s="1">
        <v>1</v>
      </c>
      <c r="M31" s="2">
        <v>-9.6000000000000002E-2</v>
      </c>
      <c r="N31" s="1">
        <v>5.0000000000000001E-4</v>
      </c>
    </row>
    <row r="32" spans="2:14" x14ac:dyDescent="0.35">
      <c r="B32">
        <v>44</v>
      </c>
      <c r="C32" s="1">
        <v>1</v>
      </c>
      <c r="E32" s="2">
        <v>-0.1011</v>
      </c>
      <c r="F32" s="7">
        <v>2.0000000000000001E-4</v>
      </c>
      <c r="J32">
        <v>42</v>
      </c>
      <c r="K32" s="1">
        <v>1</v>
      </c>
      <c r="M32" s="2">
        <v>-9.1999999999999998E-2</v>
      </c>
      <c r="N32" s="1">
        <v>2.9999999999999997E-4</v>
      </c>
    </row>
    <row r="33" spans="2:14" x14ac:dyDescent="0.35">
      <c r="B33">
        <v>46</v>
      </c>
      <c r="C33" s="1">
        <v>1</v>
      </c>
      <c r="E33" s="2">
        <v>-0.1085</v>
      </c>
      <c r="F33" s="7">
        <v>4.0000000000000002E-4</v>
      </c>
      <c r="J33">
        <v>44</v>
      </c>
      <c r="K33" s="1">
        <v>1</v>
      </c>
      <c r="M33" s="2">
        <v>-9.1499999999999998E-2</v>
      </c>
      <c r="N33" s="1">
        <v>2.9999999999999997E-4</v>
      </c>
    </row>
    <row r="34" spans="2:14" x14ac:dyDescent="0.35">
      <c r="B34">
        <v>48</v>
      </c>
      <c r="C34" s="1">
        <v>1</v>
      </c>
      <c r="E34" s="2">
        <v>-0.11600000000000001</v>
      </c>
      <c r="F34" s="7">
        <v>5.0000000000000001E-4</v>
      </c>
      <c r="J34">
        <v>46</v>
      </c>
      <c r="K34" s="1">
        <v>1</v>
      </c>
      <c r="M34" s="2">
        <v>-9.2299999999999993E-2</v>
      </c>
      <c r="N34" s="1">
        <v>2.0000000000000001E-4</v>
      </c>
    </row>
    <row r="35" spans="2:14" x14ac:dyDescent="0.35">
      <c r="B35">
        <v>50</v>
      </c>
      <c r="C35" s="1">
        <v>1</v>
      </c>
      <c r="E35" s="2">
        <v>-0.1033</v>
      </c>
      <c r="F35" s="7">
        <v>5.0000000000000001E-4</v>
      </c>
      <c r="J35">
        <v>48</v>
      </c>
      <c r="K35" s="1">
        <v>1</v>
      </c>
      <c r="M35" s="2">
        <v>-9.0800000000000006E-2</v>
      </c>
      <c r="N35" s="1">
        <v>2.0000000000000001E-4</v>
      </c>
    </row>
    <row r="36" spans="2:14" x14ac:dyDescent="0.35">
      <c r="B36">
        <v>52</v>
      </c>
      <c r="C36" s="1">
        <v>1</v>
      </c>
      <c r="E36" s="2">
        <v>-0.10009999999999999</v>
      </c>
      <c r="F36" s="7">
        <v>5.0000000000000001E-4</v>
      </c>
      <c r="J36">
        <v>50</v>
      </c>
      <c r="K36" s="1">
        <v>1</v>
      </c>
      <c r="M36" s="2">
        <v>-9.1700000000000004E-2</v>
      </c>
      <c r="N36" s="1">
        <v>2.0000000000000001E-4</v>
      </c>
    </row>
    <row r="37" spans="2:14" x14ac:dyDescent="0.35">
      <c r="C37" s="1"/>
      <c r="E37" s="2"/>
      <c r="F37" s="1"/>
      <c r="M37" s="2"/>
      <c r="N37" s="1"/>
    </row>
    <row r="39" spans="2:14" x14ac:dyDescent="0.35">
      <c r="K39" t="s">
        <v>57</v>
      </c>
    </row>
    <row r="40" spans="2:14" x14ac:dyDescent="0.35">
      <c r="K40">
        <v>-9.0899999999999995E-2</v>
      </c>
    </row>
    <row r="41" spans="2:14" x14ac:dyDescent="0.35">
      <c r="B41" t="s">
        <v>56</v>
      </c>
    </row>
    <row r="42" spans="2:14" x14ac:dyDescent="0.35">
      <c r="B42">
        <v>-9.0700000000000003E-2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Winkelverteilung</vt:lpstr>
      <vt:lpstr>Brennweite Wachslinse</vt:lpstr>
      <vt:lpstr>Wellenlänge stehende Wellen</vt:lpstr>
      <vt:lpstr>Wellenlänge Interferometer</vt:lpstr>
      <vt:lpstr>Totalreflexion und Tunneleffekt</vt:lpstr>
      <vt:lpstr>Polarisation von Mikrowellen</vt:lpstr>
      <vt:lpstr>Gitterkonstante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b.</dc:creator>
  <cp:lastModifiedBy>jonathan b.</cp:lastModifiedBy>
  <dcterms:created xsi:type="dcterms:W3CDTF">2021-09-09T12:29:27Z</dcterms:created>
  <dcterms:modified xsi:type="dcterms:W3CDTF">2021-09-11T11:25:56Z</dcterms:modified>
</cp:coreProperties>
</file>