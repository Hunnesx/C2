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o1\Nextcloud\Physik\Experimentalphysik\Physikalisches Praktikum\C\C42\Jonas und Jonathan\"/>
    </mc:Choice>
  </mc:AlternateContent>
  <xr:revisionPtr revIDLastSave="0" documentId="13_ncr:1_{01779BEB-A40F-408F-9B78-82C223632160}" xr6:coauthVersionLast="47" xr6:coauthVersionMax="47" xr10:uidLastSave="{00000000-0000-0000-0000-000000000000}"/>
  <bookViews>
    <workbookView xWindow="-110" yWindow="-110" windowWidth="19420" windowHeight="10420" firstSheet="1" activeTab="3" xr2:uid="{51D9366B-E585-4316-8642-DFE357882190}"/>
  </bookViews>
  <sheets>
    <sheet name="Winkelverteilung" sheetId="1" r:id="rId1"/>
    <sheet name="Brennweite Wachslinse" sheetId="2" r:id="rId2"/>
    <sheet name="Wellenlänge stehende Wellen" sheetId="3" r:id="rId3"/>
    <sheet name="Wellenlänge Interferometer" sheetId="4" r:id="rId4"/>
    <sheet name="Totalreflexion und Tunneleffekt" sheetId="5" r:id="rId5"/>
    <sheet name="Polarisation von Mikrowellen" sheetId="6" r:id="rId6"/>
    <sheet name="Gitterkonstant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 l="1"/>
  <c r="C10" i="4"/>
  <c r="C9" i="3"/>
  <c r="H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" i="2"/>
  <c r="C20" i="2"/>
  <c r="C26" i="2" s="1"/>
  <c r="B20" i="2"/>
  <c r="B26" i="2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35" i="5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5" i="6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5" i="5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7" i="7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3" i="1"/>
  <c r="F75" i="1"/>
  <c r="F77" i="1"/>
  <c r="F79" i="1"/>
  <c r="F29" i="1"/>
  <c r="C10" i="3"/>
</calcChain>
</file>

<file path=xl/sharedStrings.xml><?xml version="1.0" encoding="utf-8"?>
<sst xmlns="http://schemas.openxmlformats.org/spreadsheetml/2006/main" count="183" uniqueCount="73">
  <si>
    <t>Winkelverteilung der Strahlung:</t>
  </si>
  <si>
    <t>Winkel [Grad]</t>
  </si>
  <si>
    <t>Winkelfehler [Grad]</t>
  </si>
  <si>
    <t>Diodenspannung [V]</t>
  </si>
  <si>
    <t>Spannungsfehler [V]</t>
  </si>
  <si>
    <t>Versuchsteil 1:</t>
  </si>
  <si>
    <t>Versuchsteil 2:</t>
  </si>
  <si>
    <t>Brennweite einer Wachslinse:</t>
  </si>
  <si>
    <t>Positionsfehler [cm]</t>
  </si>
  <si>
    <t>Empfängerposition [cm]</t>
  </si>
  <si>
    <t>Spannung [V]</t>
  </si>
  <si>
    <t>Wellenlängenbestimmung mit stehenden Wellen</t>
  </si>
  <si>
    <t>Wellenlängenbestimmung mit Interferometer</t>
  </si>
  <si>
    <t>Position 1 [cm]</t>
  </si>
  <si>
    <t>Position 2 [cm]</t>
  </si>
  <si>
    <t>Anzahl Knoten (ohne Startknoten)</t>
  </si>
  <si>
    <t>Wellenlänge [cm]</t>
  </si>
  <si>
    <t>Fehler Wellenlänge [cm]</t>
  </si>
  <si>
    <t>Wellenlängenfehler [cm]</t>
  </si>
  <si>
    <t>Totalreflexion und Tunneleffekt:</t>
  </si>
  <si>
    <t>d[cm]</t>
  </si>
  <si>
    <t>Fehler d [cm]</t>
  </si>
  <si>
    <t>Spannung in Pos. A [V]</t>
  </si>
  <si>
    <t>Spannung in Pos. B [V]</t>
  </si>
  <si>
    <t>Spannungsfehler A [V]</t>
  </si>
  <si>
    <t>Spannungsfehler B [V]</t>
  </si>
  <si>
    <t>Polarisation von Mikrowellen:</t>
  </si>
  <si>
    <t>Empfängerspannung [V]</t>
  </si>
  <si>
    <t>Gitterkonstante eines kubischen Kristalls</t>
  </si>
  <si>
    <t>[100]-Ebene:</t>
  </si>
  <si>
    <t>[110]-Ebene:</t>
  </si>
  <si>
    <t>Einfallswinkel [Grad]</t>
  </si>
  <si>
    <t>Einfallswinkel [Grad]:</t>
  </si>
  <si>
    <t>Offset:</t>
  </si>
  <si>
    <t>-0.0852</t>
  </si>
  <si>
    <t>0.5</t>
  </si>
  <si>
    <t>neg. nach links</t>
  </si>
  <si>
    <t>Messbereich:</t>
  </si>
  <si>
    <t>10V</t>
  </si>
  <si>
    <t>Wenn aus am Ende [V]</t>
  </si>
  <si>
    <t>Senderposition Hornende [cm]</t>
  </si>
  <si>
    <t>Senderposition Hornanfang [cm]</t>
  </si>
  <si>
    <t>Senderposition Diode [cm]</t>
  </si>
  <si>
    <t>Fehler [cm]</t>
  </si>
  <si>
    <t>Linsenposition linker Rand  [cm]</t>
  </si>
  <si>
    <t>Linsenposition rechter Rand [cm]</t>
  </si>
  <si>
    <t>Messung der Position des linken Randes der Empfängeraufhängung</t>
  </si>
  <si>
    <t>Sender selbst (9+-2)cm links davon. Hornende (20+-1)cm links davon</t>
  </si>
  <si>
    <t>Anzahl Maxima:</t>
  </si>
  <si>
    <t>Herstellerangabe Frequenz [GHz]</t>
  </si>
  <si>
    <t>Skala bei 0 [cm]</t>
  </si>
  <si>
    <t>Messung Pos.b</t>
  </si>
  <si>
    <t>ohne Sender:</t>
  </si>
  <si>
    <t>rg 10 V</t>
  </si>
  <si>
    <t>Untegrund [V]:</t>
  </si>
  <si>
    <t>Untergrundrauschen [V]</t>
  </si>
  <si>
    <t>Untegrgrund [V]:</t>
  </si>
  <si>
    <t>korrigierte Spannung [V]</t>
  </si>
  <si>
    <t>FFT:</t>
  </si>
  <si>
    <t xml:space="preserve"> -0.00989414</t>
  </si>
  <si>
    <t>Spannung bereinigt</t>
  </si>
  <si>
    <t>bereinigt (Untegrund weg; Betrag genommen)</t>
  </si>
  <si>
    <t xml:space="preserve">Untergrund: </t>
  </si>
  <si>
    <t>bereinigte Spannung</t>
  </si>
  <si>
    <t>Spannung-Minimum [V]</t>
  </si>
  <si>
    <t>Spannung-Minimum</t>
  </si>
  <si>
    <t>Abstand:</t>
  </si>
  <si>
    <t>True distance:</t>
  </si>
  <si>
    <t>Gegenstandsweite:</t>
  </si>
  <si>
    <t>Bildweite:</t>
  </si>
  <si>
    <t>Brennweite:</t>
  </si>
  <si>
    <t>Fehler:</t>
  </si>
  <si>
    <t>Bildweite [cm]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</si>
</sst>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0" fillId="3" borderId="0" xfId="0" quotePrefix="1" applyFill="1"/>
    <xf numFmtId="164" fontId="0" fillId="3" borderId="0" xfId="0" applyNumberFormat="1" applyFill="1"/>
    <xf numFmtId="11" fontId="0" fillId="2" borderId="0" xfId="0" applyNumberFormat="1" applyFill="1"/>
    <xf numFmtId="11" fontId="0" fillId="0" borderId="0" xfId="0" applyNumberForma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0843-AE6E-4BD4-84E7-F96D28FEB11A}">
  <dimension ref="B1:J99"/>
  <sheetViews>
    <sheetView topLeftCell="C1" zoomScale="88" workbookViewId="0">
      <selection activeCell="F4" sqref="F4"/>
    </sheetView>
  </sheetViews>
  <sheetFormatPr baseColWidth="10" defaultRowHeight="14.5" x14ac:dyDescent="0.35"/>
  <cols>
    <col min="2" max="2" width="13" bestFit="1" customWidth="1"/>
    <col min="3" max="3" width="27.1796875" bestFit="1" customWidth="1"/>
    <col min="4" max="4" width="17.36328125" bestFit="1" customWidth="1"/>
    <col min="6" max="6" width="39.36328125" bestFit="1" customWidth="1"/>
    <col min="7" max="7" width="17.90625" bestFit="1" customWidth="1"/>
    <col min="8" max="8" width="17.81640625" bestFit="1" customWidth="1"/>
    <col min="12" max="12" width="25.6328125" bestFit="1" customWidth="1"/>
    <col min="16" max="16" width="21" bestFit="1" customWidth="1"/>
    <col min="19" max="19" width="11.90625" bestFit="1" customWidth="1"/>
    <col min="20" max="20" width="17.81640625" bestFit="1" customWidth="1"/>
  </cols>
  <sheetData>
    <row r="1" spans="2:10" x14ac:dyDescent="0.35">
      <c r="C1" t="s">
        <v>5</v>
      </c>
    </row>
    <row r="2" spans="2:10" x14ac:dyDescent="0.35">
      <c r="C2" t="s">
        <v>0</v>
      </c>
      <c r="G2" t="s">
        <v>37</v>
      </c>
      <c r="H2" t="s">
        <v>38</v>
      </c>
    </row>
    <row r="3" spans="2:10" x14ac:dyDescent="0.35">
      <c r="J3" t="s">
        <v>33</v>
      </c>
    </row>
    <row r="4" spans="2:10" x14ac:dyDescent="0.35">
      <c r="C4" t="s">
        <v>1</v>
      </c>
      <c r="D4" t="s">
        <v>2</v>
      </c>
      <c r="F4" t="s">
        <v>61</v>
      </c>
      <c r="G4" t="s">
        <v>3</v>
      </c>
      <c r="H4" t="s">
        <v>4</v>
      </c>
      <c r="J4" s="4" t="s">
        <v>34</v>
      </c>
    </row>
    <row r="5" spans="2:10" x14ac:dyDescent="0.35">
      <c r="C5">
        <v>-90</v>
      </c>
      <c r="D5" s="1" t="s">
        <v>35</v>
      </c>
      <c r="G5" s="2"/>
      <c r="H5" s="1"/>
    </row>
    <row r="6" spans="2:10" x14ac:dyDescent="0.35">
      <c r="C6">
        <v>-88</v>
      </c>
      <c r="D6" s="1" t="s">
        <v>35</v>
      </c>
      <c r="G6" s="2"/>
      <c r="H6" s="1"/>
    </row>
    <row r="7" spans="2:10" x14ac:dyDescent="0.35">
      <c r="B7" t="s">
        <v>36</v>
      </c>
      <c r="C7">
        <v>-86</v>
      </c>
      <c r="D7" s="1" t="s">
        <v>35</v>
      </c>
      <c r="G7" s="2"/>
      <c r="H7" s="1"/>
    </row>
    <row r="8" spans="2:10" x14ac:dyDescent="0.35">
      <c r="C8">
        <v>-84</v>
      </c>
      <c r="D8" s="1" t="s">
        <v>35</v>
      </c>
      <c r="G8" s="2"/>
      <c r="H8" s="1"/>
    </row>
    <row r="9" spans="2:10" x14ac:dyDescent="0.35">
      <c r="C9">
        <v>-82</v>
      </c>
      <c r="D9" s="1" t="s">
        <v>35</v>
      </c>
      <c r="G9" s="2"/>
      <c r="H9" s="1"/>
    </row>
    <row r="10" spans="2:10" x14ac:dyDescent="0.35">
      <c r="C10">
        <v>-80</v>
      </c>
      <c r="D10" s="1" t="s">
        <v>35</v>
      </c>
      <c r="G10" s="2"/>
      <c r="H10" s="1"/>
    </row>
    <row r="11" spans="2:10" x14ac:dyDescent="0.35">
      <c r="C11">
        <v>-78</v>
      </c>
      <c r="D11" s="1" t="s">
        <v>35</v>
      </c>
      <c r="G11" s="2"/>
      <c r="H11" s="1"/>
    </row>
    <row r="12" spans="2:10" x14ac:dyDescent="0.35">
      <c r="C12">
        <v>-76</v>
      </c>
      <c r="D12" s="1" t="s">
        <v>35</v>
      </c>
      <c r="G12" s="2"/>
      <c r="H12" s="1"/>
    </row>
    <row r="13" spans="2:10" x14ac:dyDescent="0.35">
      <c r="C13">
        <v>-74</v>
      </c>
      <c r="D13" s="1" t="s">
        <v>35</v>
      </c>
      <c r="G13" s="2"/>
      <c r="H13" s="1"/>
    </row>
    <row r="14" spans="2:10" x14ac:dyDescent="0.35">
      <c r="C14">
        <v>-72</v>
      </c>
      <c r="D14" s="1" t="s">
        <v>35</v>
      </c>
      <c r="G14" s="2"/>
      <c r="H14" s="1"/>
    </row>
    <row r="15" spans="2:10" x14ac:dyDescent="0.35">
      <c r="C15">
        <v>-70</v>
      </c>
      <c r="D15" s="1" t="s">
        <v>35</v>
      </c>
      <c r="G15" s="2"/>
      <c r="H15" s="1"/>
    </row>
    <row r="16" spans="2:10" x14ac:dyDescent="0.35">
      <c r="C16">
        <v>-68</v>
      </c>
      <c r="D16" s="1" t="s">
        <v>35</v>
      </c>
      <c r="G16" s="2"/>
      <c r="H16" s="1"/>
    </row>
    <row r="17" spans="3:8" x14ac:dyDescent="0.35">
      <c r="C17">
        <v>-66</v>
      </c>
      <c r="D17" s="1" t="s">
        <v>35</v>
      </c>
      <c r="G17" s="2"/>
      <c r="H17" s="1"/>
    </row>
    <row r="18" spans="3:8" x14ac:dyDescent="0.35">
      <c r="C18">
        <v>-64</v>
      </c>
      <c r="D18" s="1" t="s">
        <v>35</v>
      </c>
      <c r="G18" s="2"/>
      <c r="H18" s="1"/>
    </row>
    <row r="19" spans="3:8" x14ac:dyDescent="0.35">
      <c r="C19">
        <v>-62</v>
      </c>
      <c r="D19" s="1" t="s">
        <v>35</v>
      </c>
      <c r="G19" s="2"/>
      <c r="H19" s="1"/>
    </row>
    <row r="20" spans="3:8" x14ac:dyDescent="0.35">
      <c r="C20">
        <v>-60</v>
      </c>
      <c r="D20" s="1" t="s">
        <v>35</v>
      </c>
      <c r="G20" s="2"/>
      <c r="H20" s="1"/>
    </row>
    <row r="21" spans="3:8" x14ac:dyDescent="0.35">
      <c r="C21">
        <v>-58</v>
      </c>
      <c r="D21" s="1" t="s">
        <v>35</v>
      </c>
      <c r="G21" s="2"/>
      <c r="H21" s="1"/>
    </row>
    <row r="22" spans="3:8" x14ac:dyDescent="0.35">
      <c r="C22">
        <v>-56</v>
      </c>
      <c r="D22" s="1" t="s">
        <v>35</v>
      </c>
      <c r="G22" s="2"/>
      <c r="H22" s="1"/>
    </row>
    <row r="23" spans="3:8" x14ac:dyDescent="0.35">
      <c r="C23">
        <v>-54</v>
      </c>
      <c r="D23" s="1" t="s">
        <v>35</v>
      </c>
      <c r="G23" s="2"/>
      <c r="H23" s="1"/>
    </row>
    <row r="24" spans="3:8" x14ac:dyDescent="0.35">
      <c r="C24">
        <v>-52</v>
      </c>
      <c r="D24" s="1" t="s">
        <v>35</v>
      </c>
      <c r="G24" s="2"/>
      <c r="H24" s="1"/>
    </row>
    <row r="25" spans="3:8" x14ac:dyDescent="0.35">
      <c r="C25">
        <v>-50</v>
      </c>
      <c r="D25" s="1" t="s">
        <v>35</v>
      </c>
      <c r="G25" s="2"/>
      <c r="H25" s="1"/>
    </row>
    <row r="26" spans="3:8" x14ac:dyDescent="0.35">
      <c r="C26">
        <v>-48</v>
      </c>
      <c r="D26" s="1" t="s">
        <v>35</v>
      </c>
      <c r="G26" s="2"/>
      <c r="H26" s="1"/>
    </row>
    <row r="27" spans="3:8" x14ac:dyDescent="0.35">
      <c r="C27">
        <v>-46</v>
      </c>
      <c r="D27" s="1" t="s">
        <v>35</v>
      </c>
      <c r="G27" s="2"/>
      <c r="H27" s="1"/>
    </row>
    <row r="28" spans="3:8" x14ac:dyDescent="0.35">
      <c r="C28">
        <v>-44</v>
      </c>
      <c r="D28" s="1" t="s">
        <v>35</v>
      </c>
      <c r="G28" s="2"/>
      <c r="H28" s="1"/>
    </row>
    <row r="29" spans="3:8" x14ac:dyDescent="0.35">
      <c r="C29">
        <v>-42</v>
      </c>
      <c r="D29" s="1" t="s">
        <v>35</v>
      </c>
      <c r="F29">
        <f>ABS(G29-$C$99)</f>
        <v>4.2999999999999983E-3</v>
      </c>
      <c r="G29" s="5">
        <v>-0.18</v>
      </c>
      <c r="H29" s="1">
        <v>0</v>
      </c>
    </row>
    <row r="30" spans="3:8" x14ac:dyDescent="0.35">
      <c r="C30">
        <v>-40</v>
      </c>
      <c r="D30" s="1" t="s">
        <v>35</v>
      </c>
      <c r="F30">
        <f t="shared" ref="F30:F79" si="0">ABS(G30-$C$99)</f>
        <v>5.9000000000000163E-3</v>
      </c>
      <c r="G30" s="5">
        <v>-0.18160000000000001</v>
      </c>
      <c r="H30" s="1">
        <v>0</v>
      </c>
    </row>
    <row r="31" spans="3:8" x14ac:dyDescent="0.35">
      <c r="C31">
        <v>-38</v>
      </c>
      <c r="D31" s="1" t="s">
        <v>35</v>
      </c>
      <c r="F31">
        <f t="shared" si="0"/>
        <v>8.7000000000000133E-3</v>
      </c>
      <c r="G31" s="5">
        <v>-0.18440000000000001</v>
      </c>
      <c r="H31" s="1">
        <v>0</v>
      </c>
    </row>
    <row r="32" spans="3:8" x14ac:dyDescent="0.35">
      <c r="C32">
        <v>-36</v>
      </c>
      <c r="D32" s="1" t="s">
        <v>35</v>
      </c>
      <c r="F32">
        <f t="shared" si="0"/>
        <v>1.2300000000000005E-2</v>
      </c>
      <c r="G32" s="5">
        <v>-0.188</v>
      </c>
      <c r="H32" s="1">
        <v>1E-4</v>
      </c>
    </row>
    <row r="33" spans="3:8" x14ac:dyDescent="0.35">
      <c r="C33">
        <v>-34</v>
      </c>
      <c r="D33" s="1" t="s">
        <v>35</v>
      </c>
      <c r="F33">
        <f t="shared" si="0"/>
        <v>1.6100000000000003E-2</v>
      </c>
      <c r="G33" s="5">
        <v>-0.1918</v>
      </c>
      <c r="H33" s="1">
        <v>2.0000000000000001E-4</v>
      </c>
    </row>
    <row r="34" spans="3:8" x14ac:dyDescent="0.35">
      <c r="C34">
        <v>-32</v>
      </c>
      <c r="D34" s="1" t="s">
        <v>35</v>
      </c>
      <c r="F34">
        <f t="shared" si="0"/>
        <v>2.0699999999999996E-2</v>
      </c>
      <c r="G34" s="5">
        <v>-0.19639999999999999</v>
      </c>
      <c r="H34" s="1">
        <v>5.0000000000000001E-4</v>
      </c>
    </row>
    <row r="35" spans="3:8" x14ac:dyDescent="0.35">
      <c r="C35">
        <v>-30</v>
      </c>
      <c r="D35" s="1" t="s">
        <v>35</v>
      </c>
      <c r="F35">
        <f t="shared" si="0"/>
        <v>2.5300000000000017E-2</v>
      </c>
      <c r="G35" s="5">
        <v>-0.20100000000000001</v>
      </c>
      <c r="H35" s="1">
        <v>2.9999999999999997E-4</v>
      </c>
    </row>
    <row r="36" spans="3:8" x14ac:dyDescent="0.35">
      <c r="C36">
        <v>-28</v>
      </c>
      <c r="D36" s="1" t="s">
        <v>35</v>
      </c>
      <c r="F36">
        <f t="shared" si="0"/>
        <v>2.7300000000000019E-2</v>
      </c>
      <c r="G36" s="5">
        <v>-0.20300000000000001</v>
      </c>
      <c r="H36" s="1">
        <v>2.9999999999999997E-4</v>
      </c>
    </row>
    <row r="37" spans="3:8" x14ac:dyDescent="0.35">
      <c r="C37">
        <v>-26</v>
      </c>
      <c r="D37" s="1" t="s">
        <v>35</v>
      </c>
      <c r="F37">
        <f t="shared" si="0"/>
        <v>2.6800000000000018E-2</v>
      </c>
      <c r="G37" s="5">
        <v>-0.20250000000000001</v>
      </c>
      <c r="H37" s="1">
        <v>1E-3</v>
      </c>
    </row>
    <row r="38" spans="3:8" x14ac:dyDescent="0.35">
      <c r="C38">
        <v>-24</v>
      </c>
      <c r="D38" s="1" t="s">
        <v>35</v>
      </c>
      <c r="F38">
        <f t="shared" si="0"/>
        <v>1.4300000000000007E-2</v>
      </c>
      <c r="G38" s="5">
        <v>-0.19</v>
      </c>
      <c r="H38" s="1">
        <v>5.0000000000000001E-4</v>
      </c>
    </row>
    <row r="39" spans="3:8" x14ac:dyDescent="0.35">
      <c r="C39">
        <v>-22</v>
      </c>
      <c r="D39" s="1" t="s">
        <v>35</v>
      </c>
      <c r="F39">
        <f t="shared" si="0"/>
        <v>1.5199999999999991E-2</v>
      </c>
      <c r="G39" s="5">
        <v>-0.1605</v>
      </c>
      <c r="H39" s="1">
        <v>5.0000000000000001E-4</v>
      </c>
    </row>
    <row r="40" spans="3:8" x14ac:dyDescent="0.35">
      <c r="C40">
        <v>-20</v>
      </c>
      <c r="D40" s="1" t="s">
        <v>35</v>
      </c>
      <c r="F40">
        <f t="shared" si="0"/>
        <v>6.2699999999999992E-2</v>
      </c>
      <c r="G40" s="5">
        <v>-0.113</v>
      </c>
      <c r="H40" s="1">
        <v>1E-3</v>
      </c>
    </row>
    <row r="41" spans="3:8" x14ac:dyDescent="0.35">
      <c r="C41">
        <v>-18</v>
      </c>
      <c r="D41" s="1" t="s">
        <v>35</v>
      </c>
      <c r="F41">
        <f t="shared" si="0"/>
        <v>0.16269999999999998</v>
      </c>
      <c r="G41" s="5">
        <v>-1.2999999999999999E-2</v>
      </c>
      <c r="H41" s="1">
        <v>1E-3</v>
      </c>
    </row>
    <row r="42" spans="3:8" x14ac:dyDescent="0.35">
      <c r="C42">
        <v>-16</v>
      </c>
      <c r="D42" s="1" t="s">
        <v>35</v>
      </c>
      <c r="F42">
        <f t="shared" si="0"/>
        <v>9.0699999999999989E-2</v>
      </c>
      <c r="G42" s="5">
        <v>-8.5000000000000006E-2</v>
      </c>
      <c r="H42" s="1">
        <v>1E-3</v>
      </c>
    </row>
    <row r="43" spans="3:8" x14ac:dyDescent="0.35">
      <c r="C43">
        <v>-14</v>
      </c>
      <c r="D43" s="1" t="s">
        <v>35</v>
      </c>
      <c r="F43">
        <f t="shared" si="0"/>
        <v>0.49970000000000003</v>
      </c>
      <c r="G43" s="2">
        <v>0.32400000000000001</v>
      </c>
      <c r="H43" s="1">
        <v>2E-3</v>
      </c>
    </row>
    <row r="44" spans="3:8" x14ac:dyDescent="0.35">
      <c r="C44">
        <v>-12</v>
      </c>
      <c r="D44" s="1" t="s">
        <v>35</v>
      </c>
      <c r="F44">
        <f t="shared" si="0"/>
        <v>0.85870000000000002</v>
      </c>
      <c r="G44" s="2">
        <v>0.68300000000000005</v>
      </c>
      <c r="H44" s="1">
        <v>2E-3</v>
      </c>
    </row>
    <row r="45" spans="3:8" x14ac:dyDescent="0.35">
      <c r="C45">
        <v>-10</v>
      </c>
      <c r="D45" s="1" t="s">
        <v>35</v>
      </c>
      <c r="F45">
        <f t="shared" si="0"/>
        <v>1.3147</v>
      </c>
      <c r="G45" s="6">
        <v>1.139</v>
      </c>
      <c r="H45" s="1">
        <v>2E-3</v>
      </c>
    </row>
    <row r="46" spans="3:8" x14ac:dyDescent="0.35">
      <c r="C46">
        <v>-8</v>
      </c>
      <c r="D46" s="1" t="s">
        <v>35</v>
      </c>
      <c r="F46">
        <f t="shared" si="0"/>
        <v>1.6259999999999999</v>
      </c>
      <c r="G46" s="2">
        <v>1.4502999999999999</v>
      </c>
      <c r="H46" s="1">
        <v>3.0000000000000001E-3</v>
      </c>
    </row>
    <row r="47" spans="3:8" x14ac:dyDescent="0.35">
      <c r="C47">
        <v>-6</v>
      </c>
      <c r="D47" s="1" t="s">
        <v>35</v>
      </c>
      <c r="F47">
        <f t="shared" si="0"/>
        <v>1.7822</v>
      </c>
      <c r="G47" s="2">
        <v>1.6065</v>
      </c>
      <c r="H47" s="1">
        <v>3.0000000000000001E-3</v>
      </c>
    </row>
    <row r="48" spans="3:8" x14ac:dyDescent="0.35">
      <c r="C48">
        <v>-4</v>
      </c>
      <c r="D48" s="1" t="s">
        <v>35</v>
      </c>
      <c r="F48">
        <f t="shared" si="0"/>
        <v>1.8736999999999999</v>
      </c>
      <c r="G48" s="2">
        <v>1.698</v>
      </c>
      <c r="H48" s="1">
        <v>3.0000000000000001E-3</v>
      </c>
    </row>
    <row r="49" spans="3:8" x14ac:dyDescent="0.35">
      <c r="C49">
        <v>-2</v>
      </c>
      <c r="D49" s="1" t="s">
        <v>35</v>
      </c>
      <c r="F49">
        <f t="shared" si="0"/>
        <v>2.0291999999999999</v>
      </c>
      <c r="G49" s="2">
        <v>1.8534999999999999</v>
      </c>
      <c r="H49" s="1">
        <v>3.0000000000000001E-3</v>
      </c>
    </row>
    <row r="50" spans="3:8" x14ac:dyDescent="0.35">
      <c r="C50">
        <v>0</v>
      </c>
      <c r="D50" s="1" t="s">
        <v>35</v>
      </c>
      <c r="F50">
        <f t="shared" si="0"/>
        <v>1.9577</v>
      </c>
      <c r="G50" s="2">
        <v>1.782</v>
      </c>
      <c r="H50" s="1">
        <v>3.0000000000000001E-3</v>
      </c>
    </row>
    <row r="51" spans="3:8" x14ac:dyDescent="0.35">
      <c r="C51">
        <v>2</v>
      </c>
      <c r="D51" s="1" t="s">
        <v>35</v>
      </c>
      <c r="F51">
        <f t="shared" si="0"/>
        <v>1.4557</v>
      </c>
      <c r="G51" s="2">
        <v>1.28</v>
      </c>
      <c r="H51" s="1">
        <v>3.0000000000000001E-3</v>
      </c>
    </row>
    <row r="52" spans="3:8" x14ac:dyDescent="0.35">
      <c r="C52">
        <v>4</v>
      </c>
      <c r="D52" s="1" t="s">
        <v>35</v>
      </c>
      <c r="F52">
        <f t="shared" si="0"/>
        <v>1.026</v>
      </c>
      <c r="G52" s="2">
        <v>0.85029999999999994</v>
      </c>
      <c r="H52" s="1">
        <v>3.0000000000000001E-3</v>
      </c>
    </row>
    <row r="53" spans="3:8" x14ac:dyDescent="0.35">
      <c r="C53">
        <v>6</v>
      </c>
      <c r="D53" s="1" t="s">
        <v>35</v>
      </c>
      <c r="F53">
        <f t="shared" si="0"/>
        <v>0.91869999999999996</v>
      </c>
      <c r="G53" s="2">
        <v>0.74299999999999999</v>
      </c>
      <c r="H53" s="1">
        <v>2E-3</v>
      </c>
    </row>
    <row r="54" spans="3:8" x14ac:dyDescent="0.35">
      <c r="C54">
        <v>8</v>
      </c>
      <c r="D54" s="1" t="s">
        <v>35</v>
      </c>
      <c r="F54">
        <f t="shared" si="0"/>
        <v>0.74219999999999997</v>
      </c>
      <c r="G54" s="2">
        <v>0.5665</v>
      </c>
      <c r="H54" s="1">
        <v>2E-3</v>
      </c>
    </row>
    <row r="55" spans="3:8" x14ac:dyDescent="0.35">
      <c r="C55">
        <v>10</v>
      </c>
      <c r="D55" s="1" t="s">
        <v>35</v>
      </c>
      <c r="F55">
        <f t="shared" si="0"/>
        <v>0.50970000000000004</v>
      </c>
      <c r="G55" s="2">
        <v>0.33400000000000002</v>
      </c>
      <c r="H55" s="1">
        <v>3.0000000000000001E-3</v>
      </c>
    </row>
    <row r="56" spans="3:8" x14ac:dyDescent="0.35">
      <c r="C56">
        <v>12</v>
      </c>
      <c r="D56" s="1" t="s">
        <v>35</v>
      </c>
      <c r="F56">
        <f t="shared" si="0"/>
        <v>0.22620000000000001</v>
      </c>
      <c r="G56" s="2">
        <v>5.0500000000000003E-2</v>
      </c>
      <c r="H56" s="1">
        <v>1E-3</v>
      </c>
    </row>
    <row r="57" spans="3:8" x14ac:dyDescent="0.35">
      <c r="C57">
        <v>14</v>
      </c>
      <c r="D57" s="1" t="s">
        <v>35</v>
      </c>
      <c r="F57">
        <f t="shared" si="0"/>
        <v>0.1032</v>
      </c>
      <c r="G57" s="2">
        <v>-7.2499999999999995E-2</v>
      </c>
      <c r="H57" s="1">
        <v>1E-3</v>
      </c>
    </row>
    <row r="58" spans="3:8" x14ac:dyDescent="0.35">
      <c r="C58">
        <v>16</v>
      </c>
      <c r="D58" s="1" t="s">
        <v>35</v>
      </c>
      <c r="F58">
        <f t="shared" si="0"/>
        <v>2.6700000000000002E-2</v>
      </c>
      <c r="G58" s="2">
        <v>-0.14899999999999999</v>
      </c>
      <c r="H58" s="1">
        <v>5.0000000000000001E-4</v>
      </c>
    </row>
    <row r="59" spans="3:8" x14ac:dyDescent="0.35">
      <c r="C59">
        <v>18</v>
      </c>
      <c r="D59" s="1" t="s">
        <v>35</v>
      </c>
      <c r="F59">
        <f t="shared" si="0"/>
        <v>6.8000000000000005E-3</v>
      </c>
      <c r="G59" s="2">
        <v>-0.1825</v>
      </c>
      <c r="H59" s="1">
        <v>2.9999999999999997E-4</v>
      </c>
    </row>
    <row r="60" spans="3:8" x14ac:dyDescent="0.35">
      <c r="C60">
        <v>20</v>
      </c>
      <c r="D60" s="1" t="s">
        <v>35</v>
      </c>
      <c r="F60">
        <f t="shared" si="0"/>
        <v>2.7300000000000019E-2</v>
      </c>
      <c r="G60" s="2">
        <v>-0.20300000000000001</v>
      </c>
      <c r="H60" s="1">
        <v>5.0000000000000001E-4</v>
      </c>
    </row>
    <row r="61" spans="3:8" x14ac:dyDescent="0.35">
      <c r="C61">
        <v>22</v>
      </c>
      <c r="D61" s="1" t="s">
        <v>35</v>
      </c>
      <c r="F61">
        <f t="shared" si="0"/>
        <v>3.1700000000000006E-2</v>
      </c>
      <c r="G61" s="2">
        <v>-0.2074</v>
      </c>
      <c r="H61" s="1">
        <v>4.0000000000000002E-4</v>
      </c>
    </row>
    <row r="62" spans="3:8" x14ac:dyDescent="0.35">
      <c r="C62">
        <v>24</v>
      </c>
      <c r="D62" s="1" t="s">
        <v>35</v>
      </c>
      <c r="F62">
        <f t="shared" si="0"/>
        <v>0.03</v>
      </c>
      <c r="G62" s="2">
        <v>-0.20569999999999999</v>
      </c>
      <c r="H62" s="1">
        <v>4.0000000000000002E-4</v>
      </c>
    </row>
    <row r="63" spans="3:8" x14ac:dyDescent="0.35">
      <c r="C63">
        <v>26</v>
      </c>
      <c r="D63" s="1" t="s">
        <v>35</v>
      </c>
      <c r="F63">
        <f t="shared" si="0"/>
        <v>2.5700000000000001E-2</v>
      </c>
      <c r="G63" s="2">
        <v>-0.2014</v>
      </c>
      <c r="H63" s="1">
        <v>2.9999999999999997E-4</v>
      </c>
    </row>
    <row r="64" spans="3:8" x14ac:dyDescent="0.35">
      <c r="C64">
        <v>28</v>
      </c>
      <c r="D64" s="1" t="s">
        <v>35</v>
      </c>
      <c r="F64">
        <f t="shared" si="0"/>
        <v>2.1999999999999992E-2</v>
      </c>
      <c r="G64" s="2">
        <v>-0.19769999999999999</v>
      </c>
      <c r="H64" s="1">
        <v>2.0000000000000001E-4</v>
      </c>
    </row>
    <row r="65" spans="3:8" x14ac:dyDescent="0.35">
      <c r="C65">
        <v>30</v>
      </c>
      <c r="D65" s="1" t="s">
        <v>35</v>
      </c>
      <c r="F65">
        <f t="shared" si="0"/>
        <v>1.5899999999999997E-2</v>
      </c>
      <c r="G65" s="2">
        <v>-0.19159999999999999</v>
      </c>
      <c r="H65" s="1">
        <v>2.0000000000000001E-4</v>
      </c>
    </row>
    <row r="66" spans="3:8" x14ac:dyDescent="0.35">
      <c r="C66">
        <v>32</v>
      </c>
      <c r="D66" s="1" t="s">
        <v>35</v>
      </c>
      <c r="F66">
        <f t="shared" si="0"/>
        <v>1.2300000000000005E-2</v>
      </c>
      <c r="G66" s="2">
        <v>-0.188</v>
      </c>
      <c r="H66" s="1">
        <v>2.0000000000000001E-4</v>
      </c>
    </row>
    <row r="67" spans="3:8" x14ac:dyDescent="0.35">
      <c r="C67">
        <v>34</v>
      </c>
      <c r="D67" s="1" t="s">
        <v>35</v>
      </c>
      <c r="F67">
        <f t="shared" si="0"/>
        <v>1.0099999999999998E-2</v>
      </c>
      <c r="G67" s="2">
        <v>-0.18579999999999999</v>
      </c>
      <c r="H67" s="1">
        <v>2.0000000000000001E-4</v>
      </c>
    </row>
    <row r="68" spans="3:8" x14ac:dyDescent="0.35">
      <c r="C68">
        <v>36</v>
      </c>
      <c r="D68" s="1" t="s">
        <v>35</v>
      </c>
      <c r="F68">
        <f t="shared" si="0"/>
        <v>7.4000000000000177E-3</v>
      </c>
      <c r="G68" s="2">
        <v>-0.18310000000000001</v>
      </c>
      <c r="H68" s="1">
        <v>1E-4</v>
      </c>
    </row>
    <row r="69" spans="3:8" x14ac:dyDescent="0.35">
      <c r="C69">
        <v>38</v>
      </c>
      <c r="D69" s="1" t="s">
        <v>35</v>
      </c>
      <c r="F69">
        <f t="shared" si="0"/>
        <v>5.5999999999999939E-3</v>
      </c>
      <c r="G69" s="2">
        <v>-0.18129999999999999</v>
      </c>
      <c r="H69" s="1">
        <v>1E-4</v>
      </c>
    </row>
    <row r="70" spans="3:8" x14ac:dyDescent="0.35">
      <c r="C70">
        <v>40</v>
      </c>
      <c r="D70" s="1" t="s">
        <v>35</v>
      </c>
      <c r="F70">
        <f t="shared" si="0"/>
        <v>4.400000000000015E-3</v>
      </c>
      <c r="G70" s="2">
        <v>-0.18010000000000001</v>
      </c>
      <c r="H70" s="1">
        <v>1E-4</v>
      </c>
    </row>
    <row r="71" spans="3:8" x14ac:dyDescent="0.35">
      <c r="C71">
        <v>42</v>
      </c>
      <c r="D71" s="1" t="s">
        <v>35</v>
      </c>
      <c r="F71">
        <f t="shared" si="0"/>
        <v>3.5000000000000031E-3</v>
      </c>
      <c r="G71" s="2">
        <v>-0.1792</v>
      </c>
      <c r="H71" s="1">
        <v>1E-4</v>
      </c>
    </row>
    <row r="72" spans="3:8" x14ac:dyDescent="0.35">
      <c r="C72">
        <v>44</v>
      </c>
      <c r="D72" s="1" t="s">
        <v>35</v>
      </c>
      <c r="G72" s="2"/>
      <c r="H72" s="1"/>
    </row>
    <row r="73" spans="3:8" x14ac:dyDescent="0.35">
      <c r="C73">
        <v>46</v>
      </c>
      <c r="D73" s="1" t="s">
        <v>35</v>
      </c>
      <c r="F73">
        <f t="shared" si="0"/>
        <v>2.1000000000000185E-3</v>
      </c>
      <c r="G73" s="2">
        <v>-0.17780000000000001</v>
      </c>
      <c r="H73" s="1">
        <v>1E-4</v>
      </c>
    </row>
    <row r="74" spans="3:8" x14ac:dyDescent="0.35">
      <c r="C74">
        <v>48</v>
      </c>
      <c r="D74" s="1" t="s">
        <v>35</v>
      </c>
      <c r="G74" s="2"/>
      <c r="H74" s="1"/>
    </row>
    <row r="75" spans="3:8" x14ac:dyDescent="0.35">
      <c r="C75">
        <v>50</v>
      </c>
      <c r="D75" s="1" t="s">
        <v>35</v>
      </c>
      <c r="F75">
        <f t="shared" si="0"/>
        <v>1.7000000000000071E-3</v>
      </c>
      <c r="G75" s="2">
        <v>-0.1774</v>
      </c>
      <c r="H75" s="1">
        <v>1E-4</v>
      </c>
    </row>
    <row r="76" spans="3:8" x14ac:dyDescent="0.35">
      <c r="C76">
        <v>52</v>
      </c>
      <c r="D76" s="1" t="s">
        <v>35</v>
      </c>
      <c r="G76" s="2"/>
      <c r="H76" s="1"/>
    </row>
    <row r="77" spans="3:8" x14ac:dyDescent="0.35">
      <c r="C77">
        <v>54</v>
      </c>
      <c r="D77" s="1" t="s">
        <v>35</v>
      </c>
      <c r="F77">
        <f t="shared" si="0"/>
        <v>1.6000000000000181E-3</v>
      </c>
      <c r="G77" s="2">
        <v>-0.17730000000000001</v>
      </c>
      <c r="H77" s="1">
        <v>1E-4</v>
      </c>
    </row>
    <row r="78" spans="3:8" x14ac:dyDescent="0.35">
      <c r="C78">
        <v>56</v>
      </c>
      <c r="D78" s="1" t="s">
        <v>35</v>
      </c>
      <c r="G78" s="2"/>
      <c r="H78" s="1"/>
    </row>
    <row r="79" spans="3:8" x14ac:dyDescent="0.35">
      <c r="C79">
        <v>58</v>
      </c>
      <c r="D79" s="1" t="s">
        <v>35</v>
      </c>
      <c r="F79">
        <f t="shared" si="0"/>
        <v>1.5000000000000013E-3</v>
      </c>
      <c r="G79" s="2">
        <v>-0.1772</v>
      </c>
      <c r="H79" s="1">
        <v>1E-4</v>
      </c>
    </row>
    <row r="80" spans="3:8" x14ac:dyDescent="0.35">
      <c r="C80">
        <v>60</v>
      </c>
      <c r="D80" s="1" t="s">
        <v>35</v>
      </c>
      <c r="G80" s="2"/>
      <c r="H80" s="1"/>
    </row>
    <row r="81" spans="3:8" x14ac:dyDescent="0.35">
      <c r="C81">
        <v>62</v>
      </c>
      <c r="D81" s="1" t="s">
        <v>35</v>
      </c>
      <c r="G81" s="2"/>
      <c r="H81" s="1"/>
    </row>
    <row r="82" spans="3:8" x14ac:dyDescent="0.35">
      <c r="C82">
        <v>64</v>
      </c>
      <c r="D82" s="1" t="s">
        <v>35</v>
      </c>
      <c r="G82" s="2"/>
      <c r="H82" s="1"/>
    </row>
    <row r="83" spans="3:8" x14ac:dyDescent="0.35">
      <c r="C83">
        <v>66</v>
      </c>
      <c r="D83" s="1" t="s">
        <v>35</v>
      </c>
      <c r="G83" s="2"/>
      <c r="H83" s="1"/>
    </row>
    <row r="84" spans="3:8" x14ac:dyDescent="0.35">
      <c r="C84">
        <v>68</v>
      </c>
      <c r="D84" s="1" t="s">
        <v>35</v>
      </c>
      <c r="G84" s="2"/>
      <c r="H84" s="1"/>
    </row>
    <row r="85" spans="3:8" x14ac:dyDescent="0.35">
      <c r="C85">
        <v>70</v>
      </c>
      <c r="D85" s="1" t="s">
        <v>35</v>
      </c>
      <c r="G85" s="2"/>
      <c r="H85" s="1"/>
    </row>
    <row r="86" spans="3:8" x14ac:dyDescent="0.35">
      <c r="C86">
        <v>72</v>
      </c>
      <c r="D86" s="1" t="s">
        <v>35</v>
      </c>
      <c r="G86" s="2"/>
      <c r="H86" s="1"/>
    </row>
    <row r="87" spans="3:8" x14ac:dyDescent="0.35">
      <c r="C87">
        <v>74</v>
      </c>
      <c r="D87" s="1" t="s">
        <v>35</v>
      </c>
      <c r="G87" s="2"/>
      <c r="H87" s="1"/>
    </row>
    <row r="88" spans="3:8" x14ac:dyDescent="0.35">
      <c r="C88">
        <v>76</v>
      </c>
      <c r="D88" s="1" t="s">
        <v>35</v>
      </c>
      <c r="G88" s="2"/>
      <c r="H88" s="1"/>
    </row>
    <row r="89" spans="3:8" x14ac:dyDescent="0.35">
      <c r="C89">
        <v>78</v>
      </c>
      <c r="D89" s="1" t="s">
        <v>35</v>
      </c>
      <c r="G89" s="2"/>
      <c r="H89" s="1"/>
    </row>
    <row r="90" spans="3:8" x14ac:dyDescent="0.35">
      <c r="C90">
        <v>80</v>
      </c>
      <c r="D90" s="1" t="s">
        <v>35</v>
      </c>
      <c r="G90" s="2"/>
      <c r="H90" s="1"/>
    </row>
    <row r="91" spans="3:8" x14ac:dyDescent="0.35">
      <c r="C91">
        <v>82</v>
      </c>
      <c r="D91" s="1" t="s">
        <v>35</v>
      </c>
      <c r="G91" s="2"/>
      <c r="H91" s="1"/>
    </row>
    <row r="92" spans="3:8" x14ac:dyDescent="0.35">
      <c r="C92">
        <v>84</v>
      </c>
      <c r="D92" s="1" t="s">
        <v>35</v>
      </c>
      <c r="G92" s="2"/>
      <c r="H92" s="1"/>
    </row>
    <row r="93" spans="3:8" x14ac:dyDescent="0.35">
      <c r="C93">
        <v>86</v>
      </c>
      <c r="D93" s="1" t="s">
        <v>35</v>
      </c>
      <c r="G93" s="2"/>
      <c r="H93" s="1"/>
    </row>
    <row r="94" spans="3:8" x14ac:dyDescent="0.35">
      <c r="C94">
        <v>88</v>
      </c>
      <c r="D94" s="1" t="s">
        <v>35</v>
      </c>
      <c r="G94" s="2"/>
      <c r="H94" s="1"/>
    </row>
    <row r="95" spans="3:8" x14ac:dyDescent="0.35">
      <c r="C95">
        <v>90</v>
      </c>
      <c r="D95" s="1" t="s">
        <v>35</v>
      </c>
      <c r="G95" s="2"/>
      <c r="H95" s="1"/>
    </row>
    <row r="98" spans="3:3" x14ac:dyDescent="0.35">
      <c r="C98" t="s">
        <v>39</v>
      </c>
    </row>
    <row r="99" spans="3:3" x14ac:dyDescent="0.35">
      <c r="C99">
        <v>-0.1757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2011-ED6C-4B8A-B271-334BAB50410B}">
  <dimension ref="B1:O45"/>
  <sheetViews>
    <sheetView topLeftCell="B12" zoomScale="98" workbookViewId="0">
      <selection activeCell="D25" sqref="D25"/>
    </sheetView>
  </sheetViews>
  <sheetFormatPr baseColWidth="10" defaultRowHeight="14.5" x14ac:dyDescent="0.35"/>
  <cols>
    <col min="2" max="2" width="31.36328125" bestFit="1" customWidth="1"/>
    <col min="6" max="6" width="64.08984375" bestFit="1" customWidth="1"/>
    <col min="8" max="8" width="40.54296875" bestFit="1" customWidth="1"/>
    <col min="9" max="9" width="11.90625" bestFit="1" customWidth="1"/>
    <col min="10" max="10" width="17.81640625" bestFit="1" customWidth="1"/>
    <col min="12" max="12" width="13.90625" bestFit="1" customWidth="1"/>
    <col min="15" max="15" width="13.6328125" bestFit="1" customWidth="1"/>
  </cols>
  <sheetData>
    <row r="1" spans="2:15" x14ac:dyDescent="0.35">
      <c r="B1" t="s">
        <v>6</v>
      </c>
      <c r="F1" t="s">
        <v>46</v>
      </c>
    </row>
    <row r="2" spans="2:15" x14ac:dyDescent="0.35">
      <c r="B2" t="s">
        <v>7</v>
      </c>
      <c r="D2" t="s">
        <v>43</v>
      </c>
      <c r="F2" t="s">
        <v>47</v>
      </c>
    </row>
    <row r="3" spans="2:15" x14ac:dyDescent="0.35">
      <c r="F3" t="s">
        <v>9</v>
      </c>
      <c r="H3" t="s">
        <v>61</v>
      </c>
      <c r="I3" t="s">
        <v>10</v>
      </c>
      <c r="J3" t="s">
        <v>4</v>
      </c>
      <c r="L3" t="s">
        <v>58</v>
      </c>
      <c r="O3" t="s">
        <v>72</v>
      </c>
    </row>
    <row r="4" spans="2:15" x14ac:dyDescent="0.35">
      <c r="B4" t="s">
        <v>40</v>
      </c>
      <c r="C4" s="2">
        <v>23</v>
      </c>
      <c r="D4" s="1">
        <v>0.5</v>
      </c>
      <c r="F4" s="2">
        <v>200</v>
      </c>
      <c r="H4">
        <f>I4-$B$13</f>
        <v>0.4375</v>
      </c>
      <c r="I4" s="2">
        <v>0.34699999999999998</v>
      </c>
      <c r="J4" s="1">
        <v>2E-3</v>
      </c>
      <c r="L4">
        <v>0.33079999999999998</v>
      </c>
      <c r="O4">
        <f>F4-107.5</f>
        <v>92.5</v>
      </c>
    </row>
    <row r="5" spans="2:15" x14ac:dyDescent="0.35">
      <c r="B5" t="s">
        <v>41</v>
      </c>
      <c r="C5" s="2">
        <v>10</v>
      </c>
      <c r="D5" s="1">
        <v>0.5</v>
      </c>
      <c r="F5" s="2">
        <v>198</v>
      </c>
      <c r="H5">
        <f t="shared" ref="H5:H45" si="0">I5-$B$13</f>
        <v>0.66800000000000004</v>
      </c>
      <c r="I5" s="2">
        <v>0.57750000000000001</v>
      </c>
      <c r="J5" s="1">
        <v>1.5E-3</v>
      </c>
      <c r="L5">
        <v>0.45369999999999999</v>
      </c>
      <c r="O5">
        <f t="shared" ref="O5:O45" si="1">F5-107.5</f>
        <v>90.5</v>
      </c>
    </row>
    <row r="6" spans="2:15" x14ac:dyDescent="0.35">
      <c r="B6" t="s">
        <v>42</v>
      </c>
      <c r="C6" s="2">
        <v>8</v>
      </c>
      <c r="D6" s="1">
        <v>1</v>
      </c>
      <c r="F6" s="2">
        <v>196</v>
      </c>
      <c r="H6">
        <f t="shared" si="0"/>
        <v>0.89750000000000008</v>
      </c>
      <c r="I6" s="2">
        <v>0.80700000000000005</v>
      </c>
      <c r="J6" s="1">
        <v>1E-3</v>
      </c>
      <c r="L6">
        <v>0.60919999999999996</v>
      </c>
      <c r="O6">
        <f t="shared" si="1"/>
        <v>88.5</v>
      </c>
    </row>
    <row r="7" spans="2:15" x14ac:dyDescent="0.35">
      <c r="B7" t="s">
        <v>44</v>
      </c>
      <c r="C7" s="2">
        <v>90</v>
      </c>
      <c r="D7" s="1">
        <v>0.5</v>
      </c>
      <c r="F7" s="2">
        <v>194</v>
      </c>
      <c r="H7">
        <f t="shared" si="0"/>
        <v>0.57299999999999995</v>
      </c>
      <c r="I7" s="2">
        <v>0.48249999999999998</v>
      </c>
      <c r="J7" s="1">
        <v>2E-3</v>
      </c>
      <c r="L7">
        <v>0.5927</v>
      </c>
      <c r="O7">
        <f t="shared" si="1"/>
        <v>86.5</v>
      </c>
    </row>
    <row r="8" spans="2:15" x14ac:dyDescent="0.35">
      <c r="B8" t="s">
        <v>45</v>
      </c>
      <c r="C8" s="2">
        <v>95</v>
      </c>
      <c r="D8" s="1">
        <v>0.5</v>
      </c>
      <c r="F8" s="2">
        <v>192</v>
      </c>
      <c r="H8">
        <f t="shared" si="0"/>
        <v>0.45550000000000002</v>
      </c>
      <c r="I8" s="2">
        <v>0.36499999999999999</v>
      </c>
      <c r="J8" s="1">
        <v>2E-3</v>
      </c>
      <c r="L8">
        <v>0.55369999999999997</v>
      </c>
      <c r="O8">
        <f t="shared" si="1"/>
        <v>84.5</v>
      </c>
    </row>
    <row r="9" spans="2:15" x14ac:dyDescent="0.35">
      <c r="B9" t="s">
        <v>8</v>
      </c>
      <c r="C9" s="1"/>
      <c r="F9" s="2">
        <v>190</v>
      </c>
      <c r="H9">
        <f t="shared" si="0"/>
        <v>0.6179</v>
      </c>
      <c r="I9" s="2">
        <v>0.52739999999999998</v>
      </c>
      <c r="J9" s="1">
        <v>1.5E-3</v>
      </c>
      <c r="L9">
        <v>0.66259999999999997</v>
      </c>
      <c r="O9">
        <f t="shared" si="1"/>
        <v>82.5</v>
      </c>
    </row>
    <row r="10" spans="2:15" x14ac:dyDescent="0.35">
      <c r="F10" s="2">
        <v>188</v>
      </c>
      <c r="H10">
        <f t="shared" si="0"/>
        <v>0.97820000000000007</v>
      </c>
      <c r="I10" s="2">
        <v>0.88770000000000004</v>
      </c>
      <c r="J10" s="1">
        <v>2E-3</v>
      </c>
      <c r="L10">
        <v>0.64849999999999997</v>
      </c>
      <c r="O10">
        <f t="shared" si="1"/>
        <v>80.5</v>
      </c>
    </row>
    <row r="11" spans="2:15" x14ac:dyDescent="0.35">
      <c r="F11" s="2">
        <v>186</v>
      </c>
      <c r="H11">
        <f t="shared" si="0"/>
        <v>0.80300000000000005</v>
      </c>
      <c r="I11" s="2">
        <v>0.71250000000000002</v>
      </c>
      <c r="J11" s="1">
        <v>1.5E-3</v>
      </c>
      <c r="L11">
        <v>0.53790000000000004</v>
      </c>
      <c r="O11">
        <f t="shared" si="1"/>
        <v>78.5</v>
      </c>
    </row>
    <row r="12" spans="2:15" x14ac:dyDescent="0.35">
      <c r="B12" t="s">
        <v>62</v>
      </c>
      <c r="F12" s="2">
        <v>185</v>
      </c>
      <c r="H12">
        <f t="shared" si="0"/>
        <v>0.78249999999999997</v>
      </c>
      <c r="I12" s="2">
        <v>0.69199999999999995</v>
      </c>
      <c r="J12" s="1">
        <v>1.5E-3</v>
      </c>
      <c r="L12">
        <v>0.71560000000000001</v>
      </c>
      <c r="O12">
        <f t="shared" si="1"/>
        <v>77.5</v>
      </c>
    </row>
    <row r="13" spans="2:15" x14ac:dyDescent="0.35">
      <c r="B13">
        <v>-9.0499999999999997E-2</v>
      </c>
      <c r="F13" s="2">
        <v>184</v>
      </c>
      <c r="H13">
        <f t="shared" si="0"/>
        <v>0.55149999999999999</v>
      </c>
      <c r="I13" s="2">
        <v>0.46100000000000002</v>
      </c>
      <c r="J13" s="1">
        <v>2E-3</v>
      </c>
      <c r="L13">
        <v>0.75492492</v>
      </c>
      <c r="O13">
        <f t="shared" si="1"/>
        <v>76.5</v>
      </c>
    </row>
    <row r="14" spans="2:15" x14ac:dyDescent="0.35">
      <c r="F14" s="2">
        <v>182</v>
      </c>
      <c r="H14">
        <f t="shared" si="0"/>
        <v>0.64190000000000003</v>
      </c>
      <c r="I14" s="2">
        <v>0.5514</v>
      </c>
      <c r="J14" s="1">
        <v>1E-3</v>
      </c>
      <c r="L14">
        <v>0.58091782999999997</v>
      </c>
      <c r="O14">
        <f t="shared" si="1"/>
        <v>74.5</v>
      </c>
    </row>
    <row r="15" spans="2:15" x14ac:dyDescent="0.35">
      <c r="F15" s="2">
        <v>180</v>
      </c>
      <c r="H15">
        <f t="shared" si="0"/>
        <v>0.92190000000000005</v>
      </c>
      <c r="I15" s="2">
        <v>0.83140000000000003</v>
      </c>
      <c r="J15" s="1">
        <v>2E-3</v>
      </c>
      <c r="L15">
        <v>0.67133408000000006</v>
      </c>
      <c r="O15">
        <f t="shared" si="1"/>
        <v>72.5</v>
      </c>
    </row>
    <row r="16" spans="2:15" x14ac:dyDescent="0.35">
      <c r="F16" s="2">
        <v>178</v>
      </c>
      <c r="H16">
        <f t="shared" si="0"/>
        <v>0.9425</v>
      </c>
      <c r="I16" s="2">
        <v>0.85199999999999998</v>
      </c>
      <c r="J16" s="1">
        <v>1E-3</v>
      </c>
      <c r="L16">
        <v>0.67479489000000004</v>
      </c>
      <c r="O16">
        <f t="shared" si="1"/>
        <v>70.5</v>
      </c>
    </row>
    <row r="17" spans="2:15" x14ac:dyDescent="0.35">
      <c r="F17" s="2">
        <v>176</v>
      </c>
      <c r="H17">
        <f t="shared" si="0"/>
        <v>0.62960000000000005</v>
      </c>
      <c r="I17" s="2">
        <v>0.53910000000000002</v>
      </c>
      <c r="J17" s="1">
        <v>1E-3</v>
      </c>
      <c r="L17">
        <v>0.67951329000000005</v>
      </c>
      <c r="O17">
        <f t="shared" si="1"/>
        <v>68.5</v>
      </c>
    </row>
    <row r="18" spans="2:15" x14ac:dyDescent="0.35">
      <c r="F18" s="2">
        <v>174</v>
      </c>
      <c r="H18">
        <f t="shared" si="0"/>
        <v>0.61750000000000005</v>
      </c>
      <c r="I18" s="2">
        <v>0.52700000000000002</v>
      </c>
      <c r="J18" s="1">
        <v>1E-3</v>
      </c>
      <c r="L18">
        <v>0.65663320000000003</v>
      </c>
      <c r="O18">
        <f t="shared" si="1"/>
        <v>66.5</v>
      </c>
    </row>
    <row r="19" spans="2:15" x14ac:dyDescent="0.35">
      <c r="B19" t="s">
        <v>68</v>
      </c>
      <c r="C19" t="s">
        <v>71</v>
      </c>
      <c r="F19" s="2">
        <v>172</v>
      </c>
      <c r="H19">
        <f t="shared" si="0"/>
        <v>0.80070000000000008</v>
      </c>
      <c r="I19" s="2">
        <v>0.71020000000000005</v>
      </c>
      <c r="J19" s="7">
        <v>5.0000000000000001E-4</v>
      </c>
      <c r="L19">
        <v>0.67662021000000006</v>
      </c>
      <c r="O19">
        <f t="shared" si="1"/>
        <v>64.5</v>
      </c>
    </row>
    <row r="20" spans="2:15" x14ac:dyDescent="0.35">
      <c r="B20">
        <f>(C7+C8)/2-18</f>
        <v>74.5</v>
      </c>
      <c r="C20">
        <f>SQRT((D7/2)^2+(D8/2)^2+D4^2)</f>
        <v>0.61237243569579447</v>
      </c>
      <c r="F20" s="2">
        <v>170</v>
      </c>
      <c r="H20">
        <f t="shared" si="0"/>
        <v>0.97750000000000004</v>
      </c>
      <c r="I20" s="2">
        <v>0.88700000000000001</v>
      </c>
      <c r="J20" s="1">
        <v>2E-3</v>
      </c>
      <c r="L20">
        <v>0.72839518000000003</v>
      </c>
      <c r="O20">
        <f t="shared" si="1"/>
        <v>62.5</v>
      </c>
    </row>
    <row r="21" spans="2:15" x14ac:dyDescent="0.35">
      <c r="F21" s="2">
        <v>168</v>
      </c>
      <c r="H21">
        <f t="shared" si="0"/>
        <v>0.67849999999999999</v>
      </c>
      <c r="I21" s="2">
        <v>0.58799999999999997</v>
      </c>
      <c r="J21" s="1">
        <v>1E-3</v>
      </c>
      <c r="L21">
        <v>0.63015388000000006</v>
      </c>
      <c r="O21">
        <f t="shared" si="1"/>
        <v>60.5</v>
      </c>
    </row>
    <row r="22" spans="2:15" x14ac:dyDescent="0.35">
      <c r="B22" t="s">
        <v>69</v>
      </c>
      <c r="F22" s="2">
        <v>166</v>
      </c>
      <c r="H22">
        <f t="shared" si="0"/>
        <v>0.52449999999999997</v>
      </c>
      <c r="I22" s="2">
        <v>0.434</v>
      </c>
      <c r="J22" s="1">
        <v>1E-3</v>
      </c>
      <c r="L22">
        <v>0.57348423999999998</v>
      </c>
      <c r="O22">
        <f t="shared" si="1"/>
        <v>58.5</v>
      </c>
    </row>
    <row r="23" spans="2:15" x14ac:dyDescent="0.35">
      <c r="B23">
        <v>71.88</v>
      </c>
      <c r="C23">
        <v>2.5</v>
      </c>
      <c r="F23" s="2">
        <v>164</v>
      </c>
      <c r="H23">
        <f t="shared" si="0"/>
        <v>0.64019999999999999</v>
      </c>
      <c r="I23" s="2">
        <v>0.54969999999999997</v>
      </c>
      <c r="J23" s="1">
        <v>1E-3</v>
      </c>
      <c r="L23">
        <v>0.54881913999999998</v>
      </c>
      <c r="O23">
        <f t="shared" si="1"/>
        <v>56.5</v>
      </c>
    </row>
    <row r="24" spans="2:15" x14ac:dyDescent="0.35">
      <c r="F24" s="2">
        <v>162</v>
      </c>
      <c r="H24">
        <f t="shared" si="0"/>
        <v>0.82010000000000005</v>
      </c>
      <c r="I24" s="2">
        <v>0.72960000000000003</v>
      </c>
      <c r="J24" s="1">
        <v>1E-3</v>
      </c>
      <c r="L24">
        <v>0.56535948999999996</v>
      </c>
      <c r="O24">
        <f t="shared" si="1"/>
        <v>54.5</v>
      </c>
    </row>
    <row r="25" spans="2:15" x14ac:dyDescent="0.35">
      <c r="B25" t="s">
        <v>70</v>
      </c>
      <c r="F25" s="2">
        <v>160</v>
      </c>
      <c r="H25">
        <f t="shared" si="0"/>
        <v>0.62290000000000001</v>
      </c>
      <c r="I25" s="2">
        <v>0.53239999999999998</v>
      </c>
      <c r="J25" s="1">
        <v>1E-3</v>
      </c>
      <c r="L25">
        <v>0.47845936</v>
      </c>
      <c r="O25">
        <f t="shared" si="1"/>
        <v>52.5</v>
      </c>
    </row>
    <row r="26" spans="2:15" x14ac:dyDescent="0.35">
      <c r="B26">
        <f>B23*B20/(B23+B20)</f>
        <v>36.583276403880312</v>
      </c>
      <c r="C26">
        <f>SQRT((C20*B23^2/(B23+B20)^2)^2+(C23*B20^2/(B20+B23)^2)^2)</f>
        <v>0.66419534653512069</v>
      </c>
      <c r="F26" s="2">
        <v>158</v>
      </c>
      <c r="H26">
        <f t="shared" si="0"/>
        <v>0.36350000000000005</v>
      </c>
      <c r="I26" s="2">
        <v>0.27300000000000002</v>
      </c>
      <c r="J26" s="1">
        <v>1E-3</v>
      </c>
      <c r="L26">
        <v>0.43786361000000001</v>
      </c>
      <c r="O26">
        <f t="shared" si="1"/>
        <v>50.5</v>
      </c>
    </row>
    <row r="27" spans="2:15" x14ac:dyDescent="0.35">
      <c r="F27" s="2">
        <v>156</v>
      </c>
      <c r="H27">
        <f t="shared" si="0"/>
        <v>0.38529999999999998</v>
      </c>
      <c r="I27" s="2">
        <v>0.29480000000000001</v>
      </c>
      <c r="J27" s="1">
        <v>1E-3</v>
      </c>
      <c r="L27">
        <v>0.40321178000000002</v>
      </c>
      <c r="O27">
        <f t="shared" si="1"/>
        <v>48.5</v>
      </c>
    </row>
    <row r="28" spans="2:15" x14ac:dyDescent="0.35">
      <c r="F28" s="2">
        <v>154</v>
      </c>
      <c r="H28">
        <f t="shared" si="0"/>
        <v>0.50590000000000002</v>
      </c>
      <c r="I28" s="2">
        <v>0.41539999999999999</v>
      </c>
      <c r="J28" s="1">
        <v>1E-3</v>
      </c>
      <c r="L28">
        <v>0.32200993</v>
      </c>
      <c r="O28">
        <f t="shared" si="1"/>
        <v>46.5</v>
      </c>
    </row>
    <row r="29" spans="2:15" x14ac:dyDescent="0.35">
      <c r="F29" s="2">
        <v>152</v>
      </c>
      <c r="H29">
        <f t="shared" si="0"/>
        <v>0.50790000000000002</v>
      </c>
      <c r="I29" s="2">
        <v>0.41739999999999999</v>
      </c>
      <c r="J29" s="1">
        <v>1.5E-3</v>
      </c>
      <c r="L29">
        <v>0.24876593999999999</v>
      </c>
      <c r="O29">
        <f t="shared" si="1"/>
        <v>44.5</v>
      </c>
    </row>
    <row r="30" spans="2:15" x14ac:dyDescent="0.35">
      <c r="F30" s="2">
        <v>150</v>
      </c>
      <c r="H30">
        <f t="shared" si="0"/>
        <v>0.20450000000000002</v>
      </c>
      <c r="I30" s="2">
        <v>0.114</v>
      </c>
      <c r="J30" s="1">
        <v>1E-3</v>
      </c>
      <c r="L30">
        <v>0.15369612999999999</v>
      </c>
      <c r="O30">
        <f t="shared" si="1"/>
        <v>42.5</v>
      </c>
    </row>
    <row r="31" spans="2:15" x14ac:dyDescent="0.35">
      <c r="F31" s="2">
        <v>148</v>
      </c>
      <c r="H31">
        <f t="shared" si="0"/>
        <v>0.1285</v>
      </c>
      <c r="I31" s="2">
        <v>3.7999999999999999E-2</v>
      </c>
      <c r="J31" s="1">
        <v>1E-3</v>
      </c>
      <c r="L31">
        <v>0.16477869000000001</v>
      </c>
      <c r="O31">
        <f t="shared" si="1"/>
        <v>40.5</v>
      </c>
    </row>
    <row r="32" spans="2:15" x14ac:dyDescent="0.35">
      <c r="F32" s="2">
        <v>146</v>
      </c>
      <c r="H32">
        <f t="shared" si="0"/>
        <v>0.1888</v>
      </c>
      <c r="I32" s="2">
        <v>9.8299999999999998E-2</v>
      </c>
      <c r="J32" s="1">
        <v>1E-3</v>
      </c>
      <c r="L32">
        <v>0.14263327000000001</v>
      </c>
      <c r="O32">
        <f t="shared" si="1"/>
        <v>38.5</v>
      </c>
    </row>
    <row r="33" spans="6:15" x14ac:dyDescent="0.35">
      <c r="F33" s="2">
        <v>144</v>
      </c>
      <c r="H33">
        <f t="shared" si="0"/>
        <v>0.27500000000000002</v>
      </c>
      <c r="I33" s="2">
        <v>0.1845</v>
      </c>
      <c r="J33" s="1">
        <v>1E-3</v>
      </c>
      <c r="L33">
        <v>7.9580490000000004E-2</v>
      </c>
      <c r="O33">
        <f t="shared" si="1"/>
        <v>36.5</v>
      </c>
    </row>
    <row r="34" spans="6:15" x14ac:dyDescent="0.35">
      <c r="F34" s="2">
        <v>142</v>
      </c>
      <c r="H34">
        <f t="shared" si="0"/>
        <v>0.14810000000000001</v>
      </c>
      <c r="I34" s="2">
        <v>5.7599999999999998E-2</v>
      </c>
      <c r="J34" s="7">
        <v>5.0000000000000001E-4</v>
      </c>
      <c r="L34">
        <v>2.4175439999999999E-2</v>
      </c>
      <c r="O34">
        <f t="shared" si="1"/>
        <v>34.5</v>
      </c>
    </row>
    <row r="35" spans="6:15" x14ac:dyDescent="0.35">
      <c r="F35" s="2">
        <v>140</v>
      </c>
      <c r="H35">
        <f t="shared" si="0"/>
        <v>4.5099999999999994E-2</v>
      </c>
      <c r="I35" s="2">
        <v>-4.5400000000000003E-2</v>
      </c>
      <c r="J35" s="7">
        <v>5.0000000000000001E-4</v>
      </c>
      <c r="L35">
        <v>6.4402499999999998E-3</v>
      </c>
      <c r="O35">
        <f t="shared" si="1"/>
        <v>32.5</v>
      </c>
    </row>
    <row r="36" spans="6:15" x14ac:dyDescent="0.35">
      <c r="F36">
        <v>138</v>
      </c>
      <c r="H36">
        <f t="shared" si="0"/>
        <v>4.6799999999999994E-2</v>
      </c>
      <c r="I36">
        <v>-4.3700000000000003E-2</v>
      </c>
      <c r="J36" s="8">
        <v>5.0000000000000001E-4</v>
      </c>
      <c r="L36">
        <v>-6.5630100000000002E-3</v>
      </c>
      <c r="O36">
        <f t="shared" si="1"/>
        <v>30.5</v>
      </c>
    </row>
    <row r="37" spans="6:15" x14ac:dyDescent="0.35">
      <c r="F37">
        <v>136</v>
      </c>
      <c r="H37">
        <f t="shared" si="0"/>
        <v>9.4E-2</v>
      </c>
      <c r="I37">
        <v>3.5000000000000001E-3</v>
      </c>
      <c r="J37">
        <v>1E-3</v>
      </c>
      <c r="L37">
        <v>-5.7039720000000002E-2</v>
      </c>
      <c r="O37">
        <f t="shared" si="1"/>
        <v>28.5</v>
      </c>
    </row>
    <row r="38" spans="6:15" x14ac:dyDescent="0.35">
      <c r="F38">
        <v>134</v>
      </c>
      <c r="H38">
        <f t="shared" si="0"/>
        <v>0.1055</v>
      </c>
      <c r="I38">
        <v>1.4999999999999999E-2</v>
      </c>
      <c r="J38">
        <v>1E-3</v>
      </c>
      <c r="L38">
        <v>-2.937536E-2</v>
      </c>
      <c r="O38">
        <f t="shared" si="1"/>
        <v>26.5</v>
      </c>
    </row>
    <row r="39" spans="6:15" x14ac:dyDescent="0.35">
      <c r="F39">
        <v>132</v>
      </c>
      <c r="H39">
        <f t="shared" si="0"/>
        <v>2.5499999999999995E-2</v>
      </c>
      <c r="I39">
        <v>-6.5000000000000002E-2</v>
      </c>
      <c r="J39" s="8">
        <v>5.0000000000000001E-4</v>
      </c>
      <c r="L39">
        <v>5.8101100000000003E-3</v>
      </c>
      <c r="O39">
        <f t="shared" si="1"/>
        <v>24.5</v>
      </c>
    </row>
    <row r="40" spans="6:15" x14ac:dyDescent="0.35">
      <c r="F40">
        <v>130</v>
      </c>
      <c r="H40">
        <f t="shared" si="0"/>
        <v>6.8000000000000005E-3</v>
      </c>
      <c r="I40">
        <v>-8.3699999999999997E-2</v>
      </c>
      <c r="J40" s="8">
        <v>2.9999999999999997E-4</v>
      </c>
      <c r="L40" t="s">
        <v>59</v>
      </c>
      <c r="O40">
        <f t="shared" si="1"/>
        <v>22.5</v>
      </c>
    </row>
    <row r="41" spans="6:15" x14ac:dyDescent="0.35">
      <c r="F41">
        <v>128</v>
      </c>
      <c r="H41">
        <f t="shared" si="0"/>
        <v>3.44E-2</v>
      </c>
      <c r="I41">
        <v>-5.6099999999999997E-2</v>
      </c>
      <c r="J41" s="8">
        <v>5.0000000000000001E-4</v>
      </c>
      <c r="L41">
        <v>-6.8583909999999998E-2</v>
      </c>
      <c r="O41">
        <f t="shared" si="1"/>
        <v>20.5</v>
      </c>
    </row>
    <row r="42" spans="6:15" x14ac:dyDescent="0.35">
      <c r="F42">
        <v>126</v>
      </c>
      <c r="H42">
        <f t="shared" si="0"/>
        <v>0.105</v>
      </c>
      <c r="I42">
        <v>1.4500000000000001E-2</v>
      </c>
      <c r="J42" s="8">
        <v>5.0000000000000001E-4</v>
      </c>
      <c r="L42">
        <v>-0.12578283000000001</v>
      </c>
      <c r="O42">
        <f t="shared" si="1"/>
        <v>18.5</v>
      </c>
    </row>
    <row r="43" spans="6:15" x14ac:dyDescent="0.35">
      <c r="F43">
        <v>124</v>
      </c>
      <c r="H43">
        <f t="shared" si="0"/>
        <v>8.0500000000000002E-2</v>
      </c>
      <c r="I43">
        <v>-0.01</v>
      </c>
      <c r="J43" s="8">
        <v>5.0000000000000001E-4</v>
      </c>
      <c r="L43">
        <v>-4.6604390000000002E-2</v>
      </c>
      <c r="O43">
        <f t="shared" si="1"/>
        <v>16.5</v>
      </c>
    </row>
    <row r="44" spans="6:15" x14ac:dyDescent="0.35">
      <c r="F44">
        <v>122</v>
      </c>
      <c r="H44">
        <f t="shared" si="0"/>
        <v>1.9299999999999998E-2</v>
      </c>
      <c r="I44">
        <v>-7.1199999999999999E-2</v>
      </c>
      <c r="J44" s="8">
        <v>2.9999999999999997E-4</v>
      </c>
      <c r="L44">
        <v>-7.5176699999999997E-3</v>
      </c>
      <c r="O44">
        <f t="shared" si="1"/>
        <v>14.5</v>
      </c>
    </row>
    <row r="45" spans="6:15" x14ac:dyDescent="0.35">
      <c r="F45">
        <v>120</v>
      </c>
      <c r="H45">
        <f t="shared" si="0"/>
        <v>2.52E-2</v>
      </c>
      <c r="I45">
        <v>-6.5299999999999997E-2</v>
      </c>
      <c r="J45" s="8">
        <v>5.0000000000000001E-4</v>
      </c>
      <c r="L45">
        <v>0.11536241999999999</v>
      </c>
      <c r="O45">
        <f t="shared" si="1"/>
        <v>12.5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11CB-6377-436B-AC6D-0F207B434EEC}">
  <dimension ref="B2:C10"/>
  <sheetViews>
    <sheetView workbookViewId="0">
      <selection activeCell="D16" sqref="D16"/>
    </sheetView>
  </sheetViews>
  <sheetFormatPr baseColWidth="10" defaultRowHeight="14.5" x14ac:dyDescent="0.35"/>
  <cols>
    <col min="2" max="2" width="41.81640625" bestFit="1" customWidth="1"/>
  </cols>
  <sheetData>
    <row r="2" spans="2:3" x14ac:dyDescent="0.35">
      <c r="B2" t="s">
        <v>11</v>
      </c>
    </row>
    <row r="4" spans="2:3" x14ac:dyDescent="0.35">
      <c r="B4" t="s">
        <v>15</v>
      </c>
      <c r="C4" s="2">
        <v>35</v>
      </c>
    </row>
    <row r="5" spans="2:3" x14ac:dyDescent="0.35">
      <c r="B5" t="s">
        <v>13</v>
      </c>
      <c r="C5" s="2">
        <v>69.900000000000006</v>
      </c>
    </row>
    <row r="6" spans="2:3" x14ac:dyDescent="0.35">
      <c r="B6" t="s">
        <v>14</v>
      </c>
      <c r="C6" s="2">
        <v>126.8</v>
      </c>
    </row>
    <row r="7" spans="2:3" x14ac:dyDescent="0.35">
      <c r="B7" t="s">
        <v>8</v>
      </c>
      <c r="C7" s="1">
        <v>0.3</v>
      </c>
    </row>
    <row r="9" spans="2:3" x14ac:dyDescent="0.35">
      <c r="B9" t="s">
        <v>16</v>
      </c>
      <c r="C9" s="3">
        <f>ABS((C5-C6)*2/C4)</f>
        <v>3.2514285714285709</v>
      </c>
    </row>
    <row r="10" spans="2:3" x14ac:dyDescent="0.35">
      <c r="B10" t="s">
        <v>18</v>
      </c>
      <c r="C10" s="3">
        <f xml:space="preserve"> SQRT(2)*C7*2/C4</f>
        <v>2.4243661069253058E-2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75D1-BC7B-4C39-BB03-69990F71EBA1}">
  <dimension ref="B2:C11"/>
  <sheetViews>
    <sheetView tabSelected="1" workbookViewId="0">
      <selection activeCell="F9" sqref="F9"/>
    </sheetView>
  </sheetViews>
  <sheetFormatPr baseColWidth="10" defaultRowHeight="14.5" x14ac:dyDescent="0.35"/>
  <cols>
    <col min="2" max="2" width="41.81640625" bestFit="1" customWidth="1"/>
  </cols>
  <sheetData>
    <row r="2" spans="2:3" x14ac:dyDescent="0.35">
      <c r="B2" t="s">
        <v>12</v>
      </c>
    </row>
    <row r="4" spans="2:3" x14ac:dyDescent="0.35">
      <c r="B4" t="s">
        <v>49</v>
      </c>
      <c r="C4">
        <v>9.35</v>
      </c>
    </row>
    <row r="5" spans="2:3" x14ac:dyDescent="0.35">
      <c r="B5" t="s">
        <v>48</v>
      </c>
      <c r="C5" s="2">
        <v>15</v>
      </c>
    </row>
    <row r="6" spans="2:3" x14ac:dyDescent="0.35">
      <c r="B6" t="s">
        <v>13</v>
      </c>
      <c r="C6" s="2">
        <v>0.5</v>
      </c>
    </row>
    <row r="7" spans="2:3" x14ac:dyDescent="0.35">
      <c r="B7" t="s">
        <v>14</v>
      </c>
      <c r="C7" s="2">
        <v>25.05</v>
      </c>
    </row>
    <row r="8" spans="2:3" x14ac:dyDescent="0.35">
      <c r="B8" t="s">
        <v>8</v>
      </c>
      <c r="C8" s="1">
        <v>0.15</v>
      </c>
    </row>
    <row r="10" spans="2:3" x14ac:dyDescent="0.35">
      <c r="B10" t="s">
        <v>16</v>
      </c>
      <c r="C10" s="3">
        <f>ABS( (C6-C7)*2/C5)</f>
        <v>3.2733333333333334</v>
      </c>
    </row>
    <row r="11" spans="2:3" x14ac:dyDescent="0.35">
      <c r="B11" t="s">
        <v>17</v>
      </c>
      <c r="C11" s="3">
        <f xml:space="preserve"> ABS(SQRT(2)*C8*2/(C5))</f>
        <v>2.8284271247461901E-2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18AD-CE51-4AB8-8849-77D290EED8A9}">
  <dimension ref="A2:T57"/>
  <sheetViews>
    <sheetView topLeftCell="A10" zoomScale="95" workbookViewId="0">
      <selection activeCell="A35" sqref="A35:A57"/>
    </sheetView>
  </sheetViews>
  <sheetFormatPr baseColWidth="10" defaultRowHeight="14.5" x14ac:dyDescent="0.35"/>
  <cols>
    <col min="2" max="2" width="27.90625" bestFit="1" customWidth="1"/>
    <col min="3" max="3" width="11.81640625" bestFit="1" customWidth="1"/>
    <col min="4" max="4" width="16.453125" bestFit="1" customWidth="1"/>
    <col min="5" max="5" width="19.54296875" bestFit="1" customWidth="1"/>
    <col min="6" max="6" width="19.36328125" bestFit="1" customWidth="1"/>
    <col min="8" max="8" width="19.453125" bestFit="1" customWidth="1"/>
    <col min="9" max="9" width="19.1796875" bestFit="1" customWidth="1"/>
    <col min="11" max="11" width="16.453125" bestFit="1" customWidth="1"/>
    <col min="12" max="12" width="19.453125" bestFit="1" customWidth="1"/>
    <col min="13" max="13" width="19.1796875" bestFit="1" customWidth="1"/>
  </cols>
  <sheetData>
    <row r="2" spans="1:20" x14ac:dyDescent="0.35">
      <c r="B2" t="s">
        <v>19</v>
      </c>
      <c r="E2" t="s">
        <v>50</v>
      </c>
      <c r="F2">
        <v>15.4</v>
      </c>
      <c r="K2" t="s">
        <v>51</v>
      </c>
    </row>
    <row r="3" spans="1:20" x14ac:dyDescent="0.35">
      <c r="E3" t="s">
        <v>53</v>
      </c>
    </row>
    <row r="4" spans="1:20" x14ac:dyDescent="0.35">
      <c r="A4" t="s">
        <v>66</v>
      </c>
      <c r="B4" t="s">
        <v>20</v>
      </c>
      <c r="C4" t="s">
        <v>21</v>
      </c>
      <c r="D4" t="s">
        <v>60</v>
      </c>
      <c r="E4" t="s">
        <v>22</v>
      </c>
      <c r="F4" t="s">
        <v>24</v>
      </c>
      <c r="H4" t="s">
        <v>64</v>
      </c>
      <c r="K4" t="s">
        <v>20</v>
      </c>
      <c r="L4" t="s">
        <v>21</v>
      </c>
      <c r="M4" t="s">
        <v>65</v>
      </c>
      <c r="N4" t="s">
        <v>60</v>
      </c>
      <c r="O4" t="s">
        <v>23</v>
      </c>
      <c r="P4" t="s">
        <v>25</v>
      </c>
      <c r="T4" t="s">
        <v>52</v>
      </c>
    </row>
    <row r="5" spans="1:20" x14ac:dyDescent="0.35">
      <c r="A5">
        <f>15.4-B5</f>
        <v>0</v>
      </c>
      <c r="B5">
        <v>15.4</v>
      </c>
      <c r="D5">
        <f>(E5-$B$31)</f>
        <v>2.6907000000000001</v>
      </c>
      <c r="E5">
        <v>2.6</v>
      </c>
      <c r="F5">
        <v>0.01</v>
      </c>
      <c r="H5">
        <f>E5-$E$25</f>
        <v>2.72</v>
      </c>
      <c r="K5">
        <v>15.4</v>
      </c>
      <c r="M5">
        <f>O5-$O$9</f>
        <v>2.6399999999999993E-2</v>
      </c>
      <c r="N5">
        <f>(O5-$B$31)</f>
        <v>-5.0000000000000044E-4</v>
      </c>
      <c r="O5">
        <v>-9.1200000000000003E-2</v>
      </c>
      <c r="P5">
        <v>1E-4</v>
      </c>
      <c r="T5">
        <v>-9.0499999999999997E-2</v>
      </c>
    </row>
    <row r="6" spans="1:20" x14ac:dyDescent="0.35">
      <c r="A6">
        <f t="shared" ref="A6:A27" si="0">15.4-B6</f>
        <v>9.9999999999999645E-2</v>
      </c>
      <c r="B6">
        <v>15.3</v>
      </c>
      <c r="D6">
        <f t="shared" ref="D6:D27" si="1">(E6-$B$31)</f>
        <v>2.4207000000000001</v>
      </c>
      <c r="E6">
        <v>2.33</v>
      </c>
      <c r="F6">
        <v>0.01</v>
      </c>
      <c r="H6">
        <f t="shared" ref="H6:H27" si="2">E6-$E$25</f>
        <v>2.4500000000000002</v>
      </c>
      <c r="K6">
        <v>15.3</v>
      </c>
      <c r="M6">
        <f t="shared" ref="M6:M27" si="3">O6-$O$9</f>
        <v>2.1909999999999999E-2</v>
      </c>
      <c r="N6">
        <f t="shared" ref="N6:N27" si="4">(O6-$B$31)</f>
        <v>-4.9899999999999944E-3</v>
      </c>
      <c r="O6">
        <v>-9.5689999999999997E-2</v>
      </c>
      <c r="P6">
        <v>1E-4</v>
      </c>
    </row>
    <row r="7" spans="1:20" x14ac:dyDescent="0.35">
      <c r="A7">
        <f t="shared" si="0"/>
        <v>0.20000000000000107</v>
      </c>
      <c r="B7">
        <v>15.2</v>
      </c>
      <c r="D7">
        <f t="shared" si="1"/>
        <v>2.1107</v>
      </c>
      <c r="E7">
        <v>2.02</v>
      </c>
      <c r="F7">
        <v>0.01</v>
      </c>
      <c r="H7">
        <f t="shared" si="2"/>
        <v>2.14</v>
      </c>
      <c r="K7">
        <v>15.2</v>
      </c>
      <c r="M7">
        <f t="shared" si="3"/>
        <v>1.5399999999999997E-2</v>
      </c>
      <c r="N7">
        <f t="shared" si="4"/>
        <v>-1.1499999999999996E-2</v>
      </c>
      <c r="O7">
        <v>-0.1022</v>
      </c>
      <c r="P7">
        <v>1E-4</v>
      </c>
    </row>
    <row r="8" spans="1:20" x14ac:dyDescent="0.35">
      <c r="A8">
        <f t="shared" si="0"/>
        <v>0.30000000000000071</v>
      </c>
      <c r="B8">
        <v>15.1</v>
      </c>
      <c r="D8">
        <f t="shared" si="1"/>
        <v>1.6907000000000001</v>
      </c>
      <c r="E8">
        <v>1.6</v>
      </c>
      <c r="F8">
        <v>0.01</v>
      </c>
      <c r="H8">
        <f t="shared" si="2"/>
        <v>1.7200000000000002</v>
      </c>
      <c r="K8">
        <v>15.1</v>
      </c>
      <c r="M8">
        <f t="shared" si="3"/>
        <v>5.7999999999999996E-3</v>
      </c>
      <c r="N8">
        <f t="shared" si="4"/>
        <v>-2.1099999999999994E-2</v>
      </c>
      <c r="O8">
        <v>-0.1118</v>
      </c>
      <c r="P8">
        <v>1E-4</v>
      </c>
    </row>
    <row r="9" spans="1:20" x14ac:dyDescent="0.35">
      <c r="A9">
        <f t="shared" si="0"/>
        <v>0.40000000000000036</v>
      </c>
      <c r="B9">
        <v>15</v>
      </c>
      <c r="D9">
        <f t="shared" si="1"/>
        <v>1.3207</v>
      </c>
      <c r="E9">
        <v>1.23</v>
      </c>
      <c r="F9">
        <v>0.01</v>
      </c>
      <c r="H9">
        <f t="shared" si="2"/>
        <v>1.35</v>
      </c>
      <c r="K9">
        <v>15</v>
      </c>
      <c r="M9">
        <f t="shared" si="3"/>
        <v>0</v>
      </c>
      <c r="N9">
        <f t="shared" si="4"/>
        <v>-2.6899999999999993E-2</v>
      </c>
      <c r="O9">
        <v>-0.1176</v>
      </c>
      <c r="P9">
        <v>4.0000000000000002E-4</v>
      </c>
    </row>
    <row r="10" spans="1:20" x14ac:dyDescent="0.35">
      <c r="A10">
        <f t="shared" si="0"/>
        <v>0.5</v>
      </c>
      <c r="B10">
        <v>14.9</v>
      </c>
      <c r="D10">
        <f t="shared" si="1"/>
        <v>0.98070000000000002</v>
      </c>
      <c r="E10">
        <v>0.89</v>
      </c>
      <c r="F10">
        <v>0.01</v>
      </c>
      <c r="H10">
        <f t="shared" si="2"/>
        <v>1.01</v>
      </c>
      <c r="K10">
        <v>14.9</v>
      </c>
      <c r="M10">
        <f t="shared" si="3"/>
        <v>2.7999999999999969E-3</v>
      </c>
      <c r="N10">
        <f t="shared" si="4"/>
        <v>-2.4099999999999996E-2</v>
      </c>
      <c r="O10">
        <v>-0.1148</v>
      </c>
      <c r="P10">
        <v>4.0000000000000002E-4</v>
      </c>
    </row>
    <row r="11" spans="1:20" x14ac:dyDescent="0.35">
      <c r="A11">
        <f t="shared" si="0"/>
        <v>0.59999999999999964</v>
      </c>
      <c r="B11">
        <v>14.8</v>
      </c>
      <c r="D11">
        <f t="shared" si="1"/>
        <v>0.79069999999999996</v>
      </c>
      <c r="E11">
        <v>0.7</v>
      </c>
      <c r="F11">
        <v>0.1</v>
      </c>
      <c r="H11">
        <f t="shared" si="2"/>
        <v>0.82</v>
      </c>
      <c r="K11">
        <v>14.8</v>
      </c>
      <c r="M11">
        <f t="shared" si="3"/>
        <v>2.6099999999999998E-2</v>
      </c>
      <c r="N11">
        <f t="shared" si="4"/>
        <v>-7.9999999999999516E-4</v>
      </c>
      <c r="O11">
        <v>-9.1499999999999998E-2</v>
      </c>
      <c r="P11">
        <v>4.0000000000000002E-4</v>
      </c>
    </row>
    <row r="12" spans="1:20" x14ac:dyDescent="0.35">
      <c r="A12">
        <f t="shared" si="0"/>
        <v>0.70000000000000107</v>
      </c>
      <c r="B12">
        <v>14.7</v>
      </c>
      <c r="D12">
        <f t="shared" si="1"/>
        <v>0.56069999999999998</v>
      </c>
      <c r="E12">
        <v>0.47</v>
      </c>
      <c r="F12">
        <v>0.04</v>
      </c>
      <c r="H12">
        <f t="shared" si="2"/>
        <v>0.59</v>
      </c>
      <c r="K12">
        <v>14.7</v>
      </c>
      <c r="M12">
        <f t="shared" si="3"/>
        <v>6.8699999999999997E-2</v>
      </c>
      <c r="N12">
        <f t="shared" si="4"/>
        <v>4.1800000000000004E-2</v>
      </c>
      <c r="O12">
        <v>-4.8899999999999999E-2</v>
      </c>
      <c r="P12">
        <v>1E-3</v>
      </c>
    </row>
    <row r="13" spans="1:20" x14ac:dyDescent="0.35">
      <c r="A13">
        <f t="shared" si="0"/>
        <v>0.80000000000000071</v>
      </c>
      <c r="B13">
        <v>14.6</v>
      </c>
      <c r="D13">
        <f t="shared" si="1"/>
        <v>0.44069999999999998</v>
      </c>
      <c r="E13">
        <v>0.35</v>
      </c>
      <c r="F13">
        <v>0.03</v>
      </c>
      <c r="H13">
        <f t="shared" si="2"/>
        <v>0.47</v>
      </c>
      <c r="K13">
        <v>14.6</v>
      </c>
      <c r="M13">
        <f t="shared" si="3"/>
        <v>0.1236</v>
      </c>
      <c r="N13">
        <f t="shared" si="4"/>
        <v>9.6700000000000008E-2</v>
      </c>
      <c r="O13">
        <v>6.0000000000000001E-3</v>
      </c>
      <c r="P13">
        <v>1E-3</v>
      </c>
    </row>
    <row r="14" spans="1:20" x14ac:dyDescent="0.35">
      <c r="A14">
        <f t="shared" si="0"/>
        <v>0.90000000000000036</v>
      </c>
      <c r="B14">
        <v>14.5</v>
      </c>
      <c r="D14">
        <f t="shared" si="1"/>
        <v>0.32069999999999999</v>
      </c>
      <c r="E14">
        <v>0.23</v>
      </c>
      <c r="F14">
        <v>0.01</v>
      </c>
      <c r="H14">
        <f t="shared" si="2"/>
        <v>0.35</v>
      </c>
      <c r="K14">
        <v>14.5</v>
      </c>
      <c r="M14">
        <f t="shared" si="3"/>
        <v>0.18259999999999998</v>
      </c>
      <c r="N14">
        <f t="shared" si="4"/>
        <v>0.15570000000000001</v>
      </c>
      <c r="O14">
        <v>6.5000000000000002E-2</v>
      </c>
      <c r="P14">
        <v>1E-3</v>
      </c>
    </row>
    <row r="15" spans="1:20" x14ac:dyDescent="0.35">
      <c r="A15">
        <f t="shared" si="0"/>
        <v>1</v>
      </c>
      <c r="B15">
        <v>14.4</v>
      </c>
      <c r="D15">
        <f t="shared" si="1"/>
        <v>0.25070000000000003</v>
      </c>
      <c r="E15">
        <v>0.16</v>
      </c>
      <c r="F15">
        <v>0.01</v>
      </c>
      <c r="H15">
        <f t="shared" si="2"/>
        <v>0.28000000000000003</v>
      </c>
      <c r="K15">
        <v>14.4</v>
      </c>
      <c r="M15">
        <f t="shared" si="3"/>
        <v>0.21560000000000001</v>
      </c>
      <c r="N15">
        <f t="shared" si="4"/>
        <v>0.18870000000000001</v>
      </c>
      <c r="O15">
        <v>9.8000000000000004E-2</v>
      </c>
      <c r="P15">
        <v>1E-3</v>
      </c>
    </row>
    <row r="16" spans="1:20" x14ac:dyDescent="0.35">
      <c r="A16">
        <f t="shared" si="0"/>
        <v>1.0999999999999996</v>
      </c>
      <c r="B16">
        <v>14.3</v>
      </c>
      <c r="D16">
        <f t="shared" si="1"/>
        <v>0.1827</v>
      </c>
      <c r="E16">
        <v>9.1999999999999998E-2</v>
      </c>
      <c r="F16">
        <v>4.0000000000000001E-3</v>
      </c>
      <c r="H16">
        <f t="shared" si="2"/>
        <v>0.21199999999999999</v>
      </c>
      <c r="K16">
        <v>14.3</v>
      </c>
      <c r="M16">
        <f t="shared" si="3"/>
        <v>0.24959999999999999</v>
      </c>
      <c r="N16">
        <f t="shared" si="4"/>
        <v>0.22270000000000001</v>
      </c>
      <c r="O16">
        <v>0.13200000000000001</v>
      </c>
      <c r="P16">
        <v>2E-3</v>
      </c>
    </row>
    <row r="17" spans="1:16" x14ac:dyDescent="0.35">
      <c r="A17">
        <f t="shared" si="0"/>
        <v>1.2000000000000011</v>
      </c>
      <c r="B17">
        <v>14.2</v>
      </c>
      <c r="D17">
        <f t="shared" si="1"/>
        <v>0.1527</v>
      </c>
      <c r="E17">
        <v>6.2E-2</v>
      </c>
      <c r="F17">
        <v>4.0000000000000001E-3</v>
      </c>
      <c r="H17">
        <f t="shared" si="2"/>
        <v>0.182</v>
      </c>
      <c r="K17">
        <v>14.2</v>
      </c>
      <c r="M17">
        <f t="shared" si="3"/>
        <v>0.2666</v>
      </c>
      <c r="N17">
        <f t="shared" si="4"/>
        <v>0.2397</v>
      </c>
      <c r="O17">
        <v>0.14899999999999999</v>
      </c>
      <c r="P17">
        <v>3.0000000000000001E-3</v>
      </c>
    </row>
    <row r="18" spans="1:16" x14ac:dyDescent="0.35">
      <c r="A18">
        <f t="shared" si="0"/>
        <v>1.3000000000000007</v>
      </c>
      <c r="B18">
        <v>14.1</v>
      </c>
      <c r="D18">
        <f t="shared" si="1"/>
        <v>0.1087</v>
      </c>
      <c r="E18">
        <v>1.7999999999999999E-2</v>
      </c>
      <c r="F18">
        <v>3.0000000000000001E-3</v>
      </c>
      <c r="H18">
        <f t="shared" si="2"/>
        <v>0.13799999999999998</v>
      </c>
      <c r="K18">
        <v>14.1</v>
      </c>
      <c r="M18">
        <f t="shared" si="3"/>
        <v>0.28560000000000002</v>
      </c>
      <c r="N18">
        <f t="shared" si="4"/>
        <v>0.25870000000000004</v>
      </c>
      <c r="O18">
        <v>0.16800000000000001</v>
      </c>
      <c r="P18">
        <v>4.0000000000000001E-3</v>
      </c>
    </row>
    <row r="19" spans="1:16" x14ac:dyDescent="0.35">
      <c r="A19">
        <f t="shared" si="0"/>
        <v>1.4000000000000004</v>
      </c>
      <c r="B19">
        <v>14</v>
      </c>
      <c r="D19">
        <f t="shared" si="1"/>
        <v>8.5699999999999998E-2</v>
      </c>
      <c r="E19">
        <v>-5.0000000000000001E-3</v>
      </c>
      <c r="F19">
        <v>8.0000000000000002E-3</v>
      </c>
      <c r="H19">
        <f t="shared" si="2"/>
        <v>0.11499999999999999</v>
      </c>
      <c r="K19">
        <v>14</v>
      </c>
      <c r="M19">
        <f t="shared" si="3"/>
        <v>0.33160000000000001</v>
      </c>
      <c r="N19">
        <f t="shared" si="4"/>
        <v>0.30469999999999997</v>
      </c>
      <c r="O19">
        <v>0.214</v>
      </c>
      <c r="P19">
        <v>4.0000000000000001E-3</v>
      </c>
    </row>
    <row r="20" spans="1:16" x14ac:dyDescent="0.35">
      <c r="A20">
        <f t="shared" si="0"/>
        <v>1.5</v>
      </c>
      <c r="B20">
        <v>13.9</v>
      </c>
      <c r="D20">
        <f t="shared" si="1"/>
        <v>4.4700000000000004E-2</v>
      </c>
      <c r="E20">
        <v>-4.5999999999999999E-2</v>
      </c>
      <c r="F20">
        <v>5.0000000000000001E-3</v>
      </c>
      <c r="H20">
        <f t="shared" si="2"/>
        <v>7.3999999999999996E-2</v>
      </c>
      <c r="K20">
        <v>13.9</v>
      </c>
      <c r="M20">
        <f t="shared" si="3"/>
        <v>0.37559999999999999</v>
      </c>
      <c r="N20">
        <f t="shared" si="4"/>
        <v>0.34870000000000001</v>
      </c>
      <c r="O20">
        <v>0.25800000000000001</v>
      </c>
      <c r="P20">
        <v>5.0000000000000001E-3</v>
      </c>
    </row>
    <row r="21" spans="1:16" x14ac:dyDescent="0.35">
      <c r="A21">
        <f t="shared" si="0"/>
        <v>1.5999999999999996</v>
      </c>
      <c r="B21">
        <v>13.8</v>
      </c>
      <c r="D21">
        <f t="shared" si="1"/>
        <v>2.0699999999999996E-2</v>
      </c>
      <c r="E21">
        <v>-7.0000000000000007E-2</v>
      </c>
      <c r="F21">
        <v>5.0000000000000001E-3</v>
      </c>
      <c r="H21">
        <f t="shared" si="2"/>
        <v>4.9999999999999989E-2</v>
      </c>
      <c r="K21">
        <v>13.8</v>
      </c>
      <c r="M21">
        <f t="shared" si="3"/>
        <v>0.4456</v>
      </c>
      <c r="N21">
        <f t="shared" si="4"/>
        <v>0.41870000000000002</v>
      </c>
      <c r="O21">
        <v>0.32800000000000001</v>
      </c>
      <c r="P21">
        <v>5.0000000000000001E-3</v>
      </c>
    </row>
    <row r="22" spans="1:16" x14ac:dyDescent="0.35">
      <c r="A22">
        <f t="shared" si="0"/>
        <v>1.7000000000000011</v>
      </c>
      <c r="B22">
        <v>13.7</v>
      </c>
      <c r="D22">
        <f t="shared" si="1"/>
        <v>7.0000000000000617E-4</v>
      </c>
      <c r="E22">
        <v>-0.09</v>
      </c>
      <c r="F22">
        <v>3.0000000000000001E-3</v>
      </c>
      <c r="H22">
        <f t="shared" si="2"/>
        <v>0.03</v>
      </c>
      <c r="K22">
        <v>13.7</v>
      </c>
      <c r="M22">
        <f t="shared" si="3"/>
        <v>0.51060000000000005</v>
      </c>
      <c r="N22">
        <f t="shared" si="4"/>
        <v>0.48370000000000002</v>
      </c>
      <c r="O22">
        <v>0.39300000000000002</v>
      </c>
      <c r="P22">
        <v>5.0000000000000001E-3</v>
      </c>
    </row>
    <row r="23" spans="1:16" x14ac:dyDescent="0.35">
      <c r="A23">
        <f t="shared" si="0"/>
        <v>1.8000000000000007</v>
      </c>
      <c r="B23">
        <v>13.6</v>
      </c>
      <c r="D23">
        <f t="shared" si="1"/>
        <v>-9.3000000000000027E-3</v>
      </c>
      <c r="E23">
        <v>-0.1</v>
      </c>
      <c r="F23">
        <v>2E-3</v>
      </c>
      <c r="H23">
        <f t="shared" si="2"/>
        <v>1.999999999999999E-2</v>
      </c>
      <c r="K23">
        <v>13.6</v>
      </c>
      <c r="M23">
        <f t="shared" si="3"/>
        <v>0.56259999999999999</v>
      </c>
      <c r="N23">
        <f t="shared" si="4"/>
        <v>0.53570000000000007</v>
      </c>
      <c r="O23">
        <v>0.44500000000000001</v>
      </c>
      <c r="P23">
        <v>5.0000000000000001E-3</v>
      </c>
    </row>
    <row r="24" spans="1:16" x14ac:dyDescent="0.35">
      <c r="A24">
        <f t="shared" si="0"/>
        <v>1.9000000000000004</v>
      </c>
      <c r="B24">
        <v>13.5</v>
      </c>
      <c r="D24">
        <f t="shared" si="1"/>
        <v>-1.9299999999999998E-2</v>
      </c>
      <c r="E24">
        <v>-0.11</v>
      </c>
      <c r="F24">
        <v>3.0000000000000001E-3</v>
      </c>
      <c r="H24">
        <f t="shared" si="2"/>
        <v>9.999999999999995E-3</v>
      </c>
      <c r="K24">
        <v>13.5</v>
      </c>
      <c r="M24">
        <f t="shared" si="3"/>
        <v>0.65160000000000007</v>
      </c>
      <c r="N24">
        <f t="shared" si="4"/>
        <v>0.62470000000000003</v>
      </c>
      <c r="O24">
        <v>0.53400000000000003</v>
      </c>
      <c r="P24">
        <v>5.0000000000000001E-3</v>
      </c>
    </row>
    <row r="25" spans="1:16" x14ac:dyDescent="0.35">
      <c r="A25">
        <f t="shared" si="0"/>
        <v>2</v>
      </c>
      <c r="B25">
        <v>13.4</v>
      </c>
      <c r="D25">
        <f t="shared" si="1"/>
        <v>-2.9299999999999993E-2</v>
      </c>
      <c r="E25">
        <v>-0.12</v>
      </c>
      <c r="F25">
        <v>3.0000000000000001E-3</v>
      </c>
      <c r="H25">
        <f t="shared" si="2"/>
        <v>0</v>
      </c>
      <c r="K25">
        <v>13.4</v>
      </c>
      <c r="M25">
        <f t="shared" si="3"/>
        <v>0.73760000000000003</v>
      </c>
      <c r="N25">
        <f t="shared" si="4"/>
        <v>0.7107</v>
      </c>
      <c r="O25">
        <v>0.62</v>
      </c>
      <c r="P25">
        <v>5.0000000000000001E-3</v>
      </c>
    </row>
    <row r="26" spans="1:16" x14ac:dyDescent="0.35">
      <c r="A26">
        <f t="shared" si="0"/>
        <v>2.0999999999999996</v>
      </c>
      <c r="B26">
        <v>13.3</v>
      </c>
      <c r="D26">
        <f t="shared" si="1"/>
        <v>-2.6300000000000004E-2</v>
      </c>
      <c r="E26">
        <v>-0.11700000000000001</v>
      </c>
      <c r="F26">
        <v>2E-3</v>
      </c>
      <c r="H26">
        <f t="shared" si="2"/>
        <v>2.9999999999999888E-3</v>
      </c>
      <c r="K26">
        <v>13.3</v>
      </c>
      <c r="M26">
        <f t="shared" si="3"/>
        <v>0.78160000000000007</v>
      </c>
      <c r="N26">
        <f t="shared" si="4"/>
        <v>0.75470000000000004</v>
      </c>
      <c r="O26">
        <v>0.66400000000000003</v>
      </c>
      <c r="P26">
        <v>5.0000000000000001E-3</v>
      </c>
    </row>
    <row r="27" spans="1:16" x14ac:dyDescent="0.35">
      <c r="A27">
        <f t="shared" si="0"/>
        <v>2.2000000000000011</v>
      </c>
      <c r="B27">
        <v>13.2</v>
      </c>
      <c r="D27">
        <f t="shared" si="1"/>
        <v>-2.7299999999999991E-2</v>
      </c>
      <c r="E27">
        <v>-0.11799999999999999</v>
      </c>
      <c r="F27">
        <v>5.0000000000000001E-4</v>
      </c>
      <c r="H27">
        <f t="shared" si="2"/>
        <v>2.0000000000000018E-3</v>
      </c>
      <c r="K27">
        <v>13.2</v>
      </c>
      <c r="M27">
        <f t="shared" si="3"/>
        <v>0.86060000000000003</v>
      </c>
      <c r="N27">
        <f t="shared" si="4"/>
        <v>0.8337</v>
      </c>
      <c r="O27">
        <v>0.74299999999999999</v>
      </c>
      <c r="P27">
        <v>5.0000000000000001E-3</v>
      </c>
    </row>
    <row r="30" spans="1:16" x14ac:dyDescent="0.35">
      <c r="B30" t="s">
        <v>52</v>
      </c>
    </row>
    <row r="31" spans="1:16" x14ac:dyDescent="0.35">
      <c r="B31">
        <v>-9.0700000000000003E-2</v>
      </c>
    </row>
    <row r="34" spans="1:1" x14ac:dyDescent="0.35">
      <c r="A34" t="s">
        <v>67</v>
      </c>
    </row>
    <row r="35" spans="1:1" x14ac:dyDescent="0.35">
      <c r="A35">
        <f>1/SQRT(2)*A5</f>
        <v>0</v>
      </c>
    </row>
    <row r="36" spans="1:1" x14ac:dyDescent="0.35">
      <c r="A36">
        <f t="shared" ref="A36:A57" si="5">1/SQRT(2)*A6</f>
        <v>7.0710678118654488E-2</v>
      </c>
    </row>
    <row r="37" spans="1:1" x14ac:dyDescent="0.35">
      <c r="A37">
        <f t="shared" si="5"/>
        <v>0.14142135623731025</v>
      </c>
    </row>
    <row r="38" spans="1:1" x14ac:dyDescent="0.35">
      <c r="A38">
        <f t="shared" si="5"/>
        <v>0.21213203435596475</v>
      </c>
    </row>
    <row r="39" spans="1:1" x14ac:dyDescent="0.35">
      <c r="A39">
        <f t="shared" si="5"/>
        <v>0.28284271247461923</v>
      </c>
    </row>
    <row r="40" spans="1:1" x14ac:dyDescent="0.35">
      <c r="A40">
        <f t="shared" si="5"/>
        <v>0.35355339059327373</v>
      </c>
    </row>
    <row r="41" spans="1:1" x14ac:dyDescent="0.35">
      <c r="A41">
        <f t="shared" si="5"/>
        <v>0.42426406871192823</v>
      </c>
    </row>
    <row r="42" spans="1:1" x14ac:dyDescent="0.35">
      <c r="A42">
        <f t="shared" si="5"/>
        <v>0.49497474683058396</v>
      </c>
    </row>
    <row r="43" spans="1:1" x14ac:dyDescent="0.35">
      <c r="A43">
        <f t="shared" si="5"/>
        <v>0.56568542494923846</v>
      </c>
    </row>
    <row r="44" spans="1:1" x14ac:dyDescent="0.35">
      <c r="A44">
        <f t="shared" si="5"/>
        <v>0.63639610306789296</v>
      </c>
    </row>
    <row r="45" spans="1:1" x14ac:dyDescent="0.35">
      <c r="A45">
        <f t="shared" si="5"/>
        <v>0.70710678118654746</v>
      </c>
    </row>
    <row r="46" spans="1:1" x14ac:dyDescent="0.35">
      <c r="A46">
        <f t="shared" si="5"/>
        <v>0.77781745930520196</v>
      </c>
    </row>
    <row r="47" spans="1:1" x14ac:dyDescent="0.35">
      <c r="A47">
        <f t="shared" si="5"/>
        <v>0.84852813742385769</v>
      </c>
    </row>
    <row r="48" spans="1:1" x14ac:dyDescent="0.35">
      <c r="A48">
        <f t="shared" si="5"/>
        <v>0.91923881554251219</v>
      </c>
    </row>
    <row r="49" spans="1:1" x14ac:dyDescent="0.35">
      <c r="A49">
        <f t="shared" si="5"/>
        <v>0.98994949366116669</v>
      </c>
    </row>
    <row r="50" spans="1:1" x14ac:dyDescent="0.35">
      <c r="A50">
        <f t="shared" si="5"/>
        <v>1.0606601717798212</v>
      </c>
    </row>
    <row r="51" spans="1:1" x14ac:dyDescent="0.35">
      <c r="A51">
        <f t="shared" si="5"/>
        <v>1.1313708498984756</v>
      </c>
    </row>
    <row r="52" spans="1:1" x14ac:dyDescent="0.35">
      <c r="A52">
        <f t="shared" si="5"/>
        <v>1.2020815280171315</v>
      </c>
    </row>
    <row r="53" spans="1:1" x14ac:dyDescent="0.35">
      <c r="A53">
        <f t="shared" si="5"/>
        <v>1.2727922061357859</v>
      </c>
    </row>
    <row r="54" spans="1:1" x14ac:dyDescent="0.35">
      <c r="A54">
        <f t="shared" si="5"/>
        <v>1.3435028842544405</v>
      </c>
    </row>
    <row r="55" spans="1:1" x14ac:dyDescent="0.35">
      <c r="A55">
        <f t="shared" si="5"/>
        <v>1.4142135623730949</v>
      </c>
    </row>
    <row r="56" spans="1:1" x14ac:dyDescent="0.35">
      <c r="A56">
        <f t="shared" si="5"/>
        <v>1.4849242404917493</v>
      </c>
    </row>
    <row r="57" spans="1:1" x14ac:dyDescent="0.35">
      <c r="A57">
        <f t="shared" si="5"/>
        <v>1.5556349186104053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F348-7F82-42DE-B333-29BBE5ADDF2A}">
  <dimension ref="B2:J23"/>
  <sheetViews>
    <sheetView workbookViewId="0">
      <selection activeCell="E5" sqref="E5:E23"/>
    </sheetView>
  </sheetViews>
  <sheetFormatPr baseColWidth="10" defaultRowHeight="14.5" x14ac:dyDescent="0.35"/>
  <cols>
    <col min="2" max="2" width="25.81640625" bestFit="1" customWidth="1"/>
    <col min="3" max="3" width="17.36328125" bestFit="1" customWidth="1"/>
    <col min="5" max="5" width="21.08984375" bestFit="1" customWidth="1"/>
    <col min="6" max="6" width="17.81640625" bestFit="1" customWidth="1"/>
  </cols>
  <sheetData>
    <row r="2" spans="2:10" x14ac:dyDescent="0.35">
      <c r="B2" t="s">
        <v>26</v>
      </c>
    </row>
    <row r="4" spans="2:10" x14ac:dyDescent="0.35">
      <c r="B4" t="s">
        <v>1</v>
      </c>
      <c r="C4" t="s">
        <v>2</v>
      </c>
      <c r="E4" t="s">
        <v>63</v>
      </c>
      <c r="F4" t="s">
        <v>27</v>
      </c>
      <c r="G4" t="s">
        <v>4</v>
      </c>
      <c r="J4" t="s">
        <v>54</v>
      </c>
    </row>
    <row r="5" spans="2:10" x14ac:dyDescent="0.35">
      <c r="B5">
        <v>0</v>
      </c>
      <c r="C5">
        <v>0.5</v>
      </c>
      <c r="E5">
        <f>(F5-$J$5)</f>
        <v>-3.0600000000000002E-2</v>
      </c>
      <c r="F5">
        <v>-0.121</v>
      </c>
      <c r="G5">
        <v>5.0000000000000001E-4</v>
      </c>
      <c r="J5">
        <v>-9.0399999999999994E-2</v>
      </c>
    </row>
    <row r="6" spans="2:10" x14ac:dyDescent="0.35">
      <c r="B6">
        <v>10</v>
      </c>
      <c r="C6">
        <v>0.5</v>
      </c>
      <c r="E6">
        <f t="shared" ref="E6:E23" si="0">(F6-$J$5)</f>
        <v>-3.4600000000000006E-2</v>
      </c>
      <c r="F6" s="2">
        <v>-0.125</v>
      </c>
      <c r="G6" s="1">
        <v>5.0000000000000001E-4</v>
      </c>
    </row>
    <row r="7" spans="2:10" x14ac:dyDescent="0.35">
      <c r="B7">
        <v>20</v>
      </c>
      <c r="C7">
        <v>0.5</v>
      </c>
      <c r="E7">
        <f t="shared" si="0"/>
        <v>-1.5600000000000003E-2</v>
      </c>
      <c r="F7" s="2">
        <v>-0.106</v>
      </c>
      <c r="G7" s="1">
        <v>5.0000000000000001E-4</v>
      </c>
    </row>
    <row r="8" spans="2:10" x14ac:dyDescent="0.35">
      <c r="B8">
        <v>30</v>
      </c>
      <c r="C8">
        <v>0.5</v>
      </c>
      <c r="E8">
        <f t="shared" si="0"/>
        <v>-9.000000000000119E-4</v>
      </c>
      <c r="F8" s="2">
        <v>-9.1300000000000006E-2</v>
      </c>
      <c r="G8" s="1">
        <v>5.0000000000000001E-4</v>
      </c>
    </row>
    <row r="9" spans="2:10" x14ac:dyDescent="0.35">
      <c r="B9">
        <v>40</v>
      </c>
      <c r="C9">
        <v>0.5</v>
      </c>
      <c r="E9">
        <f t="shared" si="0"/>
        <v>-2.2600000000000009E-2</v>
      </c>
      <c r="F9" s="2">
        <v>-0.113</v>
      </c>
      <c r="G9" s="1">
        <v>5.0000000000000001E-4</v>
      </c>
    </row>
    <row r="10" spans="2:10" x14ac:dyDescent="0.35">
      <c r="B10">
        <v>50</v>
      </c>
      <c r="C10">
        <v>0.5</v>
      </c>
      <c r="E10">
        <f t="shared" si="0"/>
        <v>4.8999999999999877E-3</v>
      </c>
      <c r="F10" s="2">
        <v>-8.5500000000000007E-2</v>
      </c>
      <c r="G10" s="1">
        <v>5.0000000000000001E-4</v>
      </c>
    </row>
    <row r="11" spans="2:10" x14ac:dyDescent="0.35">
      <c r="B11">
        <v>60</v>
      </c>
      <c r="C11">
        <v>0.5</v>
      </c>
      <c r="E11">
        <f t="shared" si="0"/>
        <v>0.18240000000000001</v>
      </c>
      <c r="F11" s="2">
        <v>9.1999999999999998E-2</v>
      </c>
      <c r="G11" s="1">
        <v>1E-3</v>
      </c>
    </row>
    <row r="12" spans="2:10" x14ac:dyDescent="0.35">
      <c r="B12">
        <v>70</v>
      </c>
      <c r="C12">
        <v>0.5</v>
      </c>
      <c r="E12">
        <f t="shared" si="0"/>
        <v>0.4254</v>
      </c>
      <c r="F12" s="2">
        <v>0.33500000000000002</v>
      </c>
      <c r="G12" s="1">
        <v>2E-3</v>
      </c>
    </row>
    <row r="13" spans="2:10" x14ac:dyDescent="0.35">
      <c r="B13">
        <v>80</v>
      </c>
      <c r="C13">
        <v>0.5</v>
      </c>
      <c r="E13">
        <f t="shared" si="0"/>
        <v>0.64040000000000008</v>
      </c>
      <c r="F13" s="2">
        <v>0.55000000000000004</v>
      </c>
      <c r="G13" s="1">
        <v>4.0000000000000001E-3</v>
      </c>
    </row>
    <row r="14" spans="2:10" x14ac:dyDescent="0.35">
      <c r="B14">
        <v>90</v>
      </c>
      <c r="C14">
        <v>0.5</v>
      </c>
      <c r="E14">
        <f t="shared" si="0"/>
        <v>0.74940000000000007</v>
      </c>
      <c r="F14" s="2">
        <v>0.65900000000000003</v>
      </c>
      <c r="G14" s="1">
        <v>3.0000000000000001E-3</v>
      </c>
    </row>
    <row r="15" spans="2:10" x14ac:dyDescent="0.35">
      <c r="B15">
        <v>100</v>
      </c>
      <c r="C15">
        <v>0.5</v>
      </c>
      <c r="E15">
        <f t="shared" si="0"/>
        <v>0.6804</v>
      </c>
      <c r="F15" s="2">
        <v>0.59</v>
      </c>
      <c r="G15" s="1">
        <v>3.0000000000000001E-3</v>
      </c>
    </row>
    <row r="16" spans="2:10" x14ac:dyDescent="0.35">
      <c r="B16">
        <v>110</v>
      </c>
      <c r="C16">
        <v>0.5</v>
      </c>
      <c r="E16">
        <f t="shared" si="0"/>
        <v>0.4824</v>
      </c>
      <c r="F16" s="2">
        <v>0.39200000000000002</v>
      </c>
      <c r="G16" s="1">
        <v>3.0000000000000001E-3</v>
      </c>
    </row>
    <row r="17" spans="2:7" x14ac:dyDescent="0.35">
      <c r="B17">
        <v>120</v>
      </c>
      <c r="C17">
        <v>0.5</v>
      </c>
      <c r="E17">
        <f t="shared" si="0"/>
        <v>0.2064</v>
      </c>
      <c r="F17" s="2">
        <v>0.11600000000000001</v>
      </c>
      <c r="G17" s="1">
        <v>2E-3</v>
      </c>
    </row>
    <row r="18" spans="2:7" x14ac:dyDescent="0.35">
      <c r="B18">
        <v>130</v>
      </c>
      <c r="C18">
        <v>0.5</v>
      </c>
      <c r="E18">
        <f t="shared" si="0"/>
        <v>9.3999999999999917E-3</v>
      </c>
      <c r="F18" s="2">
        <v>-8.1000000000000003E-2</v>
      </c>
      <c r="G18" s="1">
        <v>1E-3</v>
      </c>
    </row>
    <row r="19" spans="2:7" x14ac:dyDescent="0.35">
      <c r="B19">
        <v>140</v>
      </c>
      <c r="C19">
        <v>0.5</v>
      </c>
      <c r="E19">
        <f t="shared" si="0"/>
        <v>-1.8600000000000005E-2</v>
      </c>
      <c r="F19" s="2">
        <v>-0.109</v>
      </c>
      <c r="G19" s="1">
        <v>1E-3</v>
      </c>
    </row>
    <row r="20" spans="2:7" x14ac:dyDescent="0.35">
      <c r="B20">
        <v>150</v>
      </c>
      <c r="C20">
        <v>0.5</v>
      </c>
      <c r="E20">
        <f t="shared" si="0"/>
        <v>-1.2000000000000066E-3</v>
      </c>
      <c r="F20" s="2">
        <v>-9.1600000000000001E-2</v>
      </c>
      <c r="G20" s="1">
        <v>2.9999999999999997E-4</v>
      </c>
    </row>
    <row r="21" spans="2:7" x14ac:dyDescent="0.35">
      <c r="B21">
        <v>160</v>
      </c>
      <c r="C21">
        <v>0.5</v>
      </c>
      <c r="E21">
        <f t="shared" si="0"/>
        <v>-1.2000000000000011E-2</v>
      </c>
      <c r="F21" s="2">
        <v>-0.1024</v>
      </c>
      <c r="G21" s="1">
        <v>2.9999999999999997E-4</v>
      </c>
    </row>
    <row r="22" spans="2:7" x14ac:dyDescent="0.35">
      <c r="B22">
        <v>170</v>
      </c>
      <c r="C22">
        <v>0.5</v>
      </c>
      <c r="E22">
        <f t="shared" si="0"/>
        <v>-2.9600000000000001E-2</v>
      </c>
      <c r="F22" s="2">
        <v>-0.12</v>
      </c>
      <c r="G22" s="1">
        <v>4.0000000000000002E-4</v>
      </c>
    </row>
    <row r="23" spans="2:7" x14ac:dyDescent="0.35">
      <c r="B23">
        <v>180</v>
      </c>
      <c r="C23">
        <v>0.5</v>
      </c>
      <c r="E23">
        <f t="shared" si="0"/>
        <v>-2.76E-2</v>
      </c>
      <c r="F23" s="2">
        <v>-0.11799999999999999</v>
      </c>
      <c r="G23" s="1">
        <v>5.0000000000000001E-4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CB45-5D7F-439B-9F1C-14B77BEB2105}">
  <dimension ref="B2:N42"/>
  <sheetViews>
    <sheetView topLeftCell="A4" zoomScale="75" workbookViewId="0">
      <selection activeCell="I30" sqref="I30"/>
    </sheetView>
  </sheetViews>
  <sheetFormatPr baseColWidth="10" defaultRowHeight="14.5" x14ac:dyDescent="0.35"/>
  <cols>
    <col min="2" max="2" width="34.6328125" bestFit="1" customWidth="1"/>
    <col min="3" max="3" width="17.36328125" bestFit="1" customWidth="1"/>
    <col min="4" max="5" width="21.08984375" bestFit="1" customWidth="1"/>
    <col min="6" max="6" width="17.81640625" bestFit="1" customWidth="1"/>
    <col min="10" max="10" width="18" bestFit="1" customWidth="1"/>
    <col min="11" max="11" width="17.36328125" bestFit="1" customWidth="1"/>
    <col min="13" max="13" width="21.08984375" bestFit="1" customWidth="1"/>
    <col min="14" max="14" width="17.81640625" bestFit="1" customWidth="1"/>
  </cols>
  <sheetData>
    <row r="2" spans="2:14" x14ac:dyDescent="0.35">
      <c r="B2" t="s">
        <v>28</v>
      </c>
    </row>
    <row r="4" spans="2:14" x14ac:dyDescent="0.35">
      <c r="B4" t="s">
        <v>29</v>
      </c>
      <c r="J4" t="s">
        <v>30</v>
      </c>
    </row>
    <row r="6" spans="2:14" x14ac:dyDescent="0.35">
      <c r="B6" t="s">
        <v>32</v>
      </c>
      <c r="C6" t="s">
        <v>2</v>
      </c>
      <c r="D6" t="s">
        <v>57</v>
      </c>
      <c r="E6" t="s">
        <v>27</v>
      </c>
      <c r="F6" t="s">
        <v>4</v>
      </c>
      <c r="J6" t="s">
        <v>31</v>
      </c>
      <c r="K6" t="s">
        <v>2</v>
      </c>
      <c r="M6" t="s">
        <v>27</v>
      </c>
      <c r="N6" t="s">
        <v>4</v>
      </c>
    </row>
    <row r="7" spans="2:14" x14ac:dyDescent="0.35">
      <c r="B7">
        <v>0</v>
      </c>
      <c r="C7" s="1">
        <v>1</v>
      </c>
      <c r="D7">
        <f>(E7-$B$42)</f>
        <v>2.7507000000000001</v>
      </c>
      <c r="E7" s="2">
        <v>2.66</v>
      </c>
      <c r="F7" s="1">
        <v>0.02</v>
      </c>
      <c r="J7">
        <v>0</v>
      </c>
      <c r="K7" s="1">
        <v>1</v>
      </c>
      <c r="L7">
        <f>(M7-$K$40)</f>
        <v>3.3908999999999998</v>
      </c>
      <c r="M7" s="2">
        <v>3.3</v>
      </c>
      <c r="N7" s="1">
        <v>0.02</v>
      </c>
    </row>
    <row r="8" spans="2:14" x14ac:dyDescent="0.35">
      <c r="B8">
        <v>2</v>
      </c>
      <c r="C8" s="1">
        <v>1</v>
      </c>
      <c r="D8">
        <f t="shared" ref="D8:D36" si="0">(E8-$B$42)</f>
        <v>0.26369999999999999</v>
      </c>
      <c r="E8" s="2">
        <v>0.17299999999999999</v>
      </c>
      <c r="F8" s="1">
        <v>5.0000000000000001E-3</v>
      </c>
      <c r="J8">
        <v>2</v>
      </c>
      <c r="K8" s="1">
        <v>1</v>
      </c>
      <c r="L8">
        <f t="shared" ref="L8:L36" si="1">(M8-$K$40)</f>
        <v>0.30590000000000001</v>
      </c>
      <c r="M8" s="2">
        <v>0.215</v>
      </c>
      <c r="N8" s="1">
        <v>7.0000000000000001E-3</v>
      </c>
    </row>
    <row r="9" spans="2:14" x14ac:dyDescent="0.35">
      <c r="B9">
        <v>4</v>
      </c>
      <c r="C9" s="1">
        <v>1</v>
      </c>
      <c r="D9">
        <f t="shared" si="0"/>
        <v>-2.4800000000000003E-2</v>
      </c>
      <c r="E9" s="2">
        <v>-0.11550000000000001</v>
      </c>
      <c r="F9" s="1">
        <v>2.0000000000000001E-4</v>
      </c>
      <c r="J9">
        <v>4</v>
      </c>
      <c r="K9" s="1">
        <v>1</v>
      </c>
      <c r="L9">
        <f t="shared" si="1"/>
        <v>-2.5600000000000012E-2</v>
      </c>
      <c r="M9" s="2">
        <v>-0.11650000000000001</v>
      </c>
      <c r="N9" s="1">
        <v>5.0000000000000001E-4</v>
      </c>
    </row>
    <row r="10" spans="2:14" x14ac:dyDescent="0.35">
      <c r="B10">
        <v>6</v>
      </c>
      <c r="C10" s="1">
        <v>1</v>
      </c>
      <c r="D10">
        <f t="shared" si="0"/>
        <v>-9.7000000000000003E-3</v>
      </c>
      <c r="E10" s="2">
        <v>-0.1004</v>
      </c>
      <c r="F10" s="1">
        <v>2.0000000000000001E-4</v>
      </c>
      <c r="J10">
        <v>6</v>
      </c>
      <c r="K10" s="1">
        <v>1</v>
      </c>
      <c r="L10">
        <f t="shared" si="1"/>
        <v>-1.0600000000000012E-2</v>
      </c>
      <c r="M10" s="2">
        <v>-0.10150000000000001</v>
      </c>
      <c r="N10" s="1">
        <v>5.0000000000000001E-4</v>
      </c>
    </row>
    <row r="11" spans="2:14" x14ac:dyDescent="0.35">
      <c r="B11">
        <v>8</v>
      </c>
      <c r="C11" s="1">
        <v>1</v>
      </c>
      <c r="D11">
        <f t="shared" si="0"/>
        <v>-7.9999999999999516E-4</v>
      </c>
      <c r="E11" s="2">
        <v>-9.1499999999999998E-2</v>
      </c>
      <c r="F11" s="1">
        <v>2.0000000000000001E-4</v>
      </c>
      <c r="J11">
        <v>8</v>
      </c>
      <c r="K11" s="1">
        <v>1</v>
      </c>
      <c r="L11">
        <f t="shared" si="1"/>
        <v>-8.0000000000000904E-4</v>
      </c>
      <c r="M11" s="2">
        <v>-9.1700000000000004E-2</v>
      </c>
      <c r="N11" s="1">
        <v>2.0000000000000001E-4</v>
      </c>
    </row>
    <row r="12" spans="2:14" x14ac:dyDescent="0.35">
      <c r="B12">
        <v>10</v>
      </c>
      <c r="C12" s="1">
        <v>1</v>
      </c>
      <c r="D12">
        <f t="shared" si="0"/>
        <v>-1.3999999999999985E-3</v>
      </c>
      <c r="E12" s="2">
        <v>-9.2100000000000001E-2</v>
      </c>
      <c r="F12" s="7">
        <v>2.0000000000000001E-4</v>
      </c>
      <c r="J12">
        <v>10</v>
      </c>
      <c r="K12" s="1">
        <v>1</v>
      </c>
      <c r="L12">
        <f t="shared" si="1"/>
        <v>2.9999999999999472E-4</v>
      </c>
      <c r="M12" s="2">
        <v>-9.06E-2</v>
      </c>
      <c r="N12" s="1">
        <v>2.0000000000000001E-4</v>
      </c>
    </row>
    <row r="13" spans="2:14" x14ac:dyDescent="0.35">
      <c r="B13">
        <v>12</v>
      </c>
      <c r="C13" s="1">
        <v>1</v>
      </c>
      <c r="D13">
        <f t="shared" si="0"/>
        <v>-1.0000000000000286E-4</v>
      </c>
      <c r="E13" s="2">
        <v>-9.0800000000000006E-2</v>
      </c>
      <c r="F13" s="7">
        <v>2.0000000000000001E-4</v>
      </c>
      <c r="J13">
        <v>12</v>
      </c>
      <c r="K13" s="1">
        <v>1</v>
      </c>
      <c r="L13">
        <f t="shared" si="1"/>
        <v>2.9999999999999472E-4</v>
      </c>
      <c r="M13" s="2">
        <v>-9.06E-2</v>
      </c>
      <c r="N13" s="1">
        <v>2.0000000000000001E-4</v>
      </c>
    </row>
    <row r="14" spans="2:14" x14ac:dyDescent="0.35">
      <c r="B14">
        <v>14</v>
      </c>
      <c r="C14" s="1">
        <v>1</v>
      </c>
      <c r="D14">
        <f t="shared" si="0"/>
        <v>-3.5999999999999921E-3</v>
      </c>
      <c r="E14" s="2">
        <v>-9.4299999999999995E-2</v>
      </c>
      <c r="F14" s="7">
        <v>4.0000000000000002E-4</v>
      </c>
      <c r="J14">
        <v>14</v>
      </c>
      <c r="K14" s="1">
        <v>1</v>
      </c>
      <c r="L14">
        <f t="shared" si="1"/>
        <v>-2.1000000000000046E-3</v>
      </c>
      <c r="M14" s="2">
        <v>-9.2999999999999999E-2</v>
      </c>
      <c r="N14" s="1">
        <v>5.0000000000000001E-4</v>
      </c>
    </row>
    <row r="15" spans="2:14" x14ac:dyDescent="0.35">
      <c r="B15">
        <v>16</v>
      </c>
      <c r="C15" s="1">
        <v>1</v>
      </c>
      <c r="D15">
        <f t="shared" si="0"/>
        <v>-1.2999999999999998E-2</v>
      </c>
      <c r="E15" s="2">
        <v>-0.1037</v>
      </c>
      <c r="F15" s="7">
        <v>2.9999999999999997E-4</v>
      </c>
      <c r="J15">
        <v>16</v>
      </c>
      <c r="K15" s="1">
        <v>1</v>
      </c>
      <c r="L15">
        <f t="shared" si="1"/>
        <v>-1.5000000000000013E-3</v>
      </c>
      <c r="M15" s="2">
        <v>-9.2399999999999996E-2</v>
      </c>
      <c r="N15" s="1">
        <v>5.0000000000000001E-4</v>
      </c>
    </row>
    <row r="16" spans="2:14" x14ac:dyDescent="0.35">
      <c r="B16">
        <v>18</v>
      </c>
      <c r="C16" s="1">
        <v>1</v>
      </c>
      <c r="D16">
        <f t="shared" si="0"/>
        <v>-7.3000000000000009E-3</v>
      </c>
      <c r="E16" s="2">
        <v>-9.8000000000000004E-2</v>
      </c>
      <c r="F16" s="7">
        <v>5.0000000000000001E-4</v>
      </c>
      <c r="J16">
        <v>18</v>
      </c>
      <c r="K16" s="1">
        <v>1</v>
      </c>
      <c r="L16">
        <f t="shared" si="1"/>
        <v>-1.0000000000000009E-3</v>
      </c>
      <c r="M16" s="2">
        <v>-9.1899999999999996E-2</v>
      </c>
      <c r="N16" s="1">
        <v>2.0000000000000001E-4</v>
      </c>
    </row>
    <row r="17" spans="2:14" x14ac:dyDescent="0.35">
      <c r="B17">
        <v>20</v>
      </c>
      <c r="C17" s="1">
        <v>1</v>
      </c>
      <c r="D17">
        <f t="shared" si="0"/>
        <v>-2.23E-2</v>
      </c>
      <c r="E17" s="2">
        <v>-0.113</v>
      </c>
      <c r="F17" s="7">
        <v>5.0000000000000001E-4</v>
      </c>
      <c r="J17">
        <v>20</v>
      </c>
      <c r="K17" s="1">
        <v>1</v>
      </c>
      <c r="L17">
        <f t="shared" si="1"/>
        <v>-3.1000000000000055E-3</v>
      </c>
      <c r="M17" s="2">
        <v>-9.4E-2</v>
      </c>
      <c r="N17" s="1">
        <v>2.0000000000000001E-4</v>
      </c>
    </row>
    <row r="18" spans="2:14" x14ac:dyDescent="0.35">
      <c r="B18">
        <v>21</v>
      </c>
      <c r="C18" s="1">
        <v>1</v>
      </c>
      <c r="D18">
        <f t="shared" si="0"/>
        <v>0.13869999999999999</v>
      </c>
      <c r="E18" s="2">
        <v>4.8000000000000001E-2</v>
      </c>
      <c r="F18" s="1">
        <v>5.0000000000000001E-3</v>
      </c>
      <c r="J18">
        <v>22</v>
      </c>
      <c r="K18" s="1">
        <v>1</v>
      </c>
      <c r="L18">
        <f t="shared" si="1"/>
        <v>-4.9000000000000016E-3</v>
      </c>
      <c r="M18" s="2">
        <v>-9.5799999999999996E-2</v>
      </c>
      <c r="N18" s="1">
        <v>2.0000000000000001E-4</v>
      </c>
    </row>
    <row r="19" spans="2:14" x14ac:dyDescent="0.35">
      <c r="B19">
        <v>22</v>
      </c>
      <c r="C19" s="1">
        <v>1</v>
      </c>
      <c r="D19">
        <f t="shared" si="0"/>
        <v>0.28070000000000001</v>
      </c>
      <c r="E19" s="2">
        <v>0.19</v>
      </c>
      <c r="F19" s="1">
        <v>5.0000000000000001E-3</v>
      </c>
      <c r="J19">
        <v>24</v>
      </c>
      <c r="K19" s="1">
        <v>1</v>
      </c>
      <c r="L19">
        <f t="shared" si="1"/>
        <v>-7.9000000000000042E-3</v>
      </c>
      <c r="M19" s="2">
        <v>-9.8799999999999999E-2</v>
      </c>
      <c r="N19" s="1">
        <v>1E-4</v>
      </c>
    </row>
    <row r="20" spans="2:14" x14ac:dyDescent="0.35">
      <c r="B20">
        <v>23</v>
      </c>
      <c r="C20" s="1">
        <v>1</v>
      </c>
      <c r="D20">
        <f t="shared" si="0"/>
        <v>0.34970000000000001</v>
      </c>
      <c r="E20" s="2">
        <v>0.25900000000000001</v>
      </c>
      <c r="F20" s="1">
        <v>5.0000000000000001E-3</v>
      </c>
      <c r="J20">
        <v>26</v>
      </c>
      <c r="K20" s="1">
        <v>1</v>
      </c>
      <c r="L20">
        <f t="shared" si="1"/>
        <v>-6.5000000000000058E-3</v>
      </c>
      <c r="M20" s="2">
        <v>-9.74E-2</v>
      </c>
      <c r="N20" s="1">
        <v>2.0000000000000001E-4</v>
      </c>
    </row>
    <row r="21" spans="2:14" x14ac:dyDescent="0.35">
      <c r="B21">
        <v>24</v>
      </c>
      <c r="C21" s="1">
        <v>1</v>
      </c>
      <c r="D21">
        <f t="shared" si="0"/>
        <v>0.15870000000000001</v>
      </c>
      <c r="E21" s="2">
        <v>6.8000000000000005E-2</v>
      </c>
      <c r="F21" s="1">
        <v>5.0000000000000001E-3</v>
      </c>
      <c r="J21">
        <v>28</v>
      </c>
      <c r="K21" s="1">
        <v>1</v>
      </c>
      <c r="L21">
        <f t="shared" si="1"/>
        <v>-9.1000000000000109E-3</v>
      </c>
      <c r="M21" s="2">
        <v>-0.1</v>
      </c>
      <c r="N21" s="1">
        <v>2.9999999999999997E-4</v>
      </c>
    </row>
    <row r="22" spans="2:14" x14ac:dyDescent="0.35">
      <c r="B22">
        <v>25</v>
      </c>
      <c r="C22" s="1">
        <v>1</v>
      </c>
      <c r="D22">
        <f t="shared" si="0"/>
        <v>2.6700000000000002E-2</v>
      </c>
      <c r="E22" s="2">
        <v>-6.4000000000000001E-2</v>
      </c>
      <c r="F22" s="1">
        <v>2E-3</v>
      </c>
      <c r="J22">
        <v>30</v>
      </c>
      <c r="K22" s="1">
        <v>1</v>
      </c>
      <c r="L22">
        <f t="shared" si="1"/>
        <v>-2.81E-2</v>
      </c>
      <c r="M22" s="2">
        <v>-0.11899999999999999</v>
      </c>
      <c r="N22" s="1">
        <v>5.0000000000000001E-4</v>
      </c>
    </row>
    <row r="23" spans="2:14" x14ac:dyDescent="0.35">
      <c r="B23">
        <v>26</v>
      </c>
      <c r="C23" s="1">
        <v>1</v>
      </c>
      <c r="D23">
        <f t="shared" si="0"/>
        <v>-2.6300000000000004E-2</v>
      </c>
      <c r="E23" s="2">
        <v>-0.11700000000000001</v>
      </c>
      <c r="F23" s="1">
        <v>1E-3</v>
      </c>
      <c r="J23">
        <v>31</v>
      </c>
      <c r="K23" s="1">
        <v>1</v>
      </c>
      <c r="L23">
        <f t="shared" si="1"/>
        <v>-2.410000000000001E-2</v>
      </c>
      <c r="M23" s="2">
        <v>-0.115</v>
      </c>
      <c r="N23" s="1">
        <v>5.0000000000000001E-4</v>
      </c>
    </row>
    <row r="24" spans="2:14" x14ac:dyDescent="0.35">
      <c r="B24">
        <v>28</v>
      </c>
      <c r="C24" s="1">
        <v>1</v>
      </c>
      <c r="D24">
        <f t="shared" si="0"/>
        <v>-1.8299999999999997E-2</v>
      </c>
      <c r="E24" s="2">
        <v>-0.109</v>
      </c>
      <c r="F24" s="7">
        <v>5.0000000000000001E-4</v>
      </c>
      <c r="J24">
        <v>32</v>
      </c>
      <c r="K24" s="1">
        <v>1</v>
      </c>
      <c r="L24">
        <f t="shared" si="1"/>
        <v>3.3899999999999993E-2</v>
      </c>
      <c r="M24" s="2">
        <v>-5.7000000000000002E-2</v>
      </c>
      <c r="N24" s="1">
        <v>8.0000000000000004E-4</v>
      </c>
    </row>
    <row r="25" spans="2:14" x14ac:dyDescent="0.35">
      <c r="B25">
        <v>30</v>
      </c>
      <c r="C25" s="1">
        <v>1</v>
      </c>
      <c r="D25">
        <f t="shared" si="0"/>
        <v>-2.0799999999999999E-2</v>
      </c>
      <c r="E25" s="2">
        <v>-0.1115</v>
      </c>
      <c r="F25" s="7">
        <v>5.0000000000000001E-4</v>
      </c>
      <c r="J25">
        <v>33</v>
      </c>
      <c r="K25" s="1">
        <v>1</v>
      </c>
      <c r="L25">
        <f t="shared" si="1"/>
        <v>4.8899999999999992E-2</v>
      </c>
      <c r="M25" s="2">
        <v>-4.2000000000000003E-2</v>
      </c>
      <c r="N25" s="1">
        <v>1E-3</v>
      </c>
    </row>
    <row r="26" spans="2:14" x14ac:dyDescent="0.35">
      <c r="B26">
        <v>32</v>
      </c>
      <c r="C26" s="1">
        <v>1</v>
      </c>
      <c r="D26">
        <f t="shared" si="0"/>
        <v>-1.9299999999999998E-2</v>
      </c>
      <c r="E26" s="2">
        <v>-0.11</v>
      </c>
      <c r="F26" s="7">
        <v>5.0000000000000001E-4</v>
      </c>
      <c r="J26">
        <v>34</v>
      </c>
      <c r="K26" s="1">
        <v>1</v>
      </c>
      <c r="L26">
        <f t="shared" si="1"/>
        <v>4.7899999999999998E-2</v>
      </c>
      <c r="M26" s="2">
        <v>-4.2999999999999997E-2</v>
      </c>
      <c r="N26" s="1">
        <v>1E-3</v>
      </c>
    </row>
    <row r="27" spans="2:14" x14ac:dyDescent="0.35">
      <c r="B27">
        <v>34</v>
      </c>
      <c r="C27" s="1">
        <v>1</v>
      </c>
      <c r="D27">
        <f t="shared" si="0"/>
        <v>-9.3000000000000027E-3</v>
      </c>
      <c r="E27" s="2">
        <v>-0.1</v>
      </c>
      <c r="F27" s="7">
        <v>5.0000000000000001E-4</v>
      </c>
      <c r="J27">
        <v>35</v>
      </c>
      <c r="K27" s="1">
        <v>1</v>
      </c>
      <c r="L27">
        <f t="shared" si="1"/>
        <v>2.2800000000000001E-2</v>
      </c>
      <c r="M27" s="2">
        <v>-6.8099999999999994E-2</v>
      </c>
      <c r="N27" s="1">
        <v>8.0000000000000004E-4</v>
      </c>
    </row>
    <row r="28" spans="2:14" x14ac:dyDescent="0.35">
      <c r="B28">
        <v>36</v>
      </c>
      <c r="C28" s="1">
        <v>1</v>
      </c>
      <c r="D28">
        <f t="shared" si="0"/>
        <v>-2.7999999999999969E-3</v>
      </c>
      <c r="E28" s="2">
        <v>-9.35E-2</v>
      </c>
      <c r="F28" s="7">
        <v>5.0000000000000001E-4</v>
      </c>
      <c r="J28">
        <v>36</v>
      </c>
      <c r="K28" s="1">
        <v>1</v>
      </c>
      <c r="L28">
        <f t="shared" si="1"/>
        <v>-1.2500000000000011E-2</v>
      </c>
      <c r="M28" s="2">
        <v>-0.10340000000000001</v>
      </c>
      <c r="N28" s="1">
        <v>6.9999999999999999E-4</v>
      </c>
    </row>
    <row r="29" spans="2:14" x14ac:dyDescent="0.35">
      <c r="B29">
        <v>38</v>
      </c>
      <c r="C29" s="1">
        <v>1</v>
      </c>
      <c r="D29">
        <f t="shared" si="0"/>
        <v>-2.2999999999999965E-3</v>
      </c>
      <c r="E29" s="2">
        <v>-9.2999999999999999E-2</v>
      </c>
      <c r="F29" s="7">
        <v>2.9999999999999997E-4</v>
      </c>
      <c r="J29">
        <v>37</v>
      </c>
      <c r="K29" s="1">
        <v>1</v>
      </c>
      <c r="L29">
        <f t="shared" si="1"/>
        <v>-2.4500000000000008E-2</v>
      </c>
      <c r="M29" s="2">
        <v>-0.1154</v>
      </c>
      <c r="N29" s="1">
        <v>8.0000000000000004E-4</v>
      </c>
    </row>
    <row r="30" spans="2:14" x14ac:dyDescent="0.35">
      <c r="B30">
        <v>40</v>
      </c>
      <c r="C30" s="1">
        <v>1</v>
      </c>
      <c r="D30">
        <f t="shared" si="0"/>
        <v>-7.3000000000000009E-3</v>
      </c>
      <c r="E30" s="2">
        <v>-9.8000000000000004E-2</v>
      </c>
      <c r="F30" s="7">
        <v>2.9999999999999997E-4</v>
      </c>
      <c r="J30">
        <v>38</v>
      </c>
      <c r="K30" s="1">
        <v>1</v>
      </c>
      <c r="L30">
        <f t="shared" si="1"/>
        <v>-2.2100000000000009E-2</v>
      </c>
      <c r="M30" s="2">
        <v>-0.113</v>
      </c>
      <c r="N30" s="1">
        <v>5.0000000000000001E-4</v>
      </c>
    </row>
    <row r="31" spans="2:14" x14ac:dyDescent="0.35">
      <c r="B31">
        <v>42</v>
      </c>
      <c r="C31" s="1">
        <v>1</v>
      </c>
      <c r="D31">
        <f t="shared" si="0"/>
        <v>-1.2299999999999991E-2</v>
      </c>
      <c r="E31" s="2">
        <v>-0.10299999999999999</v>
      </c>
      <c r="F31" s="7">
        <v>2.9999999999999997E-4</v>
      </c>
      <c r="J31">
        <v>40</v>
      </c>
      <c r="K31" s="1">
        <v>1</v>
      </c>
      <c r="L31">
        <f t="shared" si="1"/>
        <v>-5.1000000000000073E-3</v>
      </c>
      <c r="M31" s="2">
        <v>-9.6000000000000002E-2</v>
      </c>
      <c r="N31" s="1">
        <v>5.0000000000000001E-4</v>
      </c>
    </row>
    <row r="32" spans="2:14" x14ac:dyDescent="0.35">
      <c r="B32">
        <v>44</v>
      </c>
      <c r="C32" s="1">
        <v>1</v>
      </c>
      <c r="D32">
        <f t="shared" si="0"/>
        <v>-1.0399999999999993E-2</v>
      </c>
      <c r="E32" s="2">
        <v>-0.1011</v>
      </c>
      <c r="F32" s="7">
        <v>2.0000000000000001E-4</v>
      </c>
      <c r="J32">
        <v>42</v>
      </c>
      <c r="K32" s="1">
        <v>1</v>
      </c>
      <c r="L32">
        <f t="shared" si="1"/>
        <v>-1.1000000000000038E-3</v>
      </c>
      <c r="M32" s="2">
        <v>-9.1999999999999998E-2</v>
      </c>
      <c r="N32" s="1">
        <v>2.9999999999999997E-4</v>
      </c>
    </row>
    <row r="33" spans="2:14" x14ac:dyDescent="0.35">
      <c r="B33">
        <v>46</v>
      </c>
      <c r="C33" s="1">
        <v>1</v>
      </c>
      <c r="D33">
        <f t="shared" si="0"/>
        <v>-1.7799999999999996E-2</v>
      </c>
      <c r="E33" s="2">
        <v>-0.1085</v>
      </c>
      <c r="F33" s="7">
        <v>4.0000000000000002E-4</v>
      </c>
      <c r="J33">
        <v>44</v>
      </c>
      <c r="K33" s="1">
        <v>1</v>
      </c>
      <c r="L33">
        <f t="shared" si="1"/>
        <v>-6.0000000000000331E-4</v>
      </c>
      <c r="M33" s="2">
        <v>-9.1499999999999998E-2</v>
      </c>
      <c r="N33" s="1">
        <v>2.9999999999999997E-4</v>
      </c>
    </row>
    <row r="34" spans="2:14" x14ac:dyDescent="0.35">
      <c r="B34">
        <v>48</v>
      </c>
      <c r="C34" s="1">
        <v>1</v>
      </c>
      <c r="D34">
        <f t="shared" si="0"/>
        <v>-2.5300000000000003E-2</v>
      </c>
      <c r="E34" s="2">
        <v>-0.11600000000000001</v>
      </c>
      <c r="F34" s="7">
        <v>5.0000000000000001E-4</v>
      </c>
      <c r="J34">
        <v>46</v>
      </c>
      <c r="K34" s="1">
        <v>1</v>
      </c>
      <c r="L34">
        <f t="shared" si="1"/>
        <v>-1.3999999999999985E-3</v>
      </c>
      <c r="M34" s="2">
        <v>-9.2299999999999993E-2</v>
      </c>
      <c r="N34" s="1">
        <v>2.0000000000000001E-4</v>
      </c>
    </row>
    <row r="35" spans="2:14" x14ac:dyDescent="0.35">
      <c r="B35">
        <v>50</v>
      </c>
      <c r="C35" s="1">
        <v>1</v>
      </c>
      <c r="D35">
        <f t="shared" si="0"/>
        <v>-1.26E-2</v>
      </c>
      <c r="E35" s="2">
        <v>-0.1033</v>
      </c>
      <c r="F35" s="7">
        <v>5.0000000000000001E-4</v>
      </c>
      <c r="J35">
        <v>48</v>
      </c>
      <c r="K35" s="1">
        <v>1</v>
      </c>
      <c r="L35">
        <f t="shared" si="1"/>
        <v>9.9999999999988987E-5</v>
      </c>
      <c r="M35" s="2">
        <v>-9.0800000000000006E-2</v>
      </c>
      <c r="N35" s="1">
        <v>2.0000000000000001E-4</v>
      </c>
    </row>
    <row r="36" spans="2:14" x14ac:dyDescent="0.35">
      <c r="B36">
        <v>52</v>
      </c>
      <c r="C36" s="1">
        <v>1</v>
      </c>
      <c r="D36">
        <f t="shared" si="0"/>
        <v>-9.3999999999999917E-3</v>
      </c>
      <c r="E36" s="2">
        <v>-0.10009999999999999</v>
      </c>
      <c r="F36" s="7">
        <v>5.0000000000000001E-4</v>
      </c>
      <c r="J36">
        <v>50</v>
      </c>
      <c r="K36" s="1">
        <v>1</v>
      </c>
      <c r="L36">
        <f t="shared" si="1"/>
        <v>-8.0000000000000904E-4</v>
      </c>
      <c r="M36" s="2">
        <v>-9.1700000000000004E-2</v>
      </c>
      <c r="N36" s="1">
        <v>2.0000000000000001E-4</v>
      </c>
    </row>
    <row r="37" spans="2:14" x14ac:dyDescent="0.35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9" spans="2:14" x14ac:dyDescent="0.35">
      <c r="K39" t="s">
        <v>56</v>
      </c>
    </row>
    <row r="40" spans="2:14" x14ac:dyDescent="0.35">
      <c r="K40">
        <v>-9.0899999999999995E-2</v>
      </c>
    </row>
    <row r="41" spans="2:14" x14ac:dyDescent="0.35">
      <c r="B41" t="s">
        <v>55</v>
      </c>
    </row>
    <row r="42" spans="2:14" x14ac:dyDescent="0.35">
      <c r="B42">
        <v>-9.0700000000000003E-2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Winkelverteilung</vt:lpstr>
      <vt:lpstr>Brennweite Wachslinse</vt:lpstr>
      <vt:lpstr>Wellenlänge stehende Wellen</vt:lpstr>
      <vt:lpstr>Wellenlänge Interferometer</vt:lpstr>
      <vt:lpstr>Totalreflexion und Tunneleffekt</vt:lpstr>
      <vt:lpstr>Polarisation von Mikrowellen</vt:lpstr>
      <vt:lpstr>Gitterkonstante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</dc:creator>
  <cp:lastModifiedBy>jonathan b.</cp:lastModifiedBy>
  <dcterms:created xsi:type="dcterms:W3CDTF">2021-09-09T12:29:27Z</dcterms:created>
  <dcterms:modified xsi:type="dcterms:W3CDTF">2021-10-07T07:39:09Z</dcterms:modified>
</cp:coreProperties>
</file>