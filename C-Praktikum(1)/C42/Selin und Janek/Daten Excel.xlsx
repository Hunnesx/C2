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in\Nextcloud\Physik\Experimentalphysik\Physikalisches Praktikum\C\C42\Selin und Janek\"/>
    </mc:Choice>
  </mc:AlternateContent>
  <xr:revisionPtr revIDLastSave="0" documentId="13_ncr:1_{E1E1CF18-28DB-4C3E-80B0-1327EE4A2D93}" xr6:coauthVersionLast="47" xr6:coauthVersionMax="47" xr10:uidLastSave="{00000000-0000-0000-0000-000000000000}"/>
  <bookViews>
    <workbookView xWindow="-120" yWindow="-120" windowWidth="29040" windowHeight="15840" xr2:uid="{3E0B448F-615F-495D-9FA5-FE78F9A34DA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5" i="1"/>
  <c r="J13" i="1"/>
  <c r="L13" i="1"/>
  <c r="P13" i="1"/>
  <c r="U13" i="1"/>
  <c r="Z13" i="1"/>
  <c r="AB13" i="1"/>
  <c r="J14" i="1"/>
  <c r="L14" i="1"/>
  <c r="P14" i="1"/>
  <c r="U14" i="1"/>
  <c r="Z14" i="1"/>
  <c r="AB14" i="1"/>
  <c r="AB8" i="1"/>
  <c r="AB9" i="1"/>
  <c r="AB10" i="1"/>
  <c r="AB11" i="1"/>
  <c r="AB12" i="1"/>
  <c r="AB15" i="1"/>
  <c r="AB17" i="1"/>
  <c r="AB19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7" i="1"/>
  <c r="AB6" i="1"/>
  <c r="Z18" i="1"/>
  <c r="Z17" i="1"/>
  <c r="Z9" i="1"/>
  <c r="Z10" i="1"/>
  <c r="Z11" i="1"/>
  <c r="Z12" i="1"/>
  <c r="Z15" i="1"/>
  <c r="Z16" i="1"/>
  <c r="Z19" i="1"/>
  <c r="Z20" i="1"/>
  <c r="Z21" i="1"/>
  <c r="Z22" i="1"/>
  <c r="Z23" i="1"/>
  <c r="Z24" i="1"/>
  <c r="Z26" i="1"/>
  <c r="Z28" i="1"/>
  <c r="Z30" i="1"/>
  <c r="Z31" i="1"/>
  <c r="Z32" i="1"/>
  <c r="Z33" i="1"/>
  <c r="Z34" i="1"/>
  <c r="Z35" i="1"/>
  <c r="Z36" i="1"/>
  <c r="Z37" i="1"/>
  <c r="Z8" i="1"/>
  <c r="Z7" i="1"/>
  <c r="Z5" i="1"/>
  <c r="Z6" i="1"/>
  <c r="U6" i="1"/>
  <c r="U7" i="1"/>
  <c r="U8" i="1"/>
  <c r="U9" i="1"/>
  <c r="U10" i="1"/>
  <c r="U11" i="1"/>
  <c r="U12" i="1"/>
  <c r="U15" i="1"/>
  <c r="U16" i="1"/>
  <c r="U17" i="1"/>
  <c r="U18" i="1"/>
  <c r="U19" i="1"/>
  <c r="U20" i="1"/>
  <c r="U21" i="1"/>
  <c r="U22" i="1"/>
  <c r="U23" i="1"/>
  <c r="U5" i="1"/>
  <c r="P6" i="1"/>
  <c r="P7" i="1"/>
  <c r="P8" i="1"/>
  <c r="P9" i="1"/>
  <c r="P10" i="1"/>
  <c r="P11" i="1"/>
  <c r="P12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5" i="1"/>
  <c r="L6" i="1"/>
  <c r="L7" i="1"/>
  <c r="L8" i="1"/>
  <c r="L9" i="1"/>
  <c r="L10" i="1"/>
  <c r="L11" i="1"/>
  <c r="L12" i="1"/>
  <c r="L15" i="1"/>
  <c r="L16" i="1"/>
  <c r="L17" i="1"/>
  <c r="L18" i="1"/>
  <c r="L19" i="1"/>
  <c r="L20" i="1"/>
  <c r="L25" i="1"/>
  <c r="L26" i="1"/>
  <c r="L27" i="1"/>
  <c r="L28" i="1"/>
  <c r="L5" i="1"/>
  <c r="J6" i="1"/>
  <c r="J7" i="1"/>
  <c r="J8" i="1"/>
  <c r="J9" i="1"/>
  <c r="J10" i="1"/>
  <c r="J11" i="1"/>
  <c r="J12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5" i="1"/>
</calcChain>
</file>

<file path=xl/sharedStrings.xml><?xml version="1.0" encoding="utf-8"?>
<sst xmlns="http://schemas.openxmlformats.org/spreadsheetml/2006/main" count="28" uniqueCount="24">
  <si>
    <t>Versuch 42: Mikrowellen</t>
  </si>
  <si>
    <t>Winkelverteilung</t>
  </si>
  <si>
    <t>theta in Grad</t>
  </si>
  <si>
    <t>U in mV</t>
  </si>
  <si>
    <t>Brennweite</t>
  </si>
  <si>
    <t>b gemessen</t>
  </si>
  <si>
    <t>b korrigiert</t>
  </si>
  <si>
    <t>Tunneleffekt</t>
  </si>
  <si>
    <t>gemessen</t>
  </si>
  <si>
    <t>d</t>
  </si>
  <si>
    <t>A gemessen</t>
  </si>
  <si>
    <t>A korrigiert in mV</t>
  </si>
  <si>
    <t>B gemessen</t>
  </si>
  <si>
    <t>B korrigiert in mV</t>
  </si>
  <si>
    <t>Polarisation</t>
  </si>
  <si>
    <t>U gemessen</t>
  </si>
  <si>
    <t>U korrigiert in mV</t>
  </si>
  <si>
    <t>Festkörper</t>
  </si>
  <si>
    <t>110 gemessen</t>
  </si>
  <si>
    <t>100 gemessen</t>
  </si>
  <si>
    <t>100 korriegier in mV</t>
  </si>
  <si>
    <t>110 korrigiert in mV</t>
  </si>
  <si>
    <t>err A</t>
  </si>
  <si>
    <t>err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</si>
</sst>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2A268-3491-4FBB-A5BB-F36534074B69}">
  <dimension ref="A1:AB46"/>
  <sheetViews>
    <sheetView tabSelected="1" topLeftCell="I4" workbookViewId="0">
      <selection activeCell="V32" sqref="V32"/>
    </sheetView>
  </sheetViews>
  <sheetFormatPr baseColWidth="10" defaultRowHeight="15" x14ac:dyDescent="0.25"/>
  <cols>
    <col min="1" max="1" width="12.42578125" customWidth="1"/>
    <col min="4" max="4" width="0" hidden="1" customWidth="1"/>
    <col min="6" max="6" width="11.42578125" customWidth="1"/>
    <col min="10" max="10" width="10.5703125" customWidth="1"/>
    <col min="11" max="11" width="11.7109375" customWidth="1"/>
    <col min="12" max="12" width="16.7109375" bestFit="1" customWidth="1"/>
    <col min="13" max="13" width="16.7109375" customWidth="1"/>
    <col min="14" max="15" width="11.5703125" customWidth="1"/>
    <col min="16" max="16" width="16.5703125" bestFit="1" customWidth="1"/>
    <col min="17" max="17" width="16.5703125" customWidth="1"/>
    <col min="19" max="19" width="12.42578125" bestFit="1" customWidth="1"/>
    <col min="20" max="20" width="11.7109375" hidden="1" customWidth="1"/>
    <col min="24" max="24" width="12.42578125" bestFit="1" customWidth="1"/>
    <col min="25" max="25" width="13.42578125" bestFit="1" customWidth="1"/>
    <col min="26" max="26" width="18.85546875" bestFit="1" customWidth="1"/>
    <col min="27" max="27" width="13.42578125" bestFit="1" customWidth="1"/>
    <col min="28" max="28" width="18.42578125" bestFit="1" customWidth="1"/>
  </cols>
  <sheetData>
    <row r="1" spans="1:28" x14ac:dyDescent="0.25">
      <c r="A1" t="s">
        <v>0</v>
      </c>
    </row>
    <row r="3" spans="1:28" x14ac:dyDescent="0.25">
      <c r="A3" t="s">
        <v>1</v>
      </c>
      <c r="D3" t="s">
        <v>4</v>
      </c>
      <c r="I3" t="s">
        <v>7</v>
      </c>
      <c r="S3" t="s">
        <v>14</v>
      </c>
      <c r="X3" t="s">
        <v>17</v>
      </c>
    </row>
    <row r="4" spans="1:28" x14ac:dyDescent="0.25">
      <c r="A4" t="s">
        <v>2</v>
      </c>
      <c r="B4" t="s">
        <v>3</v>
      </c>
      <c r="D4" t="s">
        <v>5</v>
      </c>
      <c r="E4" t="s">
        <v>6</v>
      </c>
      <c r="F4" t="s">
        <v>3</v>
      </c>
      <c r="G4" t="s">
        <v>16</v>
      </c>
      <c r="I4" t="s">
        <v>8</v>
      </c>
      <c r="J4" t="s">
        <v>9</v>
      </c>
      <c r="K4" t="s">
        <v>10</v>
      </c>
      <c r="L4" t="s">
        <v>11</v>
      </c>
      <c r="M4" t="s">
        <v>22</v>
      </c>
      <c r="N4" t="s">
        <v>12</v>
      </c>
      <c r="P4" t="s">
        <v>13</v>
      </c>
      <c r="Q4" t="s">
        <v>23</v>
      </c>
      <c r="S4" t="s">
        <v>2</v>
      </c>
      <c r="T4" t="s">
        <v>15</v>
      </c>
      <c r="U4" t="s">
        <v>16</v>
      </c>
      <c r="X4" t="s">
        <v>2</v>
      </c>
      <c r="Y4" t="s">
        <v>19</v>
      </c>
      <c r="Z4" t="s">
        <v>20</v>
      </c>
      <c r="AA4" t="s">
        <v>18</v>
      </c>
      <c r="AB4" t="s">
        <v>21</v>
      </c>
    </row>
    <row r="5" spans="1:28" x14ac:dyDescent="0.25">
      <c r="A5">
        <v>-20</v>
      </c>
      <c r="B5">
        <v>0</v>
      </c>
      <c r="D5">
        <v>1.1499999999999999</v>
      </c>
      <c r="E5">
        <f>D5-0.85</f>
        <v>0.29999999999999993</v>
      </c>
      <c r="F5">
        <v>90</v>
      </c>
      <c r="G5">
        <f>F5+91.1</f>
        <v>181.1</v>
      </c>
      <c r="I5">
        <v>15.5</v>
      </c>
      <c r="J5">
        <f>15.5-I5</f>
        <v>0</v>
      </c>
      <c r="K5">
        <v>480</v>
      </c>
      <c r="L5">
        <f>K5+30</f>
        <v>510</v>
      </c>
      <c r="M5">
        <v>5</v>
      </c>
      <c r="N5">
        <v>-30</v>
      </c>
      <c r="P5">
        <f>N5+30</f>
        <v>0</v>
      </c>
      <c r="Q5">
        <v>2</v>
      </c>
      <c r="S5">
        <v>0</v>
      </c>
      <c r="T5">
        <v>-91.5</v>
      </c>
      <c r="U5">
        <f>T5+91.1</f>
        <v>-0.40000000000000568</v>
      </c>
      <c r="X5">
        <v>0</v>
      </c>
      <c r="Y5">
        <v>1470</v>
      </c>
      <c r="Z5">
        <f>3*Y5+0.0911</f>
        <v>4410.0910999999996</v>
      </c>
      <c r="AA5">
        <v>656</v>
      </c>
      <c r="AB5">
        <f t="shared" ref="AB5:AB6" si="0">AA5+91.1</f>
        <v>747.1</v>
      </c>
    </row>
    <row r="6" spans="1:28" x14ac:dyDescent="0.25">
      <c r="A6">
        <v>-16</v>
      </c>
      <c r="B6">
        <v>0</v>
      </c>
      <c r="D6">
        <v>1.2</v>
      </c>
      <c r="E6">
        <f t="shared" ref="E6:E46" si="1">D6-0.85</f>
        <v>0.35</v>
      </c>
      <c r="F6">
        <v>99</v>
      </c>
      <c r="G6">
        <f t="shared" ref="G6:G46" si="2">F6+91.1</f>
        <v>190.1</v>
      </c>
      <c r="I6">
        <v>15.4</v>
      </c>
      <c r="J6">
        <f t="shared" ref="J6:J30" si="3">15.5-I6</f>
        <v>9.9999999999999645E-2</v>
      </c>
      <c r="K6">
        <v>393</v>
      </c>
      <c r="L6">
        <f t="shared" ref="L6:L20" si="4">K6+30</f>
        <v>423</v>
      </c>
      <c r="M6">
        <v>5</v>
      </c>
      <c r="N6">
        <v>-32</v>
      </c>
      <c r="P6">
        <f t="shared" ref="P6:P30" si="5">N6+30</f>
        <v>-2</v>
      </c>
      <c r="Q6">
        <v>2</v>
      </c>
      <c r="S6">
        <v>10</v>
      </c>
      <c r="T6">
        <v>-91.9</v>
      </c>
      <c r="U6">
        <f t="shared" ref="U6:U23" si="6">T6+91.1</f>
        <v>-0.80000000000001137</v>
      </c>
      <c r="X6">
        <v>2</v>
      </c>
      <c r="Y6">
        <v>563</v>
      </c>
      <c r="Z6">
        <f>Y6+91.1</f>
        <v>654.1</v>
      </c>
      <c r="AA6">
        <v>555</v>
      </c>
      <c r="AB6">
        <f t="shared" si="0"/>
        <v>646.1</v>
      </c>
    </row>
    <row r="7" spans="1:28" x14ac:dyDescent="0.25">
      <c r="A7">
        <v>-12</v>
      </c>
      <c r="B7">
        <v>0.2</v>
      </c>
      <c r="D7">
        <v>1.25</v>
      </c>
      <c r="E7">
        <f t="shared" si="1"/>
        <v>0.4</v>
      </c>
      <c r="F7">
        <v>208</v>
      </c>
      <c r="G7">
        <f t="shared" si="2"/>
        <v>299.10000000000002</v>
      </c>
      <c r="I7">
        <v>15.3</v>
      </c>
      <c r="J7">
        <f t="shared" si="3"/>
        <v>0.19999999999999929</v>
      </c>
      <c r="K7">
        <v>325</v>
      </c>
      <c r="L7">
        <f t="shared" si="4"/>
        <v>355</v>
      </c>
      <c r="M7">
        <v>5</v>
      </c>
      <c r="N7">
        <v>-34</v>
      </c>
      <c r="P7">
        <f t="shared" si="5"/>
        <v>-4</v>
      </c>
      <c r="Q7">
        <v>1</v>
      </c>
      <c r="S7">
        <v>20</v>
      </c>
      <c r="T7">
        <v>-94.6</v>
      </c>
      <c r="U7">
        <f t="shared" si="6"/>
        <v>-3.5</v>
      </c>
      <c r="X7">
        <v>4</v>
      </c>
      <c r="Y7">
        <v>-117.6</v>
      </c>
      <c r="Z7">
        <f>Y7+91.1</f>
        <v>-26.5</v>
      </c>
      <c r="AA7">
        <v>113.1</v>
      </c>
      <c r="AB7">
        <f>-AA7+91.1</f>
        <v>-22</v>
      </c>
    </row>
    <row r="8" spans="1:28" x14ac:dyDescent="0.25">
      <c r="A8">
        <v>-10</v>
      </c>
      <c r="B8">
        <v>0.6</v>
      </c>
      <c r="D8">
        <v>1.3</v>
      </c>
      <c r="E8">
        <f t="shared" si="1"/>
        <v>0.45000000000000007</v>
      </c>
      <c r="F8">
        <v>330</v>
      </c>
      <c r="G8">
        <f t="shared" si="2"/>
        <v>421.1</v>
      </c>
      <c r="I8">
        <v>15.2</v>
      </c>
      <c r="J8">
        <f t="shared" si="3"/>
        <v>0.30000000000000071</v>
      </c>
      <c r="K8">
        <v>262</v>
      </c>
      <c r="L8">
        <f t="shared" si="4"/>
        <v>292</v>
      </c>
      <c r="M8">
        <v>5</v>
      </c>
      <c r="N8">
        <v>-37</v>
      </c>
      <c r="P8">
        <f t="shared" si="5"/>
        <v>-7</v>
      </c>
      <c r="Q8">
        <v>1</v>
      </c>
      <c r="S8">
        <v>30</v>
      </c>
      <c r="T8">
        <v>-101.5</v>
      </c>
      <c r="U8">
        <f t="shared" si="6"/>
        <v>-10.400000000000006</v>
      </c>
      <c r="X8">
        <v>6</v>
      </c>
      <c r="Y8">
        <v>100.5</v>
      </c>
      <c r="Z8">
        <f>-Y8+91.1</f>
        <v>-9.4000000000000057</v>
      </c>
      <c r="AA8">
        <v>112.6</v>
      </c>
      <c r="AB8">
        <f t="shared" ref="AB8:AB36" si="7">-AA8+91.1</f>
        <v>-21.5</v>
      </c>
    </row>
    <row r="9" spans="1:28" x14ac:dyDescent="0.25">
      <c r="A9">
        <v>-9</v>
      </c>
      <c r="B9">
        <v>0.9</v>
      </c>
      <c r="D9">
        <v>1.35</v>
      </c>
      <c r="E9">
        <f t="shared" si="1"/>
        <v>0.50000000000000011</v>
      </c>
      <c r="F9">
        <v>450</v>
      </c>
      <c r="G9">
        <f t="shared" si="2"/>
        <v>541.1</v>
      </c>
      <c r="I9">
        <v>15.1</v>
      </c>
      <c r="J9">
        <f t="shared" si="3"/>
        <v>0.40000000000000036</v>
      </c>
      <c r="K9">
        <v>199</v>
      </c>
      <c r="L9">
        <f t="shared" si="4"/>
        <v>229</v>
      </c>
      <c r="M9">
        <v>5</v>
      </c>
      <c r="N9">
        <v>-38</v>
      </c>
      <c r="P9">
        <f t="shared" si="5"/>
        <v>-8</v>
      </c>
      <c r="Q9">
        <v>1</v>
      </c>
      <c r="S9">
        <v>40</v>
      </c>
      <c r="T9">
        <v>-110.4</v>
      </c>
      <c r="U9">
        <f t="shared" si="6"/>
        <v>-19.300000000000011</v>
      </c>
      <c r="X9">
        <v>8</v>
      </c>
      <c r="Y9">
        <v>93.5</v>
      </c>
      <c r="Z9">
        <f t="shared" ref="Z9:Z23" si="8">-Y9+91.1</f>
        <v>-2.4000000000000057</v>
      </c>
      <c r="AA9">
        <v>94.7</v>
      </c>
      <c r="AB9">
        <f t="shared" si="7"/>
        <v>-3.6000000000000085</v>
      </c>
    </row>
    <row r="10" spans="1:28" x14ac:dyDescent="0.25">
      <c r="A10">
        <v>-8</v>
      </c>
      <c r="B10">
        <v>1.2</v>
      </c>
      <c r="D10">
        <v>1.4</v>
      </c>
      <c r="E10">
        <f t="shared" si="1"/>
        <v>0.54999999999999993</v>
      </c>
      <c r="F10">
        <v>620</v>
      </c>
      <c r="G10">
        <f t="shared" si="2"/>
        <v>711.1</v>
      </c>
      <c r="I10">
        <v>15</v>
      </c>
      <c r="J10">
        <f t="shared" si="3"/>
        <v>0.5</v>
      </c>
      <c r="K10">
        <v>158</v>
      </c>
      <c r="L10">
        <f t="shared" si="4"/>
        <v>188</v>
      </c>
      <c r="M10">
        <v>3</v>
      </c>
      <c r="N10">
        <v>-39</v>
      </c>
      <c r="P10">
        <f t="shared" si="5"/>
        <v>-9</v>
      </c>
      <c r="Q10">
        <v>1</v>
      </c>
      <c r="S10">
        <v>50</v>
      </c>
      <c r="T10">
        <v>-108.3</v>
      </c>
      <c r="U10">
        <f t="shared" si="6"/>
        <v>-17.200000000000003</v>
      </c>
      <c r="X10">
        <v>10</v>
      </c>
      <c r="Y10">
        <v>93.8</v>
      </c>
      <c r="Z10">
        <f t="shared" si="8"/>
        <v>-2.7000000000000028</v>
      </c>
      <c r="AA10">
        <v>92.9</v>
      </c>
      <c r="AB10">
        <f t="shared" si="7"/>
        <v>-1.8000000000000114</v>
      </c>
    </row>
    <row r="11" spans="1:28" x14ac:dyDescent="0.25">
      <c r="A11">
        <v>-7</v>
      </c>
      <c r="B11">
        <v>1.7</v>
      </c>
      <c r="D11">
        <v>1.41</v>
      </c>
      <c r="E11">
        <f t="shared" si="1"/>
        <v>0.55999999999999994</v>
      </c>
      <c r="F11">
        <v>795</v>
      </c>
      <c r="G11">
        <f t="shared" si="2"/>
        <v>886.1</v>
      </c>
      <c r="I11">
        <v>14.9</v>
      </c>
      <c r="J11">
        <f t="shared" si="3"/>
        <v>0.59999999999999964</v>
      </c>
      <c r="K11">
        <v>90</v>
      </c>
      <c r="L11">
        <f t="shared" si="4"/>
        <v>120</v>
      </c>
      <c r="M11">
        <v>2</v>
      </c>
      <c r="N11">
        <v>-37</v>
      </c>
      <c r="P11">
        <f t="shared" si="5"/>
        <v>-7</v>
      </c>
      <c r="Q11">
        <v>1</v>
      </c>
      <c r="S11">
        <v>60</v>
      </c>
      <c r="T11">
        <v>-70.900000000000006</v>
      </c>
      <c r="U11">
        <f t="shared" si="6"/>
        <v>20.199999999999989</v>
      </c>
      <c r="X11">
        <v>12</v>
      </c>
      <c r="Y11">
        <v>91.6</v>
      </c>
      <c r="Z11">
        <f t="shared" si="8"/>
        <v>-0.5</v>
      </c>
      <c r="AA11">
        <v>91.8</v>
      </c>
      <c r="AB11">
        <f t="shared" si="7"/>
        <v>-0.70000000000000284</v>
      </c>
    </row>
    <row r="12" spans="1:28" x14ac:dyDescent="0.25">
      <c r="A12">
        <v>-6</v>
      </c>
      <c r="B12">
        <v>2.4</v>
      </c>
      <c r="D12">
        <v>1.42</v>
      </c>
      <c r="E12">
        <f t="shared" si="1"/>
        <v>0.56999999999999995</v>
      </c>
      <c r="F12">
        <v>400</v>
      </c>
      <c r="G12">
        <f t="shared" si="2"/>
        <v>491.1</v>
      </c>
      <c r="I12">
        <v>14.8</v>
      </c>
      <c r="J12">
        <f t="shared" si="3"/>
        <v>0.69999999999999929</v>
      </c>
      <c r="K12">
        <v>44</v>
      </c>
      <c r="L12">
        <f t="shared" si="4"/>
        <v>74</v>
      </c>
      <c r="M12">
        <v>3</v>
      </c>
      <c r="N12">
        <v>-32</v>
      </c>
      <c r="P12">
        <f t="shared" si="5"/>
        <v>-2</v>
      </c>
      <c r="Q12">
        <v>2</v>
      </c>
      <c r="S12">
        <v>70</v>
      </c>
      <c r="T12">
        <v>26</v>
      </c>
      <c r="U12">
        <f t="shared" si="6"/>
        <v>117.1</v>
      </c>
      <c r="X12">
        <v>14</v>
      </c>
      <c r="Y12">
        <v>96.2</v>
      </c>
      <c r="Z12">
        <f t="shared" si="8"/>
        <v>-5.1000000000000085</v>
      </c>
      <c r="AA12">
        <v>91.8</v>
      </c>
      <c r="AB12">
        <f t="shared" si="7"/>
        <v>-0.70000000000000284</v>
      </c>
    </row>
    <row r="13" spans="1:28" x14ac:dyDescent="0.25">
      <c r="A13">
        <v>-5</v>
      </c>
      <c r="B13">
        <v>3.7</v>
      </c>
      <c r="D13">
        <v>1.43</v>
      </c>
      <c r="E13">
        <f t="shared" si="1"/>
        <v>0.57999999999999996</v>
      </c>
      <c r="F13">
        <v>975</v>
      </c>
      <c r="G13">
        <f t="shared" si="2"/>
        <v>1066.0999999999999</v>
      </c>
      <c r="I13">
        <v>14.7</v>
      </c>
      <c r="J13">
        <f t="shared" si="3"/>
        <v>0.80000000000000071</v>
      </c>
      <c r="K13">
        <v>12</v>
      </c>
      <c r="L13">
        <f t="shared" si="4"/>
        <v>42</v>
      </c>
      <c r="M13">
        <v>3</v>
      </c>
      <c r="N13">
        <v>-24</v>
      </c>
      <c r="P13">
        <f t="shared" si="5"/>
        <v>6</v>
      </c>
      <c r="Q13">
        <v>2</v>
      </c>
      <c r="S13">
        <v>80</v>
      </c>
      <c r="T13">
        <v>138.6</v>
      </c>
      <c r="U13">
        <f t="shared" si="6"/>
        <v>229.7</v>
      </c>
      <c r="X13">
        <v>16</v>
      </c>
      <c r="Y13">
        <v>102</v>
      </c>
      <c r="Z13">
        <f t="shared" si="8"/>
        <v>-10.900000000000006</v>
      </c>
      <c r="AA13">
        <v>91.5</v>
      </c>
      <c r="AB13">
        <f t="shared" si="7"/>
        <v>-0.40000000000000568</v>
      </c>
    </row>
    <row r="14" spans="1:28" x14ac:dyDescent="0.25">
      <c r="A14">
        <v>-4</v>
      </c>
      <c r="B14">
        <v>5.3</v>
      </c>
      <c r="D14">
        <v>1.44</v>
      </c>
      <c r="E14">
        <f t="shared" si="1"/>
        <v>0.59</v>
      </c>
      <c r="F14">
        <v>512</v>
      </c>
      <c r="G14">
        <f t="shared" si="2"/>
        <v>603.1</v>
      </c>
      <c r="I14">
        <v>14.6</v>
      </c>
      <c r="J14">
        <f t="shared" si="3"/>
        <v>0.90000000000000036</v>
      </c>
      <c r="K14">
        <v>-8</v>
      </c>
      <c r="L14">
        <f t="shared" si="4"/>
        <v>22</v>
      </c>
      <c r="M14">
        <v>2</v>
      </c>
      <c r="N14">
        <v>-9</v>
      </c>
      <c r="P14">
        <f t="shared" si="5"/>
        <v>21</v>
      </c>
      <c r="Q14">
        <v>2</v>
      </c>
      <c r="S14">
        <v>90</v>
      </c>
      <c r="T14">
        <v>190.3</v>
      </c>
      <c r="U14">
        <f t="shared" si="6"/>
        <v>281.39999999999998</v>
      </c>
      <c r="X14">
        <v>18</v>
      </c>
      <c r="Y14">
        <v>99</v>
      </c>
      <c r="Z14">
        <f t="shared" si="8"/>
        <v>-7.9000000000000057</v>
      </c>
      <c r="AA14">
        <v>91.9</v>
      </c>
      <c r="AB14">
        <f t="shared" si="7"/>
        <v>-0.80000000000001137</v>
      </c>
    </row>
    <row r="15" spans="1:28" x14ac:dyDescent="0.25">
      <c r="A15">
        <v>-3</v>
      </c>
      <c r="B15">
        <v>7.3</v>
      </c>
      <c r="D15">
        <v>1.45</v>
      </c>
      <c r="E15">
        <f t="shared" si="1"/>
        <v>0.6</v>
      </c>
      <c r="F15">
        <v>690</v>
      </c>
      <c r="G15">
        <f t="shared" si="2"/>
        <v>781.1</v>
      </c>
      <c r="I15">
        <v>14.5</v>
      </c>
      <c r="J15">
        <f t="shared" si="3"/>
        <v>1</v>
      </c>
      <c r="K15">
        <v>-20</v>
      </c>
      <c r="L15">
        <f t="shared" si="4"/>
        <v>10</v>
      </c>
      <c r="M15">
        <v>2</v>
      </c>
      <c r="N15">
        <v>10</v>
      </c>
      <c r="P15">
        <f t="shared" si="5"/>
        <v>40</v>
      </c>
      <c r="Q15">
        <v>3</v>
      </c>
      <c r="S15">
        <v>100</v>
      </c>
      <c r="T15">
        <v>141.30000000000001</v>
      </c>
      <c r="U15">
        <f t="shared" si="6"/>
        <v>232.4</v>
      </c>
      <c r="X15">
        <v>20</v>
      </c>
      <c r="Y15">
        <v>108.5</v>
      </c>
      <c r="Z15">
        <f t="shared" si="8"/>
        <v>-17.400000000000006</v>
      </c>
      <c r="AA15">
        <v>91.6</v>
      </c>
      <c r="AB15">
        <f t="shared" si="7"/>
        <v>-0.5</v>
      </c>
    </row>
    <row r="16" spans="1:28" x14ac:dyDescent="0.25">
      <c r="A16">
        <v>-2</v>
      </c>
      <c r="B16">
        <v>8.5</v>
      </c>
      <c r="D16">
        <v>1.46</v>
      </c>
      <c r="E16">
        <f t="shared" si="1"/>
        <v>0.61</v>
      </c>
      <c r="F16">
        <v>850</v>
      </c>
      <c r="G16">
        <f t="shared" si="2"/>
        <v>941.1</v>
      </c>
      <c r="I16">
        <v>14.4</v>
      </c>
      <c r="J16">
        <f t="shared" si="3"/>
        <v>1.0999999999999996</v>
      </c>
      <c r="K16">
        <v>-29</v>
      </c>
      <c r="L16">
        <f t="shared" si="4"/>
        <v>1</v>
      </c>
      <c r="M16">
        <v>2</v>
      </c>
      <c r="N16">
        <v>43</v>
      </c>
      <c r="P16">
        <f t="shared" si="5"/>
        <v>73</v>
      </c>
      <c r="Q16">
        <v>3</v>
      </c>
      <c r="S16">
        <v>110</v>
      </c>
      <c r="T16">
        <v>30.6</v>
      </c>
      <c r="U16">
        <f t="shared" si="6"/>
        <v>121.69999999999999</v>
      </c>
      <c r="X16">
        <v>21</v>
      </c>
      <c r="Y16">
        <v>32.299999999999997</v>
      </c>
      <c r="Z16">
        <f t="shared" si="8"/>
        <v>58.8</v>
      </c>
    </row>
    <row r="17" spans="1:28" x14ac:dyDescent="0.25">
      <c r="A17">
        <v>-1</v>
      </c>
      <c r="B17">
        <v>9.4</v>
      </c>
      <c r="D17">
        <v>1.47</v>
      </c>
      <c r="E17">
        <f t="shared" si="1"/>
        <v>0.62</v>
      </c>
      <c r="F17">
        <v>495</v>
      </c>
      <c r="G17">
        <f t="shared" si="2"/>
        <v>586.1</v>
      </c>
      <c r="I17">
        <v>14.3</v>
      </c>
      <c r="J17">
        <f t="shared" si="3"/>
        <v>1.1999999999999993</v>
      </c>
      <c r="K17">
        <v>-35</v>
      </c>
      <c r="L17">
        <f t="shared" si="4"/>
        <v>-5</v>
      </c>
      <c r="M17">
        <v>1</v>
      </c>
      <c r="N17">
        <v>72</v>
      </c>
      <c r="P17">
        <f t="shared" si="5"/>
        <v>102</v>
      </c>
      <c r="Q17">
        <v>2</v>
      </c>
      <c r="S17">
        <v>120</v>
      </c>
      <c r="T17">
        <v>-51.8</v>
      </c>
      <c r="U17">
        <f t="shared" si="6"/>
        <v>39.299999999999997</v>
      </c>
      <c r="X17">
        <v>22</v>
      </c>
      <c r="Y17">
        <v>49</v>
      </c>
      <c r="Z17">
        <f>Y17+91.1</f>
        <v>140.1</v>
      </c>
      <c r="AA17">
        <v>91.9</v>
      </c>
      <c r="AB17">
        <f t="shared" si="7"/>
        <v>-0.80000000000001137</v>
      </c>
    </row>
    <row r="18" spans="1:28" x14ac:dyDescent="0.25">
      <c r="A18">
        <v>0</v>
      </c>
      <c r="B18">
        <v>9.9</v>
      </c>
      <c r="D18">
        <v>1.48</v>
      </c>
      <c r="E18">
        <f t="shared" si="1"/>
        <v>0.63</v>
      </c>
      <c r="F18">
        <v>1020</v>
      </c>
      <c r="G18">
        <f t="shared" si="2"/>
        <v>1111.0999999999999</v>
      </c>
      <c r="I18">
        <v>14.2</v>
      </c>
      <c r="J18">
        <f t="shared" si="3"/>
        <v>1.3000000000000007</v>
      </c>
      <c r="K18">
        <v>-38</v>
      </c>
      <c r="L18">
        <f t="shared" si="4"/>
        <v>-8</v>
      </c>
      <c r="M18">
        <v>1</v>
      </c>
      <c r="N18">
        <v>100</v>
      </c>
      <c r="P18">
        <f t="shared" si="5"/>
        <v>130</v>
      </c>
      <c r="Q18">
        <v>2</v>
      </c>
      <c r="S18">
        <v>130</v>
      </c>
      <c r="T18">
        <v>-104.2</v>
      </c>
      <c r="U18">
        <f t="shared" si="6"/>
        <v>-13.100000000000009</v>
      </c>
      <c r="X18">
        <v>23</v>
      </c>
      <c r="Y18">
        <v>51</v>
      </c>
      <c r="Z18">
        <f>Y18+91.1</f>
        <v>142.1</v>
      </c>
    </row>
    <row r="19" spans="1:28" x14ac:dyDescent="0.25">
      <c r="A19">
        <v>1</v>
      </c>
      <c r="B19">
        <v>9.6</v>
      </c>
      <c r="D19">
        <v>1.49</v>
      </c>
      <c r="E19">
        <f t="shared" si="1"/>
        <v>0.64</v>
      </c>
      <c r="F19">
        <v>620</v>
      </c>
      <c r="G19">
        <f t="shared" si="2"/>
        <v>711.1</v>
      </c>
      <c r="I19">
        <v>14.1</v>
      </c>
      <c r="J19">
        <f t="shared" si="3"/>
        <v>1.4000000000000004</v>
      </c>
      <c r="K19">
        <v>-39</v>
      </c>
      <c r="L19">
        <f t="shared" si="4"/>
        <v>-9</v>
      </c>
      <c r="M19">
        <v>1</v>
      </c>
      <c r="N19">
        <v>122</v>
      </c>
      <c r="P19">
        <f t="shared" si="5"/>
        <v>152</v>
      </c>
      <c r="Q19">
        <v>3</v>
      </c>
      <c r="S19">
        <v>140</v>
      </c>
      <c r="T19">
        <v>-114.1</v>
      </c>
      <c r="U19">
        <f t="shared" si="6"/>
        <v>-23</v>
      </c>
      <c r="X19">
        <v>24</v>
      </c>
      <c r="Y19">
        <v>41.9</v>
      </c>
      <c r="Z19">
        <f t="shared" si="8"/>
        <v>49.199999999999996</v>
      </c>
      <c r="AA19">
        <v>92.8</v>
      </c>
      <c r="AB19">
        <f t="shared" si="7"/>
        <v>-1.7000000000000028</v>
      </c>
    </row>
    <row r="20" spans="1:28" x14ac:dyDescent="0.25">
      <c r="A20">
        <v>2</v>
      </c>
      <c r="B20">
        <v>9</v>
      </c>
      <c r="D20">
        <v>1.5</v>
      </c>
      <c r="E20">
        <f t="shared" si="1"/>
        <v>0.65</v>
      </c>
      <c r="F20">
        <v>770</v>
      </c>
      <c r="G20">
        <f t="shared" si="2"/>
        <v>861.1</v>
      </c>
      <c r="I20">
        <v>14</v>
      </c>
      <c r="J20">
        <f t="shared" si="3"/>
        <v>1.5</v>
      </c>
      <c r="K20">
        <v>-39</v>
      </c>
      <c r="L20">
        <f t="shared" si="4"/>
        <v>-9</v>
      </c>
      <c r="M20">
        <v>1</v>
      </c>
      <c r="N20">
        <v>181</v>
      </c>
      <c r="P20">
        <f t="shared" si="5"/>
        <v>211</v>
      </c>
      <c r="Q20">
        <v>5</v>
      </c>
      <c r="S20">
        <v>150</v>
      </c>
      <c r="T20">
        <v>-106</v>
      </c>
      <c r="U20">
        <f t="shared" si="6"/>
        <v>-14.900000000000006</v>
      </c>
      <c r="X20">
        <v>25</v>
      </c>
      <c r="Y20">
        <v>104</v>
      </c>
      <c r="Z20">
        <f t="shared" si="8"/>
        <v>-12.900000000000006</v>
      </c>
    </row>
    <row r="21" spans="1:28" x14ac:dyDescent="0.25">
      <c r="A21">
        <v>3</v>
      </c>
      <c r="B21">
        <v>7.9</v>
      </c>
      <c r="D21">
        <v>1.51</v>
      </c>
      <c r="E21">
        <f t="shared" si="1"/>
        <v>0.66</v>
      </c>
      <c r="F21">
        <v>950</v>
      </c>
      <c r="G21">
        <f t="shared" si="2"/>
        <v>1041.0999999999999</v>
      </c>
      <c r="I21">
        <v>13.9</v>
      </c>
      <c r="J21">
        <f t="shared" si="3"/>
        <v>1.5999999999999996</v>
      </c>
      <c r="N21">
        <v>202</v>
      </c>
      <c r="P21">
        <f t="shared" si="5"/>
        <v>232</v>
      </c>
      <c r="Q21">
        <v>5</v>
      </c>
      <c r="S21">
        <v>160</v>
      </c>
      <c r="T21">
        <v>-95.8</v>
      </c>
      <c r="U21">
        <f t="shared" si="6"/>
        <v>-4.7000000000000028</v>
      </c>
      <c r="X21">
        <v>26</v>
      </c>
      <c r="Y21">
        <v>123.8</v>
      </c>
      <c r="Z21">
        <f t="shared" si="8"/>
        <v>-32.700000000000003</v>
      </c>
      <c r="AA21">
        <v>96.7</v>
      </c>
      <c r="AB21">
        <f t="shared" si="7"/>
        <v>-5.6000000000000085</v>
      </c>
    </row>
    <row r="22" spans="1:28" x14ac:dyDescent="0.25">
      <c r="A22">
        <v>4</v>
      </c>
      <c r="B22">
        <v>6.7</v>
      </c>
      <c r="D22">
        <v>1.52</v>
      </c>
      <c r="E22">
        <f t="shared" si="1"/>
        <v>0.67</v>
      </c>
      <c r="F22">
        <v>580</v>
      </c>
      <c r="G22">
        <f t="shared" si="2"/>
        <v>671.1</v>
      </c>
      <c r="I22">
        <v>13.8</v>
      </c>
      <c r="J22">
        <f t="shared" si="3"/>
        <v>1.6999999999999993</v>
      </c>
      <c r="N22">
        <v>230</v>
      </c>
      <c r="P22">
        <f t="shared" si="5"/>
        <v>260</v>
      </c>
      <c r="Q22">
        <v>5</v>
      </c>
      <c r="S22">
        <v>170</v>
      </c>
      <c r="T22">
        <v>-91.8</v>
      </c>
      <c r="U22">
        <f t="shared" si="6"/>
        <v>-0.70000000000000284</v>
      </c>
      <c r="X22">
        <v>28</v>
      </c>
      <c r="Y22">
        <v>103.6</v>
      </c>
      <c r="Z22">
        <f t="shared" si="8"/>
        <v>-12.5</v>
      </c>
      <c r="AA22">
        <v>105.3</v>
      </c>
      <c r="AB22">
        <f t="shared" si="7"/>
        <v>-14.200000000000003</v>
      </c>
    </row>
    <row r="23" spans="1:28" x14ac:dyDescent="0.25">
      <c r="A23">
        <v>5</v>
      </c>
      <c r="B23">
        <v>5.5</v>
      </c>
      <c r="D23">
        <v>1.53</v>
      </c>
      <c r="E23">
        <f t="shared" si="1"/>
        <v>0.68</v>
      </c>
      <c r="F23">
        <v>1085</v>
      </c>
      <c r="G23">
        <f t="shared" si="2"/>
        <v>1176.0999999999999</v>
      </c>
      <c r="I23">
        <v>13.7</v>
      </c>
      <c r="J23">
        <f t="shared" si="3"/>
        <v>1.8000000000000007</v>
      </c>
      <c r="N23">
        <v>271</v>
      </c>
      <c r="P23">
        <f t="shared" si="5"/>
        <v>301</v>
      </c>
      <c r="Q23">
        <v>5</v>
      </c>
      <c r="S23">
        <v>180</v>
      </c>
      <c r="T23">
        <v>-91.4</v>
      </c>
      <c r="U23">
        <f t="shared" si="6"/>
        <v>-0.30000000000001137</v>
      </c>
      <c r="X23">
        <v>30</v>
      </c>
      <c r="Y23">
        <v>111.9</v>
      </c>
      <c r="Z23">
        <f t="shared" si="8"/>
        <v>-20.800000000000011</v>
      </c>
      <c r="AA23">
        <v>120.7</v>
      </c>
      <c r="AB23">
        <f t="shared" si="7"/>
        <v>-29.600000000000009</v>
      </c>
    </row>
    <row r="24" spans="1:28" x14ac:dyDescent="0.25">
      <c r="A24">
        <v>6</v>
      </c>
      <c r="B24">
        <v>4.2</v>
      </c>
      <c r="D24">
        <v>1.54</v>
      </c>
      <c r="E24">
        <f t="shared" si="1"/>
        <v>0.69000000000000006</v>
      </c>
      <c r="F24">
        <v>753</v>
      </c>
      <c r="G24">
        <f t="shared" si="2"/>
        <v>844.1</v>
      </c>
      <c r="I24">
        <v>13.6</v>
      </c>
      <c r="J24">
        <f t="shared" si="3"/>
        <v>1.9000000000000004</v>
      </c>
      <c r="N24">
        <v>301</v>
      </c>
      <c r="P24">
        <f t="shared" si="5"/>
        <v>331</v>
      </c>
      <c r="Q24">
        <v>5</v>
      </c>
      <c r="X24">
        <v>32</v>
      </c>
      <c r="Y24">
        <v>98.1</v>
      </c>
      <c r="Z24">
        <f>-Y24+91.1</f>
        <v>-7</v>
      </c>
      <c r="AA24">
        <v>91.4</v>
      </c>
      <c r="AB24">
        <f t="shared" si="7"/>
        <v>-0.30000000000001137</v>
      </c>
    </row>
    <row r="25" spans="1:28" x14ac:dyDescent="0.25">
      <c r="A25">
        <v>7</v>
      </c>
      <c r="B25">
        <v>3.1</v>
      </c>
      <c r="D25">
        <v>1.55</v>
      </c>
      <c r="E25">
        <f t="shared" si="1"/>
        <v>0.70000000000000007</v>
      </c>
      <c r="F25">
        <v>811</v>
      </c>
      <c r="G25">
        <f t="shared" si="2"/>
        <v>902.1</v>
      </c>
      <c r="I25">
        <v>13.5</v>
      </c>
      <c r="J25">
        <f t="shared" si="3"/>
        <v>2</v>
      </c>
      <c r="K25">
        <v>-37</v>
      </c>
      <c r="L25">
        <f>K25+30</f>
        <v>-7</v>
      </c>
      <c r="M25">
        <v>1</v>
      </c>
      <c r="N25">
        <v>338</v>
      </c>
      <c r="P25">
        <f t="shared" si="5"/>
        <v>368</v>
      </c>
      <c r="Q25">
        <v>5</v>
      </c>
      <c r="X25">
        <v>33</v>
      </c>
      <c r="AA25">
        <v>62.9</v>
      </c>
      <c r="AB25">
        <f t="shared" si="7"/>
        <v>28.199999999999996</v>
      </c>
    </row>
    <row r="26" spans="1:28" x14ac:dyDescent="0.25">
      <c r="A26">
        <v>8</v>
      </c>
      <c r="B26">
        <v>1.8</v>
      </c>
      <c r="D26">
        <v>1.56</v>
      </c>
      <c r="E26">
        <f t="shared" si="1"/>
        <v>0.71000000000000008</v>
      </c>
      <c r="F26">
        <v>993</v>
      </c>
      <c r="G26">
        <f t="shared" si="2"/>
        <v>1084.0999999999999</v>
      </c>
      <c r="I26">
        <v>13</v>
      </c>
      <c r="J26">
        <f t="shared" si="3"/>
        <v>2.5</v>
      </c>
      <c r="K26">
        <v>-34</v>
      </c>
      <c r="L26">
        <f>K26+30</f>
        <v>-4</v>
      </c>
      <c r="M26">
        <v>1</v>
      </c>
      <c r="N26">
        <v>453</v>
      </c>
      <c r="P26">
        <f t="shared" si="5"/>
        <v>483</v>
      </c>
      <c r="Q26">
        <v>5</v>
      </c>
      <c r="X26">
        <v>34</v>
      </c>
      <c r="Y26">
        <v>97.3</v>
      </c>
      <c r="Z26">
        <f>-Y26+91.1</f>
        <v>-6.2000000000000028</v>
      </c>
      <c r="AA26">
        <v>24.1</v>
      </c>
      <c r="AB26">
        <f t="shared" si="7"/>
        <v>67</v>
      </c>
    </row>
    <row r="27" spans="1:28" x14ac:dyDescent="0.25">
      <c r="A27">
        <v>9</v>
      </c>
      <c r="B27">
        <v>1.2</v>
      </c>
      <c r="D27">
        <v>1.57</v>
      </c>
      <c r="E27">
        <f t="shared" si="1"/>
        <v>0.72000000000000008</v>
      </c>
      <c r="F27">
        <v>610</v>
      </c>
      <c r="G27">
        <f t="shared" si="2"/>
        <v>701.1</v>
      </c>
      <c r="I27">
        <v>12.5</v>
      </c>
      <c r="J27">
        <f t="shared" si="3"/>
        <v>3</v>
      </c>
      <c r="K27">
        <v>-32</v>
      </c>
      <c r="L27">
        <f>K27+30</f>
        <v>-2</v>
      </c>
      <c r="M27">
        <v>2</v>
      </c>
      <c r="N27">
        <v>455</v>
      </c>
      <c r="P27">
        <f t="shared" si="5"/>
        <v>485</v>
      </c>
      <c r="Q27">
        <v>5</v>
      </c>
      <c r="X27">
        <v>35</v>
      </c>
      <c r="AA27">
        <v>62.4</v>
      </c>
      <c r="AB27">
        <f t="shared" si="7"/>
        <v>28.699999999999996</v>
      </c>
    </row>
    <row r="28" spans="1:28" x14ac:dyDescent="0.25">
      <c r="A28">
        <v>10</v>
      </c>
      <c r="B28">
        <v>0.7</v>
      </c>
      <c r="D28">
        <v>1.58</v>
      </c>
      <c r="E28">
        <f t="shared" si="1"/>
        <v>0.73000000000000009</v>
      </c>
      <c r="F28">
        <v>1097</v>
      </c>
      <c r="G28">
        <f t="shared" si="2"/>
        <v>1188.0999999999999</v>
      </c>
      <c r="I28">
        <v>12</v>
      </c>
      <c r="J28">
        <f t="shared" si="3"/>
        <v>3.5</v>
      </c>
      <c r="K28">
        <v>-31</v>
      </c>
      <c r="L28">
        <f>K28+30</f>
        <v>-1</v>
      </c>
      <c r="M28">
        <v>2</v>
      </c>
      <c r="N28">
        <v>445</v>
      </c>
      <c r="P28">
        <f t="shared" si="5"/>
        <v>475</v>
      </c>
      <c r="Q28">
        <v>5</v>
      </c>
      <c r="X28">
        <v>36</v>
      </c>
      <c r="Y28">
        <v>94.3</v>
      </c>
      <c r="Z28">
        <f>-Y28+91.1</f>
        <v>-3.2000000000000028</v>
      </c>
      <c r="AA28">
        <v>113.4</v>
      </c>
      <c r="AB28">
        <f t="shared" si="7"/>
        <v>-22.300000000000011</v>
      </c>
    </row>
    <row r="29" spans="1:28" x14ac:dyDescent="0.25">
      <c r="A29">
        <v>12</v>
      </c>
      <c r="B29">
        <v>0.3</v>
      </c>
      <c r="D29">
        <v>1.59</v>
      </c>
      <c r="E29">
        <f t="shared" si="1"/>
        <v>0.7400000000000001</v>
      </c>
      <c r="F29">
        <v>795</v>
      </c>
      <c r="G29">
        <f t="shared" si="2"/>
        <v>886.1</v>
      </c>
      <c r="I29">
        <v>11.5</v>
      </c>
      <c r="J29">
        <f t="shared" si="3"/>
        <v>4</v>
      </c>
      <c r="N29">
        <v>408</v>
      </c>
      <c r="P29">
        <f t="shared" si="5"/>
        <v>438</v>
      </c>
      <c r="Q29">
        <v>5</v>
      </c>
      <c r="X29">
        <v>37</v>
      </c>
      <c r="AA29">
        <v>120.4</v>
      </c>
      <c r="AB29">
        <f t="shared" si="7"/>
        <v>-29.300000000000011</v>
      </c>
    </row>
    <row r="30" spans="1:28" x14ac:dyDescent="0.25">
      <c r="A30">
        <v>16</v>
      </c>
      <c r="B30">
        <v>0.1</v>
      </c>
      <c r="D30">
        <v>1.6</v>
      </c>
      <c r="E30">
        <f t="shared" si="1"/>
        <v>0.75000000000000011</v>
      </c>
      <c r="F30">
        <v>811</v>
      </c>
      <c r="G30">
        <f t="shared" si="2"/>
        <v>902.1</v>
      </c>
      <c r="I30">
        <v>11</v>
      </c>
      <c r="J30">
        <f t="shared" si="3"/>
        <v>4.5</v>
      </c>
      <c r="N30">
        <v>398</v>
      </c>
      <c r="P30">
        <f t="shared" si="5"/>
        <v>428</v>
      </c>
      <c r="Q30">
        <v>5</v>
      </c>
      <c r="X30">
        <v>38</v>
      </c>
      <c r="Y30">
        <v>100.5</v>
      </c>
      <c r="Z30">
        <f t="shared" ref="Z30:Z37" si="9">-Y30+91.1</f>
        <v>-9.4000000000000057</v>
      </c>
      <c r="AA30">
        <v>115.3</v>
      </c>
      <c r="AB30">
        <f t="shared" si="7"/>
        <v>-24.200000000000003</v>
      </c>
    </row>
    <row r="31" spans="1:28" x14ac:dyDescent="0.25">
      <c r="A31">
        <v>20</v>
      </c>
      <c r="B31">
        <v>0</v>
      </c>
      <c r="D31">
        <v>1.61</v>
      </c>
      <c r="E31">
        <f t="shared" si="1"/>
        <v>0.76000000000000012</v>
      </c>
      <c r="F31">
        <v>1025</v>
      </c>
      <c r="G31">
        <f t="shared" si="2"/>
        <v>1116.0999999999999</v>
      </c>
      <c r="X31">
        <v>40</v>
      </c>
      <c r="Y31">
        <v>105.8</v>
      </c>
      <c r="Z31">
        <f t="shared" si="9"/>
        <v>-14.700000000000003</v>
      </c>
      <c r="AA31">
        <v>98.2</v>
      </c>
      <c r="AB31">
        <f t="shared" si="7"/>
        <v>-7.1000000000000085</v>
      </c>
    </row>
    <row r="32" spans="1:28" x14ac:dyDescent="0.25">
      <c r="D32">
        <v>1.62</v>
      </c>
      <c r="E32">
        <f t="shared" si="1"/>
        <v>0.77000000000000013</v>
      </c>
      <c r="F32">
        <v>615</v>
      </c>
      <c r="G32">
        <f t="shared" si="2"/>
        <v>706.1</v>
      </c>
      <c r="X32">
        <v>42</v>
      </c>
      <c r="Y32">
        <v>101.6</v>
      </c>
      <c r="Z32">
        <f t="shared" si="9"/>
        <v>-10.5</v>
      </c>
      <c r="AA32">
        <v>103.4</v>
      </c>
      <c r="AB32">
        <f t="shared" si="7"/>
        <v>-12.300000000000011</v>
      </c>
    </row>
    <row r="33" spans="4:28" x14ac:dyDescent="0.25">
      <c r="D33">
        <v>1.63</v>
      </c>
      <c r="E33">
        <f t="shared" si="1"/>
        <v>0.77999999999999992</v>
      </c>
      <c r="F33">
        <v>996</v>
      </c>
      <c r="G33">
        <f t="shared" si="2"/>
        <v>1087.0999999999999</v>
      </c>
      <c r="X33">
        <v>44</v>
      </c>
      <c r="Y33">
        <v>100.5</v>
      </c>
      <c r="Z33">
        <f t="shared" si="9"/>
        <v>-9.4000000000000057</v>
      </c>
      <c r="AA33">
        <v>98.7</v>
      </c>
      <c r="AB33">
        <f t="shared" si="7"/>
        <v>-7.6000000000000085</v>
      </c>
    </row>
    <row r="34" spans="4:28" x14ac:dyDescent="0.25">
      <c r="D34">
        <v>1.64</v>
      </c>
      <c r="E34">
        <f t="shared" si="1"/>
        <v>0.78999999999999992</v>
      </c>
      <c r="F34">
        <v>769</v>
      </c>
      <c r="G34">
        <f t="shared" si="2"/>
        <v>860.1</v>
      </c>
      <c r="X34">
        <v>46</v>
      </c>
      <c r="Y34">
        <v>110.2</v>
      </c>
      <c r="Z34">
        <f t="shared" si="9"/>
        <v>-19.100000000000009</v>
      </c>
      <c r="AA34">
        <v>95</v>
      </c>
      <c r="AB34">
        <f t="shared" si="7"/>
        <v>-3.9000000000000057</v>
      </c>
    </row>
    <row r="35" spans="4:28" x14ac:dyDescent="0.25">
      <c r="D35">
        <v>1.65</v>
      </c>
      <c r="E35">
        <f t="shared" si="1"/>
        <v>0.79999999999999993</v>
      </c>
      <c r="F35">
        <v>666</v>
      </c>
      <c r="G35">
        <f t="shared" si="2"/>
        <v>757.1</v>
      </c>
      <c r="X35">
        <v>48</v>
      </c>
      <c r="Y35">
        <v>121.8</v>
      </c>
      <c r="Z35">
        <f t="shared" si="9"/>
        <v>-30.700000000000003</v>
      </c>
      <c r="AA35">
        <v>91.7</v>
      </c>
      <c r="AB35">
        <f t="shared" si="7"/>
        <v>-0.60000000000000853</v>
      </c>
    </row>
    <row r="36" spans="4:28" x14ac:dyDescent="0.25">
      <c r="D36">
        <v>1.66</v>
      </c>
      <c r="E36">
        <f t="shared" si="1"/>
        <v>0.80999999999999994</v>
      </c>
      <c r="F36">
        <v>965</v>
      </c>
      <c r="G36">
        <f t="shared" si="2"/>
        <v>1056.0999999999999</v>
      </c>
      <c r="X36">
        <v>50</v>
      </c>
      <c r="Y36">
        <v>119.1</v>
      </c>
      <c r="Z36">
        <f t="shared" si="9"/>
        <v>-28</v>
      </c>
      <c r="AA36">
        <v>91.3</v>
      </c>
      <c r="AB36">
        <f t="shared" si="7"/>
        <v>-0.20000000000000284</v>
      </c>
    </row>
    <row r="37" spans="4:28" x14ac:dyDescent="0.25">
      <c r="D37">
        <v>1.67</v>
      </c>
      <c r="E37">
        <f t="shared" si="1"/>
        <v>0.82</v>
      </c>
      <c r="F37">
        <v>633</v>
      </c>
      <c r="G37">
        <f t="shared" si="2"/>
        <v>724.1</v>
      </c>
      <c r="X37">
        <v>52</v>
      </c>
      <c r="Y37">
        <v>119.5</v>
      </c>
      <c r="Z37">
        <f t="shared" si="9"/>
        <v>-28.400000000000006</v>
      </c>
    </row>
    <row r="38" spans="4:28" x14ac:dyDescent="0.25">
      <c r="D38">
        <v>1.68</v>
      </c>
      <c r="E38">
        <f t="shared" si="1"/>
        <v>0.83</v>
      </c>
      <c r="F38">
        <v>908</v>
      </c>
      <c r="G38">
        <f t="shared" si="2"/>
        <v>999.1</v>
      </c>
    </row>
    <row r="39" spans="4:28" x14ac:dyDescent="0.25">
      <c r="D39">
        <v>1.69</v>
      </c>
      <c r="E39">
        <f t="shared" si="1"/>
        <v>0.84</v>
      </c>
      <c r="F39">
        <v>784</v>
      </c>
      <c r="G39">
        <f t="shared" si="2"/>
        <v>875.1</v>
      </c>
    </row>
    <row r="40" spans="4:28" x14ac:dyDescent="0.25">
      <c r="D40">
        <v>1.7</v>
      </c>
      <c r="E40">
        <f t="shared" si="1"/>
        <v>0.85</v>
      </c>
      <c r="F40">
        <v>630</v>
      </c>
      <c r="G40">
        <f t="shared" si="2"/>
        <v>721.1</v>
      </c>
    </row>
    <row r="41" spans="4:28" x14ac:dyDescent="0.25">
      <c r="D41">
        <v>1.75</v>
      </c>
      <c r="E41">
        <f t="shared" si="1"/>
        <v>0.9</v>
      </c>
      <c r="F41">
        <v>577</v>
      </c>
      <c r="G41">
        <f t="shared" si="2"/>
        <v>668.1</v>
      </c>
    </row>
    <row r="42" spans="4:28" x14ac:dyDescent="0.25">
      <c r="D42">
        <v>1.8</v>
      </c>
      <c r="E42">
        <f t="shared" si="1"/>
        <v>0.95000000000000007</v>
      </c>
      <c r="F42">
        <v>510</v>
      </c>
      <c r="G42">
        <f t="shared" si="2"/>
        <v>601.1</v>
      </c>
    </row>
    <row r="43" spans="4:28" x14ac:dyDescent="0.25">
      <c r="D43">
        <v>1.85</v>
      </c>
      <c r="E43">
        <f t="shared" si="1"/>
        <v>1</v>
      </c>
      <c r="F43">
        <v>455</v>
      </c>
      <c r="G43">
        <f t="shared" si="2"/>
        <v>546.1</v>
      </c>
    </row>
    <row r="44" spans="4:28" x14ac:dyDescent="0.25">
      <c r="D44">
        <v>1.9</v>
      </c>
      <c r="E44">
        <f t="shared" si="1"/>
        <v>1.0499999999999998</v>
      </c>
      <c r="F44">
        <v>430</v>
      </c>
      <c r="G44">
        <f t="shared" si="2"/>
        <v>521.1</v>
      </c>
    </row>
    <row r="45" spans="4:28" x14ac:dyDescent="0.25">
      <c r="D45">
        <v>1.95</v>
      </c>
      <c r="E45">
        <f t="shared" si="1"/>
        <v>1.1000000000000001</v>
      </c>
      <c r="F45">
        <v>401</v>
      </c>
      <c r="G45">
        <f t="shared" si="2"/>
        <v>492.1</v>
      </c>
    </row>
    <row r="46" spans="4:28" x14ac:dyDescent="0.25">
      <c r="D46">
        <v>2</v>
      </c>
      <c r="E46">
        <f t="shared" si="1"/>
        <v>1.1499999999999999</v>
      </c>
      <c r="F46">
        <v>342</v>
      </c>
      <c r="G46">
        <f t="shared" si="2"/>
        <v>433.1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Fortuna Plays</dc:creator>
  <cp:lastModifiedBy>selin</cp:lastModifiedBy>
  <dcterms:created xsi:type="dcterms:W3CDTF">2021-09-15T12:13:11Z</dcterms:created>
  <dcterms:modified xsi:type="dcterms:W3CDTF">2021-09-16T14:05:52Z</dcterms:modified>
</cp:coreProperties>
</file>