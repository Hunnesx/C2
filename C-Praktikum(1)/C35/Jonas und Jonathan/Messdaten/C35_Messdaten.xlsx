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o1\Nextcloud\Physik\Experimentalphysik\Physikalisches Praktikum\C\C35\Jonas und Jonathan\Messdaten\"/>
    </mc:Choice>
  </mc:AlternateContent>
  <xr:revisionPtr revIDLastSave="0" documentId="13_ncr:1_{5A24F137-EECB-4BA5-86F6-445F15560F11}" xr6:coauthVersionLast="47" xr6:coauthVersionMax="47" xr10:uidLastSave="{00000000-0000-0000-0000-000000000000}"/>
  <bookViews>
    <workbookView xWindow="-110" yWindow="-110" windowWidth="19420" windowHeight="10420" firstSheet="4" activeTab="6" xr2:uid="{13D450AD-1D37-4EE9-A1F0-E6D68BD388D8}"/>
  </bookViews>
  <sheets>
    <sheet name="Schallgeschwindigkeit Polyacryl" sheetId="1" r:id="rId1"/>
    <sheet name="Absorptionskoeffizienten" sheetId="2" r:id="rId2"/>
    <sheet name="Testblock" sheetId="3" r:id="rId3"/>
    <sheet name="Auflösungsvermögen" sheetId="4" r:id="rId4"/>
    <sheet name="Schallgeschwindigkeit Kupfer" sheetId="6" r:id="rId5"/>
    <sheet name="Schallgeschwindigkeit Wasser" sheetId="5" r:id="rId6"/>
    <sheet name="Schallgeschwindigkeit Alu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7" l="1"/>
  <c r="H41" i="6"/>
  <c r="J42" i="7"/>
  <c r="K42" i="7"/>
  <c r="H42" i="7"/>
  <c r="I42" i="7"/>
  <c r="H40" i="7"/>
  <c r="K41" i="7"/>
  <c r="J41" i="7"/>
  <c r="H41" i="7"/>
  <c r="I40" i="7"/>
  <c r="K41" i="6"/>
  <c r="J41" i="6"/>
  <c r="I41" i="6"/>
  <c r="I40" i="6"/>
  <c r="H40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4" i="6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5" i="7"/>
  <c r="D10" i="4"/>
  <c r="E10" i="4"/>
  <c r="C10" i="4"/>
  <c r="D14" i="4"/>
  <c r="E14" i="4"/>
  <c r="C14" i="4"/>
  <c r="E13" i="4"/>
  <c r="D13" i="4"/>
  <c r="C13" i="4"/>
  <c r="E9" i="4"/>
  <c r="D9" i="4"/>
  <c r="C9" i="4"/>
  <c r="G43" i="3"/>
  <c r="F43" i="3"/>
  <c r="E43" i="3"/>
  <c r="H23" i="3"/>
  <c r="G23" i="3"/>
  <c r="G33" i="3"/>
  <c r="G34" i="3"/>
  <c r="G35" i="3"/>
  <c r="G36" i="3"/>
  <c r="G37" i="3"/>
  <c r="G38" i="3"/>
  <c r="G39" i="3"/>
  <c r="G40" i="3"/>
  <c r="G41" i="3"/>
  <c r="G42" i="3"/>
  <c r="C33" i="3"/>
  <c r="C34" i="3"/>
  <c r="C35" i="3"/>
  <c r="C36" i="3"/>
  <c r="C37" i="3"/>
  <c r="C38" i="3"/>
  <c r="C39" i="3"/>
  <c r="C40" i="3"/>
  <c r="C41" i="3"/>
  <c r="C42" i="3"/>
  <c r="C32" i="3"/>
  <c r="G32" i="3" s="1"/>
  <c r="F42" i="3"/>
  <c r="F33" i="3"/>
  <c r="F34" i="3"/>
  <c r="F35" i="3"/>
  <c r="F36" i="3"/>
  <c r="F37" i="3"/>
  <c r="F38" i="3"/>
  <c r="F39" i="3"/>
  <c r="F40" i="3"/>
  <c r="F41" i="3"/>
  <c r="F32" i="3"/>
  <c r="E33" i="3"/>
  <c r="E34" i="3"/>
  <c r="E35" i="3"/>
  <c r="E36" i="3"/>
  <c r="E37" i="3"/>
  <c r="E38" i="3"/>
  <c r="E39" i="3"/>
  <c r="E40" i="3"/>
  <c r="E41" i="3"/>
  <c r="E42" i="3"/>
  <c r="E32" i="3"/>
  <c r="C25" i="2"/>
  <c r="C39" i="1"/>
  <c r="C38" i="1"/>
  <c r="C37" i="1"/>
  <c r="C36" i="1"/>
  <c r="A37" i="1"/>
  <c r="C35" i="1"/>
  <c r="F8" i="5"/>
  <c r="G9" i="5"/>
  <c r="G10" i="5"/>
  <c r="G11" i="5"/>
  <c r="G12" i="5"/>
  <c r="G13" i="5"/>
  <c r="G8" i="5"/>
  <c r="A24" i="2"/>
  <c r="G24" i="2"/>
  <c r="G29" i="2"/>
  <c r="G30" i="2"/>
  <c r="G28" i="2"/>
  <c r="G25" i="2"/>
  <c r="G26" i="2"/>
  <c r="G27" i="2"/>
  <c r="B29" i="2"/>
  <c r="B30" i="2"/>
  <c r="B28" i="2"/>
  <c r="B25" i="2"/>
  <c r="B26" i="2"/>
  <c r="B27" i="2"/>
  <c r="B24" i="2"/>
  <c r="I29" i="2"/>
  <c r="I30" i="2"/>
  <c r="I28" i="2"/>
  <c r="I25" i="2"/>
  <c r="I26" i="2"/>
  <c r="I27" i="2"/>
  <c r="I24" i="2"/>
  <c r="H29" i="2"/>
  <c r="H30" i="2"/>
  <c r="H28" i="2"/>
  <c r="H25" i="2"/>
  <c r="H26" i="2"/>
  <c r="H27" i="2"/>
  <c r="H24" i="2"/>
  <c r="F29" i="2"/>
  <c r="F30" i="2"/>
  <c r="F28" i="2"/>
  <c r="F25" i="2"/>
  <c r="F26" i="2"/>
  <c r="F27" i="2"/>
  <c r="F24" i="2"/>
  <c r="D25" i="2"/>
  <c r="D26" i="2"/>
  <c r="D27" i="2"/>
  <c r="D24" i="2"/>
  <c r="A28" i="2"/>
  <c r="A29" i="2"/>
  <c r="A30" i="2"/>
  <c r="C26" i="2"/>
  <c r="C27" i="2"/>
  <c r="C24" i="2"/>
  <c r="A25" i="2"/>
  <c r="A26" i="2"/>
  <c r="A27" i="2"/>
  <c r="F12" i="5"/>
  <c r="F11" i="5"/>
  <c r="F9" i="5"/>
  <c r="F10" i="5"/>
</calcChain>
</file>

<file path=xl/sharedStrings.xml><?xml version="1.0" encoding="utf-8"?>
<sst xmlns="http://schemas.openxmlformats.org/spreadsheetml/2006/main" count="194" uniqueCount="148">
  <si>
    <t>Polyacryl:</t>
  </si>
  <si>
    <t>Länge (Messschieber, dig. Für 1/2)[mm]</t>
  </si>
  <si>
    <t>Cursor 1 Steigende Flanke 1 [mys] 1MHz</t>
  </si>
  <si>
    <t>Cursor 2 Steigende Flanke 2[mys] 1MHz</t>
  </si>
  <si>
    <t>Cursor 1 Max 1 [mys] 1MHz</t>
  </si>
  <si>
    <t>Cursor 2 Max 2[mys] 1MHz</t>
  </si>
  <si>
    <t>Cursor 1 Steigende Flanke 1 [mys] 2MHz</t>
  </si>
  <si>
    <t>Cursor 2 Steigende Flanke 2[mys] 2MHz</t>
  </si>
  <si>
    <t>Cursor 1 Max 1 [mys] 2MHz</t>
  </si>
  <si>
    <t>Cursor 2 Max 2[mys] 2MHz</t>
  </si>
  <si>
    <t>Bild 1,2 für Körper 1, 1MHz</t>
  </si>
  <si>
    <t>Bild 3,4 für Körper 2, 1MHz</t>
  </si>
  <si>
    <t>Bild 5 für Körper 3, 1MHz</t>
  </si>
  <si>
    <t>Bild 6,7 für Körper 1, 2MHz</t>
  </si>
  <si>
    <t>Bild 8 für Körper 2, 2MHz</t>
  </si>
  <si>
    <t>Bild 9 für Körper 3, 2MHz</t>
  </si>
  <si>
    <t>Körper 1</t>
  </si>
  <si>
    <t>Körper 2</t>
  </si>
  <si>
    <t>Körper 3</t>
  </si>
  <si>
    <t>Körper 4</t>
  </si>
  <si>
    <t>Körper 5</t>
  </si>
  <si>
    <t>Länge [mm], mit Digitalschieber Holex</t>
  </si>
  <si>
    <t>1 MHz, Zeit 1. Peak [mys]</t>
  </si>
  <si>
    <t>Bildnr.</t>
  </si>
  <si>
    <t>1 MHz, Anstieg 1. Peak [mys]</t>
  </si>
  <si>
    <t>Bildnr. 1MHz</t>
  </si>
  <si>
    <t>2 MHz, Zeit 1. Peak [mys]</t>
  </si>
  <si>
    <t>Für Körper 2, 1 MHz, 2. Peak, Cursor 1:</t>
  </si>
  <si>
    <t>Für Körper 2, 1 MHz, 2. Peak, Cursor 2:</t>
  </si>
  <si>
    <t>53,88;0,04</t>
  </si>
  <si>
    <t xml:space="preserve">52,39; </t>
  </si>
  <si>
    <t>Bild 12</t>
  </si>
  <si>
    <t xml:space="preserve">61,10; </t>
  </si>
  <si>
    <t>62,70;0,03</t>
  </si>
  <si>
    <t>Bild 14</t>
  </si>
  <si>
    <t>Für Körper 3, 1 MHz, 2. Peak, Cursor 1:</t>
  </si>
  <si>
    <t>Für Körper 3, 1 MHz, 2. Peak, Cursor 2:</t>
  </si>
  <si>
    <t>Für Körper 4, 1 MHz, 2. Peak, Cursor 1:</t>
  </si>
  <si>
    <t>Für Körper 4, 1 MHz, 2. Peak, Cursor 2:</t>
  </si>
  <si>
    <t>78,44;</t>
  </si>
  <si>
    <t>80,01;0,01</t>
  </si>
  <si>
    <t>Bild 16</t>
  </si>
  <si>
    <t>Nummer 2:</t>
  </si>
  <si>
    <t>4 MHz, Anstieg 1. Peak [mys]</t>
  </si>
  <si>
    <t>4 MHz, Zeit 1. Peak [mys]</t>
  </si>
  <si>
    <t>4MHz, Amplitude 1. Peak [mys]</t>
  </si>
  <si>
    <t>Lochnr.</t>
  </si>
  <si>
    <t>Abstand (Holex, mm)</t>
  </si>
  <si>
    <t>9a</t>
  </si>
  <si>
    <t>9b</t>
  </si>
  <si>
    <t>l</t>
  </si>
  <si>
    <t>2 MHz Laufzeitmessung Flankenanfang[mys]</t>
  </si>
  <si>
    <t>2 MHz Laufzeitmessung Maximum[mys]</t>
  </si>
  <si>
    <t>2. Peak</t>
  </si>
  <si>
    <t>1.Peak</t>
  </si>
  <si>
    <t>Längenpeak</t>
  </si>
  <si>
    <t>-</t>
  </si>
  <si>
    <t>markierte Werte: Rauschen sehr stark</t>
  </si>
  <si>
    <t>Nicht abgrenzbar!</t>
  </si>
  <si>
    <t>Siehe Bild 17</t>
  </si>
  <si>
    <t>Bild 18: 2MHz B-Scan</t>
  </si>
  <si>
    <t>Frequenz [MHz]</t>
  </si>
  <si>
    <t>Halbwertsbreite [mys]</t>
  </si>
  <si>
    <t>Loch 3</t>
  </si>
  <si>
    <t>Abstand Peak to Peak [mys]</t>
  </si>
  <si>
    <t>Abstand Rand (0°)- Kupferplatte[mm, Holex]</t>
  </si>
  <si>
    <t>Messung mit 2MHz</t>
  </si>
  <si>
    <t>d [mm, Holex]</t>
  </si>
  <si>
    <t>Laufzeit, Flanke[mys]</t>
  </si>
  <si>
    <t>Laufzeit, Peak [mys]</t>
  </si>
  <si>
    <t>v</t>
  </si>
  <si>
    <t>Messung für Kupfer, 2MHz, Transmission</t>
  </si>
  <si>
    <t>Intensität erster Peak [V]</t>
  </si>
  <si>
    <t>Intensität zweiter Peak [V]</t>
  </si>
  <si>
    <t>Intensität dritter Peak [V]</t>
  </si>
  <si>
    <t>Bildnr, falls vorhanden</t>
  </si>
  <si>
    <t>Winkel [°], Ablesegen. 0,5°</t>
  </si>
  <si>
    <t>Messung für Alu, 2MHz, Transmission</t>
  </si>
  <si>
    <t>Zur Nullpunktbestimmung verwendet: Bild 26</t>
  </si>
  <si>
    <t>Winkel [°] wie abgelesen</t>
  </si>
  <si>
    <t>Ablesegen. 2,5°</t>
  </si>
  <si>
    <t>schwer abgrenzbar</t>
  </si>
  <si>
    <t>Abstand (Holex, mm), Jonathan</t>
  </si>
  <si>
    <t>Fehler Holex Messschieber</t>
  </si>
  <si>
    <t>0,03 mm</t>
  </si>
  <si>
    <t>Länge [mm]</t>
  </si>
  <si>
    <t>Amplitude [V]</t>
  </si>
  <si>
    <t>1MHz, Amplitude 1. Peak [V]</t>
  </si>
  <si>
    <t>2 MHz, Zeit Anstieg 1. Peak [mys]</t>
  </si>
  <si>
    <t>2MHz, Amplitude 1. Peak [V]</t>
  </si>
  <si>
    <t>Zeit ansteigende Flanke [mys]</t>
  </si>
  <si>
    <t>1MHz</t>
  </si>
  <si>
    <t>2MHz</t>
  </si>
  <si>
    <t>2 MHz, Anstieg 2. Peak [mys]</t>
  </si>
  <si>
    <t>2 MHz, Zeit 2. Peak [mys]</t>
  </si>
  <si>
    <t>2MHz, Amplitude 2. Peak [mys]</t>
  </si>
  <si>
    <t>Zeitfehler: 0,01 mys durch Auflösung</t>
  </si>
  <si>
    <t>Spannungsfehler: 0,01V durch Auflösung</t>
  </si>
  <si>
    <t>Längenfehler [mm]</t>
  </si>
  <si>
    <t>tatsächliche Strecke</t>
  </si>
  <si>
    <t>Schätzfehler</t>
  </si>
  <si>
    <t>ermittelte Schallgeschw. [m/s]</t>
  </si>
  <si>
    <t>Fehler [m/s]</t>
  </si>
  <si>
    <t>1 MHz</t>
  </si>
  <si>
    <t>Länge</t>
  </si>
  <si>
    <t>Längenfehler</t>
  </si>
  <si>
    <t>Zeitfehler</t>
  </si>
  <si>
    <t>Zeit</t>
  </si>
  <si>
    <t>PVC</t>
  </si>
  <si>
    <t>Frequenz:</t>
  </si>
  <si>
    <t>Schallgeschw. [m/s]</t>
  </si>
  <si>
    <t>Fehler Schallgeschw. [m/s]</t>
  </si>
  <si>
    <t>Lediglich erste 4 Werte berücksichtigt</t>
  </si>
  <si>
    <t>Absorptionskoeff. [1/cm]</t>
  </si>
  <si>
    <t>Fehler Absorptionskoeff [1/cm]</t>
  </si>
  <si>
    <t>2MHz:</t>
  </si>
  <si>
    <t>Ergebnisse 2 MHz:</t>
  </si>
  <si>
    <t>Schallgeschwindigkeit für Polyacryl, 2MHz</t>
  </si>
  <si>
    <t>Fehler…</t>
  </si>
  <si>
    <t>Lochnr.:</t>
  </si>
  <si>
    <t>gemessene Länge [mm]</t>
  </si>
  <si>
    <t>ermittelte Länge [mm]</t>
  </si>
  <si>
    <t>Fehler gemessene Länge [mm]</t>
  </si>
  <si>
    <t>mit 1. ansteigender Flanke</t>
  </si>
  <si>
    <t>Fehler ermittelte Länge [mm]</t>
  </si>
  <si>
    <t>Fehlerüberprüfung:</t>
  </si>
  <si>
    <t>Laufzeit für l:</t>
  </si>
  <si>
    <t>Abstand der Löcher[mm]</t>
  </si>
  <si>
    <t>gemessener Abstand[mm]</t>
  </si>
  <si>
    <t>Fehler gemessener Abstand [mm]</t>
  </si>
  <si>
    <t>Fehler Abstand [mm]</t>
  </si>
  <si>
    <t>Nicht ganz klar unterscheidbar</t>
  </si>
  <si>
    <t>echte Winkel</t>
  </si>
  <si>
    <t>Winkeloffset von -4° (echte 0 bei ca. -4°)</t>
  </si>
  <si>
    <t>Winkel [rad]</t>
  </si>
  <si>
    <t>Mode</t>
  </si>
  <si>
    <t>Max. Winkel</t>
  </si>
  <si>
    <t>Grenzwinkel</t>
  </si>
  <si>
    <t>long.</t>
  </si>
  <si>
    <t>senkrecht</t>
  </si>
  <si>
    <t>Schallgeschw. GW</t>
  </si>
  <si>
    <t>Fehler GW</t>
  </si>
  <si>
    <t>Schallgeschw MW</t>
  </si>
  <si>
    <t>Fehler MW</t>
  </si>
  <si>
    <t>Fehler Maxwinkel</t>
  </si>
  <si>
    <t>Fehler Grenzwinkel</t>
  </si>
  <si>
    <t>senkrecht,1</t>
  </si>
  <si>
    <t>senkrecht,2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</si>
</sst>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3418-22C5-4890-A959-01ECAA0DC6EB}">
  <dimension ref="A2:J47"/>
  <sheetViews>
    <sheetView topLeftCell="A37" workbookViewId="0">
      <selection activeCell="C48" sqref="C48"/>
    </sheetView>
  </sheetViews>
  <sheetFormatPr baseColWidth="10" defaultRowHeight="14.5" x14ac:dyDescent="0.35"/>
  <cols>
    <col min="2" max="2" width="14.08984375" bestFit="1" customWidth="1"/>
    <col min="3" max="3" width="34" bestFit="1" customWidth="1"/>
    <col min="4" max="4" width="11.6328125" bestFit="1" customWidth="1"/>
    <col min="7" max="7" width="24" bestFit="1" customWidth="1"/>
  </cols>
  <sheetData>
    <row r="2" spans="3:8" x14ac:dyDescent="0.35">
      <c r="C2" t="s">
        <v>0</v>
      </c>
      <c r="D2">
        <v>1</v>
      </c>
      <c r="E2">
        <v>2</v>
      </c>
      <c r="F2">
        <v>3</v>
      </c>
      <c r="G2" t="s">
        <v>83</v>
      </c>
      <c r="H2" t="s">
        <v>84</v>
      </c>
    </row>
    <row r="3" spans="3:8" x14ac:dyDescent="0.35">
      <c r="C3" t="s">
        <v>1</v>
      </c>
      <c r="D3">
        <v>41.37</v>
      </c>
      <c r="E3">
        <v>80.73</v>
      </c>
      <c r="F3">
        <v>122.1</v>
      </c>
    </row>
    <row r="4" spans="3:8" x14ac:dyDescent="0.35">
      <c r="C4" t="s">
        <v>1</v>
      </c>
      <c r="D4">
        <v>41.24</v>
      </c>
      <c r="E4">
        <v>80.78</v>
      </c>
      <c r="F4">
        <v>121.7</v>
      </c>
    </row>
    <row r="5" spans="3:8" x14ac:dyDescent="0.35">
      <c r="C5" t="s">
        <v>2</v>
      </c>
      <c r="D5" s="1">
        <v>30.47</v>
      </c>
      <c r="E5" s="2">
        <v>59.67</v>
      </c>
      <c r="F5" s="3">
        <v>89.81</v>
      </c>
    </row>
    <row r="6" spans="3:8" x14ac:dyDescent="0.35">
      <c r="C6" t="s">
        <v>3</v>
      </c>
      <c r="D6" s="1">
        <v>61.21</v>
      </c>
      <c r="E6" s="2">
        <v>119.3</v>
      </c>
      <c r="F6" s="3"/>
    </row>
    <row r="7" spans="3:8" x14ac:dyDescent="0.35">
      <c r="C7" t="s">
        <v>4</v>
      </c>
      <c r="D7" s="1">
        <v>32.229999999999997</v>
      </c>
      <c r="E7" s="2">
        <v>61.42</v>
      </c>
      <c r="F7" s="3">
        <v>91.8</v>
      </c>
    </row>
    <row r="8" spans="3:8" x14ac:dyDescent="0.35">
      <c r="C8" t="s">
        <v>5</v>
      </c>
      <c r="D8" s="1">
        <v>62.97</v>
      </c>
      <c r="E8" s="2">
        <v>122.1</v>
      </c>
      <c r="F8" s="3"/>
    </row>
    <row r="9" spans="3:8" x14ac:dyDescent="0.35">
      <c r="C9" t="s">
        <v>6</v>
      </c>
      <c r="D9" s="4">
        <v>30.28</v>
      </c>
      <c r="E9" s="5">
        <v>59.36</v>
      </c>
      <c r="F9" s="6">
        <v>89.55</v>
      </c>
    </row>
    <row r="10" spans="3:8" x14ac:dyDescent="0.35">
      <c r="C10" t="s">
        <v>7</v>
      </c>
      <c r="D10" s="4">
        <v>60.48</v>
      </c>
      <c r="E10" s="5"/>
    </row>
    <row r="11" spans="3:8" x14ac:dyDescent="0.35">
      <c r="C11" t="s">
        <v>8</v>
      </c>
      <c r="D11" s="4">
        <v>31.28</v>
      </c>
      <c r="E11" s="5">
        <v>60.46</v>
      </c>
      <c r="F11" s="6">
        <v>90.62</v>
      </c>
    </row>
    <row r="12" spans="3:8" x14ac:dyDescent="0.35">
      <c r="C12" t="s">
        <v>9</v>
      </c>
      <c r="D12" s="4">
        <v>61.68</v>
      </c>
      <c r="E12" s="5"/>
    </row>
    <row r="22" spans="3:3" x14ac:dyDescent="0.35">
      <c r="C22" s="1" t="s">
        <v>10</v>
      </c>
    </row>
    <row r="23" spans="3:3" x14ac:dyDescent="0.35">
      <c r="C23" s="2" t="s">
        <v>11</v>
      </c>
    </row>
    <row r="24" spans="3:3" x14ac:dyDescent="0.35">
      <c r="C24" s="3" t="s">
        <v>12</v>
      </c>
    </row>
    <row r="25" spans="3:3" x14ac:dyDescent="0.35">
      <c r="C25" s="4" t="s">
        <v>13</v>
      </c>
    </row>
    <row r="26" spans="3:3" x14ac:dyDescent="0.35">
      <c r="C26" s="5" t="s">
        <v>14</v>
      </c>
    </row>
    <row r="27" spans="3:3" x14ac:dyDescent="0.35">
      <c r="C27" s="6" t="s">
        <v>15</v>
      </c>
    </row>
    <row r="33" spans="1:10" x14ac:dyDescent="0.35">
      <c r="C33" t="s">
        <v>103</v>
      </c>
      <c r="I33" t="s">
        <v>103</v>
      </c>
    </row>
    <row r="34" spans="1:10" x14ac:dyDescent="0.35">
      <c r="A34" t="s">
        <v>107</v>
      </c>
      <c r="B34" t="s">
        <v>106</v>
      </c>
      <c r="C34" t="s">
        <v>104</v>
      </c>
      <c r="D34" t="s">
        <v>105</v>
      </c>
      <c r="G34" t="s">
        <v>107</v>
      </c>
      <c r="H34" t="s">
        <v>106</v>
      </c>
      <c r="I34" t="s">
        <v>104</v>
      </c>
      <c r="J34" t="s">
        <v>105</v>
      </c>
    </row>
    <row r="35" spans="1:10" x14ac:dyDescent="0.35">
      <c r="A35">
        <v>30.47</v>
      </c>
      <c r="B35">
        <v>0.01</v>
      </c>
      <c r="C35">
        <f>2*D3</f>
        <v>82.74</v>
      </c>
      <c r="D35">
        <v>0.06</v>
      </c>
      <c r="G35">
        <v>30.28</v>
      </c>
      <c r="H35">
        <v>0.01</v>
      </c>
      <c r="I35">
        <v>82.74</v>
      </c>
      <c r="J35">
        <v>0.06</v>
      </c>
    </row>
    <row r="36" spans="1:10" x14ac:dyDescent="0.35">
      <c r="A36">
        <v>59.67</v>
      </c>
      <c r="B36">
        <v>0.01</v>
      </c>
      <c r="C36">
        <f>2*E3</f>
        <v>161.46</v>
      </c>
      <c r="D36">
        <v>0.06</v>
      </c>
      <c r="G36">
        <v>59.36</v>
      </c>
      <c r="H36">
        <v>0.01</v>
      </c>
      <c r="I36">
        <v>161.46</v>
      </c>
      <c r="J36">
        <v>0.06</v>
      </c>
    </row>
    <row r="37" spans="1:10" x14ac:dyDescent="0.35">
      <c r="A37">
        <f>F5</f>
        <v>89.81</v>
      </c>
      <c r="B37">
        <v>0.01</v>
      </c>
      <c r="C37">
        <f>2*F3</f>
        <v>244.2</v>
      </c>
      <c r="D37">
        <v>0.06</v>
      </c>
      <c r="G37">
        <v>89.55</v>
      </c>
      <c r="H37">
        <v>0.01</v>
      </c>
      <c r="I37">
        <v>244.2</v>
      </c>
      <c r="J37">
        <v>0.06</v>
      </c>
    </row>
    <row r="38" spans="1:10" x14ac:dyDescent="0.35">
      <c r="A38">
        <v>61.21</v>
      </c>
      <c r="B38">
        <v>0.01</v>
      </c>
      <c r="C38">
        <f>4*D3</f>
        <v>165.48</v>
      </c>
      <c r="D38">
        <v>0.12</v>
      </c>
      <c r="G38">
        <v>60.48</v>
      </c>
      <c r="H38">
        <v>0.01</v>
      </c>
      <c r="I38">
        <v>165.48</v>
      </c>
      <c r="J38">
        <v>0.12</v>
      </c>
    </row>
    <row r="39" spans="1:10" x14ac:dyDescent="0.35">
      <c r="A39">
        <v>119.3</v>
      </c>
      <c r="B39">
        <v>0.01</v>
      </c>
      <c r="C39">
        <f>4*E3</f>
        <v>322.92</v>
      </c>
      <c r="D39">
        <v>0.12</v>
      </c>
    </row>
    <row r="45" spans="1:10" x14ac:dyDescent="0.35">
      <c r="B45" s="3" t="s">
        <v>61</v>
      </c>
      <c r="C45" s="3" t="s">
        <v>101</v>
      </c>
      <c r="D45" s="3" t="s">
        <v>102</v>
      </c>
    </row>
    <row r="46" spans="1:10" x14ac:dyDescent="0.35">
      <c r="B46" s="3">
        <v>1</v>
      </c>
      <c r="C46" s="3">
        <v>2714.4</v>
      </c>
      <c r="D46" s="3">
        <v>9.49</v>
      </c>
    </row>
    <row r="47" spans="1:10" x14ac:dyDescent="0.35">
      <c r="B47" s="3">
        <v>2</v>
      </c>
      <c r="C47" s="3">
        <v>2724.31</v>
      </c>
      <c r="D47" s="3">
        <v>8.59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C54E-DA34-4F68-A224-840B839A5F68}">
  <dimension ref="A2:R42"/>
  <sheetViews>
    <sheetView topLeftCell="A31" workbookViewId="0">
      <selection activeCell="C51" sqref="C51"/>
    </sheetView>
  </sheetViews>
  <sheetFormatPr baseColWidth="10" defaultRowHeight="14.5" x14ac:dyDescent="0.35"/>
  <cols>
    <col min="1" max="1" width="35.7265625" bestFit="1" customWidth="1"/>
    <col min="2" max="2" width="32.453125" bestFit="1" customWidth="1"/>
    <col min="3" max="3" width="26.7265625" bestFit="1" customWidth="1"/>
    <col min="4" max="6" width="26.90625" bestFit="1" customWidth="1"/>
    <col min="7" max="7" width="26.7265625" bestFit="1" customWidth="1"/>
    <col min="8" max="8" width="29" bestFit="1" customWidth="1"/>
    <col min="9" max="10" width="26.90625" bestFit="1" customWidth="1"/>
    <col min="11" max="11" width="24.7265625" bestFit="1" customWidth="1"/>
    <col min="12" max="12" width="21.6328125" bestFit="1" customWidth="1"/>
    <col min="13" max="14" width="26.90625" bestFit="1" customWidth="1"/>
    <col min="16" max="16" width="24.7265625" bestFit="1" customWidth="1"/>
    <col min="17" max="17" width="21.6328125" bestFit="1" customWidth="1"/>
    <col min="18" max="18" width="26.90625" bestFit="1" customWidth="1"/>
  </cols>
  <sheetData>
    <row r="2" spans="1:18" x14ac:dyDescent="0.35">
      <c r="K2" t="s">
        <v>42</v>
      </c>
    </row>
    <row r="3" spans="1:18" x14ac:dyDescent="0.35">
      <c r="B3" t="s">
        <v>21</v>
      </c>
      <c r="C3" t="s">
        <v>24</v>
      </c>
      <c r="D3" t="s">
        <v>22</v>
      </c>
      <c r="E3" t="s">
        <v>87</v>
      </c>
      <c r="F3" t="s">
        <v>25</v>
      </c>
      <c r="H3" t="s">
        <v>88</v>
      </c>
      <c r="I3" t="s">
        <v>26</v>
      </c>
      <c r="J3" t="s">
        <v>89</v>
      </c>
      <c r="L3" t="s">
        <v>93</v>
      </c>
      <c r="M3" t="s">
        <v>94</v>
      </c>
      <c r="N3" t="s">
        <v>95</v>
      </c>
      <c r="P3" t="s">
        <v>43</v>
      </c>
      <c r="Q3" t="s">
        <v>44</v>
      </c>
      <c r="R3" t="s">
        <v>45</v>
      </c>
    </row>
    <row r="4" spans="1:18" x14ac:dyDescent="0.35">
      <c r="A4" t="s">
        <v>16</v>
      </c>
      <c r="B4">
        <v>25.03</v>
      </c>
      <c r="C4">
        <v>21.78</v>
      </c>
      <c r="D4">
        <v>23.32</v>
      </c>
      <c r="E4">
        <v>0.56999999999999995</v>
      </c>
      <c r="F4">
        <v>10</v>
      </c>
      <c r="H4">
        <v>21.53</v>
      </c>
      <c r="I4">
        <v>22.48</v>
      </c>
      <c r="J4">
        <v>1.01</v>
      </c>
      <c r="L4">
        <v>41.13</v>
      </c>
      <c r="M4">
        <v>44.12</v>
      </c>
      <c r="N4">
        <v>0.05</v>
      </c>
      <c r="P4">
        <v>21.4</v>
      </c>
      <c r="Q4">
        <v>22.12</v>
      </c>
      <c r="R4">
        <v>0.18</v>
      </c>
    </row>
    <row r="5" spans="1:18" x14ac:dyDescent="0.35">
      <c r="A5" t="s">
        <v>17</v>
      </c>
      <c r="B5">
        <v>30.04</v>
      </c>
      <c r="C5">
        <v>26.01</v>
      </c>
      <c r="D5">
        <v>27.64</v>
      </c>
      <c r="E5">
        <v>0.42</v>
      </c>
      <c r="F5">
        <v>11</v>
      </c>
      <c r="H5">
        <v>25.81</v>
      </c>
      <c r="I5">
        <v>26.77</v>
      </c>
      <c r="J5">
        <v>0.72</v>
      </c>
      <c r="L5">
        <v>51.63</v>
      </c>
      <c r="M5">
        <v>52.69</v>
      </c>
      <c r="N5">
        <v>0.03</v>
      </c>
      <c r="P5">
        <v>25.62</v>
      </c>
      <c r="Q5">
        <v>26.43</v>
      </c>
      <c r="R5">
        <v>0.09</v>
      </c>
    </row>
    <row r="6" spans="1:18" x14ac:dyDescent="0.35">
      <c r="A6" t="s">
        <v>18</v>
      </c>
      <c r="B6">
        <v>35.049999999999997</v>
      </c>
      <c r="C6">
        <v>30.46</v>
      </c>
      <c r="D6">
        <v>32.020000000000003</v>
      </c>
      <c r="E6">
        <v>0.33</v>
      </c>
      <c r="F6">
        <v>13</v>
      </c>
      <c r="H6">
        <v>30.11</v>
      </c>
      <c r="I6">
        <v>31.11</v>
      </c>
      <c r="J6">
        <v>0.37</v>
      </c>
      <c r="L6">
        <v>60.39</v>
      </c>
      <c r="M6">
        <v>61.41</v>
      </c>
      <c r="N6">
        <v>0.01</v>
      </c>
      <c r="P6">
        <v>29.88</v>
      </c>
      <c r="Q6">
        <v>30.65</v>
      </c>
      <c r="R6">
        <v>0.04</v>
      </c>
    </row>
    <row r="7" spans="1:18" x14ac:dyDescent="0.35">
      <c r="A7" t="s">
        <v>19</v>
      </c>
      <c r="B7">
        <v>45.04</v>
      </c>
      <c r="C7">
        <v>38.74</v>
      </c>
      <c r="D7">
        <v>40.64</v>
      </c>
      <c r="E7">
        <v>0.19</v>
      </c>
      <c r="F7">
        <v>15</v>
      </c>
      <c r="H7">
        <v>38.65</v>
      </c>
      <c r="I7">
        <v>39.72</v>
      </c>
      <c r="J7">
        <v>0.15</v>
      </c>
      <c r="P7">
        <v>38.46</v>
      </c>
      <c r="Q7">
        <v>39.130000000000003</v>
      </c>
      <c r="R7">
        <v>0.01</v>
      </c>
    </row>
    <row r="8" spans="1:18" x14ac:dyDescent="0.35">
      <c r="A8" t="s">
        <v>20</v>
      </c>
      <c r="B8">
        <v>65.040000000000006</v>
      </c>
    </row>
    <row r="12" spans="1:18" x14ac:dyDescent="0.35">
      <c r="A12" t="s">
        <v>27</v>
      </c>
      <c r="B12" t="s">
        <v>30</v>
      </c>
    </row>
    <row r="13" spans="1:18" x14ac:dyDescent="0.35">
      <c r="A13" t="s">
        <v>28</v>
      </c>
      <c r="B13" t="s">
        <v>29</v>
      </c>
      <c r="C13" t="s">
        <v>31</v>
      </c>
    </row>
    <row r="14" spans="1:18" x14ac:dyDescent="0.35">
      <c r="A14" t="s">
        <v>35</v>
      </c>
      <c r="B14" t="s">
        <v>32</v>
      </c>
    </row>
    <row r="15" spans="1:18" x14ac:dyDescent="0.35">
      <c r="A15" t="s">
        <v>36</v>
      </c>
      <c r="B15" t="s">
        <v>33</v>
      </c>
      <c r="C15" t="s">
        <v>34</v>
      </c>
    </row>
    <row r="16" spans="1:18" x14ac:dyDescent="0.35">
      <c r="A16" t="s">
        <v>37</v>
      </c>
      <c r="B16" t="s">
        <v>39</v>
      </c>
    </row>
    <row r="17" spans="1:9" x14ac:dyDescent="0.35">
      <c r="A17" t="s">
        <v>38</v>
      </c>
      <c r="B17" t="s">
        <v>40</v>
      </c>
      <c r="C17" t="s">
        <v>41</v>
      </c>
    </row>
    <row r="22" spans="1:9" x14ac:dyDescent="0.35">
      <c r="A22" t="s">
        <v>91</v>
      </c>
      <c r="F22" t="s">
        <v>92</v>
      </c>
    </row>
    <row r="23" spans="1:9" x14ac:dyDescent="0.35">
      <c r="A23" t="s">
        <v>85</v>
      </c>
      <c r="B23" t="s">
        <v>98</v>
      </c>
      <c r="C23" t="s">
        <v>86</v>
      </c>
      <c r="D23" t="s">
        <v>90</v>
      </c>
      <c r="F23" t="s">
        <v>85</v>
      </c>
      <c r="G23" t="s">
        <v>98</v>
      </c>
      <c r="H23" t="s">
        <v>86</v>
      </c>
      <c r="I23" t="s">
        <v>90</v>
      </c>
    </row>
    <row r="24" spans="1:9" x14ac:dyDescent="0.35">
      <c r="A24">
        <f>2*B4</f>
        <v>50.06</v>
      </c>
      <c r="B24">
        <f>0.03*2</f>
        <v>0.06</v>
      </c>
      <c r="C24">
        <f>E4</f>
        <v>0.56999999999999995</v>
      </c>
      <c r="D24">
        <f>C4</f>
        <v>21.78</v>
      </c>
      <c r="F24">
        <f>2*B4</f>
        <v>50.06</v>
      </c>
      <c r="G24">
        <f>0.03*2</f>
        <v>0.06</v>
      </c>
      <c r="H24">
        <f>J4</f>
        <v>1.01</v>
      </c>
      <c r="I24">
        <f>H4</f>
        <v>21.53</v>
      </c>
    </row>
    <row r="25" spans="1:9" x14ac:dyDescent="0.35">
      <c r="A25">
        <f>2*B5</f>
        <v>60.08</v>
      </c>
      <c r="B25">
        <f t="shared" ref="B25:B27" si="0">0.03*2</f>
        <v>0.06</v>
      </c>
      <c r="C25">
        <f>E5</f>
        <v>0.42</v>
      </c>
      <c r="D25">
        <f>C5</f>
        <v>26.01</v>
      </c>
      <c r="F25">
        <f>2*B5</f>
        <v>60.08</v>
      </c>
      <c r="G25">
        <f t="shared" ref="G25:G27" si="1">0.03*2</f>
        <v>0.06</v>
      </c>
      <c r="H25">
        <f>J5</f>
        <v>0.72</v>
      </c>
      <c r="I25">
        <f>H5</f>
        <v>25.81</v>
      </c>
    </row>
    <row r="26" spans="1:9" x14ac:dyDescent="0.35">
      <c r="A26">
        <f>2*B6</f>
        <v>70.099999999999994</v>
      </c>
      <c r="B26">
        <f t="shared" si="0"/>
        <v>0.06</v>
      </c>
      <c r="C26">
        <f>E6</f>
        <v>0.33</v>
      </c>
      <c r="D26">
        <f>C6</f>
        <v>30.46</v>
      </c>
      <c r="F26">
        <f>2*B6</f>
        <v>70.099999999999994</v>
      </c>
      <c r="G26">
        <f t="shared" si="1"/>
        <v>0.06</v>
      </c>
      <c r="H26">
        <f>J6</f>
        <v>0.37</v>
      </c>
      <c r="I26">
        <f>H6</f>
        <v>30.11</v>
      </c>
    </row>
    <row r="27" spans="1:9" x14ac:dyDescent="0.35">
      <c r="A27">
        <f>2*B7</f>
        <v>90.08</v>
      </c>
      <c r="B27">
        <f t="shared" si="0"/>
        <v>0.06</v>
      </c>
      <c r="C27">
        <f>E7</f>
        <v>0.19</v>
      </c>
      <c r="D27">
        <f>C7</f>
        <v>38.74</v>
      </c>
      <c r="F27">
        <f>2*B7</f>
        <v>90.08</v>
      </c>
      <c r="G27">
        <f t="shared" si="1"/>
        <v>0.06</v>
      </c>
      <c r="H27">
        <f>J7</f>
        <v>0.15</v>
      </c>
      <c r="I27">
        <f>H7</f>
        <v>38.65</v>
      </c>
    </row>
    <row r="28" spans="1:9" x14ac:dyDescent="0.35">
      <c r="A28" s="1">
        <f>4*B5</f>
        <v>120.16</v>
      </c>
      <c r="B28" s="1">
        <f>0.03*4</f>
        <v>0.12</v>
      </c>
      <c r="C28" s="1">
        <v>0.04</v>
      </c>
      <c r="D28" s="1">
        <v>52.39</v>
      </c>
      <c r="F28">
        <f>4*B4</f>
        <v>100.12</v>
      </c>
      <c r="G28" s="1">
        <f>0.03*4</f>
        <v>0.12</v>
      </c>
      <c r="H28">
        <f>N4</f>
        <v>0.05</v>
      </c>
      <c r="I28">
        <f>L4</f>
        <v>41.13</v>
      </c>
    </row>
    <row r="29" spans="1:9" x14ac:dyDescent="0.35">
      <c r="A29" s="1">
        <f>4*B6</f>
        <v>140.19999999999999</v>
      </c>
      <c r="B29" s="1">
        <f t="shared" ref="B29:B30" si="2">0.03*4</f>
        <v>0.12</v>
      </c>
      <c r="C29" s="1">
        <v>0.03</v>
      </c>
      <c r="D29" s="1">
        <v>61.1</v>
      </c>
      <c r="F29">
        <f>4*B5</f>
        <v>120.16</v>
      </c>
      <c r="G29" s="1">
        <f t="shared" ref="G29:G30" si="3">0.03*4</f>
        <v>0.12</v>
      </c>
      <c r="H29">
        <f>N5</f>
        <v>0.03</v>
      </c>
      <c r="I29">
        <f>L5</f>
        <v>51.63</v>
      </c>
    </row>
    <row r="30" spans="1:9" x14ac:dyDescent="0.35">
      <c r="A30" s="1">
        <f>4*B7</f>
        <v>180.16</v>
      </c>
      <c r="B30" s="1">
        <f t="shared" si="2"/>
        <v>0.12</v>
      </c>
      <c r="C30" s="1">
        <v>0.01</v>
      </c>
      <c r="D30" s="1">
        <v>78.44</v>
      </c>
      <c r="F30">
        <f>4*B6</f>
        <v>140.19999999999999</v>
      </c>
      <c r="G30" s="1">
        <f t="shared" si="3"/>
        <v>0.12</v>
      </c>
      <c r="H30">
        <f>N6</f>
        <v>0.01</v>
      </c>
      <c r="I30">
        <f>L6</f>
        <v>60.39</v>
      </c>
    </row>
    <row r="34" spans="1:5" x14ac:dyDescent="0.35">
      <c r="A34" t="s">
        <v>96</v>
      </c>
    </row>
    <row r="35" spans="1:5" x14ac:dyDescent="0.35">
      <c r="A35" t="s">
        <v>97</v>
      </c>
    </row>
    <row r="38" spans="1:5" x14ac:dyDescent="0.35">
      <c r="A38" s="3" t="s">
        <v>108</v>
      </c>
      <c r="B38" s="3"/>
      <c r="C38" s="3"/>
      <c r="D38" s="3"/>
      <c r="E38" s="3"/>
    </row>
    <row r="39" spans="1:5" x14ac:dyDescent="0.35">
      <c r="A39" s="3" t="s">
        <v>112</v>
      </c>
      <c r="B39" s="3"/>
      <c r="C39" s="3"/>
      <c r="D39" s="3"/>
      <c r="E39" s="3"/>
    </row>
    <row r="40" spans="1:5" x14ac:dyDescent="0.35">
      <c r="A40" s="3" t="s">
        <v>109</v>
      </c>
      <c r="B40" s="3" t="s">
        <v>110</v>
      </c>
      <c r="C40" s="3" t="s">
        <v>111</v>
      </c>
      <c r="D40" s="3" t="s">
        <v>113</v>
      </c>
      <c r="E40" s="3" t="s">
        <v>114</v>
      </c>
    </row>
    <row r="41" spans="1:5" x14ac:dyDescent="0.35">
      <c r="A41" s="3" t="s">
        <v>103</v>
      </c>
      <c r="B41" s="3">
        <v>2355.48</v>
      </c>
      <c r="C41" s="3">
        <v>22.04</v>
      </c>
      <c r="D41" s="3">
        <v>0.2752</v>
      </c>
      <c r="E41" s="3">
        <v>9.33317E-3</v>
      </c>
    </row>
    <row r="42" spans="1:5" x14ac:dyDescent="0.35">
      <c r="A42" s="3" t="s">
        <v>92</v>
      </c>
      <c r="B42" s="3">
        <v>2337.1999999999998</v>
      </c>
      <c r="C42" s="3">
        <v>1.22</v>
      </c>
      <c r="D42" s="3">
        <v>0.45910000000000001</v>
      </c>
      <c r="E42" s="3">
        <v>5.7000000000000002E-2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32B8-B08E-4975-BCD5-9B90F5E54131}">
  <dimension ref="A2:J45"/>
  <sheetViews>
    <sheetView topLeftCell="A31" zoomScale="91" workbookViewId="0">
      <selection activeCell="C40" sqref="C40"/>
    </sheetView>
  </sheetViews>
  <sheetFormatPr baseColWidth="10" defaultRowHeight="14.5" x14ac:dyDescent="0.35"/>
  <cols>
    <col min="1" max="1" width="7" bestFit="1" customWidth="1"/>
    <col min="2" max="2" width="32.54296875" bestFit="1" customWidth="1"/>
    <col min="3" max="3" width="20.54296875" bestFit="1" customWidth="1"/>
    <col min="4" max="4" width="38.08984375" bestFit="1" customWidth="1"/>
    <col min="5" max="5" width="34.26953125" bestFit="1" customWidth="1"/>
    <col min="6" max="6" width="38.08984375" bestFit="1" customWidth="1"/>
    <col min="7" max="7" width="34.26953125" bestFit="1" customWidth="1"/>
    <col min="8" max="8" width="38.08984375" bestFit="1" customWidth="1"/>
    <col min="9" max="9" width="34.26953125" bestFit="1" customWidth="1"/>
  </cols>
  <sheetData>
    <row r="2" spans="1:10" x14ac:dyDescent="0.35">
      <c r="D2" t="s">
        <v>54</v>
      </c>
      <c r="F2" t="s">
        <v>53</v>
      </c>
      <c r="H2" t="s">
        <v>55</v>
      </c>
    </row>
    <row r="3" spans="1:10" x14ac:dyDescent="0.35">
      <c r="A3" t="s">
        <v>46</v>
      </c>
      <c r="B3" t="s">
        <v>82</v>
      </c>
      <c r="C3" t="s">
        <v>47</v>
      </c>
      <c r="D3" t="s">
        <v>51</v>
      </c>
      <c r="E3" t="s">
        <v>52</v>
      </c>
      <c r="F3" t="s">
        <v>51</v>
      </c>
      <c r="G3" t="s">
        <v>52</v>
      </c>
      <c r="H3" t="s">
        <v>51</v>
      </c>
      <c r="I3" t="s">
        <v>52</v>
      </c>
    </row>
    <row r="4" spans="1:10" x14ac:dyDescent="0.35">
      <c r="A4">
        <v>1</v>
      </c>
      <c r="B4">
        <v>6.92</v>
      </c>
      <c r="C4">
        <v>6.88</v>
      </c>
      <c r="D4">
        <v>5.14</v>
      </c>
      <c r="E4">
        <v>6.11</v>
      </c>
      <c r="F4">
        <v>10.29</v>
      </c>
      <c r="G4">
        <v>11.08</v>
      </c>
      <c r="H4" t="s">
        <v>56</v>
      </c>
      <c r="I4" t="s">
        <v>56</v>
      </c>
    </row>
    <row r="5" spans="1:10" x14ac:dyDescent="0.35">
      <c r="A5">
        <v>2</v>
      </c>
      <c r="B5">
        <v>15</v>
      </c>
      <c r="C5">
        <v>14.9</v>
      </c>
      <c r="D5">
        <v>10.99</v>
      </c>
      <c r="E5">
        <v>11.87</v>
      </c>
      <c r="F5">
        <v>22.08</v>
      </c>
      <c r="G5">
        <v>22.84</v>
      </c>
      <c r="H5">
        <v>58.89</v>
      </c>
      <c r="I5">
        <v>59.77</v>
      </c>
    </row>
    <row r="6" spans="1:10" x14ac:dyDescent="0.35">
      <c r="A6">
        <v>3</v>
      </c>
      <c r="B6">
        <v>23.02</v>
      </c>
      <c r="C6">
        <v>22.83</v>
      </c>
      <c r="D6">
        <v>16.850000000000001</v>
      </c>
      <c r="E6">
        <v>17.73</v>
      </c>
      <c r="F6" s="1">
        <v>33.65</v>
      </c>
      <c r="G6" s="1">
        <v>34.56</v>
      </c>
      <c r="H6">
        <v>58.89</v>
      </c>
      <c r="I6">
        <v>59.77</v>
      </c>
    </row>
    <row r="7" spans="1:10" x14ac:dyDescent="0.35">
      <c r="A7">
        <v>4</v>
      </c>
      <c r="B7">
        <v>31.02</v>
      </c>
      <c r="C7">
        <v>30.84</v>
      </c>
      <c r="D7">
        <v>22.69</v>
      </c>
      <c r="E7">
        <v>23.63</v>
      </c>
      <c r="F7">
        <v>45.45</v>
      </c>
      <c r="G7">
        <v>46.36</v>
      </c>
      <c r="H7">
        <v>58.81</v>
      </c>
      <c r="I7">
        <v>59.73</v>
      </c>
    </row>
    <row r="8" spans="1:10" x14ac:dyDescent="0.35">
      <c r="A8">
        <v>5</v>
      </c>
      <c r="B8">
        <v>38.869999999999997</v>
      </c>
      <c r="C8">
        <v>38.869999999999997</v>
      </c>
      <c r="D8">
        <v>28.53</v>
      </c>
      <c r="E8">
        <v>29.6</v>
      </c>
      <c r="F8" s="5">
        <v>57.2</v>
      </c>
      <c r="G8" s="5">
        <v>58.18</v>
      </c>
      <c r="H8" s="7">
        <v>58.82</v>
      </c>
      <c r="I8" s="7">
        <v>59.74</v>
      </c>
      <c r="J8" t="s">
        <v>58</v>
      </c>
    </row>
    <row r="9" spans="1:10" x14ac:dyDescent="0.35">
      <c r="A9">
        <v>6</v>
      </c>
      <c r="B9">
        <v>46.7</v>
      </c>
      <c r="C9">
        <v>46.64</v>
      </c>
      <c r="D9">
        <v>34.200000000000003</v>
      </c>
      <c r="E9">
        <v>35.19</v>
      </c>
      <c r="H9">
        <v>58.7</v>
      </c>
      <c r="I9">
        <v>59.73</v>
      </c>
    </row>
    <row r="10" spans="1:10" x14ac:dyDescent="0.35">
      <c r="A10">
        <v>7</v>
      </c>
      <c r="B10">
        <v>53.92</v>
      </c>
      <c r="C10">
        <v>53.95</v>
      </c>
      <c r="D10">
        <v>39.549999999999997</v>
      </c>
      <c r="E10">
        <v>40.630000000000003</v>
      </c>
      <c r="H10">
        <v>58.78</v>
      </c>
      <c r="I10">
        <v>59.74</v>
      </c>
    </row>
    <row r="11" spans="1:10" x14ac:dyDescent="0.35">
      <c r="A11">
        <v>8</v>
      </c>
      <c r="B11">
        <v>61.44</v>
      </c>
      <c r="C11">
        <v>61.38</v>
      </c>
      <c r="D11">
        <v>45.06</v>
      </c>
      <c r="E11">
        <v>46.15</v>
      </c>
      <c r="H11">
        <v>58.84</v>
      </c>
      <c r="I11">
        <v>59.77</v>
      </c>
    </row>
    <row r="12" spans="1:10" x14ac:dyDescent="0.35">
      <c r="A12" t="s">
        <v>48</v>
      </c>
      <c r="B12">
        <v>17.420000000000002</v>
      </c>
      <c r="C12">
        <v>17.489999999999998</v>
      </c>
      <c r="D12" s="4">
        <v>12.88</v>
      </c>
      <c r="E12" s="4">
        <v>13.74</v>
      </c>
    </row>
    <row r="13" spans="1:10" x14ac:dyDescent="0.35">
      <c r="A13" t="s">
        <v>49</v>
      </c>
      <c r="B13">
        <v>19.14</v>
      </c>
      <c r="C13">
        <v>19.100000000000001</v>
      </c>
      <c r="D13" s="4">
        <v>14.38</v>
      </c>
      <c r="E13" s="4">
        <v>15.02</v>
      </c>
    </row>
    <row r="14" spans="1:10" x14ac:dyDescent="0.35">
      <c r="A14">
        <v>10</v>
      </c>
      <c r="B14">
        <v>55.4</v>
      </c>
      <c r="C14">
        <v>55.42</v>
      </c>
      <c r="D14">
        <v>40.64</v>
      </c>
      <c r="E14">
        <v>41.72</v>
      </c>
    </row>
    <row r="15" spans="1:10" x14ac:dyDescent="0.35">
      <c r="A15" t="s">
        <v>50</v>
      </c>
      <c r="B15">
        <v>80.16</v>
      </c>
      <c r="C15">
        <v>80.209999999999994</v>
      </c>
    </row>
    <row r="22" spans="2:8" x14ac:dyDescent="0.35">
      <c r="B22" t="s">
        <v>57</v>
      </c>
      <c r="D22" t="s">
        <v>117</v>
      </c>
      <c r="E22" t="s">
        <v>118</v>
      </c>
      <c r="G22" t="s">
        <v>126</v>
      </c>
    </row>
    <row r="23" spans="2:8" x14ac:dyDescent="0.35">
      <c r="D23" s="4">
        <v>2724.31</v>
      </c>
      <c r="E23" s="4">
        <v>8.59</v>
      </c>
      <c r="G23">
        <f>AVERAGE(H5:H11)</f>
        <v>58.818571428571431</v>
      </c>
      <c r="H23">
        <f>_xlfn.STDEV.S(H5:H11)/SQRT(7)</f>
        <v>2.5017001022025854E-2</v>
      </c>
    </row>
    <row r="26" spans="2:8" x14ac:dyDescent="0.35">
      <c r="B26" s="4" t="s">
        <v>59</v>
      </c>
    </row>
    <row r="27" spans="2:8" x14ac:dyDescent="0.35">
      <c r="B27" t="s">
        <v>60</v>
      </c>
    </row>
    <row r="30" spans="2:8" x14ac:dyDescent="0.35">
      <c r="B30" s="3" t="s">
        <v>116</v>
      </c>
      <c r="C30" s="3"/>
      <c r="D30" s="3"/>
      <c r="E30" s="3" t="s">
        <v>123</v>
      </c>
      <c r="F30" s="3"/>
      <c r="G30" s="3"/>
    </row>
    <row r="31" spans="2:8" x14ac:dyDescent="0.35">
      <c r="B31" s="3" t="s">
        <v>119</v>
      </c>
      <c r="C31" s="3" t="s">
        <v>120</v>
      </c>
      <c r="D31" s="3" t="s">
        <v>122</v>
      </c>
      <c r="E31" s="3" t="s">
        <v>121</v>
      </c>
      <c r="F31" s="3" t="s">
        <v>124</v>
      </c>
      <c r="G31" s="3" t="s">
        <v>125</v>
      </c>
    </row>
    <row r="32" spans="2:8" x14ac:dyDescent="0.35">
      <c r="B32" s="3">
        <v>1</v>
      </c>
      <c r="C32" s="3">
        <f>AVERAGE(B4:C4)</f>
        <v>6.9</v>
      </c>
      <c r="D32" s="3">
        <v>0.03</v>
      </c>
      <c r="E32" s="3">
        <f t="shared" ref="E32:E42" si="0">10^3*(D4*$D$23*10^-6)/2</f>
        <v>7.0014766999999996</v>
      </c>
      <c r="F32" s="3">
        <f>E32*SQRT((0.01/D4)^2+($E$23/$D$23)^2)</f>
        <v>2.5940502040101305E-2</v>
      </c>
      <c r="G32" s="3">
        <f>ABS(C32-E32)-D32-F32</f>
        <v>4.5536197959897898E-2</v>
      </c>
    </row>
    <row r="33" spans="2:7" x14ac:dyDescent="0.35">
      <c r="B33" s="3">
        <v>2</v>
      </c>
      <c r="C33" s="3">
        <f t="shared" ref="C33:C42" si="1">AVERAGE(B5:C5)</f>
        <v>14.95</v>
      </c>
      <c r="D33" s="3">
        <v>0.03</v>
      </c>
      <c r="E33" s="3">
        <f t="shared" si="0"/>
        <v>14.970083449999999</v>
      </c>
      <c r="F33" s="3">
        <f t="shared" ref="F33:F41" si="2">E33*SQRT((0.01/D5)^2+($E$23/$D$23)^2)</f>
        <v>4.9128201153767072E-2</v>
      </c>
      <c r="G33" s="3">
        <f t="shared" ref="G33:G43" si="3">ABS(C33-E33)-D33-F33</f>
        <v>-5.9044751153767512E-2</v>
      </c>
    </row>
    <row r="34" spans="2:7" x14ac:dyDescent="0.35">
      <c r="B34" s="3">
        <v>3</v>
      </c>
      <c r="C34" s="3">
        <f t="shared" si="1"/>
        <v>22.924999999999997</v>
      </c>
      <c r="D34" s="3">
        <v>0.03</v>
      </c>
      <c r="E34" s="3">
        <f t="shared" si="0"/>
        <v>22.95231175</v>
      </c>
      <c r="F34" s="3">
        <f t="shared" si="2"/>
        <v>7.3641510576338678E-2</v>
      </c>
      <c r="G34" s="3">
        <f t="shared" si="3"/>
        <v>-7.6329760576336045E-2</v>
      </c>
    </row>
    <row r="35" spans="2:7" x14ac:dyDescent="0.35">
      <c r="B35" s="3">
        <v>4</v>
      </c>
      <c r="C35" s="3">
        <f t="shared" si="1"/>
        <v>30.93</v>
      </c>
      <c r="D35" s="3">
        <v>0.03</v>
      </c>
      <c r="E35" s="3">
        <f t="shared" si="0"/>
        <v>30.907296949999999</v>
      </c>
      <c r="F35" s="3">
        <f t="shared" si="2"/>
        <v>9.8400919873774556E-2</v>
      </c>
      <c r="G35" s="3">
        <f t="shared" si="3"/>
        <v>-0.10569786987377405</v>
      </c>
    </row>
    <row r="36" spans="2:7" x14ac:dyDescent="0.35">
      <c r="B36" s="3">
        <v>5</v>
      </c>
      <c r="C36" s="3">
        <f t="shared" si="1"/>
        <v>38.869999999999997</v>
      </c>
      <c r="D36" s="3">
        <v>0.03</v>
      </c>
      <c r="E36" s="3">
        <f t="shared" si="0"/>
        <v>38.862282149999999</v>
      </c>
      <c r="F36" s="3">
        <f t="shared" si="2"/>
        <v>0.12329113388936368</v>
      </c>
      <c r="G36" s="3">
        <f t="shared" si="3"/>
        <v>-0.14557328388936486</v>
      </c>
    </row>
    <row r="37" spans="2:7" x14ac:dyDescent="0.35">
      <c r="B37" s="3">
        <v>6</v>
      </c>
      <c r="C37" s="3">
        <f t="shared" si="1"/>
        <v>46.67</v>
      </c>
      <c r="D37" s="3">
        <v>0.03</v>
      </c>
      <c r="E37" s="3">
        <f t="shared" si="0"/>
        <v>46.585701</v>
      </c>
      <c r="F37" s="3">
        <f t="shared" si="2"/>
        <v>0.14751923584876145</v>
      </c>
      <c r="G37" s="3">
        <f t="shared" si="3"/>
        <v>-9.3220235848759991E-2</v>
      </c>
    </row>
    <row r="38" spans="2:7" x14ac:dyDescent="0.35">
      <c r="B38" s="3">
        <v>7</v>
      </c>
      <c r="C38" s="3">
        <f t="shared" si="1"/>
        <v>53.935000000000002</v>
      </c>
      <c r="D38" s="3">
        <v>0.03</v>
      </c>
      <c r="E38" s="3">
        <f t="shared" si="0"/>
        <v>53.873230249999992</v>
      </c>
      <c r="F38" s="3">
        <f t="shared" si="2"/>
        <v>0.17041252667267448</v>
      </c>
      <c r="G38" s="3">
        <f t="shared" si="3"/>
        <v>-0.13864277667266398</v>
      </c>
    </row>
    <row r="39" spans="2:7" x14ac:dyDescent="0.35">
      <c r="B39" s="3">
        <v>8</v>
      </c>
      <c r="C39" s="3">
        <f t="shared" si="1"/>
        <v>61.41</v>
      </c>
      <c r="D39" s="3">
        <v>0.03</v>
      </c>
      <c r="E39" s="3">
        <f t="shared" si="0"/>
        <v>61.378704300000003</v>
      </c>
      <c r="F39" s="3">
        <f t="shared" si="2"/>
        <v>0.1940114754175446</v>
      </c>
      <c r="G39" s="3">
        <f t="shared" si="3"/>
        <v>-0.19271577541755056</v>
      </c>
    </row>
    <row r="40" spans="2:7" x14ac:dyDescent="0.35">
      <c r="B40" s="3" t="s">
        <v>48</v>
      </c>
      <c r="C40" s="3">
        <f t="shared" si="1"/>
        <v>17.454999999999998</v>
      </c>
      <c r="D40" s="3">
        <v>0.03</v>
      </c>
      <c r="E40" s="3">
        <f t="shared" si="0"/>
        <v>17.544556400000001</v>
      </c>
      <c r="F40" s="3">
        <f t="shared" si="2"/>
        <v>5.697196475954204E-2</v>
      </c>
      <c r="G40" s="3">
        <f t="shared" si="3"/>
        <v>2.5844352404608278E-3</v>
      </c>
    </row>
    <row r="41" spans="2:7" x14ac:dyDescent="0.35">
      <c r="B41" s="3" t="s">
        <v>49</v>
      </c>
      <c r="C41" s="3">
        <f t="shared" si="1"/>
        <v>19.12</v>
      </c>
      <c r="D41" s="3">
        <v>0.03</v>
      </c>
      <c r="E41" s="3">
        <f t="shared" si="0"/>
        <v>19.5877889</v>
      </c>
      <c r="F41" s="3">
        <f t="shared" si="2"/>
        <v>6.3246372392513545E-2</v>
      </c>
      <c r="G41" s="3">
        <f t="shared" si="3"/>
        <v>0.37454252760748508</v>
      </c>
    </row>
    <row r="42" spans="2:7" x14ac:dyDescent="0.35">
      <c r="B42" s="3">
        <v>10</v>
      </c>
      <c r="C42" s="3">
        <f t="shared" si="1"/>
        <v>55.41</v>
      </c>
      <c r="D42" s="3">
        <v>0.03</v>
      </c>
      <c r="E42" s="3">
        <f t="shared" si="0"/>
        <v>55.357979199999996</v>
      </c>
      <c r="F42" s="3">
        <f>E42*SQRT((0.01/D14)^2+($E$23/$D$23)^2)</f>
        <v>0.17507949681742435</v>
      </c>
      <c r="G42" s="3">
        <f t="shared" si="3"/>
        <v>-0.15305869681742326</v>
      </c>
    </row>
    <row r="43" spans="2:7" x14ac:dyDescent="0.35">
      <c r="B43" s="3" t="s">
        <v>50</v>
      </c>
      <c r="C43" s="3">
        <v>80.209999999999994</v>
      </c>
      <c r="D43" s="3">
        <v>0.03</v>
      </c>
      <c r="E43" s="3">
        <f>10^3*(G23*$D$23*10^-6)/2</f>
        <v>80.120011164285714</v>
      </c>
      <c r="F43" s="3">
        <f>E43*SQRT((E23/D23)^2+(H23/G23)^2)</f>
        <v>0.25491375200423233</v>
      </c>
      <c r="G43" s="3">
        <f t="shared" si="3"/>
        <v>-0.19492491628995237</v>
      </c>
    </row>
    <row r="44" spans="2:7" x14ac:dyDescent="0.35">
      <c r="B44" s="3"/>
      <c r="C44" s="3"/>
      <c r="D44" s="3"/>
      <c r="E44" s="3"/>
      <c r="F44" s="3"/>
      <c r="G44" s="3"/>
    </row>
    <row r="45" spans="2:7" x14ac:dyDescent="0.35">
      <c r="B45" s="3"/>
      <c r="C45" s="3"/>
      <c r="D45" s="3"/>
      <c r="E45" s="3"/>
      <c r="F45" s="3"/>
      <c r="G45" s="3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BA4B-E298-4937-AFB9-F5A0FC610E2B}">
  <dimension ref="A2:J14"/>
  <sheetViews>
    <sheetView workbookViewId="0">
      <selection activeCell="C14" sqref="C14"/>
    </sheetView>
  </sheetViews>
  <sheetFormatPr baseColWidth="10" defaultRowHeight="14.5" x14ac:dyDescent="0.35"/>
  <cols>
    <col min="2" max="2" width="29.08984375" bestFit="1" customWidth="1"/>
    <col min="9" max="9" width="35.453125" bestFit="1" customWidth="1"/>
    <col min="10" max="10" width="7.36328125" bestFit="1" customWidth="1"/>
  </cols>
  <sheetData>
    <row r="2" spans="1:10" x14ac:dyDescent="0.35">
      <c r="B2" t="s">
        <v>61</v>
      </c>
      <c r="C2">
        <v>1</v>
      </c>
      <c r="D2">
        <v>2</v>
      </c>
      <c r="E2">
        <v>4</v>
      </c>
      <c r="I2" t="s">
        <v>117</v>
      </c>
      <c r="J2" t="s">
        <v>118</v>
      </c>
    </row>
    <row r="3" spans="1:10" x14ac:dyDescent="0.35">
      <c r="A3" t="s">
        <v>63</v>
      </c>
      <c r="B3" t="s">
        <v>62</v>
      </c>
      <c r="C3">
        <v>1.7</v>
      </c>
      <c r="D3">
        <v>1.18</v>
      </c>
      <c r="E3">
        <v>0.69</v>
      </c>
      <c r="I3" s="4">
        <v>2724.31</v>
      </c>
      <c r="J3" s="4">
        <v>8.59</v>
      </c>
    </row>
    <row r="4" spans="1:10" x14ac:dyDescent="0.35">
      <c r="B4" t="s">
        <v>23</v>
      </c>
      <c r="C4">
        <v>21</v>
      </c>
      <c r="D4">
        <v>20</v>
      </c>
      <c r="E4">
        <v>19</v>
      </c>
    </row>
    <row r="6" spans="1:10" x14ac:dyDescent="0.35">
      <c r="B6" t="s">
        <v>64</v>
      </c>
      <c r="C6">
        <v>1.4</v>
      </c>
      <c r="D6">
        <v>1.22</v>
      </c>
      <c r="E6">
        <v>1.25</v>
      </c>
    </row>
    <row r="7" spans="1:10" x14ac:dyDescent="0.35">
      <c r="B7" t="s">
        <v>23</v>
      </c>
      <c r="C7">
        <v>22</v>
      </c>
      <c r="D7">
        <v>24</v>
      </c>
      <c r="E7">
        <v>23</v>
      </c>
    </row>
    <row r="9" spans="1:10" x14ac:dyDescent="0.35">
      <c r="B9" t="s">
        <v>127</v>
      </c>
      <c r="C9">
        <f>(C6*10^-3*$I$3)/2</f>
        <v>1.907017</v>
      </c>
      <c r="D9">
        <f>(D6*10^-3*$I$3)/2</f>
        <v>1.6618290999999998</v>
      </c>
      <c r="E9">
        <f>(E6*10^-3*$I$3)/2</f>
        <v>1.7026937499999999</v>
      </c>
    </row>
    <row r="10" spans="1:10" x14ac:dyDescent="0.35">
      <c r="B10" t="s">
        <v>130</v>
      </c>
      <c r="C10">
        <f>C9*SQRT((0.01/C6)^2+($J$3/$I$3)^2)</f>
        <v>1.4889687485051527E-2</v>
      </c>
      <c r="D10">
        <f t="shared" ref="D10:E10" si="0">D9*SQRT((0.01/D6)^2+($J$3/$I$3)^2)</f>
        <v>1.4594628341019855E-2</v>
      </c>
      <c r="E10">
        <f t="shared" si="0"/>
        <v>1.4641383164339355E-2</v>
      </c>
    </row>
    <row r="13" spans="1:10" x14ac:dyDescent="0.35">
      <c r="B13" t="s">
        <v>128</v>
      </c>
      <c r="C13">
        <f>Testblock!$C$41-Testblock!$C$40</f>
        <v>1.6650000000000027</v>
      </c>
      <c r="D13">
        <f>Testblock!$C$41-Testblock!$C$40</f>
        <v>1.6650000000000027</v>
      </c>
      <c r="E13">
        <f>Testblock!$C$41-Testblock!$C$40</f>
        <v>1.6650000000000027</v>
      </c>
    </row>
    <row r="14" spans="1:10" x14ac:dyDescent="0.35">
      <c r="B14" t="s">
        <v>129</v>
      </c>
      <c r="C14">
        <f>0.03*SQRT(2)</f>
        <v>4.2426406871192854E-2</v>
      </c>
      <c r="D14">
        <f t="shared" ref="D14:E14" si="1">0.03*SQRT(2)</f>
        <v>4.2426406871192854E-2</v>
      </c>
      <c r="E14">
        <f t="shared" si="1"/>
        <v>4.2426406871192854E-2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AEA2-7D85-421E-BDC7-448A03B5E772}">
  <dimension ref="B1:K50"/>
  <sheetViews>
    <sheetView topLeftCell="D30" workbookViewId="0">
      <selection activeCell="H40" sqref="H40"/>
    </sheetView>
  </sheetViews>
  <sheetFormatPr baseColWidth="10" defaultRowHeight="14.5" x14ac:dyDescent="0.35"/>
  <cols>
    <col min="2" max="2" width="26.08984375" bestFit="1" customWidth="1"/>
    <col min="3" max="3" width="35.1796875" bestFit="1" customWidth="1"/>
    <col min="4" max="4" width="21.453125" bestFit="1" customWidth="1"/>
    <col min="5" max="5" width="22.6328125" bestFit="1" customWidth="1"/>
    <col min="6" max="6" width="21.81640625" bestFit="1" customWidth="1"/>
    <col min="7" max="7" width="19.6328125" bestFit="1" customWidth="1"/>
    <col min="8" max="8" width="15.6328125" bestFit="1" customWidth="1"/>
    <col min="10" max="10" width="15.6328125" bestFit="1" customWidth="1"/>
  </cols>
  <sheetData>
    <row r="1" spans="2:7" x14ac:dyDescent="0.35">
      <c r="C1" t="s">
        <v>71</v>
      </c>
    </row>
    <row r="3" spans="2:7" x14ac:dyDescent="0.35">
      <c r="B3" t="s">
        <v>134</v>
      </c>
      <c r="C3" t="s">
        <v>76</v>
      </c>
      <c r="D3" t="s">
        <v>72</v>
      </c>
      <c r="E3" t="s">
        <v>73</v>
      </c>
      <c r="F3" t="s">
        <v>74</v>
      </c>
      <c r="G3" t="s">
        <v>75</v>
      </c>
    </row>
    <row r="4" spans="2:7" x14ac:dyDescent="0.35">
      <c r="B4">
        <f>C4*2*PI()/360</f>
        <v>0</v>
      </c>
      <c r="C4">
        <v>0</v>
      </c>
      <c r="D4">
        <v>0.85</v>
      </c>
      <c r="G4">
        <v>25</v>
      </c>
    </row>
    <row r="5" spans="2:7" x14ac:dyDescent="0.35">
      <c r="B5">
        <f t="shared" ref="B5:B34" si="0">C5*2*PI()/360</f>
        <v>3.4906585039886591E-2</v>
      </c>
      <c r="C5">
        <v>2</v>
      </c>
      <c r="D5">
        <v>0.76</v>
      </c>
    </row>
    <row r="6" spans="2:7" x14ac:dyDescent="0.35">
      <c r="B6">
        <f t="shared" si="0"/>
        <v>6.9813170079773182E-2</v>
      </c>
      <c r="C6">
        <v>4</v>
      </c>
      <c r="D6">
        <v>0.7</v>
      </c>
    </row>
    <row r="7" spans="2:7" x14ac:dyDescent="0.35">
      <c r="B7">
        <f t="shared" si="0"/>
        <v>0.10471975511965977</v>
      </c>
      <c r="C7">
        <v>6</v>
      </c>
      <c r="D7">
        <v>0.61</v>
      </c>
    </row>
    <row r="8" spans="2:7" x14ac:dyDescent="0.35">
      <c r="B8">
        <f t="shared" si="0"/>
        <v>0.13962634015954636</v>
      </c>
      <c r="C8">
        <v>8</v>
      </c>
      <c r="D8">
        <v>0.51</v>
      </c>
    </row>
    <row r="9" spans="2:7" x14ac:dyDescent="0.35">
      <c r="B9">
        <f t="shared" si="0"/>
        <v>0.17453292519943295</v>
      </c>
      <c r="C9">
        <v>10</v>
      </c>
      <c r="D9">
        <v>0.39</v>
      </c>
    </row>
    <row r="10" spans="2:7" x14ac:dyDescent="0.35">
      <c r="B10">
        <f t="shared" si="0"/>
        <v>0.20943951023931953</v>
      </c>
      <c r="C10">
        <v>12</v>
      </c>
      <c r="D10">
        <v>0.28999999999999998</v>
      </c>
    </row>
    <row r="11" spans="2:7" x14ac:dyDescent="0.35">
      <c r="B11">
        <f t="shared" si="0"/>
        <v>0.24434609527920614</v>
      </c>
      <c r="C11">
        <v>14</v>
      </c>
      <c r="D11">
        <v>0.16</v>
      </c>
      <c r="E11" s="1">
        <v>0.09</v>
      </c>
      <c r="F11" t="s">
        <v>131</v>
      </c>
    </row>
    <row r="12" spans="2:7" x14ac:dyDescent="0.35">
      <c r="B12">
        <f t="shared" si="0"/>
        <v>0.27925268031909273</v>
      </c>
      <c r="C12">
        <v>16</v>
      </c>
      <c r="D12">
        <v>7.0000000000000007E-2</v>
      </c>
      <c r="E12" s="1">
        <v>0.09</v>
      </c>
    </row>
    <row r="13" spans="2:7" x14ac:dyDescent="0.35">
      <c r="B13">
        <f t="shared" si="0"/>
        <v>0.31415926535897931</v>
      </c>
      <c r="C13">
        <v>18</v>
      </c>
      <c r="D13">
        <v>0.02</v>
      </c>
      <c r="E13">
        <v>7.0000000000000007E-2</v>
      </c>
    </row>
    <row r="14" spans="2:7" x14ac:dyDescent="0.35">
      <c r="B14">
        <f t="shared" si="0"/>
        <v>0.33161255787892258</v>
      </c>
      <c r="C14">
        <v>19</v>
      </c>
      <c r="D14">
        <v>0</v>
      </c>
      <c r="E14">
        <v>0.13</v>
      </c>
    </row>
    <row r="15" spans="2:7" x14ac:dyDescent="0.35">
      <c r="B15">
        <f t="shared" si="0"/>
        <v>0.3490658503988659</v>
      </c>
      <c r="C15">
        <v>20</v>
      </c>
      <c r="D15">
        <v>0</v>
      </c>
      <c r="E15">
        <v>0.21</v>
      </c>
    </row>
    <row r="16" spans="2:7" x14ac:dyDescent="0.35">
      <c r="B16">
        <f t="shared" si="0"/>
        <v>0.38397243543875248</v>
      </c>
      <c r="C16">
        <v>22</v>
      </c>
      <c r="E16">
        <v>0.46</v>
      </c>
    </row>
    <row r="17" spans="2:5" x14ac:dyDescent="0.35">
      <c r="B17">
        <f t="shared" si="0"/>
        <v>0.40142572795869574</v>
      </c>
      <c r="C17">
        <v>23</v>
      </c>
      <c r="E17">
        <v>0.51</v>
      </c>
    </row>
    <row r="18" spans="2:5" x14ac:dyDescent="0.35">
      <c r="B18">
        <f t="shared" si="0"/>
        <v>0.41887902047863906</v>
      </c>
      <c r="C18">
        <v>24</v>
      </c>
      <c r="E18">
        <v>0.54</v>
      </c>
    </row>
    <row r="19" spans="2:5" x14ac:dyDescent="0.35">
      <c r="B19">
        <f t="shared" si="0"/>
        <v>0.43633231299858238</v>
      </c>
      <c r="C19">
        <v>25</v>
      </c>
      <c r="E19">
        <v>0.53</v>
      </c>
    </row>
    <row r="20" spans="2:5" x14ac:dyDescent="0.35">
      <c r="B20">
        <f t="shared" si="0"/>
        <v>0.4537856055185257</v>
      </c>
      <c r="C20">
        <v>26</v>
      </c>
      <c r="E20">
        <v>0.51</v>
      </c>
    </row>
    <row r="21" spans="2:5" x14ac:dyDescent="0.35">
      <c r="B21">
        <f t="shared" si="0"/>
        <v>0.48869219055841229</v>
      </c>
      <c r="C21">
        <v>28</v>
      </c>
      <c r="E21">
        <v>0.44</v>
      </c>
    </row>
    <row r="22" spans="2:5" x14ac:dyDescent="0.35">
      <c r="B22">
        <f t="shared" si="0"/>
        <v>0.52359877559829882</v>
      </c>
      <c r="C22">
        <v>30</v>
      </c>
      <c r="E22">
        <v>0.36</v>
      </c>
    </row>
    <row r="23" spans="2:5" x14ac:dyDescent="0.35">
      <c r="B23">
        <f t="shared" si="0"/>
        <v>0.55850536063818546</v>
      </c>
      <c r="C23">
        <v>32</v>
      </c>
      <c r="E23">
        <v>0.28000000000000003</v>
      </c>
    </row>
    <row r="24" spans="2:5" x14ac:dyDescent="0.35">
      <c r="B24">
        <f t="shared" si="0"/>
        <v>0.59341194567807209</v>
      </c>
      <c r="C24">
        <v>34</v>
      </c>
      <c r="E24">
        <v>0.18</v>
      </c>
    </row>
    <row r="25" spans="2:5" x14ac:dyDescent="0.35">
      <c r="B25">
        <f t="shared" si="0"/>
        <v>0.62831853071795862</v>
      </c>
      <c r="C25">
        <v>36</v>
      </c>
      <c r="E25">
        <v>0.1</v>
      </c>
    </row>
    <row r="26" spans="2:5" x14ac:dyDescent="0.35">
      <c r="B26">
        <f t="shared" si="0"/>
        <v>0.66322511575784515</v>
      </c>
      <c r="C26">
        <v>38</v>
      </c>
      <c r="E26">
        <v>0.05</v>
      </c>
    </row>
    <row r="27" spans="2:5" x14ac:dyDescent="0.35">
      <c r="B27">
        <f t="shared" si="0"/>
        <v>0.69813170079773179</v>
      </c>
      <c r="C27">
        <v>40</v>
      </c>
      <c r="E27">
        <v>0.02</v>
      </c>
    </row>
    <row r="28" spans="2:5" x14ac:dyDescent="0.35">
      <c r="B28">
        <f t="shared" si="0"/>
        <v>0.715584993317675</v>
      </c>
      <c r="C28">
        <v>41</v>
      </c>
      <c r="E28">
        <v>0.01</v>
      </c>
    </row>
    <row r="29" spans="2:5" x14ac:dyDescent="0.35">
      <c r="B29">
        <f t="shared" si="0"/>
        <v>0.73303828583761843</v>
      </c>
      <c r="C29">
        <v>42</v>
      </c>
      <c r="E29">
        <v>0.01</v>
      </c>
    </row>
    <row r="30" spans="2:5" x14ac:dyDescent="0.35">
      <c r="B30">
        <f t="shared" si="0"/>
        <v>0.75049157835756164</v>
      </c>
      <c r="C30">
        <v>43</v>
      </c>
      <c r="E30">
        <v>0.01</v>
      </c>
    </row>
    <row r="31" spans="2:5" x14ac:dyDescent="0.35">
      <c r="B31">
        <f t="shared" si="0"/>
        <v>0.76794487087750496</v>
      </c>
      <c r="C31">
        <v>44</v>
      </c>
      <c r="E31">
        <v>0.01</v>
      </c>
    </row>
    <row r="32" spans="2:5" x14ac:dyDescent="0.35">
      <c r="B32">
        <f t="shared" si="0"/>
        <v>0.78539816339744828</v>
      </c>
      <c r="C32">
        <v>45</v>
      </c>
      <c r="E32">
        <v>0.01</v>
      </c>
    </row>
    <row r="33" spans="2:11" x14ac:dyDescent="0.35">
      <c r="B33">
        <f t="shared" si="0"/>
        <v>0.80285145591739149</v>
      </c>
      <c r="C33">
        <v>46</v>
      </c>
      <c r="E33">
        <v>0.01</v>
      </c>
    </row>
    <row r="34" spans="2:11" x14ac:dyDescent="0.35">
      <c r="B34">
        <f t="shared" si="0"/>
        <v>0.82030474843733492</v>
      </c>
      <c r="C34">
        <v>47</v>
      </c>
      <c r="E34">
        <v>0</v>
      </c>
    </row>
    <row r="35" spans="2:11" x14ac:dyDescent="0.35">
      <c r="E35">
        <v>0</v>
      </c>
    </row>
    <row r="36" spans="2:11" x14ac:dyDescent="0.35">
      <c r="E36">
        <v>0</v>
      </c>
    </row>
    <row r="37" spans="2:11" x14ac:dyDescent="0.35">
      <c r="E37">
        <v>0</v>
      </c>
    </row>
    <row r="39" spans="2:11" x14ac:dyDescent="0.35">
      <c r="C39" t="s">
        <v>135</v>
      </c>
      <c r="D39" t="s">
        <v>136</v>
      </c>
      <c r="E39" t="s">
        <v>144</v>
      </c>
      <c r="F39" t="s">
        <v>137</v>
      </c>
      <c r="G39" t="s">
        <v>145</v>
      </c>
      <c r="H39" t="s">
        <v>140</v>
      </c>
      <c r="I39" t="s">
        <v>141</v>
      </c>
      <c r="J39" t="s">
        <v>142</v>
      </c>
      <c r="K39" t="s">
        <v>143</v>
      </c>
    </row>
    <row r="40" spans="2:11" x14ac:dyDescent="0.35">
      <c r="C40" t="s">
        <v>138</v>
      </c>
      <c r="D40" t="s">
        <v>56</v>
      </c>
      <c r="F40">
        <v>19</v>
      </c>
      <c r="G40">
        <v>2</v>
      </c>
      <c r="H40">
        <f>$B$50/(SIN(F40*2*PI()/360))</f>
        <v>4565.4342405764946</v>
      </c>
      <c r="I40">
        <f>SQRT(($C$50/SIN(F40*2*PI()/360))^2+((G40*2*PI()/360)*$B$50*COS(F40*2*PI()/360)/(SIN(F40*2*PI()/360))^2)^2)</f>
        <v>462.94158244945106</v>
      </c>
    </row>
    <row r="41" spans="2:11" x14ac:dyDescent="0.35">
      <c r="C41" t="s">
        <v>139</v>
      </c>
      <c r="D41">
        <v>24.5</v>
      </c>
      <c r="E41">
        <v>2</v>
      </c>
      <c r="F41">
        <v>41</v>
      </c>
      <c r="G41">
        <v>2</v>
      </c>
      <c r="H41">
        <f>$B$50/(SIN(F41*2*PI()/360))</f>
        <v>2265.5888179560543</v>
      </c>
      <c r="I41">
        <f>SQRT(($C$50/SIN(F41*2*PI()/360))^2+((G41*2*PI()/360)*$B$50*COS(F41*2*PI()/360)/(SIN(F41*2*PI()/360))^2)^2)</f>
        <v>91.120600644053411</v>
      </c>
      <c r="J41">
        <f>$B$50/(SIN(D41*2*PI()/360))*1/SQRT(2)</f>
        <v>2534.4402251465626</v>
      </c>
      <c r="K41">
        <f>SQRT(($C$50/SIN(D41*2*PI()/360))^2+((E41*2*PI()/360)*$B$50*COS(D41*2*PI()/360)/(SIN(D41*2*PI()/360))^2)^2)*1/SQRT(2)</f>
        <v>194.21177071548695</v>
      </c>
    </row>
    <row r="49" spans="2:3" x14ac:dyDescent="0.35">
      <c r="B49" s="3" t="s">
        <v>101</v>
      </c>
      <c r="C49" s="3" t="s">
        <v>102</v>
      </c>
    </row>
    <row r="50" spans="2:3" x14ac:dyDescent="0.35">
      <c r="B50" s="3">
        <v>1486.36</v>
      </c>
      <c r="C50" s="3">
        <v>3.37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B308-8FD0-4799-BF6B-9B2B186D5D62}">
  <dimension ref="B2:H17"/>
  <sheetViews>
    <sheetView topLeftCell="A4" workbookViewId="0">
      <selection activeCell="B16" sqref="B16:C17"/>
    </sheetView>
  </sheetViews>
  <sheetFormatPr baseColWidth="10" defaultRowHeight="14.5" x14ac:dyDescent="0.35"/>
  <cols>
    <col min="2" max="2" width="37.90625" bestFit="1" customWidth="1"/>
    <col min="3" max="3" width="18.26953125" bestFit="1" customWidth="1"/>
    <col min="4" max="4" width="17.26953125" bestFit="1" customWidth="1"/>
    <col min="7" max="7" width="17.1796875" bestFit="1" customWidth="1"/>
  </cols>
  <sheetData>
    <row r="2" spans="2:8" x14ac:dyDescent="0.35">
      <c r="B2" t="s">
        <v>65</v>
      </c>
    </row>
    <row r="3" spans="2:8" x14ac:dyDescent="0.35">
      <c r="B3">
        <v>50.39</v>
      </c>
    </row>
    <row r="6" spans="2:8" x14ac:dyDescent="0.35">
      <c r="B6" t="s">
        <v>66</v>
      </c>
    </row>
    <row r="7" spans="2:8" x14ac:dyDescent="0.35">
      <c r="B7" t="s">
        <v>67</v>
      </c>
      <c r="C7" t="s">
        <v>68</v>
      </c>
      <c r="D7" t="s">
        <v>69</v>
      </c>
      <c r="F7" t="s">
        <v>70</v>
      </c>
      <c r="G7" t="s">
        <v>99</v>
      </c>
      <c r="H7" t="s">
        <v>100</v>
      </c>
    </row>
    <row r="8" spans="2:8" x14ac:dyDescent="0.35">
      <c r="B8">
        <v>18.55</v>
      </c>
      <c r="C8">
        <v>78.260000000000005</v>
      </c>
      <c r="D8">
        <v>79.099999999999994</v>
      </c>
      <c r="F8">
        <f>2*(B9-B8)/(C9-C8)</f>
        <v>1.4927953890489918</v>
      </c>
      <c r="G8">
        <f>2*B8</f>
        <v>37.1</v>
      </c>
      <c r="H8">
        <v>1</v>
      </c>
    </row>
    <row r="9" spans="2:8" x14ac:dyDescent="0.35">
      <c r="B9">
        <v>31.5</v>
      </c>
      <c r="C9">
        <v>95.61</v>
      </c>
      <c r="D9">
        <v>96.5</v>
      </c>
      <c r="F9">
        <f t="shared" ref="F9:F12" si="0">2*(B10-B9)/(C10-C9)</f>
        <v>1.4620298083747332</v>
      </c>
      <c r="G9">
        <f t="shared" ref="G9:G13" si="1">2*B9</f>
        <v>63</v>
      </c>
      <c r="H9">
        <v>1</v>
      </c>
    </row>
    <row r="10" spans="2:8" x14ac:dyDescent="0.35">
      <c r="B10">
        <v>41.8</v>
      </c>
      <c r="C10">
        <v>109.7</v>
      </c>
      <c r="D10">
        <v>110.6</v>
      </c>
      <c r="F10">
        <f t="shared" si="0"/>
        <v>1.5172932330827076</v>
      </c>
      <c r="G10">
        <f t="shared" si="1"/>
        <v>83.6</v>
      </c>
      <c r="H10">
        <v>1</v>
      </c>
    </row>
    <row r="11" spans="2:8" x14ac:dyDescent="0.35">
      <c r="B11">
        <v>51.89</v>
      </c>
      <c r="C11">
        <v>123</v>
      </c>
      <c r="D11">
        <v>123.8</v>
      </c>
      <c r="F11">
        <f t="shared" si="0"/>
        <v>1.465624999999998</v>
      </c>
      <c r="G11">
        <f t="shared" si="1"/>
        <v>103.78</v>
      </c>
      <c r="H11">
        <v>1</v>
      </c>
    </row>
    <row r="12" spans="2:8" x14ac:dyDescent="0.35">
      <c r="B12">
        <v>56.58</v>
      </c>
      <c r="C12">
        <v>129.4</v>
      </c>
      <c r="D12">
        <v>130.1</v>
      </c>
      <c r="F12">
        <f t="shared" si="0"/>
        <v>1.4608695652173929</v>
      </c>
      <c r="G12">
        <f t="shared" si="1"/>
        <v>113.16</v>
      </c>
      <c r="H12">
        <v>1</v>
      </c>
    </row>
    <row r="13" spans="2:8" x14ac:dyDescent="0.35">
      <c r="B13">
        <v>59.94</v>
      </c>
      <c r="C13">
        <v>134</v>
      </c>
      <c r="D13">
        <v>134.80000000000001</v>
      </c>
      <c r="G13">
        <f t="shared" si="1"/>
        <v>119.88</v>
      </c>
      <c r="H13">
        <v>1</v>
      </c>
    </row>
    <row r="15" spans="2:8" x14ac:dyDescent="0.35">
      <c r="B15" t="s">
        <v>115</v>
      </c>
    </row>
    <row r="16" spans="2:8" x14ac:dyDescent="0.35">
      <c r="B16" s="3" t="s">
        <v>101</v>
      </c>
      <c r="C16" s="3" t="s">
        <v>102</v>
      </c>
    </row>
    <row r="17" spans="2:3" x14ac:dyDescent="0.35">
      <c r="B17" s="3">
        <v>1486.36</v>
      </c>
      <c r="C17" s="3">
        <v>3.37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5702-DE57-4069-8DDF-9AD91E031B51}">
  <dimension ref="A2:K50"/>
  <sheetViews>
    <sheetView tabSelected="1" topLeftCell="C30" zoomScale="85" zoomScaleNormal="85" workbookViewId="0">
      <selection activeCell="I34" sqref="I34"/>
    </sheetView>
  </sheetViews>
  <sheetFormatPr baseColWidth="10" defaultRowHeight="14.5" x14ac:dyDescent="0.35"/>
  <cols>
    <col min="1" max="1" width="13.453125" bestFit="1" customWidth="1"/>
    <col min="2" max="2" width="35.1796875" bestFit="1" customWidth="1"/>
    <col min="3" max="3" width="21.453125" bestFit="1" customWidth="1"/>
    <col min="4" max="4" width="38.81640625" bestFit="1" customWidth="1"/>
    <col min="5" max="5" width="21.81640625" bestFit="1" customWidth="1"/>
    <col min="6" max="6" width="19.6328125" bestFit="1" customWidth="1"/>
    <col min="7" max="7" width="16.81640625" bestFit="1" customWidth="1"/>
    <col min="8" max="8" width="16.08984375" bestFit="1" customWidth="1"/>
    <col min="10" max="10" width="16" bestFit="1" customWidth="1"/>
    <col min="11" max="11" width="12.08984375" bestFit="1" customWidth="1"/>
  </cols>
  <sheetData>
    <row r="2" spans="1:6" x14ac:dyDescent="0.35">
      <c r="B2" t="s">
        <v>77</v>
      </c>
      <c r="D2" t="s">
        <v>78</v>
      </c>
    </row>
    <row r="3" spans="1:6" x14ac:dyDescent="0.35">
      <c r="A3" t="s">
        <v>80</v>
      </c>
      <c r="B3" t="s">
        <v>133</v>
      </c>
      <c r="E3" s="4" t="s">
        <v>81</v>
      </c>
    </row>
    <row r="4" spans="1:6" x14ac:dyDescent="0.35">
      <c r="A4" t="s">
        <v>132</v>
      </c>
      <c r="B4" t="s">
        <v>79</v>
      </c>
      <c r="C4" t="s">
        <v>72</v>
      </c>
      <c r="D4" t="s">
        <v>73</v>
      </c>
      <c r="E4" t="s">
        <v>74</v>
      </c>
      <c r="F4" t="s">
        <v>75</v>
      </c>
    </row>
    <row r="5" spans="1:6" x14ac:dyDescent="0.35">
      <c r="A5">
        <f>B5+4</f>
        <v>4</v>
      </c>
      <c r="B5">
        <v>0</v>
      </c>
      <c r="C5">
        <v>0.83</v>
      </c>
    </row>
    <row r="6" spans="1:6" x14ac:dyDescent="0.35">
      <c r="A6">
        <f t="shared" ref="A6:A23" si="0">B6+4</f>
        <v>6.5</v>
      </c>
      <c r="B6">
        <v>2.5</v>
      </c>
      <c r="C6">
        <v>0.72</v>
      </c>
    </row>
    <row r="7" spans="1:6" x14ac:dyDescent="0.35">
      <c r="A7">
        <f t="shared" si="0"/>
        <v>9</v>
      </c>
      <c r="B7">
        <v>5</v>
      </c>
      <c r="C7">
        <v>0.56000000000000005</v>
      </c>
      <c r="D7">
        <v>0.14000000000000001</v>
      </c>
    </row>
    <row r="8" spans="1:6" x14ac:dyDescent="0.35">
      <c r="A8">
        <f t="shared" si="0"/>
        <v>11.5</v>
      </c>
      <c r="B8">
        <v>7.5</v>
      </c>
      <c r="C8">
        <v>0.31</v>
      </c>
      <c r="D8">
        <v>0.26</v>
      </c>
    </row>
    <row r="9" spans="1:6" x14ac:dyDescent="0.35">
      <c r="A9">
        <f t="shared" si="0"/>
        <v>14</v>
      </c>
      <c r="B9">
        <v>10</v>
      </c>
      <c r="C9">
        <v>0.12</v>
      </c>
      <c r="D9">
        <v>0.34</v>
      </c>
      <c r="E9">
        <v>7.0000000000000007E-2</v>
      </c>
    </row>
    <row r="10" spans="1:6" x14ac:dyDescent="0.35">
      <c r="A10">
        <f t="shared" si="0"/>
        <v>16.5</v>
      </c>
      <c r="B10">
        <v>12.5</v>
      </c>
      <c r="C10">
        <v>0.02</v>
      </c>
      <c r="D10">
        <v>0.43</v>
      </c>
      <c r="E10">
        <v>0.13</v>
      </c>
    </row>
    <row r="11" spans="1:6" x14ac:dyDescent="0.35">
      <c r="A11">
        <f t="shared" si="0"/>
        <v>19</v>
      </c>
      <c r="B11">
        <v>15</v>
      </c>
      <c r="C11">
        <v>0.01</v>
      </c>
      <c r="D11">
        <v>0.84</v>
      </c>
      <c r="E11">
        <v>0.28000000000000003</v>
      </c>
    </row>
    <row r="12" spans="1:6" x14ac:dyDescent="0.35">
      <c r="A12">
        <f t="shared" si="0"/>
        <v>21.5</v>
      </c>
      <c r="B12">
        <v>17.5</v>
      </c>
      <c r="C12">
        <v>0</v>
      </c>
      <c r="D12">
        <v>0.79</v>
      </c>
      <c r="E12">
        <v>0.26</v>
      </c>
    </row>
    <row r="13" spans="1:6" x14ac:dyDescent="0.35">
      <c r="A13">
        <f t="shared" si="0"/>
        <v>24</v>
      </c>
      <c r="B13">
        <v>20</v>
      </c>
      <c r="C13">
        <v>0</v>
      </c>
      <c r="D13">
        <v>0.56000000000000005</v>
      </c>
      <c r="E13">
        <v>0.17</v>
      </c>
    </row>
    <row r="14" spans="1:6" x14ac:dyDescent="0.35">
      <c r="A14">
        <f t="shared" si="0"/>
        <v>26.5</v>
      </c>
      <c r="B14">
        <v>22.5</v>
      </c>
      <c r="D14">
        <v>0.28000000000000003</v>
      </c>
      <c r="E14">
        <v>0.08</v>
      </c>
    </row>
    <row r="15" spans="1:6" x14ac:dyDescent="0.35">
      <c r="A15">
        <f t="shared" si="0"/>
        <v>29</v>
      </c>
      <c r="B15">
        <v>25</v>
      </c>
      <c r="D15">
        <v>7.0000000000000007E-2</v>
      </c>
      <c r="E15">
        <v>0.04</v>
      </c>
    </row>
    <row r="16" spans="1:6" x14ac:dyDescent="0.35">
      <c r="A16">
        <f t="shared" si="0"/>
        <v>31.5</v>
      </c>
      <c r="B16">
        <v>27.5</v>
      </c>
      <c r="D16">
        <v>0.01</v>
      </c>
      <c r="E16">
        <v>0</v>
      </c>
    </row>
    <row r="17" spans="1:5" x14ac:dyDescent="0.35">
      <c r="A17">
        <f t="shared" si="0"/>
        <v>34</v>
      </c>
      <c r="B17">
        <v>30</v>
      </c>
      <c r="D17">
        <v>0.01</v>
      </c>
      <c r="E17">
        <v>0</v>
      </c>
    </row>
    <row r="18" spans="1:5" x14ac:dyDescent="0.35">
      <c r="A18">
        <f t="shared" si="0"/>
        <v>36.5</v>
      </c>
      <c r="B18">
        <v>32.5</v>
      </c>
      <c r="D18">
        <v>0</v>
      </c>
      <c r="E18">
        <v>0</v>
      </c>
    </row>
    <row r="19" spans="1:5" x14ac:dyDescent="0.35">
      <c r="A19">
        <f t="shared" si="0"/>
        <v>39</v>
      </c>
      <c r="B19">
        <v>35</v>
      </c>
      <c r="D19">
        <v>0</v>
      </c>
      <c r="E19">
        <v>0</v>
      </c>
    </row>
    <row r="20" spans="1:5" x14ac:dyDescent="0.35">
      <c r="A20">
        <f t="shared" si="0"/>
        <v>41.5</v>
      </c>
      <c r="B20">
        <v>37.5</v>
      </c>
      <c r="D20">
        <v>0</v>
      </c>
      <c r="E20">
        <v>0</v>
      </c>
    </row>
    <row r="21" spans="1:5" x14ac:dyDescent="0.35">
      <c r="A21">
        <f t="shared" si="0"/>
        <v>44</v>
      </c>
      <c r="B21">
        <v>40</v>
      </c>
    </row>
    <row r="22" spans="1:5" x14ac:dyDescent="0.35">
      <c r="A22">
        <f t="shared" si="0"/>
        <v>46.5</v>
      </c>
      <c r="B22">
        <v>42.5</v>
      </c>
    </row>
    <row r="23" spans="1:5" x14ac:dyDescent="0.35">
      <c r="A23">
        <f t="shared" si="0"/>
        <v>49</v>
      </c>
      <c r="B23">
        <v>45</v>
      </c>
    </row>
    <row r="38" spans="2:11" x14ac:dyDescent="0.35">
      <c r="B38" s="8"/>
      <c r="C38" s="8"/>
    </row>
    <row r="39" spans="2:11" x14ac:dyDescent="0.35">
      <c r="C39" t="s">
        <v>135</v>
      </c>
      <c r="D39" t="s">
        <v>136</v>
      </c>
      <c r="E39" t="s">
        <v>144</v>
      </c>
      <c r="F39" t="s">
        <v>137</v>
      </c>
      <c r="G39" t="s">
        <v>145</v>
      </c>
      <c r="H39" t="s">
        <v>140</v>
      </c>
      <c r="I39" t="s">
        <v>141</v>
      </c>
      <c r="J39" t="s">
        <v>142</v>
      </c>
      <c r="K39" t="s">
        <v>143</v>
      </c>
    </row>
    <row r="40" spans="2:11" x14ac:dyDescent="0.35">
      <c r="C40" t="s">
        <v>138</v>
      </c>
      <c r="D40" t="s">
        <v>56</v>
      </c>
      <c r="F40">
        <v>16</v>
      </c>
      <c r="G40">
        <v>4</v>
      </c>
      <c r="H40">
        <f>$B$50/(SIN(F40*2*PI()/360))</f>
        <v>5392.4476078156194</v>
      </c>
      <c r="I40">
        <f>SQRT(($C$50/SIN(F40*2*PI()/360))^2+((G40*2*PI()/360)*$B$50*COS(F40*2*PI()/360)/(SIN(F40*2*PI()/360))^2)^2)</f>
        <v>1312.9424367709285</v>
      </c>
    </row>
    <row r="41" spans="2:11" x14ac:dyDescent="0.35">
      <c r="C41" t="s">
        <v>146</v>
      </c>
      <c r="D41">
        <v>20</v>
      </c>
      <c r="E41">
        <v>4</v>
      </c>
      <c r="F41">
        <v>30.5</v>
      </c>
      <c r="G41">
        <v>4</v>
      </c>
      <c r="H41">
        <f>$B$50/(SIN(F41*2*PI()/360))</f>
        <v>2928.5668009988058</v>
      </c>
      <c r="I41">
        <f>SQRT(($C$50/SIN(F41*2*PI()/360))^2+((G41*2*PI()/360)*$B$50*COS(F41*2*PI()/360)/(SIN(F41*2*PI()/360))^2)^2)</f>
        <v>347.15502857322389</v>
      </c>
      <c r="J41">
        <f>$B$50/(SIN(D41*2*PI()/360))*1/SQRT(2)</f>
        <v>3072.9629695630788</v>
      </c>
      <c r="K41">
        <f>SQRT(($C$50/SIN(D41*2*PI()/360))^2+((E41*2*PI()/360)*$B$50*COS(D41*2*PI()/360)/(SIN(D41*2*PI()/360))^2)^2)*1/SQRT(2)</f>
        <v>589.46653701023138</v>
      </c>
    </row>
    <row r="42" spans="2:11" x14ac:dyDescent="0.35">
      <c r="C42" t="s">
        <v>147</v>
      </c>
      <c r="D42">
        <v>20</v>
      </c>
      <c r="E42">
        <v>4</v>
      </c>
      <c r="F42">
        <v>31</v>
      </c>
      <c r="G42">
        <v>4</v>
      </c>
      <c r="H42">
        <f>$B$50/(SIN(F42*2*PI()/360))</f>
        <v>2885.9225606952973</v>
      </c>
      <c r="I42">
        <f>SQRT(($C$50/SIN(F42*2*PI()/360))^2+((G42*2*PI()/360)*$B$50*COS(F42*2*PI()/360)/(SIN(F42*2*PI()/360))^2)^2)</f>
        <v>335.37521407872299</v>
      </c>
      <c r="J42">
        <f>$B$50/(SIN(D42*2*PI()/360))*1/SQRT(2)</f>
        <v>3072.9629695630788</v>
      </c>
      <c r="K42">
        <f>SQRT(($C$50/SIN(D42*2*PI()/360))^2+((E42*2*PI()/360)*$B$50*COS(D42*2*PI()/360)/(SIN(D42*2*PI()/360))^2)^2)*1/SQRT(2)</f>
        <v>589.46653701023138</v>
      </c>
    </row>
    <row r="49" spans="2:3" x14ac:dyDescent="0.35">
      <c r="B49" s="3" t="s">
        <v>101</v>
      </c>
      <c r="C49" s="3" t="s">
        <v>102</v>
      </c>
    </row>
    <row r="50" spans="2:3" x14ac:dyDescent="0.35">
      <c r="B50" s="3">
        <v>1486.36</v>
      </c>
      <c r="C50" s="3">
        <v>3.37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Schallgeschwindigkeit Polyacryl</vt:lpstr>
      <vt:lpstr>Absorptionskoeffizienten</vt:lpstr>
      <vt:lpstr>Testblock</vt:lpstr>
      <vt:lpstr>Auflösungsvermögen</vt:lpstr>
      <vt:lpstr>Schallgeschwindigkeit Kupfer</vt:lpstr>
      <vt:lpstr>Schallgeschwindigkeit Wasser</vt:lpstr>
      <vt:lpstr>Schallgeschwindigkeit Alu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</dc:creator>
  <cp:lastModifiedBy>jonathan b.</cp:lastModifiedBy>
  <dcterms:created xsi:type="dcterms:W3CDTF">2021-12-08T13:06:28Z</dcterms:created>
  <dcterms:modified xsi:type="dcterms:W3CDTF">2021-12-15T14:51:48Z</dcterms:modified>
</cp:coreProperties>
</file>