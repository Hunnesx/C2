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xtcloud\Physik\Experimentalphysik\Physikalisches Praktikum\C\C39\C39 - Selin und Janek\Daten\"/>
    </mc:Choice>
  </mc:AlternateContent>
  <xr:revisionPtr revIDLastSave="0" documentId="13_ncr:1_{5BB80179-77CF-4318-9BAC-F54727BA4959}" xr6:coauthVersionLast="47" xr6:coauthVersionMax="47" xr10:uidLastSave="{00000000-0000-0000-0000-000000000000}"/>
  <bookViews>
    <workbookView xWindow="1095" yWindow="735" windowWidth="34605" windowHeight="21705" xr2:uid="{82151313-C36B-4BC6-A442-E195549D53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5" i="1" l="1"/>
  <c r="E12" i="1"/>
  <c r="E863" i="1"/>
  <c r="E862" i="1"/>
  <c r="E7" i="1"/>
  <c r="E5" i="1"/>
  <c r="F24" i="1"/>
  <c r="K107" i="1" s="1"/>
  <c r="H3" i="1"/>
  <c r="I3" i="1"/>
  <c r="H4" i="1"/>
  <c r="I4" i="1"/>
  <c r="K4" i="1" s="1"/>
  <c r="H5" i="1"/>
  <c r="I5" i="1"/>
  <c r="K5" i="1" s="1"/>
  <c r="H6" i="1"/>
  <c r="I6" i="1"/>
  <c r="H7" i="1"/>
  <c r="I7" i="1"/>
  <c r="H8" i="1"/>
  <c r="I8" i="1"/>
  <c r="H9" i="1"/>
  <c r="I9" i="1"/>
  <c r="H10" i="1"/>
  <c r="I10" i="1"/>
  <c r="K10" i="1" s="1"/>
  <c r="H11" i="1"/>
  <c r="I11" i="1"/>
  <c r="H12" i="1"/>
  <c r="I12" i="1"/>
  <c r="K12" i="1" s="1"/>
  <c r="H13" i="1"/>
  <c r="I13" i="1"/>
  <c r="K13" i="1" s="1"/>
  <c r="H14" i="1"/>
  <c r="I14" i="1"/>
  <c r="H15" i="1"/>
  <c r="I15" i="1"/>
  <c r="H16" i="1"/>
  <c r="I16" i="1"/>
  <c r="H17" i="1"/>
  <c r="I17" i="1"/>
  <c r="H18" i="1"/>
  <c r="I18" i="1"/>
  <c r="K18" i="1" s="1"/>
  <c r="H19" i="1"/>
  <c r="I19" i="1"/>
  <c r="H20" i="1"/>
  <c r="I20" i="1"/>
  <c r="K20" i="1" s="1"/>
  <c r="H21" i="1"/>
  <c r="I21" i="1"/>
  <c r="K21" i="1" s="1"/>
  <c r="H22" i="1"/>
  <c r="I22" i="1"/>
  <c r="H23" i="1"/>
  <c r="I23" i="1"/>
  <c r="H24" i="1"/>
  <c r="I24" i="1"/>
  <c r="H25" i="1"/>
  <c r="I25" i="1"/>
  <c r="H26" i="1"/>
  <c r="I26" i="1"/>
  <c r="K26" i="1" s="1"/>
  <c r="H27" i="1"/>
  <c r="I27" i="1"/>
  <c r="H28" i="1"/>
  <c r="I28" i="1"/>
  <c r="K28" i="1" s="1"/>
  <c r="H29" i="1"/>
  <c r="I29" i="1"/>
  <c r="K29" i="1" s="1"/>
  <c r="H30" i="1"/>
  <c r="I30" i="1"/>
  <c r="H31" i="1"/>
  <c r="I31" i="1"/>
  <c r="H32" i="1"/>
  <c r="I32" i="1"/>
  <c r="H33" i="1"/>
  <c r="I33" i="1"/>
  <c r="H34" i="1"/>
  <c r="I34" i="1"/>
  <c r="K34" i="1" s="1"/>
  <c r="H35" i="1"/>
  <c r="I35" i="1"/>
  <c r="H36" i="1"/>
  <c r="I36" i="1"/>
  <c r="K36" i="1" s="1"/>
  <c r="H37" i="1"/>
  <c r="I37" i="1"/>
  <c r="K37" i="1" s="1"/>
  <c r="H38" i="1"/>
  <c r="I38" i="1"/>
  <c r="H39" i="1"/>
  <c r="I39" i="1"/>
  <c r="H40" i="1"/>
  <c r="I40" i="1"/>
  <c r="H41" i="1"/>
  <c r="I41" i="1"/>
  <c r="H42" i="1"/>
  <c r="I42" i="1"/>
  <c r="K42" i="1" s="1"/>
  <c r="H43" i="1"/>
  <c r="I43" i="1"/>
  <c r="H44" i="1"/>
  <c r="I44" i="1"/>
  <c r="K44" i="1" s="1"/>
  <c r="H45" i="1"/>
  <c r="I45" i="1"/>
  <c r="K45" i="1" s="1"/>
  <c r="H46" i="1"/>
  <c r="I46" i="1"/>
  <c r="H47" i="1"/>
  <c r="I47" i="1"/>
  <c r="H48" i="1"/>
  <c r="I48" i="1"/>
  <c r="H49" i="1"/>
  <c r="I49" i="1"/>
  <c r="H50" i="1"/>
  <c r="I50" i="1"/>
  <c r="K50" i="1" s="1"/>
  <c r="H51" i="1"/>
  <c r="I51" i="1"/>
  <c r="H52" i="1"/>
  <c r="I52" i="1"/>
  <c r="K52" i="1" s="1"/>
  <c r="H53" i="1"/>
  <c r="I53" i="1"/>
  <c r="K53" i="1" s="1"/>
  <c r="H54" i="1"/>
  <c r="I54" i="1"/>
  <c r="H55" i="1"/>
  <c r="I55" i="1"/>
  <c r="H56" i="1"/>
  <c r="I56" i="1"/>
  <c r="H57" i="1"/>
  <c r="I57" i="1"/>
  <c r="H58" i="1"/>
  <c r="I58" i="1"/>
  <c r="H59" i="1"/>
  <c r="I59" i="1"/>
  <c r="H60" i="1"/>
  <c r="I60" i="1"/>
  <c r="K60" i="1" s="1"/>
  <c r="H61" i="1"/>
  <c r="I61" i="1"/>
  <c r="K61" i="1" s="1"/>
  <c r="H62" i="1"/>
  <c r="I62" i="1"/>
  <c r="H63" i="1"/>
  <c r="I63" i="1"/>
  <c r="H64" i="1"/>
  <c r="I64" i="1"/>
  <c r="H65" i="1"/>
  <c r="I65" i="1"/>
  <c r="H66" i="1"/>
  <c r="I66" i="1"/>
  <c r="K66" i="1" s="1"/>
  <c r="H67" i="1"/>
  <c r="I67" i="1"/>
  <c r="H68" i="1"/>
  <c r="I68" i="1"/>
  <c r="K68" i="1" s="1"/>
  <c r="H69" i="1"/>
  <c r="I69" i="1"/>
  <c r="K69" i="1" s="1"/>
  <c r="H70" i="1"/>
  <c r="I70" i="1"/>
  <c r="H71" i="1"/>
  <c r="I71" i="1"/>
  <c r="H72" i="1"/>
  <c r="I72" i="1"/>
  <c r="H73" i="1"/>
  <c r="I73" i="1"/>
  <c r="H74" i="1"/>
  <c r="I74" i="1"/>
  <c r="K74" i="1" s="1"/>
  <c r="H75" i="1"/>
  <c r="I75" i="1"/>
  <c r="H76" i="1"/>
  <c r="I76" i="1"/>
  <c r="K76" i="1" s="1"/>
  <c r="H77" i="1"/>
  <c r="I77" i="1"/>
  <c r="K77" i="1" s="1"/>
  <c r="H78" i="1"/>
  <c r="I78" i="1"/>
  <c r="H79" i="1"/>
  <c r="I79" i="1"/>
  <c r="H80" i="1"/>
  <c r="I80" i="1"/>
  <c r="H81" i="1"/>
  <c r="I81" i="1"/>
  <c r="H82" i="1"/>
  <c r="I82" i="1"/>
  <c r="K82" i="1" s="1"/>
  <c r="H83" i="1"/>
  <c r="I83" i="1"/>
  <c r="H84" i="1"/>
  <c r="I84" i="1"/>
  <c r="K84" i="1" s="1"/>
  <c r="H85" i="1"/>
  <c r="I85" i="1"/>
  <c r="K85" i="1" s="1"/>
  <c r="H86" i="1"/>
  <c r="I86" i="1"/>
  <c r="H87" i="1"/>
  <c r="I87" i="1"/>
  <c r="H88" i="1"/>
  <c r="I88" i="1"/>
  <c r="H89" i="1"/>
  <c r="I89" i="1"/>
  <c r="H90" i="1"/>
  <c r="I90" i="1"/>
  <c r="K90" i="1" s="1"/>
  <c r="H91" i="1"/>
  <c r="I91" i="1"/>
  <c r="H92" i="1"/>
  <c r="I92" i="1"/>
  <c r="K92" i="1" s="1"/>
  <c r="H93" i="1"/>
  <c r="I93" i="1"/>
  <c r="K93" i="1" s="1"/>
  <c r="H94" i="1"/>
  <c r="I94" i="1"/>
  <c r="H95" i="1"/>
  <c r="I95" i="1"/>
  <c r="H96" i="1"/>
  <c r="I96" i="1"/>
  <c r="H97" i="1"/>
  <c r="I97" i="1"/>
  <c r="H98" i="1"/>
  <c r="I98" i="1"/>
  <c r="K98" i="1" s="1"/>
  <c r="H99" i="1"/>
  <c r="I99" i="1"/>
  <c r="H100" i="1"/>
  <c r="I100" i="1"/>
  <c r="K100" i="1" s="1"/>
  <c r="H101" i="1"/>
  <c r="I101" i="1"/>
  <c r="K101" i="1" s="1"/>
  <c r="H102" i="1"/>
  <c r="I102" i="1"/>
  <c r="H103" i="1"/>
  <c r="I103" i="1"/>
  <c r="H104" i="1"/>
  <c r="I104" i="1"/>
  <c r="H105" i="1"/>
  <c r="I105" i="1"/>
  <c r="H106" i="1"/>
  <c r="I106" i="1"/>
  <c r="K106" i="1" s="1"/>
  <c r="H107" i="1"/>
  <c r="I107" i="1"/>
  <c r="H108" i="1"/>
  <c r="I108" i="1"/>
  <c r="K108" i="1" s="1"/>
  <c r="H109" i="1"/>
  <c r="I109" i="1"/>
  <c r="K109" i="1" s="1"/>
  <c r="H110" i="1"/>
  <c r="I110" i="1"/>
  <c r="H111" i="1"/>
  <c r="I111" i="1"/>
  <c r="H112" i="1"/>
  <c r="I112" i="1"/>
  <c r="H113" i="1"/>
  <c r="I113" i="1"/>
  <c r="H114" i="1"/>
  <c r="I114" i="1"/>
  <c r="K114" i="1" s="1"/>
  <c r="H115" i="1"/>
  <c r="I115" i="1"/>
  <c r="H116" i="1"/>
  <c r="I116" i="1"/>
  <c r="K116" i="1" s="1"/>
  <c r="H117" i="1"/>
  <c r="I117" i="1"/>
  <c r="K117" i="1" s="1"/>
  <c r="H118" i="1"/>
  <c r="I118" i="1"/>
  <c r="H119" i="1"/>
  <c r="I119" i="1"/>
  <c r="H120" i="1"/>
  <c r="I120" i="1"/>
  <c r="H121" i="1"/>
  <c r="I121" i="1"/>
  <c r="H122" i="1"/>
  <c r="I122" i="1"/>
  <c r="K122" i="1" s="1"/>
  <c r="H123" i="1"/>
  <c r="I123" i="1"/>
  <c r="H124" i="1"/>
  <c r="I124" i="1"/>
  <c r="K124" i="1" s="1"/>
  <c r="H125" i="1"/>
  <c r="I125" i="1"/>
  <c r="K125" i="1" s="1"/>
  <c r="H126" i="1"/>
  <c r="I126" i="1"/>
  <c r="H127" i="1"/>
  <c r="I127" i="1"/>
  <c r="H128" i="1"/>
  <c r="I128" i="1"/>
  <c r="H129" i="1"/>
  <c r="I129" i="1"/>
  <c r="H130" i="1"/>
  <c r="I130" i="1"/>
  <c r="K130" i="1" s="1"/>
  <c r="H131" i="1"/>
  <c r="I131" i="1"/>
  <c r="H132" i="1"/>
  <c r="I132" i="1"/>
  <c r="K132" i="1" s="1"/>
  <c r="H133" i="1"/>
  <c r="I133" i="1"/>
  <c r="K133" i="1" s="1"/>
  <c r="H134" i="1"/>
  <c r="I134" i="1"/>
  <c r="H135" i="1"/>
  <c r="I135" i="1"/>
  <c r="H136" i="1"/>
  <c r="I136" i="1"/>
  <c r="H137" i="1"/>
  <c r="I137" i="1"/>
  <c r="H138" i="1"/>
  <c r="I138" i="1"/>
  <c r="K138" i="1" s="1"/>
  <c r="H139" i="1"/>
  <c r="I139" i="1"/>
  <c r="H140" i="1"/>
  <c r="I140" i="1"/>
  <c r="K140" i="1" s="1"/>
  <c r="H141" i="1"/>
  <c r="I141" i="1"/>
  <c r="K141" i="1" s="1"/>
  <c r="H142" i="1"/>
  <c r="I142" i="1"/>
  <c r="H143" i="1"/>
  <c r="I143" i="1"/>
  <c r="H144" i="1"/>
  <c r="I144" i="1"/>
  <c r="H145" i="1"/>
  <c r="I145" i="1"/>
  <c r="H146" i="1"/>
  <c r="I146" i="1"/>
  <c r="K146" i="1" s="1"/>
  <c r="H147" i="1"/>
  <c r="I147" i="1"/>
  <c r="H148" i="1"/>
  <c r="I148" i="1"/>
  <c r="K148" i="1" s="1"/>
  <c r="H149" i="1"/>
  <c r="I149" i="1"/>
  <c r="K149" i="1" s="1"/>
  <c r="H150" i="1"/>
  <c r="I150" i="1"/>
  <c r="H151" i="1"/>
  <c r="I151" i="1"/>
  <c r="H152" i="1"/>
  <c r="I152" i="1"/>
  <c r="H153" i="1"/>
  <c r="I153" i="1"/>
  <c r="H154" i="1"/>
  <c r="I154" i="1"/>
  <c r="K154" i="1" s="1"/>
  <c r="H155" i="1"/>
  <c r="I155" i="1"/>
  <c r="H156" i="1"/>
  <c r="I156" i="1"/>
  <c r="K156" i="1" s="1"/>
  <c r="H157" i="1"/>
  <c r="I157" i="1"/>
  <c r="K157" i="1" s="1"/>
  <c r="H158" i="1"/>
  <c r="I158" i="1"/>
  <c r="H159" i="1"/>
  <c r="I159" i="1"/>
  <c r="H160" i="1"/>
  <c r="I160" i="1"/>
  <c r="H161" i="1"/>
  <c r="I161" i="1"/>
  <c r="H162" i="1"/>
  <c r="I162" i="1"/>
  <c r="K162" i="1" s="1"/>
  <c r="H163" i="1"/>
  <c r="I163" i="1"/>
  <c r="H164" i="1"/>
  <c r="I164" i="1"/>
  <c r="K164" i="1" s="1"/>
  <c r="H165" i="1"/>
  <c r="I165" i="1"/>
  <c r="K165" i="1" s="1"/>
  <c r="H166" i="1"/>
  <c r="I166" i="1"/>
  <c r="H167" i="1"/>
  <c r="I167" i="1"/>
  <c r="H168" i="1"/>
  <c r="I168" i="1"/>
  <c r="H169" i="1"/>
  <c r="I169" i="1"/>
  <c r="H170" i="1"/>
  <c r="I170" i="1"/>
  <c r="K170" i="1" s="1"/>
  <c r="H171" i="1"/>
  <c r="I171" i="1"/>
  <c r="H172" i="1"/>
  <c r="I172" i="1"/>
  <c r="K172" i="1" s="1"/>
  <c r="H173" i="1"/>
  <c r="I173" i="1"/>
  <c r="K173" i="1" s="1"/>
  <c r="H174" i="1"/>
  <c r="I174" i="1"/>
  <c r="H175" i="1"/>
  <c r="I175" i="1"/>
  <c r="H176" i="1"/>
  <c r="I176" i="1"/>
  <c r="H177" i="1"/>
  <c r="I177" i="1"/>
  <c r="H178" i="1"/>
  <c r="I178" i="1"/>
  <c r="K178" i="1" s="1"/>
  <c r="H179" i="1"/>
  <c r="I179" i="1"/>
  <c r="K179" i="1" s="1"/>
  <c r="H180" i="1"/>
  <c r="I180" i="1"/>
  <c r="K180" i="1" s="1"/>
  <c r="H181" i="1"/>
  <c r="I181" i="1"/>
  <c r="K181" i="1" s="1"/>
  <c r="H182" i="1"/>
  <c r="I182" i="1"/>
  <c r="K182" i="1" s="1"/>
  <c r="H183" i="1"/>
  <c r="I183" i="1"/>
  <c r="K183" i="1" s="1"/>
  <c r="H184" i="1"/>
  <c r="I184" i="1"/>
  <c r="H185" i="1"/>
  <c r="I185" i="1"/>
  <c r="H186" i="1"/>
  <c r="I186" i="1"/>
  <c r="K186" i="1" s="1"/>
  <c r="H187" i="1"/>
  <c r="I187" i="1"/>
  <c r="K187" i="1" s="1"/>
  <c r="H188" i="1"/>
  <c r="I188" i="1"/>
  <c r="K188" i="1" s="1"/>
  <c r="H189" i="1"/>
  <c r="I189" i="1"/>
  <c r="K189" i="1" s="1"/>
  <c r="H190" i="1"/>
  <c r="I190" i="1"/>
  <c r="K190" i="1" s="1"/>
  <c r="H191" i="1"/>
  <c r="I191" i="1"/>
  <c r="K191" i="1" s="1"/>
  <c r="H192" i="1"/>
  <c r="I192" i="1"/>
  <c r="H193" i="1"/>
  <c r="I193" i="1"/>
  <c r="H194" i="1"/>
  <c r="I194" i="1"/>
  <c r="K194" i="1" s="1"/>
  <c r="H195" i="1"/>
  <c r="I195" i="1"/>
  <c r="K195" i="1" s="1"/>
  <c r="H196" i="1"/>
  <c r="I196" i="1"/>
  <c r="K196" i="1" s="1"/>
  <c r="H197" i="1"/>
  <c r="I197" i="1"/>
  <c r="K197" i="1" s="1"/>
  <c r="H198" i="1"/>
  <c r="I198" i="1"/>
  <c r="K198" i="1" s="1"/>
  <c r="H199" i="1"/>
  <c r="I199" i="1"/>
  <c r="K199" i="1" s="1"/>
  <c r="H200" i="1"/>
  <c r="I200" i="1"/>
  <c r="H201" i="1"/>
  <c r="I201" i="1"/>
  <c r="H202" i="1"/>
  <c r="I202" i="1"/>
  <c r="K202" i="1" s="1"/>
  <c r="H203" i="1"/>
  <c r="I203" i="1"/>
  <c r="K203" i="1" s="1"/>
  <c r="H204" i="1"/>
  <c r="I204" i="1"/>
  <c r="K204" i="1" s="1"/>
  <c r="H205" i="1"/>
  <c r="I205" i="1"/>
  <c r="K205" i="1" s="1"/>
  <c r="H206" i="1"/>
  <c r="I206" i="1"/>
  <c r="K206" i="1" s="1"/>
  <c r="H207" i="1"/>
  <c r="I207" i="1"/>
  <c r="K207" i="1" s="1"/>
  <c r="H208" i="1"/>
  <c r="I208" i="1"/>
  <c r="H209" i="1"/>
  <c r="I209" i="1"/>
  <c r="H210" i="1"/>
  <c r="I210" i="1"/>
  <c r="K210" i="1" s="1"/>
  <c r="H211" i="1"/>
  <c r="I211" i="1"/>
  <c r="K211" i="1" s="1"/>
  <c r="H212" i="1"/>
  <c r="I212" i="1"/>
  <c r="K212" i="1" s="1"/>
  <c r="H213" i="1"/>
  <c r="I213" i="1"/>
  <c r="K213" i="1" s="1"/>
  <c r="H214" i="1"/>
  <c r="I214" i="1"/>
  <c r="K214" i="1" s="1"/>
  <c r="H215" i="1"/>
  <c r="I215" i="1"/>
  <c r="K215" i="1" s="1"/>
  <c r="H216" i="1"/>
  <c r="I216" i="1"/>
  <c r="K216" i="1" s="1"/>
  <c r="H217" i="1"/>
  <c r="I217" i="1"/>
  <c r="K217" i="1" s="1"/>
  <c r="H218" i="1"/>
  <c r="I218" i="1"/>
  <c r="K218" i="1" s="1"/>
  <c r="H219" i="1"/>
  <c r="I219" i="1"/>
  <c r="K219" i="1" s="1"/>
  <c r="H220" i="1"/>
  <c r="I220" i="1"/>
  <c r="K220" i="1" s="1"/>
  <c r="H221" i="1"/>
  <c r="I221" i="1"/>
  <c r="K221" i="1" s="1"/>
  <c r="H222" i="1"/>
  <c r="I222" i="1"/>
  <c r="K222" i="1" s="1"/>
  <c r="H223" i="1"/>
  <c r="I223" i="1"/>
  <c r="K223" i="1" s="1"/>
  <c r="H224" i="1"/>
  <c r="I224" i="1"/>
  <c r="K224" i="1" s="1"/>
  <c r="H225" i="1"/>
  <c r="I225" i="1"/>
  <c r="K225" i="1" s="1"/>
  <c r="H226" i="1"/>
  <c r="I226" i="1"/>
  <c r="K226" i="1" s="1"/>
  <c r="H227" i="1"/>
  <c r="I227" i="1"/>
  <c r="K227" i="1" s="1"/>
  <c r="H228" i="1"/>
  <c r="I228" i="1"/>
  <c r="K228" i="1" s="1"/>
  <c r="H229" i="1"/>
  <c r="I229" i="1"/>
  <c r="K229" i="1" s="1"/>
  <c r="H230" i="1"/>
  <c r="I230" i="1"/>
  <c r="K230" i="1" s="1"/>
  <c r="H231" i="1"/>
  <c r="I231" i="1"/>
  <c r="K231" i="1" s="1"/>
  <c r="H232" i="1"/>
  <c r="I232" i="1"/>
  <c r="K232" i="1" s="1"/>
  <c r="H233" i="1"/>
  <c r="I233" i="1"/>
  <c r="K233" i="1" s="1"/>
  <c r="H234" i="1"/>
  <c r="I234" i="1"/>
  <c r="K234" i="1" s="1"/>
  <c r="H235" i="1"/>
  <c r="I235" i="1"/>
  <c r="K235" i="1" s="1"/>
  <c r="H236" i="1"/>
  <c r="I236" i="1"/>
  <c r="K236" i="1" s="1"/>
  <c r="H237" i="1"/>
  <c r="I237" i="1"/>
  <c r="K237" i="1" s="1"/>
  <c r="H238" i="1"/>
  <c r="I238" i="1"/>
  <c r="K238" i="1" s="1"/>
  <c r="H239" i="1"/>
  <c r="I239" i="1"/>
  <c r="K239" i="1" s="1"/>
  <c r="H240" i="1"/>
  <c r="I240" i="1"/>
  <c r="K240" i="1" s="1"/>
  <c r="H241" i="1"/>
  <c r="I241" i="1"/>
  <c r="K241" i="1" s="1"/>
  <c r="H242" i="1"/>
  <c r="I242" i="1"/>
  <c r="K242" i="1" s="1"/>
  <c r="H243" i="1"/>
  <c r="I243" i="1"/>
  <c r="K243" i="1" s="1"/>
  <c r="H244" i="1"/>
  <c r="I244" i="1"/>
  <c r="K244" i="1" s="1"/>
  <c r="H245" i="1"/>
  <c r="I245" i="1"/>
  <c r="K245" i="1" s="1"/>
  <c r="H246" i="1"/>
  <c r="I246" i="1"/>
  <c r="K246" i="1" s="1"/>
  <c r="H247" i="1"/>
  <c r="I247" i="1"/>
  <c r="K247" i="1" s="1"/>
  <c r="H248" i="1"/>
  <c r="I248" i="1"/>
  <c r="K248" i="1" s="1"/>
  <c r="H249" i="1"/>
  <c r="I249" i="1"/>
  <c r="K249" i="1" s="1"/>
  <c r="H250" i="1"/>
  <c r="I250" i="1"/>
  <c r="K250" i="1" s="1"/>
  <c r="H251" i="1"/>
  <c r="I251" i="1"/>
  <c r="H252" i="1"/>
  <c r="I252" i="1"/>
  <c r="K252" i="1" s="1"/>
  <c r="H253" i="1"/>
  <c r="I253" i="1"/>
  <c r="K253" i="1" s="1"/>
  <c r="H254" i="1"/>
  <c r="I254" i="1"/>
  <c r="K254" i="1" s="1"/>
  <c r="H255" i="1"/>
  <c r="I255" i="1"/>
  <c r="K255" i="1" s="1"/>
  <c r="H256" i="1"/>
  <c r="I256" i="1"/>
  <c r="K256" i="1" s="1"/>
  <c r="H257" i="1"/>
  <c r="I257" i="1"/>
  <c r="K257" i="1" s="1"/>
  <c r="H258" i="1"/>
  <c r="I258" i="1"/>
  <c r="K258" i="1" s="1"/>
  <c r="H259" i="1"/>
  <c r="I259" i="1"/>
  <c r="K259" i="1" s="1"/>
  <c r="H260" i="1"/>
  <c r="I260" i="1"/>
  <c r="K260" i="1" s="1"/>
  <c r="H261" i="1"/>
  <c r="I261" i="1"/>
  <c r="K261" i="1" s="1"/>
  <c r="H262" i="1"/>
  <c r="I262" i="1"/>
  <c r="K262" i="1" s="1"/>
  <c r="H263" i="1"/>
  <c r="I263" i="1"/>
  <c r="K263" i="1" s="1"/>
  <c r="H264" i="1"/>
  <c r="I264" i="1"/>
  <c r="K264" i="1" s="1"/>
  <c r="H265" i="1"/>
  <c r="I265" i="1"/>
  <c r="K265" i="1" s="1"/>
  <c r="H266" i="1"/>
  <c r="I266" i="1"/>
  <c r="K266" i="1" s="1"/>
  <c r="H267" i="1"/>
  <c r="I267" i="1"/>
  <c r="K267" i="1" s="1"/>
  <c r="H268" i="1"/>
  <c r="I268" i="1"/>
  <c r="K268" i="1" s="1"/>
  <c r="H269" i="1"/>
  <c r="I269" i="1"/>
  <c r="K269" i="1" s="1"/>
  <c r="H270" i="1"/>
  <c r="I270" i="1"/>
  <c r="K270" i="1" s="1"/>
  <c r="H271" i="1"/>
  <c r="I271" i="1"/>
  <c r="K271" i="1" s="1"/>
  <c r="H272" i="1"/>
  <c r="I272" i="1"/>
  <c r="K272" i="1" s="1"/>
  <c r="H273" i="1"/>
  <c r="I273" i="1"/>
  <c r="K273" i="1" s="1"/>
  <c r="H274" i="1"/>
  <c r="I274" i="1"/>
  <c r="K274" i="1" s="1"/>
  <c r="H275" i="1"/>
  <c r="I275" i="1"/>
  <c r="K275" i="1" s="1"/>
  <c r="H276" i="1"/>
  <c r="I276" i="1"/>
  <c r="K276" i="1" s="1"/>
  <c r="H277" i="1"/>
  <c r="I277" i="1"/>
  <c r="K277" i="1" s="1"/>
  <c r="H278" i="1"/>
  <c r="I278" i="1"/>
  <c r="K278" i="1" s="1"/>
  <c r="H279" i="1"/>
  <c r="I279" i="1"/>
  <c r="K279" i="1" s="1"/>
  <c r="H280" i="1"/>
  <c r="I280" i="1"/>
  <c r="K280" i="1" s="1"/>
  <c r="H281" i="1"/>
  <c r="I281" i="1"/>
  <c r="K281" i="1" s="1"/>
  <c r="H282" i="1"/>
  <c r="I282" i="1"/>
  <c r="K282" i="1" s="1"/>
  <c r="H283" i="1"/>
  <c r="I283" i="1"/>
  <c r="K283" i="1" s="1"/>
  <c r="H284" i="1"/>
  <c r="I284" i="1"/>
  <c r="K284" i="1" s="1"/>
  <c r="H285" i="1"/>
  <c r="I285" i="1"/>
  <c r="K285" i="1" s="1"/>
  <c r="H286" i="1"/>
  <c r="I286" i="1"/>
  <c r="K286" i="1" s="1"/>
  <c r="H287" i="1"/>
  <c r="I287" i="1"/>
  <c r="K287" i="1" s="1"/>
  <c r="H288" i="1"/>
  <c r="I288" i="1"/>
  <c r="K288" i="1" s="1"/>
  <c r="H289" i="1"/>
  <c r="I289" i="1"/>
  <c r="K289" i="1" s="1"/>
  <c r="H290" i="1"/>
  <c r="I290" i="1"/>
  <c r="K290" i="1" s="1"/>
  <c r="H291" i="1"/>
  <c r="I291" i="1"/>
  <c r="K291" i="1" s="1"/>
  <c r="H292" i="1"/>
  <c r="I292" i="1"/>
  <c r="K292" i="1" s="1"/>
  <c r="H293" i="1"/>
  <c r="I293" i="1"/>
  <c r="K293" i="1" s="1"/>
  <c r="H294" i="1"/>
  <c r="I294" i="1"/>
  <c r="K294" i="1" s="1"/>
  <c r="H295" i="1"/>
  <c r="I295" i="1"/>
  <c r="K295" i="1" s="1"/>
  <c r="H296" i="1"/>
  <c r="I296" i="1"/>
  <c r="K296" i="1" s="1"/>
  <c r="H297" i="1"/>
  <c r="I297" i="1"/>
  <c r="K297" i="1" s="1"/>
  <c r="H298" i="1"/>
  <c r="I298" i="1"/>
  <c r="K298" i="1" s="1"/>
  <c r="H299" i="1"/>
  <c r="I299" i="1"/>
  <c r="K299" i="1" s="1"/>
  <c r="H300" i="1"/>
  <c r="I300" i="1"/>
  <c r="K300" i="1" s="1"/>
  <c r="H301" i="1"/>
  <c r="I301" i="1"/>
  <c r="K301" i="1" s="1"/>
  <c r="H302" i="1"/>
  <c r="I302" i="1"/>
  <c r="K302" i="1" s="1"/>
  <c r="H303" i="1"/>
  <c r="I303" i="1"/>
  <c r="K303" i="1" s="1"/>
  <c r="H304" i="1"/>
  <c r="I304" i="1"/>
  <c r="K304" i="1" s="1"/>
  <c r="H305" i="1"/>
  <c r="I305" i="1"/>
  <c r="K305" i="1" s="1"/>
  <c r="H306" i="1"/>
  <c r="I306" i="1"/>
  <c r="K306" i="1" s="1"/>
  <c r="H307" i="1"/>
  <c r="I307" i="1"/>
  <c r="H308" i="1"/>
  <c r="I308" i="1"/>
  <c r="K308" i="1" s="1"/>
  <c r="H309" i="1"/>
  <c r="I309" i="1"/>
  <c r="K309" i="1" s="1"/>
  <c r="H310" i="1"/>
  <c r="I310" i="1"/>
  <c r="K310" i="1" s="1"/>
  <c r="H311" i="1"/>
  <c r="I311" i="1"/>
  <c r="K311" i="1" s="1"/>
  <c r="H312" i="1"/>
  <c r="I312" i="1"/>
  <c r="K312" i="1" s="1"/>
  <c r="H313" i="1"/>
  <c r="I313" i="1"/>
  <c r="K313" i="1" s="1"/>
  <c r="H314" i="1"/>
  <c r="I314" i="1"/>
  <c r="K314" i="1" s="1"/>
  <c r="H315" i="1"/>
  <c r="I315" i="1"/>
  <c r="H316" i="1"/>
  <c r="I316" i="1"/>
  <c r="K316" i="1" s="1"/>
  <c r="H317" i="1"/>
  <c r="I317" i="1"/>
  <c r="K317" i="1" s="1"/>
  <c r="H318" i="1"/>
  <c r="I318" i="1"/>
  <c r="K318" i="1" s="1"/>
  <c r="H319" i="1"/>
  <c r="I319" i="1"/>
  <c r="K319" i="1" s="1"/>
  <c r="H320" i="1"/>
  <c r="I320" i="1"/>
  <c r="K320" i="1" s="1"/>
  <c r="H321" i="1"/>
  <c r="I321" i="1"/>
  <c r="K321" i="1" s="1"/>
  <c r="H322" i="1"/>
  <c r="I322" i="1"/>
  <c r="K322" i="1" s="1"/>
  <c r="H323" i="1"/>
  <c r="I323" i="1"/>
  <c r="K323" i="1" s="1"/>
  <c r="H324" i="1"/>
  <c r="I324" i="1"/>
  <c r="K324" i="1" s="1"/>
  <c r="H325" i="1"/>
  <c r="I325" i="1"/>
  <c r="K325" i="1" s="1"/>
  <c r="H326" i="1"/>
  <c r="I326" i="1"/>
  <c r="K326" i="1" s="1"/>
  <c r="H327" i="1"/>
  <c r="I327" i="1"/>
  <c r="K327" i="1" s="1"/>
  <c r="H328" i="1"/>
  <c r="I328" i="1"/>
  <c r="K328" i="1" s="1"/>
  <c r="H329" i="1"/>
  <c r="I329" i="1"/>
  <c r="K329" i="1" s="1"/>
  <c r="H330" i="1"/>
  <c r="I330" i="1"/>
  <c r="K330" i="1" s="1"/>
  <c r="H331" i="1"/>
  <c r="I331" i="1"/>
  <c r="K331" i="1" s="1"/>
  <c r="H332" i="1"/>
  <c r="I332" i="1"/>
  <c r="K332" i="1" s="1"/>
  <c r="H333" i="1"/>
  <c r="I333" i="1"/>
  <c r="K333" i="1" s="1"/>
  <c r="H334" i="1"/>
  <c r="I334" i="1"/>
  <c r="K334" i="1" s="1"/>
  <c r="H335" i="1"/>
  <c r="I335" i="1"/>
  <c r="K335" i="1" s="1"/>
  <c r="H336" i="1"/>
  <c r="I336" i="1"/>
  <c r="K336" i="1" s="1"/>
  <c r="H337" i="1"/>
  <c r="I337" i="1"/>
  <c r="K337" i="1" s="1"/>
  <c r="H338" i="1"/>
  <c r="I338" i="1"/>
  <c r="K338" i="1" s="1"/>
  <c r="H339" i="1"/>
  <c r="I339" i="1"/>
  <c r="K339" i="1" s="1"/>
  <c r="H340" i="1"/>
  <c r="I340" i="1"/>
  <c r="K340" i="1" s="1"/>
  <c r="H341" i="1"/>
  <c r="I341" i="1"/>
  <c r="K341" i="1" s="1"/>
  <c r="H342" i="1"/>
  <c r="I342" i="1"/>
  <c r="K342" i="1" s="1"/>
  <c r="H343" i="1"/>
  <c r="I343" i="1"/>
  <c r="K343" i="1" s="1"/>
  <c r="H344" i="1"/>
  <c r="I344" i="1"/>
  <c r="K344" i="1" s="1"/>
  <c r="H345" i="1"/>
  <c r="I345" i="1"/>
  <c r="K345" i="1" s="1"/>
  <c r="H346" i="1"/>
  <c r="I346" i="1"/>
  <c r="K346" i="1" s="1"/>
  <c r="H347" i="1"/>
  <c r="I347" i="1"/>
  <c r="K347" i="1" s="1"/>
  <c r="H348" i="1"/>
  <c r="I348" i="1"/>
  <c r="K348" i="1" s="1"/>
  <c r="H349" i="1"/>
  <c r="I349" i="1"/>
  <c r="K349" i="1" s="1"/>
  <c r="H350" i="1"/>
  <c r="I350" i="1"/>
  <c r="K350" i="1" s="1"/>
  <c r="H351" i="1"/>
  <c r="I351" i="1"/>
  <c r="K351" i="1" s="1"/>
  <c r="H352" i="1"/>
  <c r="I352" i="1"/>
  <c r="K352" i="1" s="1"/>
  <c r="H353" i="1"/>
  <c r="I353" i="1"/>
  <c r="K353" i="1" s="1"/>
  <c r="H354" i="1"/>
  <c r="I354" i="1"/>
  <c r="K354" i="1" s="1"/>
  <c r="H355" i="1"/>
  <c r="I355" i="1"/>
  <c r="K355" i="1" s="1"/>
  <c r="H356" i="1"/>
  <c r="I356" i="1"/>
  <c r="K356" i="1" s="1"/>
  <c r="H357" i="1"/>
  <c r="I357" i="1"/>
  <c r="K357" i="1" s="1"/>
  <c r="H358" i="1"/>
  <c r="I358" i="1"/>
  <c r="K358" i="1" s="1"/>
  <c r="H359" i="1"/>
  <c r="I359" i="1"/>
  <c r="K359" i="1" s="1"/>
  <c r="H360" i="1"/>
  <c r="I360" i="1"/>
  <c r="K360" i="1" s="1"/>
  <c r="H361" i="1"/>
  <c r="I361" i="1"/>
  <c r="K361" i="1" s="1"/>
  <c r="H362" i="1"/>
  <c r="I362" i="1"/>
  <c r="K362" i="1" s="1"/>
  <c r="H363" i="1"/>
  <c r="I363" i="1"/>
  <c r="K363" i="1" s="1"/>
  <c r="H364" i="1"/>
  <c r="I364" i="1"/>
  <c r="K364" i="1" s="1"/>
  <c r="H365" i="1"/>
  <c r="I365" i="1"/>
  <c r="K365" i="1" s="1"/>
  <c r="H366" i="1"/>
  <c r="I366" i="1"/>
  <c r="K366" i="1" s="1"/>
  <c r="H367" i="1"/>
  <c r="I367" i="1"/>
  <c r="K367" i="1" s="1"/>
  <c r="H368" i="1"/>
  <c r="I368" i="1"/>
  <c r="K368" i="1" s="1"/>
  <c r="H369" i="1"/>
  <c r="I369" i="1"/>
  <c r="K369" i="1" s="1"/>
  <c r="H370" i="1"/>
  <c r="I370" i="1"/>
  <c r="K370" i="1" s="1"/>
  <c r="H371" i="1"/>
  <c r="I371" i="1"/>
  <c r="K371" i="1" s="1"/>
  <c r="H372" i="1"/>
  <c r="I372" i="1"/>
  <c r="K372" i="1" s="1"/>
  <c r="H373" i="1"/>
  <c r="I373" i="1"/>
  <c r="K373" i="1" s="1"/>
  <c r="H374" i="1"/>
  <c r="I374" i="1"/>
  <c r="K374" i="1" s="1"/>
  <c r="H375" i="1"/>
  <c r="I375" i="1"/>
  <c r="K375" i="1" s="1"/>
  <c r="H376" i="1"/>
  <c r="I376" i="1"/>
  <c r="K376" i="1" s="1"/>
  <c r="H377" i="1"/>
  <c r="I377" i="1"/>
  <c r="K377" i="1" s="1"/>
  <c r="H378" i="1"/>
  <c r="I378" i="1"/>
  <c r="K378" i="1" s="1"/>
  <c r="H379" i="1"/>
  <c r="I379" i="1"/>
  <c r="K379" i="1" s="1"/>
  <c r="H380" i="1"/>
  <c r="I380" i="1"/>
  <c r="K380" i="1" s="1"/>
  <c r="H381" i="1"/>
  <c r="I381" i="1"/>
  <c r="K381" i="1" s="1"/>
  <c r="H382" i="1"/>
  <c r="I382" i="1"/>
  <c r="K382" i="1" s="1"/>
  <c r="H383" i="1"/>
  <c r="I383" i="1"/>
  <c r="K383" i="1" s="1"/>
  <c r="H384" i="1"/>
  <c r="I384" i="1"/>
  <c r="K384" i="1" s="1"/>
  <c r="H385" i="1"/>
  <c r="I385" i="1"/>
  <c r="K385" i="1" s="1"/>
  <c r="H386" i="1"/>
  <c r="I386" i="1"/>
  <c r="K386" i="1" s="1"/>
  <c r="H387" i="1"/>
  <c r="I387" i="1"/>
  <c r="K387" i="1" s="1"/>
  <c r="H388" i="1"/>
  <c r="I388" i="1"/>
  <c r="K388" i="1" s="1"/>
  <c r="H389" i="1"/>
  <c r="I389" i="1"/>
  <c r="K389" i="1" s="1"/>
  <c r="H390" i="1"/>
  <c r="I390" i="1"/>
  <c r="K390" i="1" s="1"/>
  <c r="H391" i="1"/>
  <c r="I391" i="1"/>
  <c r="K391" i="1" s="1"/>
  <c r="H392" i="1"/>
  <c r="I392" i="1"/>
  <c r="K392" i="1" s="1"/>
  <c r="H393" i="1"/>
  <c r="I393" i="1"/>
  <c r="K393" i="1" s="1"/>
  <c r="H394" i="1"/>
  <c r="I394" i="1"/>
  <c r="K394" i="1" s="1"/>
  <c r="H395" i="1"/>
  <c r="I395" i="1"/>
  <c r="K395" i="1" s="1"/>
  <c r="H396" i="1"/>
  <c r="I396" i="1"/>
  <c r="K396" i="1" s="1"/>
  <c r="H397" i="1"/>
  <c r="I397" i="1"/>
  <c r="K397" i="1" s="1"/>
  <c r="H398" i="1"/>
  <c r="I398" i="1"/>
  <c r="K398" i="1" s="1"/>
  <c r="H399" i="1"/>
  <c r="I399" i="1"/>
  <c r="H400" i="1"/>
  <c r="I400" i="1"/>
  <c r="K400" i="1" s="1"/>
  <c r="H401" i="1"/>
  <c r="I401" i="1"/>
  <c r="K401" i="1" s="1"/>
  <c r="H402" i="1"/>
  <c r="I402" i="1"/>
  <c r="K402" i="1" s="1"/>
  <c r="H403" i="1"/>
  <c r="I403" i="1"/>
  <c r="K403" i="1" s="1"/>
  <c r="H404" i="1"/>
  <c r="I404" i="1"/>
  <c r="K404" i="1" s="1"/>
  <c r="H405" i="1"/>
  <c r="I405" i="1"/>
  <c r="K405" i="1" s="1"/>
  <c r="H406" i="1"/>
  <c r="I406" i="1"/>
  <c r="K406" i="1" s="1"/>
  <c r="H407" i="1"/>
  <c r="I407" i="1"/>
  <c r="K407" i="1" s="1"/>
  <c r="H408" i="1"/>
  <c r="I408" i="1"/>
  <c r="K408" i="1" s="1"/>
  <c r="H409" i="1"/>
  <c r="I409" i="1"/>
  <c r="K409" i="1" s="1"/>
  <c r="H410" i="1"/>
  <c r="I410" i="1"/>
  <c r="K410" i="1" s="1"/>
  <c r="H411" i="1"/>
  <c r="I411" i="1"/>
  <c r="K411" i="1" s="1"/>
  <c r="H412" i="1"/>
  <c r="I412" i="1"/>
  <c r="K412" i="1" s="1"/>
  <c r="H413" i="1"/>
  <c r="I413" i="1"/>
  <c r="K413" i="1" s="1"/>
  <c r="H414" i="1"/>
  <c r="I414" i="1"/>
  <c r="K414" i="1" s="1"/>
  <c r="H415" i="1"/>
  <c r="I415" i="1"/>
  <c r="K415" i="1" s="1"/>
  <c r="H416" i="1"/>
  <c r="I416" i="1"/>
  <c r="K416" i="1" s="1"/>
  <c r="H417" i="1"/>
  <c r="I417" i="1"/>
  <c r="K417" i="1" s="1"/>
  <c r="H418" i="1"/>
  <c r="I418" i="1"/>
  <c r="K418" i="1" s="1"/>
  <c r="H419" i="1"/>
  <c r="I419" i="1"/>
  <c r="K419" i="1" s="1"/>
  <c r="H420" i="1"/>
  <c r="I420" i="1"/>
  <c r="K420" i="1" s="1"/>
  <c r="H421" i="1"/>
  <c r="I421" i="1"/>
  <c r="K421" i="1" s="1"/>
  <c r="H422" i="1"/>
  <c r="I422" i="1"/>
  <c r="K422" i="1" s="1"/>
  <c r="H423" i="1"/>
  <c r="I423" i="1"/>
  <c r="K423" i="1" s="1"/>
  <c r="H424" i="1"/>
  <c r="I424" i="1"/>
  <c r="K424" i="1" s="1"/>
  <c r="H425" i="1"/>
  <c r="I425" i="1"/>
  <c r="K425" i="1" s="1"/>
  <c r="H426" i="1"/>
  <c r="I426" i="1"/>
  <c r="K426" i="1" s="1"/>
  <c r="H427" i="1"/>
  <c r="I427" i="1"/>
  <c r="K427" i="1" s="1"/>
  <c r="H428" i="1"/>
  <c r="I428" i="1"/>
  <c r="K428" i="1" s="1"/>
  <c r="H429" i="1"/>
  <c r="I429" i="1"/>
  <c r="K429" i="1" s="1"/>
  <c r="H430" i="1"/>
  <c r="I430" i="1"/>
  <c r="K430" i="1" s="1"/>
  <c r="H431" i="1"/>
  <c r="I431" i="1"/>
  <c r="K431" i="1" s="1"/>
  <c r="H432" i="1"/>
  <c r="I432" i="1"/>
  <c r="K432" i="1" s="1"/>
  <c r="H433" i="1"/>
  <c r="I433" i="1"/>
  <c r="K433" i="1" s="1"/>
  <c r="H434" i="1"/>
  <c r="I434" i="1"/>
  <c r="K434" i="1" s="1"/>
  <c r="H435" i="1"/>
  <c r="I435" i="1"/>
  <c r="K435" i="1" s="1"/>
  <c r="H436" i="1"/>
  <c r="I436" i="1"/>
  <c r="K436" i="1" s="1"/>
  <c r="H437" i="1"/>
  <c r="I437" i="1"/>
  <c r="K437" i="1" s="1"/>
  <c r="H438" i="1"/>
  <c r="I438" i="1"/>
  <c r="K438" i="1" s="1"/>
  <c r="H439" i="1"/>
  <c r="I439" i="1"/>
  <c r="K439" i="1" s="1"/>
  <c r="H440" i="1"/>
  <c r="I440" i="1"/>
  <c r="K440" i="1" s="1"/>
  <c r="H441" i="1"/>
  <c r="I441" i="1"/>
  <c r="K441" i="1" s="1"/>
  <c r="H442" i="1"/>
  <c r="I442" i="1"/>
  <c r="K442" i="1" s="1"/>
  <c r="H443" i="1"/>
  <c r="I443" i="1"/>
  <c r="K443" i="1" s="1"/>
  <c r="H444" i="1"/>
  <c r="I444" i="1"/>
  <c r="K444" i="1" s="1"/>
  <c r="H445" i="1"/>
  <c r="I445" i="1"/>
  <c r="K445" i="1" s="1"/>
  <c r="H446" i="1"/>
  <c r="I446" i="1"/>
  <c r="K446" i="1" s="1"/>
  <c r="H447" i="1"/>
  <c r="I447" i="1"/>
  <c r="K447" i="1" s="1"/>
  <c r="H448" i="1"/>
  <c r="I448" i="1"/>
  <c r="K448" i="1" s="1"/>
  <c r="H449" i="1"/>
  <c r="I449" i="1"/>
  <c r="K449" i="1" s="1"/>
  <c r="H450" i="1"/>
  <c r="I450" i="1"/>
  <c r="K450" i="1" s="1"/>
  <c r="H451" i="1"/>
  <c r="I451" i="1"/>
  <c r="K451" i="1" s="1"/>
  <c r="H452" i="1"/>
  <c r="I452" i="1"/>
  <c r="K452" i="1" s="1"/>
  <c r="H453" i="1"/>
  <c r="I453" i="1"/>
  <c r="K453" i="1" s="1"/>
  <c r="H454" i="1"/>
  <c r="I454" i="1"/>
  <c r="K454" i="1" s="1"/>
  <c r="H455" i="1"/>
  <c r="I455" i="1"/>
  <c r="K455" i="1" s="1"/>
  <c r="H456" i="1"/>
  <c r="I456" i="1"/>
  <c r="K456" i="1" s="1"/>
  <c r="H457" i="1"/>
  <c r="I457" i="1"/>
  <c r="K457" i="1" s="1"/>
  <c r="H458" i="1"/>
  <c r="I458" i="1"/>
  <c r="K458" i="1" s="1"/>
  <c r="H459" i="1"/>
  <c r="I459" i="1"/>
  <c r="K459" i="1" s="1"/>
  <c r="H460" i="1"/>
  <c r="I460" i="1"/>
  <c r="K460" i="1" s="1"/>
  <c r="H461" i="1"/>
  <c r="I461" i="1"/>
  <c r="K461" i="1" s="1"/>
  <c r="H462" i="1"/>
  <c r="I462" i="1"/>
  <c r="K462" i="1" s="1"/>
  <c r="H463" i="1"/>
  <c r="I463" i="1"/>
  <c r="K463" i="1" s="1"/>
  <c r="H464" i="1"/>
  <c r="I464" i="1"/>
  <c r="K464" i="1" s="1"/>
  <c r="H465" i="1"/>
  <c r="I465" i="1"/>
  <c r="K465" i="1" s="1"/>
  <c r="H466" i="1"/>
  <c r="I466" i="1"/>
  <c r="K466" i="1" s="1"/>
  <c r="H467" i="1"/>
  <c r="I467" i="1"/>
  <c r="K467" i="1" s="1"/>
  <c r="H468" i="1"/>
  <c r="I468" i="1"/>
  <c r="K468" i="1" s="1"/>
  <c r="H469" i="1"/>
  <c r="I469" i="1"/>
  <c r="K469" i="1" s="1"/>
  <c r="H470" i="1"/>
  <c r="I470" i="1"/>
  <c r="K470" i="1" s="1"/>
  <c r="H471" i="1"/>
  <c r="I471" i="1"/>
  <c r="K471" i="1" s="1"/>
  <c r="H472" i="1"/>
  <c r="I472" i="1"/>
  <c r="K472" i="1" s="1"/>
  <c r="H473" i="1"/>
  <c r="I473" i="1"/>
  <c r="K473" i="1" s="1"/>
  <c r="H474" i="1"/>
  <c r="I474" i="1"/>
  <c r="K474" i="1" s="1"/>
  <c r="H475" i="1"/>
  <c r="I475" i="1"/>
  <c r="K475" i="1" s="1"/>
  <c r="H476" i="1"/>
  <c r="I476" i="1"/>
  <c r="K476" i="1" s="1"/>
  <c r="H477" i="1"/>
  <c r="I477" i="1"/>
  <c r="K477" i="1" s="1"/>
  <c r="H478" i="1"/>
  <c r="I478" i="1"/>
  <c r="K478" i="1" s="1"/>
  <c r="H479" i="1"/>
  <c r="I479" i="1"/>
  <c r="K479" i="1" s="1"/>
  <c r="H480" i="1"/>
  <c r="I480" i="1"/>
  <c r="K480" i="1" s="1"/>
  <c r="H481" i="1"/>
  <c r="I481" i="1"/>
  <c r="K481" i="1" s="1"/>
  <c r="H482" i="1"/>
  <c r="I482" i="1"/>
  <c r="K482" i="1" s="1"/>
  <c r="H483" i="1"/>
  <c r="I483" i="1"/>
  <c r="K483" i="1" s="1"/>
  <c r="H484" i="1"/>
  <c r="I484" i="1"/>
  <c r="K484" i="1" s="1"/>
  <c r="H485" i="1"/>
  <c r="I485" i="1"/>
  <c r="K485" i="1" s="1"/>
  <c r="H486" i="1"/>
  <c r="I486" i="1"/>
  <c r="K486" i="1" s="1"/>
  <c r="H487" i="1"/>
  <c r="I487" i="1"/>
  <c r="K487" i="1" s="1"/>
  <c r="H488" i="1"/>
  <c r="I488" i="1"/>
  <c r="K488" i="1" s="1"/>
  <c r="H489" i="1"/>
  <c r="I489" i="1"/>
  <c r="K489" i="1" s="1"/>
  <c r="H490" i="1"/>
  <c r="I490" i="1"/>
  <c r="K490" i="1" s="1"/>
  <c r="H491" i="1"/>
  <c r="I491" i="1"/>
  <c r="K491" i="1" s="1"/>
  <c r="H492" i="1"/>
  <c r="I492" i="1"/>
  <c r="K492" i="1" s="1"/>
  <c r="H493" i="1"/>
  <c r="I493" i="1"/>
  <c r="K493" i="1" s="1"/>
  <c r="H494" i="1"/>
  <c r="I494" i="1"/>
  <c r="K494" i="1" s="1"/>
  <c r="H495" i="1"/>
  <c r="I495" i="1"/>
  <c r="K495" i="1" s="1"/>
  <c r="H496" i="1"/>
  <c r="I496" i="1"/>
  <c r="K496" i="1" s="1"/>
  <c r="H497" i="1"/>
  <c r="I497" i="1"/>
  <c r="K497" i="1" s="1"/>
  <c r="H498" i="1"/>
  <c r="I498" i="1"/>
  <c r="K498" i="1" s="1"/>
  <c r="H499" i="1"/>
  <c r="I499" i="1"/>
  <c r="K499" i="1" s="1"/>
  <c r="H500" i="1"/>
  <c r="I500" i="1"/>
  <c r="K500" i="1" s="1"/>
  <c r="H501" i="1"/>
  <c r="I501" i="1"/>
  <c r="K501" i="1" s="1"/>
  <c r="H502" i="1"/>
  <c r="I502" i="1"/>
  <c r="K502" i="1" s="1"/>
  <c r="H503" i="1"/>
  <c r="I503" i="1"/>
  <c r="K503" i="1" s="1"/>
  <c r="H504" i="1"/>
  <c r="I504" i="1"/>
  <c r="K504" i="1" s="1"/>
  <c r="H505" i="1"/>
  <c r="I505" i="1"/>
  <c r="K505" i="1" s="1"/>
  <c r="H506" i="1"/>
  <c r="I506" i="1"/>
  <c r="K506" i="1" s="1"/>
  <c r="H507" i="1"/>
  <c r="I507" i="1"/>
  <c r="K507" i="1" s="1"/>
  <c r="H508" i="1"/>
  <c r="I508" i="1"/>
  <c r="K508" i="1" s="1"/>
  <c r="H509" i="1"/>
  <c r="I509" i="1"/>
  <c r="K509" i="1" s="1"/>
  <c r="H510" i="1"/>
  <c r="I510" i="1"/>
  <c r="K510" i="1" s="1"/>
  <c r="H511" i="1"/>
  <c r="I511" i="1"/>
  <c r="K511" i="1" s="1"/>
  <c r="H512" i="1"/>
  <c r="I512" i="1"/>
  <c r="K512" i="1" s="1"/>
  <c r="H513" i="1"/>
  <c r="I513" i="1"/>
  <c r="K513" i="1" s="1"/>
  <c r="H514" i="1"/>
  <c r="I514" i="1"/>
  <c r="K514" i="1" s="1"/>
  <c r="H515" i="1"/>
  <c r="I515" i="1"/>
  <c r="K515" i="1" s="1"/>
  <c r="H516" i="1"/>
  <c r="I516" i="1"/>
  <c r="K516" i="1" s="1"/>
  <c r="H517" i="1"/>
  <c r="I517" i="1"/>
  <c r="K517" i="1" s="1"/>
  <c r="H518" i="1"/>
  <c r="I518" i="1"/>
  <c r="K518" i="1" s="1"/>
  <c r="H519" i="1"/>
  <c r="I519" i="1"/>
  <c r="K519" i="1" s="1"/>
  <c r="H520" i="1"/>
  <c r="I520" i="1"/>
  <c r="H521" i="1"/>
  <c r="I521" i="1"/>
  <c r="K521" i="1" s="1"/>
  <c r="H522" i="1"/>
  <c r="I522" i="1"/>
  <c r="K522" i="1" s="1"/>
  <c r="H523" i="1"/>
  <c r="I523" i="1"/>
  <c r="K523" i="1" s="1"/>
  <c r="H524" i="1"/>
  <c r="I524" i="1"/>
  <c r="K524" i="1" s="1"/>
  <c r="H525" i="1"/>
  <c r="I525" i="1"/>
  <c r="K525" i="1" s="1"/>
  <c r="H526" i="1"/>
  <c r="I526" i="1"/>
  <c r="K526" i="1" s="1"/>
  <c r="H527" i="1"/>
  <c r="I527" i="1"/>
  <c r="K527" i="1" s="1"/>
  <c r="H528" i="1"/>
  <c r="I528" i="1"/>
  <c r="K528" i="1" s="1"/>
  <c r="H529" i="1"/>
  <c r="I529" i="1"/>
  <c r="K529" i="1" s="1"/>
  <c r="H530" i="1"/>
  <c r="I530" i="1"/>
  <c r="K530" i="1" s="1"/>
  <c r="H531" i="1"/>
  <c r="I531" i="1"/>
  <c r="H532" i="1"/>
  <c r="I532" i="1"/>
  <c r="K532" i="1" s="1"/>
  <c r="H533" i="1"/>
  <c r="I533" i="1"/>
  <c r="K533" i="1" s="1"/>
  <c r="H534" i="1"/>
  <c r="I534" i="1"/>
  <c r="K534" i="1" s="1"/>
  <c r="H535" i="1"/>
  <c r="I535" i="1"/>
  <c r="K535" i="1" s="1"/>
  <c r="H536" i="1"/>
  <c r="I536" i="1"/>
  <c r="K536" i="1" s="1"/>
  <c r="H537" i="1"/>
  <c r="I537" i="1"/>
  <c r="K537" i="1" s="1"/>
  <c r="H538" i="1"/>
  <c r="I538" i="1"/>
  <c r="K538" i="1" s="1"/>
  <c r="H539" i="1"/>
  <c r="I539" i="1"/>
  <c r="K539" i="1" s="1"/>
  <c r="H540" i="1"/>
  <c r="I540" i="1"/>
  <c r="K540" i="1" s="1"/>
  <c r="H541" i="1"/>
  <c r="I541" i="1"/>
  <c r="K541" i="1" s="1"/>
  <c r="H542" i="1"/>
  <c r="I542" i="1"/>
  <c r="K542" i="1" s="1"/>
  <c r="H543" i="1"/>
  <c r="I543" i="1"/>
  <c r="K543" i="1" s="1"/>
  <c r="H544" i="1"/>
  <c r="I544" i="1"/>
  <c r="K544" i="1" s="1"/>
  <c r="H545" i="1"/>
  <c r="I545" i="1"/>
  <c r="K545" i="1" s="1"/>
  <c r="H546" i="1"/>
  <c r="I546" i="1"/>
  <c r="K546" i="1" s="1"/>
  <c r="H547" i="1"/>
  <c r="I547" i="1"/>
  <c r="K547" i="1" s="1"/>
  <c r="H548" i="1"/>
  <c r="I548" i="1"/>
  <c r="K548" i="1" s="1"/>
  <c r="H549" i="1"/>
  <c r="I549" i="1"/>
  <c r="K549" i="1" s="1"/>
  <c r="H550" i="1"/>
  <c r="I550" i="1"/>
  <c r="K550" i="1" s="1"/>
  <c r="H551" i="1"/>
  <c r="I551" i="1"/>
  <c r="K551" i="1" s="1"/>
  <c r="H552" i="1"/>
  <c r="I552" i="1"/>
  <c r="K552" i="1" s="1"/>
  <c r="H553" i="1"/>
  <c r="I553" i="1"/>
  <c r="K553" i="1" s="1"/>
  <c r="H554" i="1"/>
  <c r="I554" i="1"/>
  <c r="K554" i="1" s="1"/>
  <c r="H555" i="1"/>
  <c r="I555" i="1"/>
  <c r="K555" i="1" s="1"/>
  <c r="H556" i="1"/>
  <c r="I556" i="1"/>
  <c r="K556" i="1" s="1"/>
  <c r="H557" i="1"/>
  <c r="I557" i="1"/>
  <c r="K557" i="1" s="1"/>
  <c r="H558" i="1"/>
  <c r="I558" i="1"/>
  <c r="K558" i="1" s="1"/>
  <c r="H559" i="1"/>
  <c r="I559" i="1"/>
  <c r="K559" i="1" s="1"/>
  <c r="H560" i="1"/>
  <c r="I560" i="1"/>
  <c r="K560" i="1" s="1"/>
  <c r="H561" i="1"/>
  <c r="I561" i="1"/>
  <c r="K561" i="1" s="1"/>
  <c r="H562" i="1"/>
  <c r="I562" i="1"/>
  <c r="K562" i="1" s="1"/>
  <c r="H563" i="1"/>
  <c r="I563" i="1"/>
  <c r="K563" i="1" s="1"/>
  <c r="H564" i="1"/>
  <c r="I564" i="1"/>
  <c r="K564" i="1" s="1"/>
  <c r="H565" i="1"/>
  <c r="I565" i="1"/>
  <c r="K565" i="1" s="1"/>
  <c r="H566" i="1"/>
  <c r="I566" i="1"/>
  <c r="K566" i="1" s="1"/>
  <c r="H567" i="1"/>
  <c r="I567" i="1"/>
  <c r="K567" i="1" s="1"/>
  <c r="H568" i="1"/>
  <c r="I568" i="1"/>
  <c r="K568" i="1" s="1"/>
  <c r="H569" i="1"/>
  <c r="I569" i="1"/>
  <c r="K569" i="1" s="1"/>
  <c r="H570" i="1"/>
  <c r="I570" i="1"/>
  <c r="K570" i="1" s="1"/>
  <c r="H571" i="1"/>
  <c r="I571" i="1"/>
  <c r="K571" i="1" s="1"/>
  <c r="H572" i="1"/>
  <c r="I572" i="1"/>
  <c r="K572" i="1" s="1"/>
  <c r="H573" i="1"/>
  <c r="I573" i="1"/>
  <c r="K573" i="1" s="1"/>
  <c r="H574" i="1"/>
  <c r="I574" i="1"/>
  <c r="K574" i="1" s="1"/>
  <c r="H575" i="1"/>
  <c r="I575" i="1"/>
  <c r="K575" i="1" s="1"/>
  <c r="H576" i="1"/>
  <c r="I576" i="1"/>
  <c r="K576" i="1" s="1"/>
  <c r="H577" i="1"/>
  <c r="I577" i="1"/>
  <c r="H578" i="1"/>
  <c r="I578" i="1"/>
  <c r="K578" i="1" s="1"/>
  <c r="H579" i="1"/>
  <c r="I579" i="1"/>
  <c r="K579" i="1" s="1"/>
  <c r="H580" i="1"/>
  <c r="I580" i="1"/>
  <c r="K580" i="1" s="1"/>
  <c r="H581" i="1"/>
  <c r="I581" i="1"/>
  <c r="K581" i="1" s="1"/>
  <c r="H582" i="1"/>
  <c r="I582" i="1"/>
  <c r="K582" i="1" s="1"/>
  <c r="H583" i="1"/>
  <c r="I583" i="1"/>
  <c r="K583" i="1" s="1"/>
  <c r="H584" i="1"/>
  <c r="I584" i="1"/>
  <c r="K584" i="1" s="1"/>
  <c r="H585" i="1"/>
  <c r="I585" i="1"/>
  <c r="K585" i="1" s="1"/>
  <c r="H586" i="1"/>
  <c r="I586" i="1"/>
  <c r="K586" i="1" s="1"/>
  <c r="H587" i="1"/>
  <c r="I587" i="1"/>
  <c r="K587" i="1" s="1"/>
  <c r="H588" i="1"/>
  <c r="I588" i="1"/>
  <c r="K588" i="1" s="1"/>
  <c r="H589" i="1"/>
  <c r="I589" i="1"/>
  <c r="K589" i="1" s="1"/>
  <c r="H590" i="1"/>
  <c r="I590" i="1"/>
  <c r="K590" i="1" s="1"/>
  <c r="H591" i="1"/>
  <c r="I591" i="1"/>
  <c r="K591" i="1" s="1"/>
  <c r="H592" i="1"/>
  <c r="I592" i="1"/>
  <c r="K592" i="1" s="1"/>
  <c r="H593" i="1"/>
  <c r="I593" i="1"/>
  <c r="K593" i="1" s="1"/>
  <c r="H594" i="1"/>
  <c r="I594" i="1"/>
  <c r="K594" i="1" s="1"/>
  <c r="H595" i="1"/>
  <c r="I595" i="1"/>
  <c r="K595" i="1" s="1"/>
  <c r="H596" i="1"/>
  <c r="I596" i="1"/>
  <c r="K596" i="1" s="1"/>
  <c r="H597" i="1"/>
  <c r="I597" i="1"/>
  <c r="K597" i="1" s="1"/>
  <c r="H598" i="1"/>
  <c r="I598" i="1"/>
  <c r="K598" i="1" s="1"/>
  <c r="H599" i="1"/>
  <c r="I599" i="1"/>
  <c r="K599" i="1" s="1"/>
  <c r="H600" i="1"/>
  <c r="I600" i="1"/>
  <c r="K600" i="1" s="1"/>
  <c r="H601" i="1"/>
  <c r="I601" i="1"/>
  <c r="K601" i="1" s="1"/>
  <c r="H602" i="1"/>
  <c r="I602" i="1"/>
  <c r="K602" i="1" s="1"/>
  <c r="H603" i="1"/>
  <c r="I603" i="1"/>
  <c r="K603" i="1" s="1"/>
  <c r="H604" i="1"/>
  <c r="I604" i="1"/>
  <c r="K604" i="1" s="1"/>
  <c r="H605" i="1"/>
  <c r="I605" i="1"/>
  <c r="K605" i="1" s="1"/>
  <c r="H606" i="1"/>
  <c r="I606" i="1"/>
  <c r="K606" i="1" s="1"/>
  <c r="H607" i="1"/>
  <c r="I607" i="1"/>
  <c r="K607" i="1" s="1"/>
  <c r="H608" i="1"/>
  <c r="I608" i="1"/>
  <c r="K608" i="1" s="1"/>
  <c r="H609" i="1"/>
  <c r="I609" i="1"/>
  <c r="K609" i="1" s="1"/>
  <c r="H610" i="1"/>
  <c r="I610" i="1"/>
  <c r="K610" i="1" s="1"/>
  <c r="H611" i="1"/>
  <c r="I611" i="1"/>
  <c r="H612" i="1"/>
  <c r="I612" i="1"/>
  <c r="K612" i="1" s="1"/>
  <c r="H613" i="1"/>
  <c r="I613" i="1"/>
  <c r="K613" i="1" s="1"/>
  <c r="H614" i="1"/>
  <c r="I614" i="1"/>
  <c r="K614" i="1" s="1"/>
  <c r="H615" i="1"/>
  <c r="I615" i="1"/>
  <c r="K615" i="1" s="1"/>
  <c r="H616" i="1"/>
  <c r="I616" i="1"/>
  <c r="K616" i="1" s="1"/>
  <c r="H617" i="1"/>
  <c r="I617" i="1"/>
  <c r="K617" i="1" s="1"/>
  <c r="H618" i="1"/>
  <c r="I618" i="1"/>
  <c r="K618" i="1" s="1"/>
  <c r="H619" i="1"/>
  <c r="I619" i="1"/>
  <c r="K619" i="1" s="1"/>
  <c r="H620" i="1"/>
  <c r="I620" i="1"/>
  <c r="K620" i="1" s="1"/>
  <c r="H621" i="1"/>
  <c r="I621" i="1"/>
  <c r="K621" i="1" s="1"/>
  <c r="H622" i="1"/>
  <c r="I622" i="1"/>
  <c r="K622" i="1" s="1"/>
  <c r="H623" i="1"/>
  <c r="I623" i="1"/>
  <c r="K623" i="1" s="1"/>
  <c r="H624" i="1"/>
  <c r="I624" i="1"/>
  <c r="K624" i="1" s="1"/>
  <c r="H625" i="1"/>
  <c r="I625" i="1"/>
  <c r="K625" i="1" s="1"/>
  <c r="H626" i="1"/>
  <c r="I626" i="1"/>
  <c r="K626" i="1" s="1"/>
  <c r="H627" i="1"/>
  <c r="I627" i="1"/>
  <c r="K627" i="1" s="1"/>
  <c r="H628" i="1"/>
  <c r="I628" i="1"/>
  <c r="K628" i="1" s="1"/>
  <c r="H629" i="1"/>
  <c r="I629" i="1"/>
  <c r="K629" i="1" s="1"/>
  <c r="H630" i="1"/>
  <c r="I630" i="1"/>
  <c r="K630" i="1" s="1"/>
  <c r="H631" i="1"/>
  <c r="I631" i="1"/>
  <c r="K631" i="1" s="1"/>
  <c r="H632" i="1"/>
  <c r="I632" i="1"/>
  <c r="K632" i="1" s="1"/>
  <c r="H633" i="1"/>
  <c r="I633" i="1"/>
  <c r="K633" i="1" s="1"/>
  <c r="H634" i="1"/>
  <c r="I634" i="1"/>
  <c r="K634" i="1" s="1"/>
  <c r="H635" i="1"/>
  <c r="I635" i="1"/>
  <c r="K635" i="1" s="1"/>
  <c r="H636" i="1"/>
  <c r="I636" i="1"/>
  <c r="K636" i="1" s="1"/>
  <c r="H637" i="1"/>
  <c r="I637" i="1"/>
  <c r="K637" i="1" s="1"/>
  <c r="H638" i="1"/>
  <c r="I638" i="1"/>
  <c r="K638" i="1" s="1"/>
  <c r="H639" i="1"/>
  <c r="I639" i="1"/>
  <c r="K639" i="1" s="1"/>
  <c r="H640" i="1"/>
  <c r="I640" i="1"/>
  <c r="K640" i="1" s="1"/>
  <c r="H641" i="1"/>
  <c r="I641" i="1"/>
  <c r="K641" i="1" s="1"/>
  <c r="H642" i="1"/>
  <c r="I642" i="1"/>
  <c r="K642" i="1" s="1"/>
  <c r="H643" i="1"/>
  <c r="I643" i="1"/>
  <c r="K643" i="1" s="1"/>
  <c r="H644" i="1"/>
  <c r="I644" i="1"/>
  <c r="K644" i="1" s="1"/>
  <c r="H645" i="1"/>
  <c r="I645" i="1"/>
  <c r="K645" i="1" s="1"/>
  <c r="H646" i="1"/>
  <c r="I646" i="1"/>
  <c r="K646" i="1" s="1"/>
  <c r="H647" i="1"/>
  <c r="I647" i="1"/>
  <c r="K647" i="1" s="1"/>
  <c r="H648" i="1"/>
  <c r="I648" i="1"/>
  <c r="K648" i="1" s="1"/>
  <c r="H649" i="1"/>
  <c r="I649" i="1"/>
  <c r="K649" i="1" s="1"/>
  <c r="H650" i="1"/>
  <c r="I650" i="1"/>
  <c r="K650" i="1" s="1"/>
  <c r="H651" i="1"/>
  <c r="I651" i="1"/>
  <c r="K651" i="1" s="1"/>
  <c r="H652" i="1"/>
  <c r="I652" i="1"/>
  <c r="K652" i="1" s="1"/>
  <c r="H653" i="1"/>
  <c r="I653" i="1"/>
  <c r="K653" i="1" s="1"/>
  <c r="H654" i="1"/>
  <c r="I654" i="1"/>
  <c r="K654" i="1" s="1"/>
  <c r="H655" i="1"/>
  <c r="I655" i="1"/>
  <c r="K655" i="1" s="1"/>
  <c r="H656" i="1"/>
  <c r="I656" i="1"/>
  <c r="K656" i="1" s="1"/>
  <c r="H657" i="1"/>
  <c r="I657" i="1"/>
  <c r="K657" i="1" s="1"/>
  <c r="H658" i="1"/>
  <c r="I658" i="1"/>
  <c r="K658" i="1" s="1"/>
  <c r="H659" i="1"/>
  <c r="I659" i="1"/>
  <c r="K659" i="1" s="1"/>
  <c r="H660" i="1"/>
  <c r="I660" i="1"/>
  <c r="K660" i="1" s="1"/>
  <c r="H661" i="1"/>
  <c r="I661" i="1"/>
  <c r="K661" i="1" s="1"/>
  <c r="H662" i="1"/>
  <c r="I662" i="1"/>
  <c r="K662" i="1" s="1"/>
  <c r="H663" i="1"/>
  <c r="I663" i="1"/>
  <c r="K663" i="1" s="1"/>
  <c r="H664" i="1"/>
  <c r="I664" i="1"/>
  <c r="K664" i="1" s="1"/>
  <c r="H665" i="1"/>
  <c r="I665" i="1"/>
  <c r="K665" i="1" s="1"/>
  <c r="H666" i="1"/>
  <c r="I666" i="1"/>
  <c r="K666" i="1" s="1"/>
  <c r="H667" i="1"/>
  <c r="I667" i="1"/>
  <c r="K667" i="1" s="1"/>
  <c r="H668" i="1"/>
  <c r="I668" i="1"/>
  <c r="K668" i="1" s="1"/>
  <c r="H669" i="1"/>
  <c r="I669" i="1"/>
  <c r="K669" i="1" s="1"/>
  <c r="H670" i="1"/>
  <c r="I670" i="1"/>
  <c r="K670" i="1" s="1"/>
  <c r="H671" i="1"/>
  <c r="I671" i="1"/>
  <c r="K671" i="1" s="1"/>
  <c r="H672" i="1"/>
  <c r="I672" i="1"/>
  <c r="K672" i="1" s="1"/>
  <c r="H673" i="1"/>
  <c r="I673" i="1"/>
  <c r="K673" i="1" s="1"/>
  <c r="H674" i="1"/>
  <c r="I674" i="1"/>
  <c r="K674" i="1" s="1"/>
  <c r="H675" i="1"/>
  <c r="I675" i="1"/>
  <c r="K675" i="1" s="1"/>
  <c r="H676" i="1"/>
  <c r="I676" i="1"/>
  <c r="K676" i="1" s="1"/>
  <c r="H677" i="1"/>
  <c r="I677" i="1"/>
  <c r="K677" i="1" s="1"/>
  <c r="H678" i="1"/>
  <c r="I678" i="1"/>
  <c r="K678" i="1" s="1"/>
  <c r="H679" i="1"/>
  <c r="I679" i="1"/>
  <c r="K679" i="1" s="1"/>
  <c r="H680" i="1"/>
  <c r="I680" i="1"/>
  <c r="K680" i="1" s="1"/>
  <c r="H681" i="1"/>
  <c r="I681" i="1"/>
  <c r="K681" i="1" s="1"/>
  <c r="H682" i="1"/>
  <c r="I682" i="1"/>
  <c r="K682" i="1" s="1"/>
  <c r="H683" i="1"/>
  <c r="I683" i="1"/>
  <c r="K683" i="1" s="1"/>
  <c r="H684" i="1"/>
  <c r="I684" i="1"/>
  <c r="K684" i="1" s="1"/>
  <c r="H685" i="1"/>
  <c r="I685" i="1"/>
  <c r="K685" i="1" s="1"/>
  <c r="H686" i="1"/>
  <c r="I686" i="1"/>
  <c r="K686" i="1" s="1"/>
  <c r="H687" i="1"/>
  <c r="I687" i="1"/>
  <c r="K687" i="1" s="1"/>
  <c r="H688" i="1"/>
  <c r="I688" i="1"/>
  <c r="K688" i="1" s="1"/>
  <c r="H689" i="1"/>
  <c r="I689" i="1"/>
  <c r="K689" i="1" s="1"/>
  <c r="H690" i="1"/>
  <c r="I690" i="1"/>
  <c r="K690" i="1" s="1"/>
  <c r="H691" i="1"/>
  <c r="I691" i="1"/>
  <c r="H692" i="1"/>
  <c r="I692" i="1"/>
  <c r="K692" i="1" s="1"/>
  <c r="H693" i="1"/>
  <c r="I693" i="1"/>
  <c r="K693" i="1" s="1"/>
  <c r="H694" i="1"/>
  <c r="I694" i="1"/>
  <c r="K694" i="1" s="1"/>
  <c r="H695" i="1"/>
  <c r="I695" i="1"/>
  <c r="K695" i="1" s="1"/>
  <c r="H696" i="1"/>
  <c r="I696" i="1"/>
  <c r="K696" i="1" s="1"/>
  <c r="H697" i="1"/>
  <c r="I697" i="1"/>
  <c r="K697" i="1" s="1"/>
  <c r="H698" i="1"/>
  <c r="I698" i="1"/>
  <c r="K698" i="1" s="1"/>
  <c r="H699" i="1"/>
  <c r="I699" i="1"/>
  <c r="K699" i="1" s="1"/>
  <c r="H700" i="1"/>
  <c r="I700" i="1"/>
  <c r="K700" i="1" s="1"/>
  <c r="H701" i="1"/>
  <c r="I701" i="1"/>
  <c r="K701" i="1" s="1"/>
  <c r="H702" i="1"/>
  <c r="I702" i="1"/>
  <c r="K702" i="1" s="1"/>
  <c r="H703" i="1"/>
  <c r="I703" i="1"/>
  <c r="K703" i="1" s="1"/>
  <c r="H704" i="1"/>
  <c r="I704" i="1"/>
  <c r="K704" i="1" s="1"/>
  <c r="H705" i="1"/>
  <c r="I705" i="1"/>
  <c r="K705" i="1" s="1"/>
  <c r="H706" i="1"/>
  <c r="I706" i="1"/>
  <c r="K706" i="1" s="1"/>
  <c r="H707" i="1"/>
  <c r="I707" i="1"/>
  <c r="K707" i="1" s="1"/>
  <c r="H708" i="1"/>
  <c r="I708" i="1"/>
  <c r="K708" i="1" s="1"/>
  <c r="H709" i="1"/>
  <c r="I709" i="1"/>
  <c r="K709" i="1" s="1"/>
  <c r="H710" i="1"/>
  <c r="I710" i="1"/>
  <c r="K710" i="1" s="1"/>
  <c r="H711" i="1"/>
  <c r="I711" i="1"/>
  <c r="K711" i="1" s="1"/>
  <c r="H712" i="1"/>
  <c r="I712" i="1"/>
  <c r="K712" i="1" s="1"/>
  <c r="H713" i="1"/>
  <c r="I713" i="1"/>
  <c r="K713" i="1" s="1"/>
  <c r="H714" i="1"/>
  <c r="I714" i="1"/>
  <c r="K714" i="1" s="1"/>
  <c r="H715" i="1"/>
  <c r="I715" i="1"/>
  <c r="K715" i="1" s="1"/>
  <c r="H716" i="1"/>
  <c r="I716" i="1"/>
  <c r="K716" i="1" s="1"/>
  <c r="H717" i="1"/>
  <c r="I717" i="1"/>
  <c r="K717" i="1" s="1"/>
  <c r="H718" i="1"/>
  <c r="I718" i="1"/>
  <c r="K718" i="1" s="1"/>
  <c r="H719" i="1"/>
  <c r="I719" i="1"/>
  <c r="K719" i="1" s="1"/>
  <c r="H720" i="1"/>
  <c r="I720" i="1"/>
  <c r="K720" i="1" s="1"/>
  <c r="H721" i="1"/>
  <c r="I721" i="1"/>
  <c r="K721" i="1" s="1"/>
  <c r="H722" i="1"/>
  <c r="I722" i="1"/>
  <c r="K722" i="1" s="1"/>
  <c r="H723" i="1"/>
  <c r="I723" i="1"/>
  <c r="K723" i="1" s="1"/>
  <c r="H724" i="1"/>
  <c r="I724" i="1"/>
  <c r="K724" i="1" s="1"/>
  <c r="H725" i="1"/>
  <c r="I725" i="1"/>
  <c r="K725" i="1" s="1"/>
  <c r="H726" i="1"/>
  <c r="I726" i="1"/>
  <c r="K726" i="1" s="1"/>
  <c r="H727" i="1"/>
  <c r="I727" i="1"/>
  <c r="K727" i="1" s="1"/>
  <c r="H728" i="1"/>
  <c r="I728" i="1"/>
  <c r="K728" i="1" s="1"/>
  <c r="H729" i="1"/>
  <c r="I729" i="1"/>
  <c r="K729" i="1" s="1"/>
  <c r="H730" i="1"/>
  <c r="I730" i="1"/>
  <c r="K730" i="1" s="1"/>
  <c r="H731" i="1"/>
  <c r="I731" i="1"/>
  <c r="K731" i="1" s="1"/>
  <c r="H732" i="1"/>
  <c r="I732" i="1"/>
  <c r="K732" i="1" s="1"/>
  <c r="H733" i="1"/>
  <c r="I733" i="1"/>
  <c r="K733" i="1" s="1"/>
  <c r="H734" i="1"/>
  <c r="I734" i="1"/>
  <c r="K734" i="1" s="1"/>
  <c r="H735" i="1"/>
  <c r="I735" i="1"/>
  <c r="K735" i="1" s="1"/>
  <c r="H736" i="1"/>
  <c r="I736" i="1"/>
  <c r="K736" i="1" s="1"/>
  <c r="H737" i="1"/>
  <c r="I737" i="1"/>
  <c r="K737" i="1" s="1"/>
  <c r="H738" i="1"/>
  <c r="I738" i="1"/>
  <c r="K738" i="1" s="1"/>
  <c r="H739" i="1"/>
  <c r="I739" i="1"/>
  <c r="H740" i="1"/>
  <c r="I740" i="1"/>
  <c r="K740" i="1" s="1"/>
  <c r="H741" i="1"/>
  <c r="I741" i="1"/>
  <c r="K741" i="1" s="1"/>
  <c r="H742" i="1"/>
  <c r="I742" i="1"/>
  <c r="K742" i="1" s="1"/>
  <c r="H743" i="1"/>
  <c r="I743" i="1"/>
  <c r="K743" i="1" s="1"/>
  <c r="H744" i="1"/>
  <c r="I744" i="1"/>
  <c r="K744" i="1" s="1"/>
  <c r="H745" i="1"/>
  <c r="I745" i="1"/>
  <c r="K745" i="1" s="1"/>
  <c r="H746" i="1"/>
  <c r="I746" i="1"/>
  <c r="K746" i="1" s="1"/>
  <c r="H747" i="1"/>
  <c r="I747" i="1"/>
  <c r="K747" i="1" s="1"/>
  <c r="H748" i="1"/>
  <c r="I748" i="1"/>
  <c r="K748" i="1" s="1"/>
  <c r="H749" i="1"/>
  <c r="I749" i="1"/>
  <c r="K749" i="1" s="1"/>
  <c r="H750" i="1"/>
  <c r="I750" i="1"/>
  <c r="K750" i="1" s="1"/>
  <c r="H751" i="1"/>
  <c r="I751" i="1"/>
  <c r="K751" i="1" s="1"/>
  <c r="H752" i="1"/>
  <c r="I752" i="1"/>
  <c r="K752" i="1" s="1"/>
  <c r="H753" i="1"/>
  <c r="I753" i="1"/>
  <c r="K753" i="1" s="1"/>
  <c r="H754" i="1"/>
  <c r="I754" i="1"/>
  <c r="K754" i="1" s="1"/>
  <c r="H755" i="1"/>
  <c r="I755" i="1"/>
  <c r="K755" i="1" s="1"/>
  <c r="H756" i="1"/>
  <c r="I756" i="1"/>
  <c r="K756" i="1" s="1"/>
  <c r="H757" i="1"/>
  <c r="I757" i="1"/>
  <c r="K757" i="1" s="1"/>
  <c r="H758" i="1"/>
  <c r="I758" i="1"/>
  <c r="K758" i="1" s="1"/>
  <c r="H759" i="1"/>
  <c r="I759" i="1"/>
  <c r="K759" i="1" s="1"/>
  <c r="H760" i="1"/>
  <c r="I760" i="1"/>
  <c r="K760" i="1" s="1"/>
  <c r="H761" i="1"/>
  <c r="I761" i="1"/>
  <c r="K761" i="1" s="1"/>
  <c r="H762" i="1"/>
  <c r="I762" i="1"/>
  <c r="K762" i="1" s="1"/>
  <c r="H763" i="1"/>
  <c r="I763" i="1"/>
  <c r="K763" i="1" s="1"/>
  <c r="H764" i="1"/>
  <c r="I764" i="1"/>
  <c r="K764" i="1" s="1"/>
  <c r="H765" i="1"/>
  <c r="I765" i="1"/>
  <c r="K765" i="1" s="1"/>
  <c r="H766" i="1"/>
  <c r="I766" i="1"/>
  <c r="K766" i="1" s="1"/>
  <c r="H767" i="1"/>
  <c r="I767" i="1"/>
  <c r="K767" i="1" s="1"/>
  <c r="H768" i="1"/>
  <c r="I768" i="1"/>
  <c r="K768" i="1" s="1"/>
  <c r="H769" i="1"/>
  <c r="I769" i="1"/>
  <c r="K769" i="1" s="1"/>
  <c r="H770" i="1"/>
  <c r="I770" i="1"/>
  <c r="K770" i="1" s="1"/>
  <c r="H771" i="1"/>
  <c r="I771" i="1"/>
  <c r="K771" i="1" s="1"/>
  <c r="H772" i="1"/>
  <c r="I772" i="1"/>
  <c r="K772" i="1" s="1"/>
  <c r="H773" i="1"/>
  <c r="I773" i="1"/>
  <c r="K773" i="1" s="1"/>
  <c r="H774" i="1"/>
  <c r="I774" i="1"/>
  <c r="K774" i="1" s="1"/>
  <c r="H775" i="1"/>
  <c r="I775" i="1"/>
  <c r="K775" i="1" s="1"/>
  <c r="H776" i="1"/>
  <c r="I776" i="1"/>
  <c r="K776" i="1" s="1"/>
  <c r="H777" i="1"/>
  <c r="I777" i="1"/>
  <c r="K777" i="1" s="1"/>
  <c r="H778" i="1"/>
  <c r="I778" i="1"/>
  <c r="K778" i="1" s="1"/>
  <c r="H779" i="1"/>
  <c r="I779" i="1"/>
  <c r="K779" i="1" s="1"/>
  <c r="H780" i="1"/>
  <c r="I780" i="1"/>
  <c r="K780" i="1" s="1"/>
  <c r="H781" i="1"/>
  <c r="I781" i="1"/>
  <c r="K781" i="1" s="1"/>
  <c r="H782" i="1"/>
  <c r="I782" i="1"/>
  <c r="K782" i="1" s="1"/>
  <c r="H783" i="1"/>
  <c r="I783" i="1"/>
  <c r="K783" i="1" s="1"/>
  <c r="H784" i="1"/>
  <c r="I784" i="1"/>
  <c r="K784" i="1" s="1"/>
  <c r="H785" i="1"/>
  <c r="I785" i="1"/>
  <c r="K785" i="1" s="1"/>
  <c r="H786" i="1"/>
  <c r="I786" i="1"/>
  <c r="K786" i="1" s="1"/>
  <c r="H787" i="1"/>
  <c r="I787" i="1"/>
  <c r="K787" i="1" s="1"/>
  <c r="H788" i="1"/>
  <c r="I788" i="1"/>
  <c r="K788" i="1" s="1"/>
  <c r="H789" i="1"/>
  <c r="I789" i="1"/>
  <c r="K789" i="1" s="1"/>
  <c r="H790" i="1"/>
  <c r="I790" i="1"/>
  <c r="K790" i="1" s="1"/>
  <c r="H791" i="1"/>
  <c r="I791" i="1"/>
  <c r="K791" i="1" s="1"/>
  <c r="H792" i="1"/>
  <c r="I792" i="1"/>
  <c r="K792" i="1" s="1"/>
  <c r="H793" i="1"/>
  <c r="I793" i="1"/>
  <c r="K793" i="1" s="1"/>
  <c r="H794" i="1"/>
  <c r="I794" i="1"/>
  <c r="K794" i="1" s="1"/>
  <c r="H795" i="1"/>
  <c r="I795" i="1"/>
  <c r="K795" i="1" s="1"/>
  <c r="H796" i="1"/>
  <c r="I796" i="1"/>
  <c r="K796" i="1" s="1"/>
  <c r="H797" i="1"/>
  <c r="I797" i="1"/>
  <c r="K797" i="1" s="1"/>
  <c r="H798" i="1"/>
  <c r="I798" i="1"/>
  <c r="K798" i="1" s="1"/>
  <c r="H799" i="1"/>
  <c r="I799" i="1"/>
  <c r="K799" i="1" s="1"/>
  <c r="H800" i="1"/>
  <c r="I800" i="1"/>
  <c r="K800" i="1" s="1"/>
  <c r="H801" i="1"/>
  <c r="I801" i="1"/>
  <c r="K801" i="1" s="1"/>
  <c r="H802" i="1"/>
  <c r="I802" i="1"/>
  <c r="K802" i="1" s="1"/>
  <c r="H803" i="1"/>
  <c r="I803" i="1"/>
  <c r="K803" i="1" s="1"/>
  <c r="H804" i="1"/>
  <c r="I804" i="1"/>
  <c r="K804" i="1" s="1"/>
  <c r="H805" i="1"/>
  <c r="I805" i="1"/>
  <c r="K805" i="1" s="1"/>
  <c r="H806" i="1"/>
  <c r="I806" i="1"/>
  <c r="K806" i="1" s="1"/>
  <c r="H807" i="1"/>
  <c r="I807" i="1"/>
  <c r="K807" i="1" s="1"/>
  <c r="H808" i="1"/>
  <c r="I808" i="1"/>
  <c r="K808" i="1" s="1"/>
  <c r="H809" i="1"/>
  <c r="I809" i="1"/>
  <c r="K809" i="1" s="1"/>
  <c r="H810" i="1"/>
  <c r="I810" i="1"/>
  <c r="K810" i="1" s="1"/>
  <c r="H811" i="1"/>
  <c r="I811" i="1"/>
  <c r="K811" i="1" s="1"/>
  <c r="H812" i="1"/>
  <c r="I812" i="1"/>
  <c r="K812" i="1" s="1"/>
  <c r="H813" i="1"/>
  <c r="I813" i="1"/>
  <c r="K813" i="1" s="1"/>
  <c r="H814" i="1"/>
  <c r="I814" i="1"/>
  <c r="K814" i="1" s="1"/>
  <c r="H815" i="1"/>
  <c r="I815" i="1"/>
  <c r="K815" i="1" s="1"/>
  <c r="H816" i="1"/>
  <c r="I816" i="1"/>
  <c r="K816" i="1" s="1"/>
  <c r="H817" i="1"/>
  <c r="I817" i="1"/>
  <c r="K817" i="1" s="1"/>
  <c r="H818" i="1"/>
  <c r="I818" i="1"/>
  <c r="K818" i="1" s="1"/>
  <c r="H819" i="1"/>
  <c r="I819" i="1"/>
  <c r="K819" i="1" s="1"/>
  <c r="H820" i="1"/>
  <c r="I820" i="1"/>
  <c r="K820" i="1" s="1"/>
  <c r="H821" i="1"/>
  <c r="I821" i="1"/>
  <c r="K821" i="1" s="1"/>
  <c r="H822" i="1"/>
  <c r="I822" i="1"/>
  <c r="K822" i="1" s="1"/>
  <c r="H823" i="1"/>
  <c r="I823" i="1"/>
  <c r="K823" i="1" s="1"/>
  <c r="H824" i="1"/>
  <c r="I824" i="1"/>
  <c r="K824" i="1" s="1"/>
  <c r="H825" i="1"/>
  <c r="I825" i="1"/>
  <c r="K825" i="1" s="1"/>
  <c r="H826" i="1"/>
  <c r="I826" i="1"/>
  <c r="K826" i="1" s="1"/>
  <c r="H827" i="1"/>
  <c r="I827" i="1"/>
  <c r="K827" i="1" s="1"/>
  <c r="H828" i="1"/>
  <c r="I828" i="1"/>
  <c r="K828" i="1" s="1"/>
  <c r="H829" i="1"/>
  <c r="I829" i="1"/>
  <c r="K829" i="1" s="1"/>
  <c r="H830" i="1"/>
  <c r="I830" i="1"/>
  <c r="K830" i="1" s="1"/>
  <c r="H831" i="1"/>
  <c r="I831" i="1"/>
  <c r="K831" i="1" s="1"/>
  <c r="H832" i="1"/>
  <c r="I832" i="1"/>
  <c r="K832" i="1" s="1"/>
  <c r="H833" i="1"/>
  <c r="I833" i="1"/>
  <c r="K833" i="1" s="1"/>
  <c r="H834" i="1"/>
  <c r="I834" i="1"/>
  <c r="K834" i="1" s="1"/>
  <c r="H835" i="1"/>
  <c r="I835" i="1"/>
  <c r="K835" i="1" s="1"/>
  <c r="H836" i="1"/>
  <c r="I836" i="1"/>
  <c r="K836" i="1" s="1"/>
  <c r="H837" i="1"/>
  <c r="I837" i="1"/>
  <c r="K837" i="1" s="1"/>
  <c r="H838" i="1"/>
  <c r="I838" i="1"/>
  <c r="K838" i="1" s="1"/>
  <c r="H839" i="1"/>
  <c r="I839" i="1"/>
  <c r="K839" i="1" s="1"/>
  <c r="H840" i="1"/>
  <c r="I840" i="1"/>
  <c r="K840" i="1" s="1"/>
  <c r="H841" i="1"/>
  <c r="I841" i="1"/>
  <c r="K841" i="1" s="1"/>
  <c r="H842" i="1"/>
  <c r="I842" i="1"/>
  <c r="K842" i="1" s="1"/>
  <c r="H843" i="1"/>
  <c r="I843" i="1"/>
  <c r="K843" i="1" s="1"/>
  <c r="H844" i="1"/>
  <c r="I844" i="1"/>
  <c r="K844" i="1" s="1"/>
  <c r="H845" i="1"/>
  <c r="I845" i="1"/>
  <c r="K845" i="1" s="1"/>
  <c r="H846" i="1"/>
  <c r="I846" i="1"/>
  <c r="K846" i="1" s="1"/>
  <c r="H847" i="1"/>
  <c r="I847" i="1"/>
  <c r="K847" i="1" s="1"/>
  <c r="H848" i="1"/>
  <c r="I848" i="1"/>
  <c r="K848" i="1" s="1"/>
  <c r="H849" i="1"/>
  <c r="I849" i="1"/>
  <c r="K849" i="1" s="1"/>
  <c r="H850" i="1"/>
  <c r="I850" i="1"/>
  <c r="K850" i="1" s="1"/>
  <c r="H851" i="1"/>
  <c r="I851" i="1"/>
  <c r="K851" i="1" s="1"/>
  <c r="H852" i="1"/>
  <c r="I852" i="1"/>
  <c r="K852" i="1" s="1"/>
  <c r="H853" i="1"/>
  <c r="I853" i="1"/>
  <c r="K853" i="1" s="1"/>
  <c r="H854" i="1"/>
  <c r="I854" i="1"/>
  <c r="K854" i="1" s="1"/>
  <c r="H855" i="1"/>
  <c r="I855" i="1"/>
  <c r="K855" i="1" s="1"/>
  <c r="H856" i="1"/>
  <c r="I856" i="1"/>
  <c r="K856" i="1" s="1"/>
  <c r="H857" i="1"/>
  <c r="I857" i="1"/>
  <c r="K857" i="1" s="1"/>
  <c r="H858" i="1"/>
  <c r="I858" i="1"/>
  <c r="K858" i="1" s="1"/>
  <c r="H859" i="1"/>
  <c r="I859" i="1"/>
  <c r="K859" i="1" s="1"/>
  <c r="H860" i="1"/>
  <c r="I860" i="1"/>
  <c r="K860" i="1" s="1"/>
  <c r="H861" i="1"/>
  <c r="I861" i="1"/>
  <c r="K861" i="1" s="1"/>
  <c r="H862" i="1"/>
  <c r="I862" i="1"/>
  <c r="K862" i="1" s="1"/>
  <c r="H863" i="1"/>
  <c r="I863" i="1"/>
  <c r="K863" i="1" s="1"/>
  <c r="H864" i="1"/>
  <c r="I864" i="1"/>
  <c r="K864" i="1" s="1"/>
  <c r="H865" i="1"/>
  <c r="I865" i="1"/>
  <c r="K865" i="1" s="1"/>
  <c r="H866" i="1"/>
  <c r="I866" i="1"/>
  <c r="K866" i="1" s="1"/>
  <c r="H867" i="1"/>
  <c r="I867" i="1"/>
  <c r="K867" i="1" s="1"/>
  <c r="H868" i="1"/>
  <c r="I868" i="1"/>
  <c r="K868" i="1" s="1"/>
  <c r="H869" i="1"/>
  <c r="I869" i="1"/>
  <c r="K869" i="1" s="1"/>
  <c r="H870" i="1"/>
  <c r="I870" i="1"/>
  <c r="K870" i="1" s="1"/>
  <c r="H871" i="1"/>
  <c r="I871" i="1"/>
  <c r="K871" i="1" s="1"/>
  <c r="H872" i="1"/>
  <c r="I872" i="1"/>
  <c r="K872" i="1" s="1"/>
  <c r="H873" i="1"/>
  <c r="I873" i="1"/>
  <c r="K873" i="1" s="1"/>
  <c r="H874" i="1"/>
  <c r="I874" i="1"/>
  <c r="K874" i="1" s="1"/>
  <c r="H875" i="1"/>
  <c r="I875" i="1"/>
  <c r="K875" i="1" s="1"/>
  <c r="H876" i="1"/>
  <c r="I876" i="1"/>
  <c r="K876" i="1" s="1"/>
  <c r="H877" i="1"/>
  <c r="I877" i="1"/>
  <c r="K877" i="1" s="1"/>
  <c r="I2" i="1"/>
  <c r="K2" i="1" s="1"/>
  <c r="H2" i="1"/>
  <c r="K58" i="1" l="1"/>
  <c r="K171" i="1"/>
  <c r="K163" i="1"/>
  <c r="K155" i="1"/>
  <c r="K147" i="1"/>
  <c r="K139" i="1"/>
  <c r="K131" i="1"/>
  <c r="K123" i="1"/>
  <c r="K115" i="1"/>
  <c r="K99" i="1"/>
  <c r="K91" i="1"/>
  <c r="K83" i="1"/>
  <c r="K75" i="1"/>
  <c r="K67" i="1"/>
  <c r="K59" i="1"/>
  <c r="K51" i="1"/>
  <c r="K43" i="1"/>
  <c r="K35" i="1"/>
  <c r="K27" i="1"/>
  <c r="K19" i="1"/>
  <c r="K11" i="1"/>
  <c r="K3" i="1"/>
  <c r="K739" i="1"/>
  <c r="K691" i="1"/>
  <c r="K611" i="1"/>
  <c r="K577" i="1"/>
  <c r="K209" i="1"/>
  <c r="K201" i="1"/>
  <c r="K193" i="1"/>
  <c r="K185" i="1"/>
  <c r="K177" i="1"/>
  <c r="K169" i="1"/>
  <c r="K161" i="1"/>
  <c r="K153" i="1"/>
  <c r="K145" i="1"/>
  <c r="K137" i="1"/>
  <c r="K129" i="1"/>
  <c r="K121" i="1"/>
  <c r="K113" i="1"/>
  <c r="K105" i="1"/>
  <c r="K97" i="1"/>
  <c r="K89" i="1"/>
  <c r="K81" i="1"/>
  <c r="K73" i="1"/>
  <c r="K65" i="1"/>
  <c r="K57" i="1"/>
  <c r="K49" i="1"/>
  <c r="K41" i="1"/>
  <c r="K33" i="1"/>
  <c r="K25" i="1"/>
  <c r="K17" i="1"/>
  <c r="K9" i="1"/>
  <c r="K531" i="1"/>
  <c r="K520" i="1"/>
  <c r="K208" i="1"/>
  <c r="K200" i="1"/>
  <c r="K192" i="1"/>
  <c r="K184" i="1"/>
  <c r="K176" i="1"/>
  <c r="K168" i="1"/>
  <c r="K160" i="1"/>
  <c r="K152" i="1"/>
  <c r="K144" i="1"/>
  <c r="K136" i="1"/>
  <c r="K128" i="1"/>
  <c r="K120" i="1"/>
  <c r="K112" i="1"/>
  <c r="K104" i="1"/>
  <c r="K96" i="1"/>
  <c r="K88" i="1"/>
  <c r="K80" i="1"/>
  <c r="K72" i="1"/>
  <c r="K64" i="1"/>
  <c r="K56" i="1"/>
  <c r="K48" i="1"/>
  <c r="K40" i="1"/>
  <c r="K32" i="1"/>
  <c r="K24" i="1"/>
  <c r="K16" i="1"/>
  <c r="K8" i="1"/>
  <c r="K399" i="1"/>
  <c r="K315" i="1"/>
  <c r="K175" i="1"/>
  <c r="K167" i="1"/>
  <c r="K159" i="1"/>
  <c r="K151" i="1"/>
  <c r="K143" i="1"/>
  <c r="K135" i="1"/>
  <c r="K127" i="1"/>
  <c r="K119" i="1"/>
  <c r="K111" i="1"/>
  <c r="K103" i="1"/>
  <c r="K95" i="1"/>
  <c r="K87" i="1"/>
  <c r="K79" i="1"/>
  <c r="K71" i="1"/>
  <c r="K63" i="1"/>
  <c r="K55" i="1"/>
  <c r="K47" i="1"/>
  <c r="K39" i="1"/>
  <c r="K31" i="1"/>
  <c r="K23" i="1"/>
  <c r="K15" i="1"/>
  <c r="K7" i="1"/>
  <c r="K307" i="1"/>
  <c r="K251" i="1"/>
  <c r="K174" i="1"/>
  <c r="K166" i="1"/>
  <c r="K158" i="1"/>
  <c r="K150" i="1"/>
  <c r="K142" i="1"/>
  <c r="K134" i="1"/>
  <c r="K118" i="1"/>
  <c r="K110" i="1"/>
  <c r="K102" i="1"/>
  <c r="K94" i="1"/>
  <c r="K86" i="1"/>
  <c r="K78" i="1"/>
  <c r="K70" i="1"/>
  <c r="K62" i="1"/>
  <c r="K54" i="1"/>
  <c r="K46" i="1"/>
  <c r="K38" i="1"/>
  <c r="K30" i="1"/>
  <c r="K22" i="1"/>
  <c r="K14" i="1"/>
  <c r="K6" i="1"/>
  <c r="K126" i="1"/>
  <c r="J666" i="1"/>
  <c r="L666" i="1" s="1"/>
  <c r="J14" i="1"/>
  <c r="J30" i="1"/>
  <c r="J46" i="1"/>
  <c r="J62" i="1"/>
  <c r="J12" i="1"/>
  <c r="J23" i="1"/>
  <c r="J34" i="1"/>
  <c r="J61" i="1"/>
  <c r="J72" i="1"/>
  <c r="J88" i="1"/>
  <c r="J104" i="1"/>
  <c r="J120" i="1"/>
  <c r="J136" i="1"/>
  <c r="L136" i="1" s="1"/>
  <c r="J152" i="1"/>
  <c r="J168" i="1"/>
  <c r="L168" i="1" s="1"/>
  <c r="J184" i="1"/>
  <c r="L184" i="1" s="1"/>
  <c r="J200" i="1"/>
  <c r="L200" i="1" s="1"/>
  <c r="J216" i="1"/>
  <c r="L216" i="1" s="1"/>
  <c r="J232" i="1"/>
  <c r="L232" i="1" s="1"/>
  <c r="J248" i="1"/>
  <c r="L248" i="1" s="1"/>
  <c r="J264" i="1"/>
  <c r="L264" i="1" s="1"/>
  <c r="J280" i="1"/>
  <c r="L280" i="1" s="1"/>
  <c r="J296" i="1"/>
  <c r="L296" i="1" s="1"/>
  <c r="J312" i="1"/>
  <c r="L312" i="1" s="1"/>
  <c r="J328" i="1"/>
  <c r="L328" i="1" s="1"/>
  <c r="J344" i="1"/>
  <c r="L344" i="1" s="1"/>
  <c r="J360" i="1"/>
  <c r="L360" i="1" s="1"/>
  <c r="J376" i="1"/>
  <c r="L376" i="1" s="1"/>
  <c r="J392" i="1"/>
  <c r="L392" i="1" s="1"/>
  <c r="J408" i="1"/>
  <c r="L408" i="1" s="1"/>
  <c r="J424" i="1"/>
  <c r="L424" i="1" s="1"/>
  <c r="J440" i="1"/>
  <c r="L440" i="1" s="1"/>
  <c r="J456" i="1"/>
  <c r="L456" i="1" s="1"/>
  <c r="J472" i="1"/>
  <c r="L472" i="1" s="1"/>
  <c r="J488" i="1"/>
  <c r="L488" i="1" s="1"/>
  <c r="J504" i="1"/>
  <c r="L504" i="1" s="1"/>
  <c r="J520" i="1"/>
  <c r="L520" i="1" s="1"/>
  <c r="J536" i="1"/>
  <c r="L536" i="1" s="1"/>
  <c r="J7" i="1"/>
  <c r="J18" i="1"/>
  <c r="J45" i="1"/>
  <c r="J56" i="1"/>
  <c r="J67" i="1"/>
  <c r="J83" i="1"/>
  <c r="J99" i="1"/>
  <c r="J115" i="1"/>
  <c r="J131" i="1"/>
  <c r="L131" i="1" s="1"/>
  <c r="J147" i="1"/>
  <c r="J163" i="1"/>
  <c r="J179" i="1"/>
  <c r="L179" i="1" s="1"/>
  <c r="J195" i="1"/>
  <c r="L195" i="1" s="1"/>
  <c r="J211" i="1"/>
  <c r="L211" i="1" s="1"/>
  <c r="J227" i="1"/>
  <c r="L227" i="1" s="1"/>
  <c r="J243" i="1"/>
  <c r="L243" i="1" s="1"/>
  <c r="J259" i="1"/>
  <c r="L259" i="1" s="1"/>
  <c r="J275" i="1"/>
  <c r="L275" i="1" s="1"/>
  <c r="J291" i="1"/>
  <c r="L291" i="1" s="1"/>
  <c r="J307" i="1"/>
  <c r="L307" i="1" s="1"/>
  <c r="J323" i="1"/>
  <c r="L323" i="1" s="1"/>
  <c r="J339" i="1"/>
  <c r="L339" i="1" s="1"/>
  <c r="J355" i="1"/>
  <c r="L355" i="1" s="1"/>
  <c r="J371" i="1"/>
  <c r="L371" i="1" s="1"/>
  <c r="J387" i="1"/>
  <c r="L387" i="1" s="1"/>
  <c r="J8" i="1"/>
  <c r="J19" i="1"/>
  <c r="L19" i="1" s="1"/>
  <c r="J57" i="1"/>
  <c r="J68" i="1"/>
  <c r="L68" i="1" s="1"/>
  <c r="J84" i="1"/>
  <c r="J100" i="1"/>
  <c r="J116" i="1"/>
  <c r="J132" i="1"/>
  <c r="J148" i="1"/>
  <c r="J164" i="1"/>
  <c r="L164" i="1" s="1"/>
  <c r="J180" i="1"/>
  <c r="L180" i="1" s="1"/>
  <c r="J196" i="1"/>
  <c r="L196" i="1" s="1"/>
  <c r="J212" i="1"/>
  <c r="L212" i="1" s="1"/>
  <c r="J228" i="1"/>
  <c r="L228" i="1" s="1"/>
  <c r="J244" i="1"/>
  <c r="L244" i="1" s="1"/>
  <c r="J260" i="1"/>
  <c r="L260" i="1" s="1"/>
  <c r="J276" i="1"/>
  <c r="L276" i="1" s="1"/>
  <c r="J292" i="1"/>
  <c r="L292" i="1" s="1"/>
  <c r="J308" i="1"/>
  <c r="L308" i="1" s="1"/>
  <c r="J4" i="1"/>
  <c r="L4" i="1" s="1"/>
  <c r="J15" i="1"/>
  <c r="J42" i="1"/>
  <c r="J53" i="1"/>
  <c r="J64" i="1"/>
  <c r="J80" i="1"/>
  <c r="J96" i="1"/>
  <c r="J112" i="1"/>
  <c r="J128" i="1"/>
  <c r="J144" i="1"/>
  <c r="J160" i="1"/>
  <c r="L160" i="1" s="1"/>
  <c r="J176" i="1"/>
  <c r="L176" i="1" s="1"/>
  <c r="J192" i="1"/>
  <c r="L192" i="1" s="1"/>
  <c r="J208" i="1"/>
  <c r="L208" i="1" s="1"/>
  <c r="J224" i="1"/>
  <c r="L224" i="1" s="1"/>
  <c r="J240" i="1"/>
  <c r="L240" i="1" s="1"/>
  <c r="J256" i="1"/>
  <c r="L256" i="1" s="1"/>
  <c r="J272" i="1"/>
  <c r="L272" i="1" s="1"/>
  <c r="J288" i="1"/>
  <c r="L288" i="1" s="1"/>
  <c r="J304" i="1"/>
  <c r="L304" i="1" s="1"/>
  <c r="J320" i="1"/>
  <c r="L320" i="1" s="1"/>
  <c r="J336" i="1"/>
  <c r="L336" i="1" s="1"/>
  <c r="J352" i="1"/>
  <c r="L352" i="1" s="1"/>
  <c r="J368" i="1"/>
  <c r="L368" i="1" s="1"/>
  <c r="J384" i="1"/>
  <c r="L384" i="1" s="1"/>
  <c r="J400" i="1"/>
  <c r="L400" i="1" s="1"/>
  <c r="J416" i="1"/>
  <c r="L416" i="1" s="1"/>
  <c r="J432" i="1"/>
  <c r="L432" i="1" s="1"/>
  <c r="J448" i="1"/>
  <c r="L448" i="1" s="1"/>
  <c r="J3" i="1"/>
  <c r="J33" i="1"/>
  <c r="L33" i="1" s="1"/>
  <c r="J69" i="1"/>
  <c r="J92" i="1"/>
  <c r="L92" i="1" s="1"/>
  <c r="J133" i="1"/>
  <c r="J156" i="1"/>
  <c r="L156" i="1" s="1"/>
  <c r="J197" i="1"/>
  <c r="L197" i="1" s="1"/>
  <c r="J220" i="1"/>
  <c r="L220" i="1" s="1"/>
  <c r="J261" i="1"/>
  <c r="L261" i="1" s="1"/>
  <c r="J284" i="1"/>
  <c r="L284" i="1" s="1"/>
  <c r="J353" i="1"/>
  <c r="L353" i="1" s="1"/>
  <c r="J370" i="1"/>
  <c r="L370" i="1" s="1"/>
  <c r="J393" i="1"/>
  <c r="L393" i="1" s="1"/>
  <c r="J404" i="1"/>
  <c r="L404" i="1" s="1"/>
  <c r="J415" i="1"/>
  <c r="L415" i="1" s="1"/>
  <c r="J443" i="1"/>
  <c r="L443" i="1" s="1"/>
  <c r="J454" i="1"/>
  <c r="L454" i="1" s="1"/>
  <c r="J465" i="1"/>
  <c r="L465" i="1" s="1"/>
  <c r="J476" i="1"/>
  <c r="L476" i="1" s="1"/>
  <c r="J503" i="1"/>
  <c r="L503" i="1" s="1"/>
  <c r="J514" i="1"/>
  <c r="L514" i="1" s="1"/>
  <c r="J525" i="1"/>
  <c r="L525" i="1" s="1"/>
  <c r="J552" i="1"/>
  <c r="L552" i="1" s="1"/>
  <c r="J568" i="1"/>
  <c r="L568" i="1" s="1"/>
  <c r="J584" i="1"/>
  <c r="L584" i="1" s="1"/>
  <c r="J600" i="1"/>
  <c r="L600" i="1" s="1"/>
  <c r="J616" i="1"/>
  <c r="L616" i="1" s="1"/>
  <c r="J632" i="1"/>
  <c r="L632" i="1" s="1"/>
  <c r="J648" i="1"/>
  <c r="L648" i="1" s="1"/>
  <c r="J664" i="1"/>
  <c r="L664" i="1" s="1"/>
  <c r="J680" i="1"/>
  <c r="L680" i="1" s="1"/>
  <c r="J696" i="1"/>
  <c r="L696" i="1" s="1"/>
  <c r="J712" i="1"/>
  <c r="L712" i="1" s="1"/>
  <c r="J728" i="1"/>
  <c r="L728" i="1" s="1"/>
  <c r="J744" i="1"/>
  <c r="L744" i="1" s="1"/>
  <c r="J16" i="1"/>
  <c r="L16" i="1" s="1"/>
  <c r="J22" i="1"/>
  <c r="J39" i="1"/>
  <c r="J63" i="1"/>
  <c r="J75" i="1"/>
  <c r="J98" i="1"/>
  <c r="J127" i="1"/>
  <c r="J139" i="1"/>
  <c r="J162" i="1"/>
  <c r="L162" i="1" s="1"/>
  <c r="J191" i="1"/>
  <c r="L191" i="1" s="1"/>
  <c r="J203" i="1"/>
  <c r="L203" i="1" s="1"/>
  <c r="J226" i="1"/>
  <c r="L226" i="1" s="1"/>
  <c r="J255" i="1"/>
  <c r="L255" i="1" s="1"/>
  <c r="J267" i="1"/>
  <c r="L267" i="1" s="1"/>
  <c r="J290" i="1"/>
  <c r="L290" i="1" s="1"/>
  <c r="J319" i="1"/>
  <c r="L319" i="1" s="1"/>
  <c r="J325" i="1"/>
  <c r="L325" i="1" s="1"/>
  <c r="J342" i="1"/>
  <c r="L342" i="1" s="1"/>
  <c r="J359" i="1"/>
  <c r="L359" i="1" s="1"/>
  <c r="J410" i="1"/>
  <c r="L410" i="1" s="1"/>
  <c r="J421" i="1"/>
  <c r="L421" i="1" s="1"/>
  <c r="J449" i="1"/>
  <c r="L449" i="1" s="1"/>
  <c r="J460" i="1"/>
  <c r="L460" i="1" s="1"/>
  <c r="J487" i="1"/>
  <c r="L487" i="1" s="1"/>
  <c r="J498" i="1"/>
  <c r="L498" i="1" s="1"/>
  <c r="J509" i="1"/>
  <c r="L509" i="1" s="1"/>
  <c r="J547" i="1"/>
  <c r="L547" i="1" s="1"/>
  <c r="J563" i="1"/>
  <c r="L563" i="1" s="1"/>
  <c r="J579" i="1"/>
  <c r="L579" i="1" s="1"/>
  <c r="J10" i="1"/>
  <c r="J28" i="1"/>
  <c r="L28" i="1" s="1"/>
  <c r="J51" i="1"/>
  <c r="J81" i="1"/>
  <c r="L81" i="1" s="1"/>
  <c r="J87" i="1"/>
  <c r="J110" i="1"/>
  <c r="J122" i="1"/>
  <c r="J145" i="1"/>
  <c r="J151" i="1"/>
  <c r="J174" i="1"/>
  <c r="L174" i="1" s="1"/>
  <c r="J186" i="1"/>
  <c r="L186" i="1" s="1"/>
  <c r="J209" i="1"/>
  <c r="L209" i="1" s="1"/>
  <c r="J215" i="1"/>
  <c r="L215" i="1" s="1"/>
  <c r="J238" i="1"/>
  <c r="L238" i="1" s="1"/>
  <c r="J250" i="1"/>
  <c r="L250" i="1" s="1"/>
  <c r="J273" i="1"/>
  <c r="L273" i="1" s="1"/>
  <c r="J279" i="1"/>
  <c r="L279" i="1" s="1"/>
  <c r="J302" i="1"/>
  <c r="L302" i="1" s="1"/>
  <c r="J314" i="1"/>
  <c r="L314" i="1" s="1"/>
  <c r="J331" i="1"/>
  <c r="L331" i="1" s="1"/>
  <c r="J348" i="1"/>
  <c r="L348" i="1" s="1"/>
  <c r="J365" i="1"/>
  <c r="L365" i="1" s="1"/>
  <c r="J382" i="1"/>
  <c r="L382" i="1" s="1"/>
  <c r="J388" i="1"/>
  <c r="L388" i="1" s="1"/>
  <c r="J399" i="1"/>
  <c r="L399" i="1" s="1"/>
  <c r="J427" i="1"/>
  <c r="L427" i="1" s="1"/>
  <c r="J438" i="1"/>
  <c r="L438" i="1" s="1"/>
  <c r="J6" i="1"/>
  <c r="J36" i="1"/>
  <c r="J101" i="1"/>
  <c r="L101" i="1" s="1"/>
  <c r="J124" i="1"/>
  <c r="J165" i="1"/>
  <c r="L165" i="1" s="1"/>
  <c r="J188" i="1"/>
  <c r="L188" i="1" s="1"/>
  <c r="J229" i="1"/>
  <c r="L229" i="1" s="1"/>
  <c r="J252" i="1"/>
  <c r="L252" i="1" s="1"/>
  <c r="J293" i="1"/>
  <c r="L293" i="1" s="1"/>
  <c r="J316" i="1"/>
  <c r="L316" i="1" s="1"/>
  <c r="J333" i="1"/>
  <c r="L333" i="1" s="1"/>
  <c r="J350" i="1"/>
  <c r="L350" i="1" s="1"/>
  <c r="J356" i="1"/>
  <c r="L356" i="1" s="1"/>
  <c r="J367" i="1"/>
  <c r="L367" i="1" s="1"/>
  <c r="J373" i="1"/>
  <c r="L373" i="1" s="1"/>
  <c r="J390" i="1"/>
  <c r="L390" i="1" s="1"/>
  <c r="J418" i="1"/>
  <c r="L418" i="1" s="1"/>
  <c r="J429" i="1"/>
  <c r="L429" i="1" s="1"/>
  <c r="J457" i="1"/>
  <c r="L457" i="1" s="1"/>
  <c r="J484" i="1"/>
  <c r="L484" i="1" s="1"/>
  <c r="J495" i="1"/>
  <c r="L495" i="1" s="1"/>
  <c r="J506" i="1"/>
  <c r="L506" i="1" s="1"/>
  <c r="J533" i="1"/>
  <c r="L533" i="1" s="1"/>
  <c r="J544" i="1"/>
  <c r="L544" i="1" s="1"/>
  <c r="J560" i="1"/>
  <c r="L560" i="1" s="1"/>
  <c r="J576" i="1"/>
  <c r="L576" i="1" s="1"/>
  <c r="J592" i="1"/>
  <c r="L592" i="1" s="1"/>
  <c r="J608" i="1"/>
  <c r="L608" i="1" s="1"/>
  <c r="J624" i="1"/>
  <c r="L624" i="1" s="1"/>
  <c r="J640" i="1"/>
  <c r="L640" i="1" s="1"/>
  <c r="J656" i="1"/>
  <c r="L656" i="1" s="1"/>
  <c r="J25" i="1"/>
  <c r="J48" i="1"/>
  <c r="J66" i="1"/>
  <c r="J95" i="1"/>
  <c r="L95" i="1" s="1"/>
  <c r="J107" i="1"/>
  <c r="J130" i="1"/>
  <c r="L130" i="1" s="1"/>
  <c r="J159" i="1"/>
  <c r="J171" i="1"/>
  <c r="L171" i="1" s="1"/>
  <c r="J194" i="1"/>
  <c r="L194" i="1" s="1"/>
  <c r="J223" i="1"/>
  <c r="L223" i="1" s="1"/>
  <c r="J235" i="1"/>
  <c r="L235" i="1" s="1"/>
  <c r="J258" i="1"/>
  <c r="L258" i="1" s="1"/>
  <c r="J59" i="1"/>
  <c r="J85" i="1"/>
  <c r="J91" i="1"/>
  <c r="J129" i="1"/>
  <c r="J199" i="1"/>
  <c r="L199" i="1" s="1"/>
  <c r="J205" i="1"/>
  <c r="L205" i="1" s="1"/>
  <c r="J249" i="1"/>
  <c r="L249" i="1" s="1"/>
  <c r="J281" i="1"/>
  <c r="L281" i="1" s="1"/>
  <c r="J324" i="1"/>
  <c r="L324" i="1" s="1"/>
  <c r="J330" i="1"/>
  <c r="L330" i="1" s="1"/>
  <c r="J374" i="1"/>
  <c r="L374" i="1" s="1"/>
  <c r="J398" i="1"/>
  <c r="L398" i="1" s="1"/>
  <c r="J446" i="1"/>
  <c r="L446" i="1" s="1"/>
  <c r="J452" i="1"/>
  <c r="L452" i="1" s="1"/>
  <c r="J464" i="1"/>
  <c r="L464" i="1" s="1"/>
  <c r="J481" i="1"/>
  <c r="L481" i="1" s="1"/>
  <c r="J522" i="1"/>
  <c r="L522" i="1" s="1"/>
  <c r="J539" i="1"/>
  <c r="L539" i="1" s="1"/>
  <c r="J556" i="1"/>
  <c r="L556" i="1" s="1"/>
  <c r="J573" i="1"/>
  <c r="L573" i="1" s="1"/>
  <c r="J590" i="1"/>
  <c r="L590" i="1" s="1"/>
  <c r="J618" i="1"/>
  <c r="L618" i="1" s="1"/>
  <c r="J629" i="1"/>
  <c r="L629" i="1" s="1"/>
  <c r="J657" i="1"/>
  <c r="L657" i="1" s="1"/>
  <c r="J668" i="1"/>
  <c r="L668" i="1" s="1"/>
  <c r="J695" i="1"/>
  <c r="L695" i="1" s="1"/>
  <c r="J706" i="1"/>
  <c r="L706" i="1" s="1"/>
  <c r="J717" i="1"/>
  <c r="L717" i="1" s="1"/>
  <c r="J755" i="1"/>
  <c r="L755" i="1" s="1"/>
  <c r="J771" i="1"/>
  <c r="L771" i="1" s="1"/>
  <c r="J787" i="1"/>
  <c r="L787" i="1" s="1"/>
  <c r="J803" i="1"/>
  <c r="L803" i="1" s="1"/>
  <c r="J819" i="1"/>
  <c r="L819" i="1" s="1"/>
  <c r="J835" i="1"/>
  <c r="L835" i="1" s="1"/>
  <c r="J851" i="1"/>
  <c r="L851" i="1" s="1"/>
  <c r="J867" i="1"/>
  <c r="L867" i="1" s="1"/>
  <c r="J47" i="1"/>
  <c r="J73" i="1"/>
  <c r="J117" i="1"/>
  <c r="J123" i="1"/>
  <c r="J142" i="1"/>
  <c r="L142" i="1" s="1"/>
  <c r="J161" i="1"/>
  <c r="J218" i="1"/>
  <c r="L218" i="1" s="1"/>
  <c r="J231" i="1"/>
  <c r="L231" i="1" s="1"/>
  <c r="J237" i="1"/>
  <c r="L237" i="1" s="1"/>
  <c r="J287" i="1"/>
  <c r="L287" i="1" s="1"/>
  <c r="J294" i="1"/>
  <c r="L294" i="1" s="1"/>
  <c r="J318" i="1"/>
  <c r="L318" i="1" s="1"/>
  <c r="J380" i="1"/>
  <c r="L380" i="1" s="1"/>
  <c r="J386" i="1"/>
  <c r="L386" i="1" s="1"/>
  <c r="J470" i="1"/>
  <c r="L470" i="1" s="1"/>
  <c r="J493" i="1"/>
  <c r="L493" i="1" s="1"/>
  <c r="J499" i="1"/>
  <c r="L499" i="1" s="1"/>
  <c r="J505" i="1"/>
  <c r="L505" i="1" s="1"/>
  <c r="J511" i="1"/>
  <c r="L511" i="1" s="1"/>
  <c r="J528" i="1"/>
  <c r="L528" i="1" s="1"/>
  <c r="J545" i="1"/>
  <c r="L545" i="1" s="1"/>
  <c r="J562" i="1"/>
  <c r="L562" i="1" s="1"/>
  <c r="J585" i="1"/>
  <c r="L585" i="1" s="1"/>
  <c r="J596" i="1"/>
  <c r="L596" i="1" s="1"/>
  <c r="J607" i="1"/>
  <c r="L607" i="1" s="1"/>
  <c r="J635" i="1"/>
  <c r="L635" i="1" s="1"/>
  <c r="J646" i="1"/>
  <c r="L646" i="1" s="1"/>
  <c r="J679" i="1"/>
  <c r="L679" i="1" s="1"/>
  <c r="J690" i="1"/>
  <c r="L690" i="1" s="1"/>
  <c r="J701" i="1"/>
  <c r="L701" i="1" s="1"/>
  <c r="J9" i="1"/>
  <c r="J35" i="1"/>
  <c r="J41" i="1"/>
  <c r="J79" i="1"/>
  <c r="J105" i="1"/>
  <c r="J111" i="1"/>
  <c r="J149" i="1"/>
  <c r="L149" i="1" s="1"/>
  <c r="J155" i="1"/>
  <c r="J193" i="1"/>
  <c r="L193" i="1" s="1"/>
  <c r="J263" i="1"/>
  <c r="L263" i="1" s="1"/>
  <c r="J269" i="1"/>
  <c r="L269" i="1" s="1"/>
  <c r="J300" i="1"/>
  <c r="L300" i="1" s="1"/>
  <c r="J306" i="1"/>
  <c r="L306" i="1" s="1"/>
  <c r="J337" i="1"/>
  <c r="L337" i="1" s="1"/>
  <c r="J343" i="1"/>
  <c r="L343" i="1" s="1"/>
  <c r="J349" i="1"/>
  <c r="L349" i="1" s="1"/>
  <c r="J362" i="1"/>
  <c r="L362" i="1" s="1"/>
  <c r="J405" i="1"/>
  <c r="L405" i="1" s="1"/>
  <c r="J411" i="1"/>
  <c r="L411" i="1" s="1"/>
  <c r="J417" i="1"/>
  <c r="L417" i="1" s="1"/>
  <c r="J423" i="1"/>
  <c r="L423" i="1" s="1"/>
  <c r="J435" i="1"/>
  <c r="L435" i="1" s="1"/>
  <c r="J441" i="1"/>
  <c r="L441" i="1" s="1"/>
  <c r="J459" i="1"/>
  <c r="L459" i="1" s="1"/>
  <c r="J517" i="1"/>
  <c r="L517" i="1" s="1"/>
  <c r="J534" i="1"/>
  <c r="L534" i="1" s="1"/>
  <c r="J551" i="1"/>
  <c r="L551" i="1" s="1"/>
  <c r="J602" i="1"/>
  <c r="L602" i="1" s="1"/>
  <c r="J613" i="1"/>
  <c r="L613" i="1" s="1"/>
  <c r="J641" i="1"/>
  <c r="L641" i="1" s="1"/>
  <c r="J652" i="1"/>
  <c r="L652" i="1" s="1"/>
  <c r="J663" i="1"/>
  <c r="L663" i="1" s="1"/>
  <c r="J674" i="1"/>
  <c r="L674" i="1" s="1"/>
  <c r="J685" i="1"/>
  <c r="L685" i="1" s="1"/>
  <c r="J723" i="1"/>
  <c r="L723" i="1" s="1"/>
  <c r="J734" i="1"/>
  <c r="L734" i="1" s="1"/>
  <c r="J745" i="1"/>
  <c r="L745" i="1" s="1"/>
  <c r="J761" i="1"/>
  <c r="L761" i="1" s="1"/>
  <c r="J777" i="1"/>
  <c r="L777" i="1" s="1"/>
  <c r="J793" i="1"/>
  <c r="L793" i="1" s="1"/>
  <c r="J809" i="1"/>
  <c r="L809" i="1" s="1"/>
  <c r="J825" i="1"/>
  <c r="L825" i="1" s="1"/>
  <c r="J841" i="1"/>
  <c r="L841" i="1" s="1"/>
  <c r="J857" i="1"/>
  <c r="L857" i="1" s="1"/>
  <c r="J873" i="1"/>
  <c r="L873" i="1" s="1"/>
  <c r="J29" i="1"/>
  <c r="J54" i="1"/>
  <c r="L54" i="1" s="1"/>
  <c r="J60" i="1"/>
  <c r="J86" i="1"/>
  <c r="J137" i="1"/>
  <c r="J181" i="1"/>
  <c r="L181" i="1" s="1"/>
  <c r="J187" i="1"/>
  <c r="L187" i="1" s="1"/>
  <c r="J206" i="1"/>
  <c r="L206" i="1" s="1"/>
  <c r="J225" i="1"/>
  <c r="L225" i="1" s="1"/>
  <c r="J282" i="1"/>
  <c r="L282" i="1" s="1"/>
  <c r="J375" i="1"/>
  <c r="L375" i="1" s="1"/>
  <c r="J447" i="1"/>
  <c r="L447" i="1" s="1"/>
  <c r="J453" i="1"/>
  <c r="L453" i="1" s="1"/>
  <c r="J482" i="1"/>
  <c r="L482" i="1" s="1"/>
  <c r="J523" i="1"/>
  <c r="L523" i="1" s="1"/>
  <c r="J540" i="1"/>
  <c r="L540" i="1" s="1"/>
  <c r="J557" i="1"/>
  <c r="L557" i="1" s="1"/>
  <c r="J574" i="1"/>
  <c r="L574" i="1" s="1"/>
  <c r="J580" i="1"/>
  <c r="L580" i="1" s="1"/>
  <c r="J591" i="1"/>
  <c r="L591" i="1" s="1"/>
  <c r="J619" i="1"/>
  <c r="L619" i="1" s="1"/>
  <c r="J630" i="1"/>
  <c r="L630" i="1" s="1"/>
  <c r="J658" i="1"/>
  <c r="L658" i="1" s="1"/>
  <c r="J669" i="1"/>
  <c r="L669" i="1" s="1"/>
  <c r="J74" i="1"/>
  <c r="J118" i="1"/>
  <c r="J143" i="1"/>
  <c r="J169" i="1"/>
  <c r="L169" i="1" s="1"/>
  <c r="J175" i="1"/>
  <c r="L175" i="1" s="1"/>
  <c r="J213" i="1"/>
  <c r="L213" i="1" s="1"/>
  <c r="J219" i="1"/>
  <c r="L219" i="1" s="1"/>
  <c r="J257" i="1"/>
  <c r="L257" i="1" s="1"/>
  <c r="J295" i="1"/>
  <c r="L295" i="1" s="1"/>
  <c r="J313" i="1"/>
  <c r="L313" i="1" s="1"/>
  <c r="J369" i="1"/>
  <c r="L369" i="1" s="1"/>
  <c r="J381" i="1"/>
  <c r="L381" i="1" s="1"/>
  <c r="J394" i="1"/>
  <c r="L394" i="1" s="1"/>
  <c r="J430" i="1"/>
  <c r="L430" i="1" s="1"/>
  <c r="J471" i="1"/>
  <c r="L471" i="1" s="1"/>
  <c r="J477" i="1"/>
  <c r="L477" i="1" s="1"/>
  <c r="J494" i="1"/>
  <c r="L494" i="1" s="1"/>
  <c r="J500" i="1"/>
  <c r="L500" i="1" s="1"/>
  <c r="J512" i="1"/>
  <c r="L512" i="1" s="1"/>
  <c r="J529" i="1"/>
  <c r="L529" i="1" s="1"/>
  <c r="J546" i="1"/>
  <c r="L546" i="1" s="1"/>
  <c r="J569" i="1"/>
  <c r="L569" i="1" s="1"/>
  <c r="J586" i="1"/>
  <c r="L586" i="1" s="1"/>
  <c r="J597" i="1"/>
  <c r="L597" i="1" s="1"/>
  <c r="J625" i="1"/>
  <c r="L625" i="1" s="1"/>
  <c r="J636" i="1"/>
  <c r="L636" i="1" s="1"/>
  <c r="J647" i="1"/>
  <c r="L647" i="1" s="1"/>
  <c r="J691" i="1"/>
  <c r="L691" i="1" s="1"/>
  <c r="J17" i="1"/>
  <c r="J93" i="1"/>
  <c r="J106" i="1"/>
  <c r="J150" i="1"/>
  <c r="J201" i="1"/>
  <c r="L201" i="1" s="1"/>
  <c r="J245" i="1"/>
  <c r="L245" i="1" s="1"/>
  <c r="J251" i="1"/>
  <c r="L251" i="1" s="1"/>
  <c r="J270" i="1"/>
  <c r="L270" i="1" s="1"/>
  <c r="J301" i="1"/>
  <c r="L301" i="1" s="1"/>
  <c r="J326" i="1"/>
  <c r="L326" i="1" s="1"/>
  <c r="J332" i="1"/>
  <c r="L332" i="1" s="1"/>
  <c r="J338" i="1"/>
  <c r="L338" i="1" s="1"/>
  <c r="J357" i="1"/>
  <c r="L357" i="1" s="1"/>
  <c r="J363" i="1"/>
  <c r="L363" i="1" s="1"/>
  <c r="J406" i="1"/>
  <c r="L406" i="1" s="1"/>
  <c r="J412" i="1"/>
  <c r="L412" i="1" s="1"/>
  <c r="J436" i="1"/>
  <c r="L436" i="1" s="1"/>
  <c r="J442" i="1"/>
  <c r="L442" i="1" s="1"/>
  <c r="J466" i="1"/>
  <c r="L466" i="1" s="1"/>
  <c r="J489" i="1"/>
  <c r="L489" i="1" s="1"/>
  <c r="J518" i="1"/>
  <c r="L518" i="1" s="1"/>
  <c r="J535" i="1"/>
  <c r="L535" i="1" s="1"/>
  <c r="J603" i="1"/>
  <c r="L603" i="1" s="1"/>
  <c r="J614" i="1"/>
  <c r="L614" i="1" s="1"/>
  <c r="J642" i="1"/>
  <c r="L642" i="1" s="1"/>
  <c r="J653" i="1"/>
  <c r="L653" i="1" s="1"/>
  <c r="J675" i="1"/>
  <c r="L675" i="1" s="1"/>
  <c r="J686" i="1"/>
  <c r="L686" i="1" s="1"/>
  <c r="J697" i="1"/>
  <c r="L697" i="1" s="1"/>
  <c r="J24" i="1"/>
  <c r="J49" i="1"/>
  <c r="J55" i="1"/>
  <c r="J125" i="1"/>
  <c r="J138" i="1"/>
  <c r="J182" i="1"/>
  <c r="L182" i="1" s="1"/>
  <c r="J207" i="1"/>
  <c r="L207" i="1" s="1"/>
  <c r="J233" i="1"/>
  <c r="L233" i="1" s="1"/>
  <c r="J239" i="1"/>
  <c r="L239" i="1" s="1"/>
  <c r="J277" i="1"/>
  <c r="L277" i="1" s="1"/>
  <c r="J283" i="1"/>
  <c r="L283" i="1" s="1"/>
  <c r="J289" i="1"/>
  <c r="L289" i="1" s="1"/>
  <c r="J483" i="1"/>
  <c r="L483" i="1" s="1"/>
  <c r="J507" i="1"/>
  <c r="L507" i="1" s="1"/>
  <c r="J524" i="1"/>
  <c r="L524" i="1" s="1"/>
  <c r="J541" i="1"/>
  <c r="L541" i="1" s="1"/>
  <c r="J11" i="1"/>
  <c r="L11" i="1" s="1"/>
  <c r="J37" i="1"/>
  <c r="J43" i="1"/>
  <c r="J113" i="1"/>
  <c r="J119" i="1"/>
  <c r="J157" i="1"/>
  <c r="J170" i="1"/>
  <c r="L170" i="1" s="1"/>
  <c r="J214" i="1"/>
  <c r="L214" i="1" s="1"/>
  <c r="J265" i="1"/>
  <c r="L265" i="1" s="1"/>
  <c r="J345" i="1"/>
  <c r="L345" i="1" s="1"/>
  <c r="J351" i="1"/>
  <c r="L351" i="1" s="1"/>
  <c r="J395" i="1"/>
  <c r="L395" i="1" s="1"/>
  <c r="J401" i="1"/>
  <c r="L401" i="1" s="1"/>
  <c r="J419" i="1"/>
  <c r="L419" i="1" s="1"/>
  <c r="J425" i="1"/>
  <c r="L425" i="1" s="1"/>
  <c r="J431" i="1"/>
  <c r="L431" i="1" s="1"/>
  <c r="J461" i="1"/>
  <c r="L461" i="1" s="1"/>
  <c r="J478" i="1"/>
  <c r="L478" i="1" s="1"/>
  <c r="J501" i="1"/>
  <c r="L501" i="1" s="1"/>
  <c r="J513" i="1"/>
  <c r="L513" i="1" s="1"/>
  <c r="J530" i="1"/>
  <c r="L530" i="1" s="1"/>
  <c r="J553" i="1"/>
  <c r="L553" i="1" s="1"/>
  <c r="J570" i="1"/>
  <c r="L570" i="1" s="1"/>
  <c r="J587" i="1"/>
  <c r="L587" i="1" s="1"/>
  <c r="J598" i="1"/>
  <c r="L598" i="1" s="1"/>
  <c r="J31" i="1"/>
  <c r="J94" i="1"/>
  <c r="L94" i="1" s="1"/>
  <c r="J189" i="1"/>
  <c r="L189" i="1" s="1"/>
  <c r="J202" i="1"/>
  <c r="L202" i="1" s="1"/>
  <c r="J246" i="1"/>
  <c r="L246" i="1" s="1"/>
  <c r="J271" i="1"/>
  <c r="L271" i="1" s="1"/>
  <c r="J321" i="1"/>
  <c r="L321" i="1" s="1"/>
  <c r="J327" i="1"/>
  <c r="L327" i="1" s="1"/>
  <c r="J358" i="1"/>
  <c r="L358" i="1" s="1"/>
  <c r="J364" i="1"/>
  <c r="L364" i="1" s="1"/>
  <c r="J377" i="1"/>
  <c r="L377" i="1" s="1"/>
  <c r="J389" i="1"/>
  <c r="L389" i="1" s="1"/>
  <c r="J407" i="1"/>
  <c r="L407" i="1" s="1"/>
  <c r="J413" i="1"/>
  <c r="L413" i="1" s="1"/>
  <c r="J437" i="1"/>
  <c r="L437" i="1" s="1"/>
  <c r="J455" i="1"/>
  <c r="L455" i="1" s="1"/>
  <c r="J467" i="1"/>
  <c r="L467" i="1" s="1"/>
  <c r="J490" i="1"/>
  <c r="L490" i="1" s="1"/>
  <c r="J519" i="1"/>
  <c r="L519" i="1" s="1"/>
  <c r="J593" i="1"/>
  <c r="L593" i="1" s="1"/>
  <c r="J13" i="1"/>
  <c r="J20" i="1"/>
  <c r="L20" i="1" s="1"/>
  <c r="J71" i="1"/>
  <c r="J77" i="1"/>
  <c r="L77" i="1" s="1"/>
  <c r="J121" i="1"/>
  <c r="J153" i="1"/>
  <c r="J166" i="1"/>
  <c r="L166" i="1" s="1"/>
  <c r="J172" i="1"/>
  <c r="L172" i="1" s="1"/>
  <c r="J178" i="1"/>
  <c r="L178" i="1" s="1"/>
  <c r="J222" i="1"/>
  <c r="L222" i="1" s="1"/>
  <c r="J298" i="1"/>
  <c r="L298" i="1" s="1"/>
  <c r="J310" i="1"/>
  <c r="L310" i="1" s="1"/>
  <c r="J433" i="1"/>
  <c r="L433" i="1" s="1"/>
  <c r="J27" i="1"/>
  <c r="J402" i="1"/>
  <c r="L402" i="1" s="1"/>
  <c r="J409" i="1"/>
  <c r="L409" i="1" s="1"/>
  <c r="J479" i="1"/>
  <c r="L479" i="1" s="1"/>
  <c r="J548" i="1"/>
  <c r="L548" i="1" s="1"/>
  <c r="J606" i="1"/>
  <c r="L606" i="1" s="1"/>
  <c r="J612" i="1"/>
  <c r="L612" i="1" s="1"/>
  <c r="J631" i="1"/>
  <c r="L631" i="1" s="1"/>
  <c r="J650" i="1"/>
  <c r="L650" i="1" s="1"/>
  <c r="J681" i="1"/>
  <c r="L681" i="1" s="1"/>
  <c r="J687" i="1"/>
  <c r="L687" i="1" s="1"/>
  <c r="J693" i="1"/>
  <c r="L693" i="1" s="1"/>
  <c r="J705" i="1"/>
  <c r="L705" i="1" s="1"/>
  <c r="J722" i="1"/>
  <c r="L722" i="1" s="1"/>
  <c r="J739" i="1"/>
  <c r="L739" i="1" s="1"/>
  <c r="J756" i="1"/>
  <c r="L756" i="1" s="1"/>
  <c r="J767" i="1"/>
  <c r="L767" i="1" s="1"/>
  <c r="J795" i="1"/>
  <c r="L795" i="1" s="1"/>
  <c r="J806" i="1"/>
  <c r="L806" i="1" s="1"/>
  <c r="J817" i="1"/>
  <c r="L817" i="1" s="1"/>
  <c r="J845" i="1"/>
  <c r="L845" i="1" s="1"/>
  <c r="J856" i="1"/>
  <c r="L856" i="1" s="1"/>
  <c r="J5" i="1"/>
  <c r="J78" i="1"/>
  <c r="J274" i="1"/>
  <c r="L274" i="1" s="1"/>
  <c r="J303" i="1"/>
  <c r="L303" i="1" s="1"/>
  <c r="J445" i="1"/>
  <c r="L445" i="1" s="1"/>
  <c r="J473" i="1"/>
  <c r="L473" i="1" s="1"/>
  <c r="J486" i="1"/>
  <c r="L486" i="1" s="1"/>
  <c r="J521" i="1"/>
  <c r="L521" i="1" s="1"/>
  <c r="J561" i="1"/>
  <c r="L561" i="1" s="1"/>
  <c r="J567" i="1"/>
  <c r="L567" i="1" s="1"/>
  <c r="J644" i="1"/>
  <c r="L644" i="1" s="1"/>
  <c r="J711" i="1"/>
  <c r="L711" i="1" s="1"/>
  <c r="J762" i="1"/>
  <c r="L762" i="1" s="1"/>
  <c r="J773" i="1"/>
  <c r="L773" i="1" s="1"/>
  <c r="J784" i="1"/>
  <c r="L784" i="1" s="1"/>
  <c r="J812" i="1"/>
  <c r="L812" i="1" s="1"/>
  <c r="J823" i="1"/>
  <c r="L823" i="1" s="1"/>
  <c r="J834" i="1"/>
  <c r="L834" i="1" s="1"/>
  <c r="J862" i="1"/>
  <c r="L862" i="1" s="1"/>
  <c r="J21" i="1"/>
  <c r="J114" i="1"/>
  <c r="J158" i="1"/>
  <c r="L158" i="1" s="1"/>
  <c r="J173" i="1"/>
  <c r="L173" i="1" s="1"/>
  <c r="J217" i="1"/>
  <c r="L217" i="1" s="1"/>
  <c r="J253" i="1"/>
  <c r="L253" i="1" s="1"/>
  <c r="J317" i="1"/>
  <c r="L317" i="1" s="1"/>
  <c r="J396" i="1"/>
  <c r="L396" i="1" s="1"/>
  <c r="J542" i="1"/>
  <c r="L542" i="1" s="1"/>
  <c r="J555" i="1"/>
  <c r="L555" i="1" s="1"/>
  <c r="J594" i="1"/>
  <c r="L594" i="1" s="1"/>
  <c r="J50" i="1"/>
  <c r="J210" i="1"/>
  <c r="L210" i="1" s="1"/>
  <c r="J297" i="1"/>
  <c r="L297" i="1" s="1"/>
  <c r="J346" i="1"/>
  <c r="L346" i="1" s="1"/>
  <c r="J403" i="1"/>
  <c r="L403" i="1" s="1"/>
  <c r="J439" i="1"/>
  <c r="L439" i="1" s="1"/>
  <c r="J480" i="1"/>
  <c r="L480" i="1" s="1"/>
  <c r="J508" i="1"/>
  <c r="L508" i="1" s="1"/>
  <c r="J515" i="1"/>
  <c r="L515" i="1" s="1"/>
  <c r="J549" i="1"/>
  <c r="L549" i="1" s="1"/>
  <c r="J581" i="1"/>
  <c r="L581" i="1" s="1"/>
  <c r="J601" i="1"/>
  <c r="L601" i="1" s="1"/>
  <c r="J620" i="1"/>
  <c r="L620" i="1" s="1"/>
  <c r="J626" i="1"/>
  <c r="L626" i="1" s="1"/>
  <c r="J651" i="1"/>
  <c r="L651" i="1" s="1"/>
  <c r="J670" i="1"/>
  <c r="L670" i="1" s="1"/>
  <c r="J676" i="1"/>
  <c r="L676" i="1" s="1"/>
  <c r="J682" i="1"/>
  <c r="L682" i="1" s="1"/>
  <c r="J688" i="1"/>
  <c r="L688" i="1" s="1"/>
  <c r="J694" i="1"/>
  <c r="L694" i="1" s="1"/>
  <c r="J729" i="1"/>
  <c r="L729" i="1" s="1"/>
  <c r="J740" i="1"/>
  <c r="L740" i="1" s="1"/>
  <c r="J746" i="1"/>
  <c r="L746" i="1" s="1"/>
  <c r="J757" i="1"/>
  <c r="L757" i="1" s="1"/>
  <c r="J768" i="1"/>
  <c r="L768" i="1" s="1"/>
  <c r="J796" i="1"/>
  <c r="L796" i="1" s="1"/>
  <c r="J65" i="1"/>
  <c r="J108" i="1"/>
  <c r="J268" i="1"/>
  <c r="L268" i="1" s="1"/>
  <c r="J311" i="1"/>
  <c r="L311" i="1" s="1"/>
  <c r="J361" i="1"/>
  <c r="L361" i="1" s="1"/>
  <c r="J474" i="1"/>
  <c r="L474" i="1" s="1"/>
  <c r="J575" i="1"/>
  <c r="L575" i="1" s="1"/>
  <c r="J588" i="1"/>
  <c r="L588" i="1" s="1"/>
  <c r="J645" i="1"/>
  <c r="L645" i="1" s="1"/>
  <c r="J718" i="1"/>
  <c r="L718" i="1" s="1"/>
  <c r="J735" i="1"/>
  <c r="L735" i="1" s="1"/>
  <c r="J763" i="1"/>
  <c r="L763" i="1" s="1"/>
  <c r="J774" i="1"/>
  <c r="L774" i="1" s="1"/>
  <c r="J785" i="1"/>
  <c r="L785" i="1" s="1"/>
  <c r="J58" i="1"/>
  <c r="J167" i="1"/>
  <c r="J247" i="1"/>
  <c r="L247" i="1" s="1"/>
  <c r="J254" i="1"/>
  <c r="L254" i="1" s="1"/>
  <c r="J340" i="1"/>
  <c r="L340" i="1" s="1"/>
  <c r="J354" i="1"/>
  <c r="L354" i="1" s="1"/>
  <c r="J383" i="1"/>
  <c r="L383" i="1" s="1"/>
  <c r="J397" i="1"/>
  <c r="L397" i="1" s="1"/>
  <c r="J468" i="1"/>
  <c r="L468" i="1" s="1"/>
  <c r="J543" i="1"/>
  <c r="L543" i="1" s="1"/>
  <c r="J595" i="1"/>
  <c r="L595" i="1" s="1"/>
  <c r="J633" i="1"/>
  <c r="L633" i="1" s="1"/>
  <c r="J639" i="1"/>
  <c r="L639" i="1" s="1"/>
  <c r="J707" i="1"/>
  <c r="L707" i="1" s="1"/>
  <c r="J724" i="1"/>
  <c r="L724" i="1" s="1"/>
  <c r="J752" i="1"/>
  <c r="L752" i="1" s="1"/>
  <c r="J44" i="1"/>
  <c r="J102" i="1"/>
  <c r="J204" i="1"/>
  <c r="L204" i="1" s="1"/>
  <c r="J262" i="1"/>
  <c r="L262" i="1" s="1"/>
  <c r="J305" i="1"/>
  <c r="L305" i="1" s="1"/>
  <c r="J347" i="1"/>
  <c r="L347" i="1" s="1"/>
  <c r="J426" i="1"/>
  <c r="L426" i="1" s="1"/>
  <c r="J502" i="1"/>
  <c r="L502" i="1" s="1"/>
  <c r="J516" i="1"/>
  <c r="L516" i="1" s="1"/>
  <c r="J537" i="1"/>
  <c r="L537" i="1" s="1"/>
  <c r="J550" i="1"/>
  <c r="L550" i="1" s="1"/>
  <c r="J582" i="1"/>
  <c r="L582" i="1" s="1"/>
  <c r="J621" i="1"/>
  <c r="L621" i="1" s="1"/>
  <c r="J627" i="1"/>
  <c r="L627" i="1" s="1"/>
  <c r="J659" i="1"/>
  <c r="L659" i="1" s="1"/>
  <c r="J665" i="1"/>
  <c r="L665" i="1" s="1"/>
  <c r="J671" i="1"/>
  <c r="L671" i="1" s="1"/>
  <c r="J677" i="1"/>
  <c r="L677" i="1" s="1"/>
  <c r="J683" i="1"/>
  <c r="L683" i="1" s="1"/>
  <c r="J689" i="1"/>
  <c r="L689" i="1" s="1"/>
  <c r="J713" i="1"/>
  <c r="L713" i="1" s="1"/>
  <c r="J730" i="1"/>
  <c r="L730" i="1" s="1"/>
  <c r="J741" i="1"/>
  <c r="L741" i="1" s="1"/>
  <c r="J747" i="1"/>
  <c r="L747" i="1" s="1"/>
  <c r="J758" i="1"/>
  <c r="L758" i="1" s="1"/>
  <c r="J769" i="1"/>
  <c r="L769" i="1" s="1"/>
  <c r="J109" i="1"/>
  <c r="J234" i="1"/>
  <c r="L234" i="1" s="1"/>
  <c r="J241" i="1"/>
  <c r="L241" i="1" s="1"/>
  <c r="J334" i="1"/>
  <c r="L334" i="1" s="1"/>
  <c r="J391" i="1"/>
  <c r="L391" i="1" s="1"/>
  <c r="J462" i="1"/>
  <c r="L462" i="1" s="1"/>
  <c r="J475" i="1"/>
  <c r="L475" i="1" s="1"/>
  <c r="J589" i="1"/>
  <c r="L589" i="1" s="1"/>
  <c r="J609" i="1"/>
  <c r="L609" i="1" s="1"/>
  <c r="J615" i="1"/>
  <c r="L615" i="1" s="1"/>
  <c r="J702" i="1"/>
  <c r="L702" i="1" s="1"/>
  <c r="J719" i="1"/>
  <c r="L719" i="1" s="1"/>
  <c r="J736" i="1"/>
  <c r="L736" i="1" s="1"/>
  <c r="J764" i="1"/>
  <c r="L764" i="1" s="1"/>
  <c r="J775" i="1"/>
  <c r="L775" i="1" s="1"/>
  <c r="J786" i="1"/>
  <c r="L786" i="1" s="1"/>
  <c r="J814" i="1"/>
  <c r="L814" i="1" s="1"/>
  <c r="J842" i="1"/>
  <c r="L842" i="1" s="1"/>
  <c r="J853" i="1"/>
  <c r="L853" i="1" s="1"/>
  <c r="J864" i="1"/>
  <c r="L864" i="1" s="1"/>
  <c r="J76" i="1"/>
  <c r="J90" i="1"/>
  <c r="J134" i="1"/>
  <c r="J285" i="1"/>
  <c r="L285" i="1" s="1"/>
  <c r="J315" i="1"/>
  <c r="L315" i="1" s="1"/>
  <c r="J414" i="1"/>
  <c r="L414" i="1" s="1"/>
  <c r="J458" i="1"/>
  <c r="L458" i="1" s="1"/>
  <c r="J510" i="1"/>
  <c r="L510" i="1" s="1"/>
  <c r="J532" i="1"/>
  <c r="L532" i="1" s="1"/>
  <c r="J661" i="1"/>
  <c r="L661" i="1" s="1"/>
  <c r="J703" i="1"/>
  <c r="L703" i="1" s="1"/>
  <c r="J742" i="1"/>
  <c r="L742" i="1" s="1"/>
  <c r="J781" i="1"/>
  <c r="L781" i="1" s="1"/>
  <c r="J805" i="1"/>
  <c r="L805" i="1" s="1"/>
  <c r="J811" i="1"/>
  <c r="L811" i="1" s="1"/>
  <c r="J829" i="1"/>
  <c r="L829" i="1" s="1"/>
  <c r="J876" i="1"/>
  <c r="L876" i="1" s="1"/>
  <c r="J126" i="1"/>
  <c r="J278" i="1"/>
  <c r="L278" i="1" s="1"/>
  <c r="J444" i="1"/>
  <c r="L444" i="1" s="1"/>
  <c r="J451" i="1"/>
  <c r="L451" i="1" s="1"/>
  <c r="J526" i="1"/>
  <c r="L526" i="1" s="1"/>
  <c r="J605" i="1"/>
  <c r="L605" i="1" s="1"/>
  <c r="J716" i="1"/>
  <c r="L716" i="1" s="1"/>
  <c r="J749" i="1"/>
  <c r="L749" i="1" s="1"/>
  <c r="J788" i="1"/>
  <c r="L788" i="1" s="1"/>
  <c r="J847" i="1"/>
  <c r="L847" i="1" s="1"/>
  <c r="J859" i="1"/>
  <c r="L859" i="1" s="1"/>
  <c r="J865" i="1"/>
  <c r="L865" i="1" s="1"/>
  <c r="J103" i="1"/>
  <c r="J141" i="1"/>
  <c r="J422" i="1"/>
  <c r="L422" i="1" s="1"/>
  <c r="J496" i="1"/>
  <c r="L496" i="1" s="1"/>
  <c r="J583" i="1"/>
  <c r="L583" i="1" s="1"/>
  <c r="J634" i="1"/>
  <c r="L634" i="1" s="1"/>
  <c r="J655" i="1"/>
  <c r="L655" i="1" s="1"/>
  <c r="J710" i="1"/>
  <c r="L710" i="1" s="1"/>
  <c r="J776" i="1"/>
  <c r="L776" i="1" s="1"/>
  <c r="J794" i="1"/>
  <c r="L794" i="1" s="1"/>
  <c r="J800" i="1"/>
  <c r="L800" i="1" s="1"/>
  <c r="J818" i="1"/>
  <c r="L818" i="1" s="1"/>
  <c r="J824" i="1"/>
  <c r="L824" i="1" s="1"/>
  <c r="J871" i="1"/>
  <c r="L871" i="1" s="1"/>
  <c r="J286" i="1"/>
  <c r="L286" i="1" s="1"/>
  <c r="J309" i="1"/>
  <c r="L309" i="1" s="1"/>
  <c r="J599" i="1"/>
  <c r="L599" i="1" s="1"/>
  <c r="J662" i="1"/>
  <c r="L662" i="1" s="1"/>
  <c r="J698" i="1"/>
  <c r="L698" i="1" s="1"/>
  <c r="J704" i="1"/>
  <c r="L704" i="1" s="1"/>
  <c r="J743" i="1"/>
  <c r="L743" i="1" s="1"/>
  <c r="J782" i="1"/>
  <c r="L782" i="1" s="1"/>
  <c r="J830" i="1"/>
  <c r="L830" i="1" s="1"/>
  <c r="J836" i="1"/>
  <c r="L836" i="1" s="1"/>
  <c r="J877" i="1"/>
  <c r="L877" i="1" s="1"/>
  <c r="J89" i="1"/>
  <c r="L89" i="1" s="1"/>
  <c r="J135" i="1"/>
  <c r="J527" i="1"/>
  <c r="L527" i="1" s="1"/>
  <c r="J577" i="1"/>
  <c r="L577" i="1" s="1"/>
  <c r="J649" i="1"/>
  <c r="L649" i="1" s="1"/>
  <c r="J737" i="1"/>
  <c r="L737" i="1" s="1"/>
  <c r="J750" i="1"/>
  <c r="L750" i="1" s="1"/>
  <c r="J770" i="1"/>
  <c r="L770" i="1" s="1"/>
  <c r="J789" i="1"/>
  <c r="L789" i="1" s="1"/>
  <c r="J848" i="1"/>
  <c r="L848" i="1" s="1"/>
  <c r="J854" i="1"/>
  <c r="L854" i="1" s="1"/>
  <c r="J860" i="1"/>
  <c r="L860" i="1" s="1"/>
  <c r="J866" i="1"/>
  <c r="L866" i="1" s="1"/>
  <c r="J82" i="1"/>
  <c r="J97" i="1"/>
  <c r="J378" i="1"/>
  <c r="L378" i="1" s="1"/>
  <c r="J385" i="1"/>
  <c r="L385" i="1" s="1"/>
  <c r="J497" i="1"/>
  <c r="L497" i="1" s="1"/>
  <c r="J564" i="1"/>
  <c r="L564" i="1" s="1"/>
  <c r="J628" i="1"/>
  <c r="L628" i="1" s="1"/>
  <c r="J684" i="1"/>
  <c r="L684" i="1" s="1"/>
  <c r="J731" i="1"/>
  <c r="L731" i="1" s="1"/>
  <c r="J801" i="1"/>
  <c r="L801" i="1" s="1"/>
  <c r="J807" i="1"/>
  <c r="L807" i="1" s="1"/>
  <c r="J813" i="1"/>
  <c r="L813" i="1" s="1"/>
  <c r="J872" i="1"/>
  <c r="L872" i="1" s="1"/>
  <c r="J491" i="1"/>
  <c r="L491" i="1" s="1"/>
  <c r="J571" i="1"/>
  <c r="L571" i="1" s="1"/>
  <c r="J692" i="1"/>
  <c r="L692" i="1" s="1"/>
  <c r="J699" i="1"/>
  <c r="L699" i="1" s="1"/>
  <c r="J725" i="1"/>
  <c r="L725" i="1" s="1"/>
  <c r="J783" i="1"/>
  <c r="L783" i="1" s="1"/>
  <c r="J831" i="1"/>
  <c r="L831" i="1" s="1"/>
  <c r="J837" i="1"/>
  <c r="L837" i="1" s="1"/>
  <c r="J843" i="1"/>
  <c r="L843" i="1" s="1"/>
  <c r="J266" i="1"/>
  <c r="L266" i="1" s="1"/>
  <c r="J341" i="1"/>
  <c r="L341" i="1" s="1"/>
  <c r="J372" i="1"/>
  <c r="L372" i="1" s="1"/>
  <c r="J379" i="1"/>
  <c r="L379" i="1" s="1"/>
  <c r="J469" i="1"/>
  <c r="L469" i="1" s="1"/>
  <c r="J565" i="1"/>
  <c r="L565" i="1" s="1"/>
  <c r="J678" i="1"/>
  <c r="L678" i="1" s="1"/>
  <c r="J732" i="1"/>
  <c r="L732" i="1" s="1"/>
  <c r="J765" i="1"/>
  <c r="L765" i="1" s="1"/>
  <c r="J802" i="1"/>
  <c r="L802" i="1" s="1"/>
  <c r="J808" i="1"/>
  <c r="L808" i="1" s="1"/>
  <c r="J38" i="1"/>
  <c r="J485" i="1"/>
  <c r="L485" i="1" s="1"/>
  <c r="J492" i="1"/>
  <c r="L492" i="1" s="1"/>
  <c r="J572" i="1"/>
  <c r="L572" i="1" s="1"/>
  <c r="J637" i="1"/>
  <c r="L637" i="1" s="1"/>
  <c r="J700" i="1"/>
  <c r="L700" i="1" s="1"/>
  <c r="J726" i="1"/>
  <c r="L726" i="1" s="1"/>
  <c r="J772" i="1"/>
  <c r="L772" i="1" s="1"/>
  <c r="J797" i="1"/>
  <c r="L797" i="1" s="1"/>
  <c r="J832" i="1"/>
  <c r="L832" i="1" s="1"/>
  <c r="J838" i="1"/>
  <c r="L838" i="1" s="1"/>
  <c r="J844" i="1"/>
  <c r="L844" i="1" s="1"/>
  <c r="J868" i="1"/>
  <c r="L868" i="1" s="1"/>
  <c r="J32" i="1"/>
  <c r="L32" i="1" s="1"/>
  <c r="J70" i="1"/>
  <c r="J335" i="1"/>
  <c r="L335" i="1" s="1"/>
  <c r="J622" i="1"/>
  <c r="L622" i="1" s="1"/>
  <c r="J791" i="1"/>
  <c r="L791" i="1" s="1"/>
  <c r="J798" i="1"/>
  <c r="L798" i="1" s="1"/>
  <c r="J40" i="1"/>
  <c r="J660" i="1"/>
  <c r="L660" i="1" s="1"/>
  <c r="J667" i="1"/>
  <c r="L667" i="1" s="1"/>
  <c r="J826" i="1"/>
  <c r="L826" i="1" s="1"/>
  <c r="J874" i="1"/>
  <c r="L874" i="1" s="1"/>
  <c r="J242" i="1"/>
  <c r="L242" i="1" s="1"/>
  <c r="J638" i="1"/>
  <c r="L638" i="1" s="1"/>
  <c r="J720" i="1"/>
  <c r="L720" i="1" s="1"/>
  <c r="J727" i="1"/>
  <c r="L727" i="1" s="1"/>
  <c r="J778" i="1"/>
  <c r="L778" i="1" s="1"/>
  <c r="J820" i="1"/>
  <c r="L820" i="1" s="1"/>
  <c r="J833" i="1"/>
  <c r="L833" i="1" s="1"/>
  <c r="J840" i="1"/>
  <c r="L840" i="1" s="1"/>
  <c r="J329" i="1"/>
  <c r="L329" i="1" s="1"/>
  <c r="J578" i="1"/>
  <c r="L578" i="1" s="1"/>
  <c r="J623" i="1"/>
  <c r="L623" i="1" s="1"/>
  <c r="J792" i="1"/>
  <c r="L792" i="1" s="1"/>
  <c r="J799" i="1"/>
  <c r="L799" i="1" s="1"/>
  <c r="J861" i="1"/>
  <c r="L861" i="1" s="1"/>
  <c r="J26" i="1"/>
  <c r="L26" i="1" s="1"/>
  <c r="J322" i="1"/>
  <c r="L322" i="1" s="1"/>
  <c r="J654" i="1"/>
  <c r="L654" i="1" s="1"/>
  <c r="J714" i="1"/>
  <c r="L714" i="1" s="1"/>
  <c r="J827" i="1"/>
  <c r="L827" i="1" s="1"/>
  <c r="J875" i="1"/>
  <c r="L875" i="1" s="1"/>
  <c r="J183" i="1"/>
  <c r="L183" i="1" s="1"/>
  <c r="J190" i="1"/>
  <c r="L190" i="1" s="1"/>
  <c r="J221" i="1"/>
  <c r="L221" i="1" s="1"/>
  <c r="J236" i="1"/>
  <c r="L236" i="1" s="1"/>
  <c r="J299" i="1"/>
  <c r="L299" i="1" s="1"/>
  <c r="J610" i="1"/>
  <c r="L610" i="1" s="1"/>
  <c r="J617" i="1"/>
  <c r="L617" i="1" s="1"/>
  <c r="J721" i="1"/>
  <c r="L721" i="1" s="1"/>
  <c r="J779" i="1"/>
  <c r="L779" i="1" s="1"/>
  <c r="J821" i="1"/>
  <c r="L821" i="1" s="1"/>
  <c r="J855" i="1"/>
  <c r="L855" i="1" s="1"/>
  <c r="J869" i="1"/>
  <c r="L869" i="1" s="1"/>
  <c r="J198" i="1"/>
  <c r="L198" i="1" s="1"/>
  <c r="J463" i="1"/>
  <c r="L463" i="1" s="1"/>
  <c r="J708" i="1"/>
  <c r="L708" i="1" s="1"/>
  <c r="J751" i="1"/>
  <c r="L751" i="1" s="1"/>
  <c r="J815" i="1"/>
  <c r="L815" i="1" s="1"/>
  <c r="J849" i="1"/>
  <c r="L849" i="1" s="1"/>
  <c r="J715" i="1"/>
  <c r="L715" i="1" s="1"/>
  <c r="J828" i="1"/>
  <c r="L828" i="1" s="1"/>
  <c r="J52" i="1"/>
  <c r="J185" i="1"/>
  <c r="L185" i="1" s="1"/>
  <c r="J434" i="1"/>
  <c r="L434" i="1" s="1"/>
  <c r="J566" i="1"/>
  <c r="L566" i="1" s="1"/>
  <c r="J738" i="1"/>
  <c r="L738" i="1" s="1"/>
  <c r="J420" i="1"/>
  <c r="L420" i="1" s="1"/>
  <c r="J672" i="1"/>
  <c r="L672" i="1" s="1"/>
  <c r="J760" i="1"/>
  <c r="L760" i="1" s="1"/>
  <c r="J858" i="1"/>
  <c r="L858" i="1" s="1"/>
  <c r="J428" i="1"/>
  <c r="L428" i="1" s="1"/>
  <c r="J643" i="1"/>
  <c r="L643" i="1" s="1"/>
  <c r="J790" i="1"/>
  <c r="L790" i="1" s="1"/>
  <c r="J611" i="1"/>
  <c r="L611" i="1" s="1"/>
  <c r="J759" i="1"/>
  <c r="L759" i="1" s="1"/>
  <c r="J822" i="1"/>
  <c r="L822" i="1" s="1"/>
  <c r="J852" i="1"/>
  <c r="L852" i="1" s="1"/>
  <c r="J604" i="1"/>
  <c r="L604" i="1" s="1"/>
  <c r="J146" i="1"/>
  <c r="L146" i="1" s="1"/>
  <c r="J177" i="1"/>
  <c r="L177" i="1" s="1"/>
  <c r="J753" i="1"/>
  <c r="L753" i="1" s="1"/>
  <c r="J154" i="1"/>
  <c r="L154" i="1" s="1"/>
  <c r="J558" i="1"/>
  <c r="L558" i="1" s="1"/>
  <c r="J140" i="1"/>
  <c r="L140" i="1" s="1"/>
  <c r="J754" i="1"/>
  <c r="L754" i="1" s="1"/>
  <c r="J559" i="1"/>
  <c r="L559" i="1" s="1"/>
  <c r="J846" i="1"/>
  <c r="L846" i="1" s="1"/>
  <c r="J450" i="1"/>
  <c r="L450" i="1" s="1"/>
  <c r="J709" i="1"/>
  <c r="L709" i="1" s="1"/>
  <c r="J748" i="1"/>
  <c r="L748" i="1" s="1"/>
  <c r="J816" i="1"/>
  <c r="L816" i="1" s="1"/>
  <c r="J839" i="1"/>
  <c r="L839" i="1" s="1"/>
  <c r="J780" i="1"/>
  <c r="L780" i="1" s="1"/>
  <c r="J733" i="1"/>
  <c r="L733" i="1" s="1"/>
  <c r="J2" i="1"/>
  <c r="L2" i="1" s="1"/>
  <c r="J863" i="1"/>
  <c r="L863" i="1" s="1"/>
  <c r="J538" i="1"/>
  <c r="L538" i="1" s="1"/>
  <c r="J531" i="1"/>
  <c r="L531" i="1" s="1"/>
  <c r="J554" i="1"/>
  <c r="L554" i="1" s="1"/>
  <c r="J810" i="1"/>
  <c r="L810" i="1" s="1"/>
  <c r="J870" i="1"/>
  <c r="L870" i="1" s="1"/>
  <c r="J366" i="1"/>
  <c r="L366" i="1" s="1"/>
  <c r="J673" i="1"/>
  <c r="L673" i="1" s="1"/>
  <c r="J766" i="1"/>
  <c r="L766" i="1" s="1"/>
  <c r="J230" i="1"/>
  <c r="L230" i="1" s="1"/>
  <c r="J804" i="1"/>
  <c r="L804" i="1" s="1"/>
  <c r="J850" i="1"/>
  <c r="L850" i="1" s="1"/>
  <c r="L167" i="1"/>
  <c r="L163" i="1"/>
  <c r="L161" i="1"/>
  <c r="L159" i="1"/>
  <c r="L157" i="1"/>
  <c r="L155" i="1"/>
  <c r="L153" i="1"/>
  <c r="L151" i="1"/>
  <c r="L147" i="1"/>
  <c r="L145" i="1"/>
  <c r="L143" i="1"/>
  <c r="L141" i="1"/>
  <c r="L139" i="1"/>
  <c r="L137" i="1"/>
  <c r="L135" i="1"/>
  <c r="L133" i="1"/>
  <c r="L129" i="1"/>
  <c r="L127" i="1"/>
  <c r="L125" i="1"/>
  <c r="L123" i="1"/>
  <c r="L121" i="1"/>
  <c r="L119" i="1"/>
  <c r="L117" i="1"/>
  <c r="L115" i="1"/>
  <c r="L113" i="1"/>
  <c r="L111" i="1"/>
  <c r="L109" i="1"/>
  <c r="L107" i="1"/>
  <c r="L105" i="1"/>
  <c r="L103" i="1"/>
  <c r="L99" i="1"/>
  <c r="L97" i="1"/>
  <c r="L93" i="1"/>
  <c r="L91" i="1"/>
  <c r="L87" i="1"/>
  <c r="L85" i="1"/>
  <c r="L83" i="1"/>
  <c r="L79" i="1"/>
  <c r="L75" i="1"/>
  <c r="L73" i="1"/>
  <c r="L71" i="1"/>
  <c r="L69" i="1"/>
  <c r="L67" i="1"/>
  <c r="L65" i="1"/>
  <c r="L63" i="1"/>
  <c r="L61" i="1"/>
  <c r="L59" i="1"/>
  <c r="L57" i="1"/>
  <c r="L55" i="1"/>
  <c r="L53" i="1"/>
  <c r="L51" i="1"/>
  <c r="L49" i="1"/>
  <c r="L47" i="1"/>
  <c r="L45" i="1"/>
  <c r="L43" i="1"/>
  <c r="L41" i="1"/>
  <c r="L39" i="1"/>
  <c r="L37" i="1"/>
  <c r="L35" i="1"/>
  <c r="L31" i="1"/>
  <c r="L29" i="1"/>
  <c r="L27" i="1"/>
  <c r="L25" i="1"/>
  <c r="L23" i="1"/>
  <c r="L21" i="1"/>
  <c r="L17" i="1"/>
  <c r="L15" i="1"/>
  <c r="L13" i="1"/>
  <c r="L9" i="1"/>
  <c r="L7" i="1"/>
  <c r="L5" i="1"/>
  <c r="L3" i="1"/>
  <c r="L152" i="1"/>
  <c r="L150" i="1"/>
  <c r="L148" i="1"/>
  <c r="L144" i="1"/>
  <c r="L138" i="1"/>
  <c r="L134" i="1"/>
  <c r="L132" i="1"/>
  <c r="L128" i="1"/>
  <c r="L126" i="1"/>
  <c r="L124" i="1"/>
  <c r="L122" i="1"/>
  <c r="L120" i="1"/>
  <c r="L118" i="1"/>
  <c r="L116" i="1"/>
  <c r="L114" i="1"/>
  <c r="L112" i="1"/>
  <c r="L110" i="1"/>
  <c r="L108" i="1"/>
  <c r="L106" i="1"/>
  <c r="L104" i="1"/>
  <c r="L102" i="1"/>
  <c r="L100" i="1"/>
  <c r="L98" i="1"/>
  <c r="L96" i="1"/>
  <c r="L90" i="1"/>
  <c r="L88" i="1"/>
  <c r="L86" i="1"/>
  <c r="L84" i="1"/>
  <c r="L82" i="1"/>
  <c r="L80" i="1"/>
  <c r="L78" i="1"/>
  <c r="L76" i="1"/>
  <c r="L74" i="1"/>
  <c r="L72" i="1"/>
  <c r="L70" i="1"/>
  <c r="L66" i="1"/>
  <c r="L64" i="1"/>
  <c r="L62" i="1"/>
  <c r="L60" i="1"/>
  <c r="L58" i="1"/>
  <c r="L56" i="1"/>
  <c r="L52" i="1"/>
  <c r="L50" i="1"/>
  <c r="L48" i="1"/>
  <c r="L46" i="1"/>
  <c r="L44" i="1"/>
  <c r="L42" i="1"/>
  <c r="L40" i="1"/>
  <c r="L38" i="1"/>
  <c r="L36" i="1"/>
  <c r="L34" i="1"/>
  <c r="L30" i="1"/>
  <c r="L24" i="1"/>
  <c r="L22" i="1"/>
  <c r="L18" i="1"/>
  <c r="L14" i="1"/>
  <c r="L12" i="1"/>
  <c r="L10" i="1"/>
  <c r="L8" i="1"/>
  <c r="L6" i="1"/>
  <c r="N12" i="1" l="1"/>
  <c r="O78" i="1" s="1"/>
  <c r="N15" i="1"/>
  <c r="O758" i="1" l="1"/>
  <c r="O560" i="1"/>
  <c r="O3" i="1"/>
  <c r="O495" i="1"/>
  <c r="O874" i="1"/>
  <c r="O215" i="1"/>
  <c r="O30" i="1"/>
  <c r="O92" i="1"/>
  <c r="O699" i="1"/>
  <c r="O184" i="1"/>
  <c r="O426" i="1"/>
  <c r="O306" i="1"/>
  <c r="O16" i="1"/>
  <c r="O649" i="1"/>
  <c r="O450" i="1"/>
  <c r="O733" i="1"/>
  <c r="O791" i="1"/>
  <c r="O173" i="1"/>
  <c r="O299" i="1"/>
  <c r="O547" i="1"/>
  <c r="O153" i="1"/>
  <c r="O227" i="1"/>
  <c r="O7" i="1"/>
  <c r="O145" i="1"/>
  <c r="O195" i="1"/>
  <c r="O98" i="1"/>
  <c r="O549" i="1"/>
  <c r="O684" i="1"/>
  <c r="O52" i="1"/>
  <c r="O290" i="1"/>
  <c r="O871" i="1"/>
  <c r="O653" i="1"/>
  <c r="O36" i="1"/>
  <c r="O72" i="1"/>
  <c r="O264" i="1"/>
  <c r="O819" i="1"/>
  <c r="O122" i="1"/>
  <c r="O570" i="1"/>
  <c r="O795" i="1"/>
  <c r="O320" i="1"/>
  <c r="O254" i="1"/>
  <c r="O656" i="1"/>
  <c r="O742" i="1"/>
  <c r="O2" i="1"/>
  <c r="O774" i="1"/>
  <c r="O596" i="1"/>
  <c r="O147" i="1"/>
  <c r="O648" i="1"/>
  <c r="O661" i="1"/>
  <c r="O573" i="1"/>
  <c r="O588" i="1"/>
  <c r="O486" i="1"/>
  <c r="O302" i="1"/>
  <c r="O621" i="1"/>
  <c r="O459" i="1"/>
  <c r="O142" i="1"/>
  <c r="O366" i="1"/>
  <c r="O60" i="1"/>
  <c r="O100" i="1"/>
  <c r="O58" i="1"/>
  <c r="O309" i="1"/>
  <c r="O300" i="1"/>
  <c r="O12" i="1"/>
  <c r="O239" i="1"/>
  <c r="O697" i="1"/>
  <c r="O451" i="1"/>
  <c r="O121" i="1"/>
  <c r="O82" i="1"/>
  <c r="O651" i="1"/>
  <c r="O441" i="1"/>
  <c r="O339" i="1"/>
  <c r="O261" i="1"/>
  <c r="O48" i="1"/>
  <c r="O376" i="1"/>
  <c r="O420" i="1"/>
  <c r="O197" i="1"/>
  <c r="O266" i="1"/>
  <c r="O808" i="1"/>
  <c r="O141" i="1"/>
  <c r="O494" i="1"/>
  <c r="O110" i="1"/>
  <c r="O286" i="1"/>
  <c r="O745" i="1"/>
  <c r="O800" i="1"/>
  <c r="O857" i="1"/>
  <c r="O64" i="1"/>
  <c r="O446" i="1"/>
  <c r="O854" i="1"/>
  <c r="O770" i="1"/>
  <c r="O241" i="1"/>
  <c r="O600" i="1"/>
  <c r="O483" i="1"/>
  <c r="O434" i="1"/>
  <c r="O29" i="1"/>
  <c r="O245" i="1"/>
  <c r="O730" i="1"/>
  <c r="O178" i="1"/>
  <c r="O403" i="1"/>
  <c r="O312" i="1"/>
  <c r="O493" i="1"/>
  <c r="O785" i="1"/>
  <c r="O526" i="1"/>
  <c r="O594" i="1"/>
  <c r="O816" i="1"/>
  <c r="O763" i="1"/>
  <c r="O759" i="1"/>
  <c r="O433" i="1"/>
  <c r="O109" i="1"/>
  <c r="O125" i="1"/>
  <c r="O289" i="1"/>
  <c r="O93" i="1"/>
  <c r="O120" i="1"/>
  <c r="O357" i="1"/>
  <c r="O183" i="1"/>
  <c r="O228" i="1"/>
  <c r="O746" i="1"/>
  <c r="O157" i="1"/>
  <c r="O624" i="1"/>
  <c r="O158" i="1"/>
  <c r="O700" i="1"/>
  <c r="O691" i="1"/>
  <c r="O694" i="1"/>
  <c r="O210" i="1"/>
  <c r="O534" i="1"/>
  <c r="O83" i="1"/>
  <c r="O639" i="1"/>
  <c r="O503" i="1"/>
  <c r="O858" i="1"/>
  <c r="O754" i="1"/>
  <c r="O229" i="1"/>
  <c r="O39" i="1"/>
  <c r="O848" i="1"/>
  <c r="O281" i="1"/>
  <c r="O665" i="1"/>
  <c r="O544" i="1"/>
  <c r="O496" i="1"/>
  <c r="O856" i="1"/>
  <c r="O523" i="1"/>
  <c r="O519" i="1"/>
  <c r="O851" i="1"/>
  <c r="O583" i="1"/>
  <c r="O706" i="1"/>
  <c r="O637" i="1"/>
  <c r="O689" i="1"/>
  <c r="O117" i="1"/>
  <c r="O348" i="1"/>
  <c r="O597" i="1"/>
  <c r="O71" i="1"/>
  <c r="O619" i="1"/>
  <c r="O304" i="1"/>
  <c r="O512" i="1"/>
  <c r="O14" i="1"/>
  <c r="O244" i="1"/>
  <c r="O562" i="1"/>
  <c r="O382" i="1"/>
  <c r="O97" i="1"/>
  <c r="O232" i="1"/>
  <c r="O13" i="1"/>
  <c r="O322" i="1"/>
  <c r="O317" i="1"/>
  <c r="O585" i="1"/>
  <c r="O399" i="1"/>
  <c r="O458" i="1"/>
  <c r="O164" i="1"/>
  <c r="O806" i="1"/>
  <c r="O47" i="1"/>
  <c r="O809" i="1"/>
  <c r="O838" i="1"/>
  <c r="O790" i="1"/>
  <c r="O22" i="1"/>
  <c r="O124" i="1"/>
  <c r="O502" i="1"/>
  <c r="O479" i="1"/>
  <c r="O214" i="1"/>
  <c r="O414" i="1"/>
  <c r="O411" i="1"/>
  <c r="O416" i="1"/>
  <c r="O659" i="1"/>
  <c r="O402" i="1"/>
  <c r="O822" i="1"/>
  <c r="O19" i="1"/>
  <c r="O70" i="1"/>
  <c r="O282" i="1"/>
  <c r="O539" i="1"/>
  <c r="O50" i="1"/>
  <c r="O131" i="1"/>
  <c r="O628" i="1"/>
  <c r="O643" i="1"/>
  <c r="O481" i="1"/>
  <c r="O832" i="1"/>
  <c r="O646" i="1"/>
  <c r="O827" i="1"/>
  <c r="O786" i="1"/>
  <c r="O392" i="1"/>
  <c r="O849" i="1"/>
  <c r="O501" i="1"/>
  <c r="O395" i="1"/>
  <c r="O192" i="1"/>
  <c r="O324" i="1"/>
  <c r="O590" i="1"/>
  <c r="O726" i="1"/>
  <c r="O242" i="1"/>
  <c r="O812" i="1"/>
  <c r="O37" i="1"/>
  <c r="O449" i="1"/>
  <c r="O591" i="1"/>
  <c r="O102" i="1"/>
  <c r="O377" i="1"/>
  <c r="O609" i="1"/>
  <c r="O225" i="1"/>
  <c r="O101" i="1"/>
  <c r="O325" i="1"/>
  <c r="O468" i="1"/>
  <c r="O154" i="1"/>
  <c r="O59" i="1"/>
  <c r="O467" i="1"/>
  <c r="O704" i="1"/>
  <c r="O185" i="1"/>
  <c r="O633" i="1"/>
  <c r="O507" i="1"/>
  <c r="O364" i="1"/>
  <c r="O802" i="1"/>
  <c r="O350" i="1"/>
  <c r="O443" i="1"/>
  <c r="O238" i="1"/>
  <c r="O149" i="1"/>
  <c r="O629" i="1"/>
  <c r="O680" i="1"/>
  <c r="O316" i="1"/>
  <c r="O740" i="1"/>
  <c r="O811" i="1"/>
  <c r="O38" i="1"/>
  <c r="O103" i="1"/>
  <c r="O505" i="1"/>
  <c r="O369" i="1"/>
  <c r="O778" i="1"/>
  <c r="O305" i="1"/>
  <c r="O396" i="1"/>
  <c r="O657" i="1"/>
  <c r="O360" i="1"/>
  <c r="O463" i="1"/>
  <c r="O569" i="1"/>
  <c r="O42" i="1"/>
  <c r="O386" i="1"/>
  <c r="O678" i="1"/>
  <c r="O9" i="1"/>
  <c r="O773" i="1"/>
  <c r="O713" i="1"/>
  <c r="O548" i="1"/>
  <c r="O792" i="1"/>
  <c r="O777" i="1"/>
  <c r="O491" i="1"/>
  <c r="O670" i="1"/>
  <c r="O255" i="1"/>
  <c r="O864" i="1"/>
  <c r="O644" i="1"/>
  <c r="O398" i="1"/>
  <c r="O738" i="1"/>
  <c r="O877" i="1"/>
  <c r="O326" i="1"/>
  <c r="O111" i="1"/>
  <c r="O267" i="1"/>
  <c r="O766" i="1"/>
  <c r="O24" i="1"/>
  <c r="O308" i="1"/>
  <c r="O546" i="1"/>
  <c r="O679" i="1"/>
  <c r="O25" i="1"/>
  <c r="O303" i="1"/>
  <c r="O186" i="1"/>
  <c r="O760" i="1"/>
  <c r="O17" i="1"/>
  <c r="O166" i="1"/>
  <c r="O589" i="1"/>
  <c r="O62" i="1"/>
  <c r="O475" i="1"/>
  <c r="O352" i="1"/>
  <c r="O514" i="1"/>
  <c r="O193" i="1"/>
  <c r="O283" i="1"/>
  <c r="O703" i="1"/>
  <c r="O498" i="1"/>
  <c r="O40" i="1"/>
  <c r="O273" i="1"/>
  <c r="O828" i="1"/>
  <c r="O275" i="1"/>
  <c r="O293" i="1"/>
  <c r="O655" i="1"/>
  <c r="O844" i="1"/>
  <c r="O66" i="1"/>
  <c r="O181" i="1"/>
  <c r="O84" i="1"/>
  <c r="O340" i="1"/>
  <c r="O747" i="1"/>
  <c r="O26" i="1"/>
  <c r="O90" i="1"/>
  <c r="O401" i="1"/>
  <c r="O428" i="1"/>
  <c r="O378" i="1"/>
  <c r="O151" i="1"/>
  <c r="O240" i="1"/>
  <c r="O718" i="1"/>
  <c r="O667" i="1"/>
  <c r="O10" i="1"/>
  <c r="O343" i="1"/>
  <c r="O709" i="1"/>
  <c r="O865" i="1"/>
  <c r="O584" i="1"/>
  <c r="O277" i="1"/>
  <c r="O222" i="1"/>
  <c r="O875" i="1"/>
  <c r="O341" i="1"/>
  <c r="O695" i="1"/>
  <c r="O408" i="1"/>
  <c r="O781" i="1"/>
  <c r="O729" i="1"/>
  <c r="O35" i="1"/>
  <c r="O270" i="1"/>
  <c r="O635" i="1"/>
  <c r="O107" i="1"/>
  <c r="O410" i="1"/>
  <c r="O375" i="1"/>
  <c r="O587" i="1"/>
  <c r="O4" i="1"/>
  <c r="O515" i="1"/>
  <c r="O296" i="1"/>
  <c r="O797" i="1"/>
  <c r="O552" i="1"/>
  <c r="O86" i="1"/>
  <c r="O406" i="1"/>
  <c r="O618" i="1"/>
  <c r="O732" i="1"/>
  <c r="O717" i="1"/>
  <c r="O872" i="1"/>
  <c r="O477" i="1"/>
  <c r="O641" i="1"/>
  <c r="O497" i="1"/>
  <c r="O318" i="1"/>
  <c r="O355" i="1"/>
  <c r="O605" i="1"/>
  <c r="O105" i="1"/>
  <c r="O471" i="1"/>
  <c r="O850" i="1"/>
  <c r="O148" i="1"/>
  <c r="O23" i="1"/>
  <c r="O284" i="1"/>
  <c r="O794" i="1"/>
  <c r="O711" i="1"/>
  <c r="O108" i="1"/>
  <c r="O65" i="1"/>
  <c r="O44" i="1"/>
  <c r="O480" i="1"/>
  <c r="O863" i="1"/>
  <c r="O482" i="1"/>
  <c r="O652" i="1"/>
  <c r="O527" i="1"/>
  <c r="O94" i="1"/>
  <c r="O616" i="1"/>
  <c r="O409" i="1"/>
  <c r="O833" i="1"/>
  <c r="O452" i="1"/>
  <c r="O444" i="1"/>
  <c r="O520" i="1"/>
  <c r="O676" i="1"/>
  <c r="O424" i="1"/>
  <c r="O323" i="1"/>
  <c r="O660" i="1"/>
  <c r="O484" i="1"/>
  <c r="O298" i="1"/>
  <c r="O422" i="1"/>
  <c r="O736" i="1"/>
  <c r="O830" i="1"/>
  <c r="O246" i="1"/>
  <c r="O243" i="1"/>
  <c r="O405" i="1"/>
  <c r="O31" i="1"/>
  <c r="O219" i="1"/>
  <c r="O690" i="1"/>
  <c r="O337" i="1"/>
  <c r="O574" i="1"/>
  <c r="O139" i="1"/>
  <c r="O271" i="1"/>
  <c r="O208" i="1"/>
  <c r="O175" i="1"/>
  <c r="O260" i="1"/>
  <c r="O536" i="1"/>
  <c r="O431" i="1"/>
  <c r="O391" i="1"/>
  <c r="O601" i="1"/>
  <c r="O216" i="1"/>
  <c r="O642" i="1"/>
  <c r="O338" i="1"/>
  <c r="O861" i="1"/>
  <c r="O751" i="1"/>
  <c r="O74" i="1"/>
  <c r="O287" i="1"/>
  <c r="O442" i="1"/>
  <c r="O115" i="1"/>
  <c r="O412" i="1"/>
  <c r="O137" i="1"/>
  <c r="O687" i="1"/>
  <c r="O259" i="1"/>
  <c r="O541" i="1"/>
  <c r="O743" i="1"/>
  <c r="O51" i="1"/>
  <c r="O696" i="1"/>
  <c r="O607" i="1"/>
  <c r="O407" i="1"/>
  <c r="O716" i="1"/>
  <c r="O685" i="1"/>
  <c r="O221" i="1"/>
  <c r="O176" i="1"/>
  <c r="O615" i="1"/>
  <c r="O622" i="1"/>
  <c r="O372" i="1"/>
  <c r="O762" i="1"/>
  <c r="O397" i="1"/>
  <c r="O765" i="1"/>
  <c r="O866" i="1"/>
  <c r="O230" i="1"/>
  <c r="O668" i="1"/>
  <c r="O625" i="1"/>
  <c r="O144" i="1"/>
  <c r="O236" i="1"/>
  <c r="O810" i="1"/>
  <c r="O712" i="1"/>
  <c r="O330" i="1"/>
  <c r="O671" i="1"/>
  <c r="O212" i="1"/>
  <c r="O579" i="1"/>
  <c r="O146" i="1"/>
  <c r="O314" i="1"/>
  <c r="O138" i="1"/>
  <c r="O206" i="1"/>
  <c r="O603" i="1"/>
  <c r="O250" i="1"/>
  <c r="O165" i="1"/>
  <c r="O63" i="1"/>
  <c r="O499" i="1"/>
  <c r="O188" i="1"/>
  <c r="O349" i="1"/>
  <c r="O563" i="1"/>
  <c r="O334" i="1"/>
  <c r="O846" i="1"/>
  <c r="O638" i="1"/>
  <c r="O673" i="1"/>
  <c r="O682" i="1"/>
  <c r="O592" i="1"/>
  <c r="O631" i="1"/>
  <c r="O530" i="1"/>
  <c r="O683" i="1"/>
  <c r="O136" i="1"/>
  <c r="O566" i="1"/>
  <c r="O749" i="1"/>
  <c r="O346" i="1"/>
  <c r="O104" i="1"/>
  <c r="O418" i="1"/>
  <c r="O647" i="1"/>
  <c r="O367" i="1"/>
  <c r="O253" i="1"/>
  <c r="O368" i="1"/>
  <c r="O128" i="1"/>
  <c r="O119" i="1"/>
  <c r="O787" i="1"/>
  <c r="O688" i="1"/>
  <c r="O606" i="1"/>
  <c r="O614" i="1"/>
  <c r="O630" i="1"/>
  <c r="O248" i="1"/>
  <c r="O404" i="1"/>
  <c r="O814" i="1"/>
  <c r="O27" i="1"/>
  <c r="O385" i="1"/>
  <c r="O180" i="1"/>
  <c r="O32" i="1"/>
  <c r="O575" i="1"/>
  <c r="O817" i="1"/>
  <c r="O432" i="1"/>
  <c r="O167" i="1"/>
  <c r="O439" i="1"/>
  <c r="O867" i="1"/>
  <c r="O517" i="1"/>
  <c r="O755" i="1"/>
  <c r="O554" i="1"/>
  <c r="O789" i="1"/>
  <c r="O525" i="1"/>
  <c r="O209" i="1"/>
  <c r="O722" i="1"/>
  <c r="O731" i="1"/>
  <c r="O799" i="1"/>
  <c r="O626" i="1"/>
  <c r="O295" i="1"/>
  <c r="O112" i="1"/>
  <c r="O826" i="1"/>
  <c r="O714" i="1"/>
  <c r="O829" i="1"/>
  <c r="O859" i="1"/>
  <c r="O724" i="1"/>
  <c r="O315" i="1"/>
  <c r="O129" i="1"/>
  <c r="O106" i="1"/>
  <c r="O421" i="1"/>
  <c r="O67" i="1"/>
  <c r="O211" i="1"/>
  <c r="O354" i="1"/>
  <c r="O336" i="1"/>
  <c r="O363" i="1"/>
  <c r="O160" i="1"/>
  <c r="O170" i="1"/>
  <c r="O602" i="1"/>
  <c r="O764" i="1"/>
  <c r="O258" i="1"/>
  <c r="O371" i="1"/>
  <c r="O218" i="1"/>
  <c r="O780" i="1"/>
  <c r="O453" i="1"/>
  <c r="O492" i="1"/>
  <c r="O725" i="1"/>
  <c r="O513" i="1"/>
  <c r="O803" i="1"/>
  <c r="O617" i="1"/>
  <c r="O297" i="1"/>
  <c r="O776" i="1"/>
  <c r="O457" i="1"/>
  <c r="O720" i="1"/>
  <c r="O276" i="1"/>
  <c r="O869" i="1"/>
  <c r="O705" i="1"/>
  <c r="O793" i="1"/>
  <c r="O807" i="1"/>
  <c r="O558" i="1"/>
  <c r="O845" i="1"/>
  <c r="O415" i="1"/>
  <c r="O672" i="1"/>
  <c r="O604" i="1"/>
  <c r="O460" i="1"/>
  <c r="O748" i="1"/>
  <c r="O578" i="1"/>
  <c r="O876" i="1"/>
  <c r="O469" i="1"/>
  <c r="O580" i="1"/>
  <c r="O80" i="1"/>
  <c r="O280" i="1"/>
  <c r="O328" i="1"/>
  <c r="O310" i="1"/>
  <c r="O775" i="1"/>
  <c r="O474" i="1"/>
  <c r="O365" i="1"/>
  <c r="O118" i="1"/>
  <c r="O68" i="1"/>
  <c r="O235" i="1"/>
  <c r="O436" i="1"/>
  <c r="O140" i="1"/>
  <c r="O279" i="1"/>
  <c r="O171" i="1"/>
  <c r="O5" i="1"/>
  <c r="O237" i="1"/>
  <c r="O132" i="1"/>
  <c r="O511" i="1"/>
  <c r="O116" i="1"/>
  <c r="O824" i="1"/>
  <c r="O152" i="1"/>
  <c r="O509" i="1"/>
  <c r="O666" i="1"/>
  <c r="O820" i="1"/>
  <c r="O611" i="1"/>
  <c r="O796" i="1"/>
  <c r="O599" i="1"/>
  <c r="O379" i="1"/>
  <c r="O220" i="1"/>
  <c r="O327" i="1"/>
  <c r="O268" i="1"/>
  <c r="O836" i="1"/>
  <c r="O564" i="1"/>
  <c r="O623" i="1"/>
  <c r="O54" i="1"/>
  <c r="O551" i="1"/>
  <c r="O835" i="1"/>
  <c r="O572" i="1"/>
  <c r="O557" i="1"/>
  <c r="O664" i="1"/>
  <c r="O96" i="1"/>
  <c r="O821" i="1"/>
  <c r="O487" i="1"/>
  <c r="O252" i="1"/>
  <c r="O383" i="1"/>
  <c r="O632" i="1"/>
  <c r="O516" i="1"/>
  <c r="O288" i="1"/>
  <c r="O839" i="1"/>
  <c r="O425" i="1"/>
  <c r="O88" i="1"/>
  <c r="O540" i="1"/>
  <c r="O752" i="1"/>
  <c r="O620" i="1"/>
  <c r="O533" i="1"/>
  <c r="O130" i="1"/>
  <c r="O506" i="1"/>
  <c r="O612" i="1"/>
  <c r="O223" i="1"/>
  <c r="O127" i="1"/>
  <c r="O321" i="1"/>
  <c r="O6" i="1"/>
  <c r="O114" i="1"/>
  <c r="O710" i="1"/>
  <c r="O194" i="1"/>
  <c r="O674" i="1"/>
  <c r="O702" i="1"/>
  <c r="O767" i="1"/>
  <c r="O233" i="1"/>
  <c r="O274" i="1"/>
  <c r="O813" i="1"/>
  <c r="O429" i="1"/>
  <c r="O531" i="1"/>
  <c r="O518" i="1"/>
  <c r="O559" i="1"/>
  <c r="O156" i="1"/>
  <c r="O430" i="1"/>
  <c r="O301" i="1"/>
  <c r="O739" i="1"/>
  <c r="O400" i="1"/>
  <c r="O419" i="1"/>
  <c r="O686" i="1"/>
  <c r="O126" i="1"/>
  <c r="O43" i="1"/>
  <c r="O417" i="1"/>
  <c r="O53" i="1"/>
  <c r="O478" i="1"/>
  <c r="O161" i="1"/>
  <c r="O150" i="1"/>
  <c r="O529" i="1"/>
  <c r="O818" i="1"/>
  <c r="O545" i="1"/>
  <c r="O353" i="1"/>
  <c r="O768" i="1"/>
  <c r="O440" i="1"/>
  <c r="O257" i="1"/>
  <c r="O358" i="1"/>
  <c r="O801" i="1"/>
  <c r="O203" i="1"/>
  <c r="O581" i="1"/>
  <c r="O472" i="1"/>
  <c r="O555" i="1"/>
  <c r="O359" i="1"/>
  <c r="O196" i="1"/>
  <c r="O504" i="1"/>
  <c r="O199" i="1"/>
  <c r="O251" i="1"/>
  <c r="O384" i="1"/>
  <c r="O636" i="1"/>
  <c r="O508" i="1"/>
  <c r="O361" i="1"/>
  <c r="O692" i="1"/>
  <c r="O389" i="1"/>
  <c r="O319" i="1"/>
  <c r="O461" i="1"/>
  <c r="O437" i="1"/>
  <c r="O342" i="1"/>
  <c r="O782" i="1"/>
  <c r="O707" i="1"/>
  <c r="O292" i="1"/>
  <c r="O715" i="1"/>
  <c r="O335" i="1"/>
  <c r="O69" i="1"/>
  <c r="O187" i="1"/>
  <c r="O174" i="1"/>
  <c r="O842" i="1"/>
  <c r="O172" i="1"/>
  <c r="O76" i="1"/>
  <c r="O381" i="1"/>
  <c r="O99" i="1"/>
  <c r="O262" i="1"/>
  <c r="O91" i="1"/>
  <c r="O46" i="1"/>
  <c r="O470" i="1"/>
  <c r="O553" i="1"/>
  <c r="O788" i="1"/>
  <c r="O81" i="1"/>
  <c r="O87" i="1"/>
  <c r="O159" i="1"/>
  <c r="O182" i="1"/>
  <c r="O841" i="1"/>
  <c r="O805" i="1"/>
  <c r="O719" i="1"/>
  <c r="O423" i="1"/>
  <c r="O761" i="1"/>
  <c r="O489" i="1"/>
  <c r="O727" i="1"/>
  <c r="O445" i="1"/>
  <c r="O550" i="1"/>
  <c r="O565" i="1"/>
  <c r="O595" i="1"/>
  <c r="O413" i="1"/>
  <c r="O582" i="1"/>
  <c r="O675" i="1"/>
  <c r="O390" i="1"/>
  <c r="O843" i="1"/>
  <c r="O263" i="1"/>
  <c r="O542" i="1"/>
  <c r="O784" i="1"/>
  <c r="O456" i="1"/>
  <c r="O837" i="1"/>
  <c r="O190" i="1"/>
  <c r="O179" i="1"/>
  <c r="O753" i="1"/>
  <c r="O134" i="1"/>
  <c r="O663" i="1"/>
  <c r="O61" i="1"/>
  <c r="O723" i="1"/>
  <c r="O855" i="1"/>
  <c r="O593" i="1"/>
  <c r="O8" i="1"/>
  <c r="O362" i="1"/>
  <c r="O163" i="1"/>
  <c r="O256" i="1"/>
  <c r="O41" i="1"/>
  <c r="O77" i="1"/>
  <c r="O681" i="1"/>
  <c r="O698" i="1"/>
  <c r="O393" i="1"/>
  <c r="O447" i="1"/>
  <c r="O524" i="1"/>
  <c r="O825" i="1"/>
  <c r="O577" i="1"/>
  <c r="O634" i="1"/>
  <c r="O521" i="1"/>
  <c r="O427" i="1"/>
  <c r="O576" i="1"/>
  <c r="O567" i="1"/>
  <c r="O455" i="1"/>
  <c r="O741" i="1"/>
  <c r="O500" i="1"/>
  <c r="O571" i="1"/>
  <c r="O217" i="1"/>
  <c r="O75" i="1"/>
  <c r="O133" i="1"/>
  <c r="O198" i="1"/>
  <c r="O862" i="1"/>
  <c r="O344" i="1"/>
  <c r="O662" i="1"/>
  <c r="O189" i="1"/>
  <c r="O721" i="1"/>
  <c r="O356" i="1"/>
  <c r="O804" i="1"/>
  <c r="O370" i="1"/>
  <c r="O779" i="1"/>
  <c r="O476" i="1"/>
  <c r="O598" i="1"/>
  <c r="O485" i="1"/>
  <c r="O11" i="1"/>
  <c r="O394" i="1"/>
  <c r="O561" i="1"/>
  <c r="O528" i="1"/>
  <c r="O294" i="1"/>
  <c r="O831" i="1"/>
  <c r="O21" i="1"/>
  <c r="O380" i="1"/>
  <c r="O201" i="1"/>
  <c r="O95" i="1"/>
  <c r="O627" i="1"/>
  <c r="O247" i="1"/>
  <c r="O388" i="1"/>
  <c r="O610" i="1"/>
  <c r="O234" i="1"/>
  <c r="O737" i="1"/>
  <c r="O654" i="1"/>
  <c r="O772" i="1"/>
  <c r="O213" i="1"/>
  <c r="O333" i="1"/>
  <c r="O311" i="1"/>
  <c r="O249" i="1"/>
  <c r="O488" i="1"/>
  <c r="O464" i="1"/>
  <c r="O840" i="1"/>
  <c r="O744" i="1"/>
  <c r="O45" i="1"/>
  <c r="O490" i="1"/>
  <c r="O231" i="1"/>
  <c r="O55" i="1"/>
  <c r="O798" i="1"/>
  <c r="O543" i="1"/>
  <c r="O73" i="1"/>
  <c r="O57" i="1"/>
  <c r="O226" i="1"/>
  <c r="O200" i="1"/>
  <c r="O331" i="1"/>
  <c r="O387" i="1"/>
  <c r="O462" i="1"/>
  <c r="O329" i="1"/>
  <c r="O608" i="1"/>
  <c r="O473" i="1"/>
  <c r="O537" i="1"/>
  <c r="O852" i="1"/>
  <c r="O205" i="1"/>
  <c r="O522" i="1"/>
  <c r="O79" i="1"/>
  <c r="O224" i="1"/>
  <c r="O750" i="1"/>
  <c r="O735" i="1"/>
  <c r="O783" i="1"/>
  <c r="O613" i="1"/>
  <c r="O89" i="1"/>
  <c r="O769" i="1"/>
  <c r="O56" i="1"/>
  <c r="O265" i="1"/>
  <c r="O155" i="1"/>
  <c r="O177" i="1"/>
  <c r="O33" i="1"/>
  <c r="O701" i="1"/>
  <c r="O202" i="1"/>
  <c r="O556" i="1"/>
  <c r="O143" i="1"/>
  <c r="O204" i="1"/>
  <c r="O18" i="1"/>
  <c r="O868" i="1"/>
  <c r="O454" i="1"/>
  <c r="O373" i="1"/>
  <c r="O285" i="1"/>
  <c r="O169" i="1"/>
  <c r="O168" i="1"/>
  <c r="O15" i="1"/>
  <c r="O191" i="1"/>
  <c r="O438" i="1"/>
  <c r="O291" i="1"/>
  <c r="O85" i="1"/>
  <c r="O834" i="1"/>
  <c r="O345" i="1"/>
  <c r="O823" i="1"/>
  <c r="O278" i="1"/>
  <c r="O860" i="1"/>
  <c r="O586" i="1"/>
  <c r="O853" i="1"/>
  <c r="O466" i="1"/>
  <c r="O532" i="1"/>
  <c r="O374" i="1"/>
  <c r="O510" i="1"/>
  <c r="O313" i="1"/>
  <c r="O640" i="1"/>
  <c r="O650" i="1"/>
  <c r="O113" i="1"/>
  <c r="O728" i="1"/>
  <c r="O645" i="1"/>
  <c r="O757" i="1"/>
  <c r="O677" i="1"/>
  <c r="O658" i="1"/>
  <c r="O815" i="1"/>
  <c r="O123" i="1"/>
  <c r="O269" i="1"/>
  <c r="O870" i="1"/>
  <c r="O135" i="1"/>
  <c r="O435" i="1"/>
  <c r="O162" i="1"/>
  <c r="O347" i="1"/>
  <c r="O34" i="1"/>
  <c r="O307" i="1"/>
  <c r="O756" i="1"/>
  <c r="O49" i="1"/>
  <c r="O538" i="1"/>
  <c r="O873" i="1"/>
  <c r="O272" i="1"/>
  <c r="O207" i="1"/>
  <c r="O448" i="1"/>
  <c r="O351" i="1"/>
  <c r="O734" i="1"/>
  <c r="O465" i="1"/>
  <c r="O535" i="1"/>
  <c r="O20" i="1"/>
  <c r="O708" i="1"/>
  <c r="O771" i="1"/>
  <c r="O568" i="1"/>
  <c r="O847" i="1"/>
  <c r="O693" i="1"/>
  <c r="O332" i="1"/>
  <c r="O28" i="1"/>
  <c r="O669" i="1"/>
  <c r="P747" i="1"/>
  <c r="P557" i="1"/>
  <c r="P731" i="1"/>
  <c r="P211" i="1"/>
  <c r="P457" i="1"/>
  <c r="P651" i="1"/>
  <c r="P484" i="1"/>
  <c r="P562" i="1"/>
  <c r="P300" i="1"/>
  <c r="P2" i="1"/>
  <c r="P859" i="1"/>
  <c r="P512" i="1"/>
  <c r="P842" i="1"/>
  <c r="P277" i="1"/>
  <c r="P762" i="1"/>
  <c r="P690" i="1"/>
  <c r="P189" i="1"/>
  <c r="P474" i="1"/>
  <c r="P671" i="1"/>
  <c r="P109" i="1"/>
  <c r="P309" i="1"/>
  <c r="P505" i="1"/>
  <c r="P13" i="1"/>
  <c r="P772" i="1"/>
  <c r="P407" i="1"/>
  <c r="P374" i="1"/>
  <c r="P755" i="1"/>
  <c r="P863" i="1"/>
  <c r="P770" i="1"/>
  <c r="P682" i="1"/>
  <c r="P356" i="1"/>
  <c r="P360" i="1"/>
  <c r="P662" i="1"/>
  <c r="P624" i="1"/>
  <c r="P737" i="1"/>
  <c r="P92" i="1"/>
  <c r="P317" i="1"/>
  <c r="P580" i="1"/>
  <c r="P292" i="1"/>
  <c r="P406" i="1"/>
  <c r="P163" i="1"/>
  <c r="P601" i="1"/>
  <c r="P517" i="1"/>
  <c r="P398" i="1"/>
  <c r="P478" i="1"/>
  <c r="P570" i="1"/>
  <c r="P450" i="1"/>
  <c r="P858" i="1"/>
  <c r="P339" i="1"/>
  <c r="P400" i="1"/>
  <c r="P653" i="1"/>
  <c r="P841" i="1"/>
  <c r="P814" i="1"/>
  <c r="P735" i="1"/>
  <c r="P526" i="1"/>
  <c r="P486" i="1"/>
  <c r="P12" i="1"/>
  <c r="P62" i="1"/>
  <c r="P37" i="1"/>
  <c r="P81" i="1"/>
  <c r="P610" i="1"/>
  <c r="P789" i="1"/>
  <c r="P792" i="1"/>
  <c r="P785" i="1"/>
  <c r="P261" i="1"/>
  <c r="P349" i="1"/>
  <c r="P501" i="1"/>
  <c r="P787" i="1"/>
  <c r="P758" i="1"/>
  <c r="P308" i="1"/>
  <c r="P271" i="1"/>
  <c r="P726" i="1"/>
  <c r="P825" i="1"/>
  <c r="P510" i="1"/>
  <c r="P273" i="1"/>
  <c r="P268" i="1"/>
  <c r="P447" i="1"/>
  <c r="P672" i="1"/>
  <c r="P629" i="1"/>
  <c r="P868" i="1"/>
  <c r="P644" i="1"/>
  <c r="P545" i="1"/>
  <c r="P94" i="1"/>
  <c r="P137" i="1"/>
  <c r="P113" i="1"/>
  <c r="P739" i="1"/>
  <c r="P590" i="1"/>
  <c r="P740" i="1"/>
  <c r="P335" i="1"/>
  <c r="P771" i="1"/>
  <c r="P336" i="1"/>
  <c r="P701" i="1"/>
  <c r="P286" i="1"/>
  <c r="P412" i="1"/>
  <c r="P464" i="1"/>
  <c r="P516" i="1"/>
  <c r="P179" i="1"/>
  <c r="P425" i="1"/>
  <c r="P534" i="1"/>
  <c r="P579" i="1"/>
  <c r="P620" i="1"/>
  <c r="P249" i="1"/>
  <c r="P316" i="1"/>
  <c r="P338" i="1"/>
  <c r="P347" i="1"/>
  <c r="P715" i="1"/>
  <c r="P509" i="1"/>
  <c r="P39" i="1"/>
  <c r="P43" i="1"/>
  <c r="P145" i="1"/>
  <c r="P578" i="1"/>
  <c r="P310" i="1"/>
  <c r="P199" i="1"/>
  <c r="P473" i="1"/>
  <c r="P303" i="1"/>
  <c r="P604" i="1"/>
  <c r="P832" i="1"/>
  <c r="P195" i="1"/>
  <c r="P278" i="1"/>
  <c r="P591" i="1"/>
  <c r="P676" i="1"/>
  <c r="P583" i="1"/>
  <c r="P231" i="1"/>
  <c r="P443" i="1"/>
  <c r="P144" i="1"/>
  <c r="P134" i="1"/>
  <c r="P738" i="1"/>
  <c r="P799" i="1"/>
  <c r="P282" i="1"/>
  <c r="P605" i="1"/>
  <c r="P390" i="1"/>
  <c r="P750" i="1"/>
  <c r="P876" i="1"/>
  <c r="P819" i="1"/>
  <c r="P434" i="1"/>
  <c r="P837" i="1"/>
  <c r="P348" i="1"/>
  <c r="P597" i="1"/>
  <c r="P565" i="1"/>
  <c r="P354" i="1"/>
  <c r="P448" i="1"/>
  <c r="P191" i="1"/>
  <c r="P64" i="1"/>
  <c r="P122" i="1"/>
  <c r="P79" i="1"/>
  <c r="P149" i="1"/>
  <c r="P423" i="1"/>
  <c r="P705" i="1"/>
  <c r="P687" i="1"/>
  <c r="P366" i="1"/>
  <c r="P786" i="1"/>
  <c r="P522" i="1"/>
  <c r="P776" i="1"/>
  <c r="P652" i="1"/>
  <c r="P342" i="1"/>
  <c r="P784" i="1"/>
  <c r="P257" i="1"/>
  <c r="P311" i="1"/>
  <c r="P260" i="1"/>
  <c r="P795" i="1"/>
  <c r="P572" i="1"/>
  <c r="P648" i="1"/>
  <c r="P35" i="1"/>
  <c r="P822" i="1"/>
  <c r="P855" i="1"/>
  <c r="P10" i="1"/>
  <c r="P511" i="1"/>
  <c r="P413" i="1"/>
  <c r="P389" i="1"/>
  <c r="P566" i="1"/>
  <c r="P543" i="1"/>
  <c r="P783" i="1"/>
  <c r="P693" i="1"/>
  <c r="P608" i="1"/>
  <c r="P343" i="1"/>
  <c r="P781" i="1"/>
  <c r="P514" i="1"/>
  <c r="P540" i="1"/>
  <c r="P699" i="1"/>
  <c r="P706" i="1"/>
  <c r="P866" i="1"/>
  <c r="P626" i="1"/>
  <c r="P387" i="1"/>
  <c r="P836" i="1"/>
  <c r="P402" i="1"/>
  <c r="P788" i="1"/>
  <c r="P657" i="1"/>
  <c r="P315" i="1"/>
  <c r="P393" i="1"/>
  <c r="P51" i="1"/>
  <c r="P99" i="1"/>
  <c r="P24" i="1"/>
  <c r="P57" i="1"/>
  <c r="P147" i="1"/>
  <c r="P61" i="1"/>
  <c r="P69" i="1"/>
  <c r="P45" i="1"/>
  <c r="P65" i="1"/>
  <c r="P485" i="1"/>
  <c r="P716" i="1"/>
  <c r="P618" i="1"/>
  <c r="P623" i="1"/>
  <c r="P698" i="1"/>
  <c r="P573" i="1"/>
  <c r="P840" i="1"/>
  <c r="P751" i="1"/>
  <c r="P801" i="1"/>
  <c r="P466" i="1"/>
  <c r="P639" i="1"/>
  <c r="P280" i="1"/>
  <c r="P333" i="1"/>
  <c r="P827" i="1"/>
  <c r="P823" i="1"/>
  <c r="P295" i="1"/>
  <c r="P717" i="1"/>
  <c r="P361" i="1"/>
  <c r="P483" i="1"/>
  <c r="P453" i="1"/>
  <c r="P392" i="1"/>
  <c r="P93" i="1"/>
  <c r="P721" i="1"/>
  <c r="P140" i="1"/>
  <c r="P810" i="1"/>
  <c r="P677" i="1"/>
  <c r="P298" i="1"/>
  <c r="P460" i="1"/>
  <c r="P388" i="1"/>
  <c r="P820" i="1"/>
  <c r="P306" i="1"/>
  <c r="P367" i="1"/>
  <c r="P274" i="1"/>
  <c r="P872" i="1"/>
  <c r="P582" i="1"/>
  <c r="P520" i="1"/>
  <c r="P647" i="1"/>
  <c r="P287" i="1"/>
  <c r="P502" i="1"/>
  <c r="P728" i="1"/>
  <c r="P817" i="1"/>
  <c r="P700" i="1"/>
  <c r="P379" i="1"/>
  <c r="P826" i="1"/>
  <c r="P603" i="1"/>
  <c r="P420" i="1"/>
  <c r="P266" i="1"/>
  <c r="P217" i="1"/>
  <c r="P600" i="1"/>
  <c r="P421" i="1"/>
  <c r="P714" i="1"/>
  <c r="P655" i="1"/>
  <c r="P646" i="1"/>
  <c r="P816" i="1"/>
  <c r="P399" i="1"/>
  <c r="P633" i="1"/>
  <c r="P264" i="1"/>
  <c r="P369" i="1"/>
  <c r="P397" i="1"/>
  <c r="P465" i="1"/>
  <c r="P479" i="1"/>
  <c r="P809" i="1"/>
  <c r="P668" i="1"/>
  <c r="P854" i="1"/>
  <c r="P567" i="1"/>
  <c r="P251" i="1"/>
  <c r="P173" i="1"/>
  <c r="P521" i="1"/>
  <c r="P141" i="1"/>
  <c r="P41" i="1"/>
  <c r="P375" i="1"/>
  <c r="P615" i="1"/>
  <c r="P519" i="1"/>
  <c r="P670" i="1"/>
  <c r="P635" i="1"/>
  <c r="P568" i="1"/>
  <c r="P77" i="1"/>
  <c r="P345" i="1"/>
  <c r="P764" i="1"/>
  <c r="P606" i="1"/>
  <c r="P710" i="1"/>
  <c r="P227" i="1"/>
  <c r="P843" i="1"/>
  <c r="P539" i="1"/>
  <c r="P161" i="1"/>
  <c r="P833" i="1"/>
  <c r="P874" i="1"/>
  <c r="P756" i="1"/>
  <c r="P168" i="1"/>
  <c r="P856" i="1"/>
  <c r="P288" i="1"/>
  <c r="P382" i="1"/>
  <c r="P584" i="1"/>
  <c r="P442" i="1"/>
  <c r="P129" i="1"/>
  <c r="P643" i="1"/>
  <c r="P609" i="1"/>
  <c r="P424" i="1"/>
  <c r="P365" i="1"/>
  <c r="P350" i="1"/>
  <c r="P449" i="1"/>
  <c r="P638" i="1"/>
  <c r="P530" i="1"/>
  <c r="P97" i="1"/>
  <c r="P753" i="1"/>
  <c r="P157" i="1"/>
  <c r="P193" i="1"/>
  <c r="P380" i="1"/>
  <c r="P377" i="1"/>
  <c r="P851" i="1"/>
  <c r="P294" i="1"/>
  <c r="P427" i="1"/>
  <c r="P33" i="1"/>
  <c r="P804" i="1"/>
  <c r="P88" i="1"/>
  <c r="P125" i="1"/>
  <c r="P681" i="1"/>
  <c r="P658" i="1"/>
  <c r="P574" i="1"/>
  <c r="P373" i="1"/>
  <c r="P482" i="1"/>
  <c r="P694" i="1"/>
  <c r="P862" i="1"/>
  <c r="P471" i="1"/>
  <c r="P656" i="1"/>
  <c r="P89" i="1"/>
  <c r="P571" i="1"/>
  <c r="P213" i="1"/>
  <c r="P506" i="1"/>
  <c r="P456" i="1"/>
  <c r="P718" i="1"/>
  <c r="P553" i="1"/>
  <c r="P812" i="1"/>
  <c r="P499" i="1"/>
  <c r="P299" i="1"/>
  <c r="P49" i="1"/>
  <c r="P709" i="1"/>
  <c r="P281" i="1"/>
  <c r="P324" i="1"/>
  <c r="P507" i="1"/>
  <c r="P290" i="1"/>
  <c r="P272" i="1"/>
  <c r="P588" i="1"/>
  <c r="P599" i="1"/>
  <c r="P722" i="1"/>
  <c r="P205" i="1"/>
  <c r="P17" i="1"/>
  <c r="P385" i="1"/>
  <c r="P767" i="1"/>
  <c r="P637" i="1"/>
  <c r="P542" i="1"/>
  <c r="P419" i="1"/>
  <c r="P302" i="1"/>
  <c r="P778" i="1"/>
  <c r="P76" i="1"/>
  <c r="P115" i="1"/>
  <c r="P215" i="1"/>
  <c r="P467" i="1"/>
  <c r="P782" i="1"/>
  <c r="P441" i="1"/>
  <c r="P262" i="1"/>
  <c r="P459" i="1"/>
  <c r="P696" i="1"/>
  <c r="P569" i="1"/>
  <c r="P730" i="1"/>
  <c r="P596" i="1"/>
  <c r="P229" i="1"/>
  <c r="P686" i="1"/>
  <c r="P602" i="1"/>
  <c r="P575" i="1"/>
  <c r="P576" i="1"/>
  <c r="P358" i="1"/>
  <c r="P802" i="1"/>
  <c r="P525" i="1"/>
  <c r="P381" i="1"/>
  <c r="P805" i="1"/>
  <c r="P403" i="1"/>
  <c r="P577" i="1"/>
  <c r="P640" i="1"/>
  <c r="P538" i="1"/>
  <c r="P613" i="1"/>
  <c r="P537" i="1"/>
  <c r="P177" i="1"/>
  <c r="P835" i="1"/>
  <c r="P444" i="1"/>
  <c r="P329" i="1"/>
  <c r="P867" i="1"/>
  <c r="P508" i="1"/>
  <c r="P417" i="1"/>
  <c r="P515" i="1"/>
  <c r="P745" i="1"/>
  <c r="P549" i="1"/>
  <c r="P759" i="1"/>
  <c r="P117" i="1"/>
  <c r="P221" i="1"/>
  <c r="P111" i="1"/>
  <c r="P611" i="1"/>
  <c r="P90" i="1"/>
  <c r="P428" i="1"/>
  <c r="P29" i="1"/>
  <c r="P19" i="1"/>
  <c r="P30" i="1"/>
  <c r="P429" i="1"/>
  <c r="P433" i="1"/>
  <c r="P341" i="1"/>
  <c r="P777" i="1"/>
  <c r="P689" i="1"/>
  <c r="P497" i="1"/>
  <c r="P793" i="1"/>
  <c r="P396" i="1"/>
  <c r="P847" i="1"/>
  <c r="P860" i="1"/>
  <c r="P255" i="1"/>
  <c r="P326" i="1"/>
  <c r="P719" i="1"/>
  <c r="P422" i="1"/>
  <c r="P628" i="1"/>
  <c r="P263" i="1"/>
  <c r="P555" i="1"/>
  <c r="P865" i="1"/>
  <c r="P533" i="1"/>
  <c r="P524" i="1"/>
  <c r="P661" i="1"/>
  <c r="P472" i="1"/>
  <c r="P857" i="1"/>
  <c r="P468" i="1"/>
  <c r="P235" i="1"/>
  <c r="P631" i="1"/>
  <c r="P359" i="1"/>
  <c r="P691" i="1"/>
  <c r="P386" i="1"/>
  <c r="P729" i="1"/>
  <c r="P556" i="1"/>
  <c r="P445" i="1"/>
  <c r="P451" i="1"/>
  <c r="P488" i="1"/>
  <c r="P873" i="1"/>
  <c r="P769" i="1"/>
  <c r="P807" i="1"/>
  <c r="P463" i="1"/>
  <c r="P439" i="1"/>
  <c r="P649" i="1"/>
  <c r="P757" i="1"/>
  <c r="P734" i="1"/>
  <c r="P768" i="1"/>
  <c r="P796" i="1"/>
  <c r="P559" i="1"/>
  <c r="P839" i="1"/>
  <c r="P554" i="1"/>
  <c r="P85" i="1"/>
  <c r="P15" i="1"/>
  <c r="P4" i="1"/>
  <c r="P58" i="1"/>
  <c r="P828" i="1"/>
  <c r="P150" i="1"/>
  <c r="P116" i="1"/>
  <c r="P139" i="1"/>
  <c r="P16" i="1"/>
  <c r="P53" i="1"/>
  <c r="P846" i="1"/>
  <c r="P70" i="1"/>
  <c r="P850" i="1"/>
  <c r="P132" i="1"/>
  <c r="P135" i="1"/>
  <c r="P86" i="1"/>
  <c r="P52" i="1"/>
  <c r="P148" i="1"/>
  <c r="P225" i="1"/>
  <c r="P21" i="1"/>
  <c r="P151" i="1"/>
  <c r="P66" i="1"/>
  <c r="P74" i="1"/>
  <c r="P68" i="1"/>
  <c r="P71" i="1"/>
  <c r="P22" i="1"/>
  <c r="P38" i="1"/>
  <c r="P131" i="1"/>
  <c r="P480" i="1"/>
  <c r="P322" i="1"/>
  <c r="P720" i="1"/>
  <c r="P503" i="1"/>
  <c r="P808" i="1"/>
  <c r="P470" i="1"/>
  <c r="P752" i="1"/>
  <c r="P561" i="1"/>
  <c r="P749" i="1"/>
  <c r="P861" i="1"/>
  <c r="P355" i="1"/>
  <c r="P529" i="1"/>
  <c r="P414" i="1"/>
  <c r="P408" i="1"/>
  <c r="P175" i="1"/>
  <c r="P340" i="1"/>
  <c r="P495" i="1"/>
  <c r="P401" i="1"/>
  <c r="P440" i="1"/>
  <c r="P383" i="1"/>
  <c r="P548" i="1"/>
  <c r="P725" i="1"/>
  <c r="P476" i="1"/>
  <c r="P625" i="1"/>
  <c r="P775" i="1"/>
  <c r="P634" i="1"/>
  <c r="P592" i="1"/>
  <c r="P364" i="1"/>
  <c r="P536" i="1"/>
  <c r="P663" i="1"/>
  <c r="P621" i="1"/>
  <c r="P746" i="1"/>
  <c r="P732" i="1"/>
  <c r="P325" i="1"/>
  <c r="P636" i="1"/>
  <c r="P742" i="1"/>
  <c r="P362" i="1"/>
  <c r="P707" i="1"/>
  <c r="P723" i="1"/>
  <c r="P665" i="1"/>
  <c r="P307" i="1"/>
  <c r="P494" i="1"/>
  <c r="P384" i="1"/>
  <c r="P245" i="1"/>
  <c r="P183" i="1"/>
  <c r="P673" i="1"/>
  <c r="P766" i="1"/>
  <c r="P87" i="1"/>
  <c r="P143" i="1"/>
  <c r="P107" i="1"/>
  <c r="P7" i="1"/>
  <c r="P558" i="1"/>
  <c r="P171" i="1"/>
  <c r="P3" i="1"/>
  <c r="P763" i="1"/>
  <c r="P344" i="1"/>
  <c r="P660" i="1"/>
  <c r="P589" i="1"/>
  <c r="P848" i="1"/>
  <c r="P416" i="1"/>
  <c r="P270" i="1"/>
  <c r="P371" i="1"/>
  <c r="P546" i="1"/>
  <c r="P305" i="1"/>
  <c r="P779" i="1"/>
  <c r="P330" i="1"/>
  <c r="P593" i="1"/>
  <c r="P276" i="1"/>
  <c r="P523" i="1"/>
  <c r="P426" i="1"/>
  <c r="P845" i="1"/>
  <c r="P744" i="1"/>
  <c r="P357" i="1"/>
  <c r="P297" i="1"/>
  <c r="P838" i="1"/>
  <c r="P258" i="1"/>
  <c r="P650" i="1"/>
  <c r="P243" i="1"/>
  <c r="P241" i="1"/>
  <c r="P622" i="1"/>
  <c r="P493" i="1"/>
  <c r="P774" i="1"/>
  <c r="P331" i="1"/>
  <c r="P363" i="1"/>
  <c r="P674" i="1"/>
  <c r="P627" i="1"/>
  <c r="P462" i="1"/>
  <c r="P824" i="1"/>
  <c r="P368" i="1"/>
  <c r="P201" i="1"/>
  <c r="P370" i="1"/>
  <c r="P535" i="1"/>
  <c r="P285" i="1"/>
  <c r="P23" i="1"/>
  <c r="P105" i="1"/>
  <c r="P47" i="1"/>
  <c r="P760" i="1"/>
  <c r="P11" i="1"/>
  <c r="P84" i="1"/>
  <c r="P411" i="1"/>
  <c r="P500" i="1"/>
  <c r="P528" i="1"/>
  <c r="P253" i="1"/>
  <c r="P492" i="1"/>
  <c r="P404" i="1"/>
  <c r="P614" i="1"/>
  <c r="P491" i="1"/>
  <c r="P432" i="1"/>
  <c r="P301" i="1"/>
  <c r="P713" i="1"/>
  <c r="P564" i="1"/>
  <c r="P695" i="1"/>
  <c r="P409" i="1"/>
  <c r="P692" i="1"/>
  <c r="P454" i="1"/>
  <c r="P219" i="1"/>
  <c r="P741" i="1"/>
  <c r="P237" i="1"/>
  <c r="P678" i="1"/>
  <c r="P319" i="1"/>
  <c r="P697" i="1"/>
  <c r="P703" i="1"/>
  <c r="P318" i="1"/>
  <c r="P688" i="1"/>
  <c r="P481" i="1"/>
  <c r="P304" i="1"/>
  <c r="P619" i="1"/>
  <c r="P853" i="1"/>
  <c r="P794" i="1"/>
  <c r="P405" i="1"/>
  <c r="P724" i="1"/>
  <c r="P293" i="1"/>
  <c r="P461" i="1"/>
  <c r="P831" i="1"/>
  <c r="P727" i="1"/>
  <c r="P185" i="1"/>
  <c r="P334" i="1"/>
  <c r="P791" i="1"/>
  <c r="P328" i="1"/>
  <c r="P669" i="1"/>
  <c r="P353" i="1"/>
  <c r="P518" i="1"/>
  <c r="P632" i="1"/>
  <c r="P239" i="1"/>
  <c r="P667" i="1"/>
  <c r="P121" i="1"/>
  <c r="P733" i="1"/>
  <c r="P142" i="1"/>
  <c r="P9" i="1"/>
  <c r="P130" i="1"/>
  <c r="P73" i="1"/>
  <c r="P28" i="1"/>
  <c r="P165" i="1"/>
  <c r="P169" i="1"/>
  <c r="P242" i="1"/>
  <c r="P684" i="1"/>
  <c r="P800" i="1"/>
  <c r="P477" i="1"/>
  <c r="P233" i="1"/>
  <c r="P498" i="1"/>
  <c r="P265" i="1"/>
  <c r="P25" i="1"/>
  <c r="P815" i="1"/>
  <c r="P780" i="1"/>
  <c r="P78" i="1"/>
  <c r="P133" i="1"/>
  <c r="P5" i="1"/>
  <c r="P96" i="1"/>
  <c r="P26" i="1"/>
  <c r="P790" i="1"/>
  <c r="P313" i="1"/>
  <c r="P475" i="1"/>
  <c r="P435" i="1"/>
  <c r="P283" i="1"/>
  <c r="P830" i="1"/>
  <c r="P415" i="1"/>
  <c r="P702" i="1"/>
  <c r="P586" i="1"/>
  <c r="P496" i="1"/>
  <c r="P607" i="1"/>
  <c r="P314" i="1"/>
  <c r="P679" i="1"/>
  <c r="P834" i="1"/>
  <c r="P527" i="1"/>
  <c r="P394" i="1"/>
  <c r="P659" i="1"/>
  <c r="P852" i="1"/>
  <c r="P560" i="1"/>
  <c r="P864" i="1"/>
  <c r="P247" i="1"/>
  <c r="P289" i="1"/>
  <c r="P469" i="1"/>
  <c r="P267" i="1"/>
  <c r="P269" i="1"/>
  <c r="P544" i="1"/>
  <c r="P431" i="1"/>
  <c r="P337" i="1"/>
  <c r="P595" i="1"/>
  <c r="P552" i="1"/>
  <c r="P436" i="1"/>
  <c r="P811" i="1"/>
  <c r="P312" i="1"/>
  <c r="P391" i="1"/>
  <c r="P818" i="1"/>
  <c r="P654" i="1"/>
  <c r="P223" i="1"/>
  <c r="P612" i="1"/>
  <c r="P765" i="1"/>
  <c r="P844" i="1"/>
  <c r="P531" i="1"/>
  <c r="P259" i="1"/>
  <c r="P630" i="1"/>
  <c r="P352" i="1"/>
  <c r="P489" i="1"/>
  <c r="P487" i="1"/>
  <c r="P587" i="1"/>
  <c r="P704" i="1"/>
  <c r="P209" i="1"/>
  <c r="P598" i="1"/>
  <c r="P14" i="1"/>
  <c r="P101" i="1"/>
  <c r="P870" i="1"/>
  <c r="P124" i="1"/>
  <c r="P152" i="1"/>
  <c r="P32" i="1"/>
  <c r="P6" i="1"/>
  <c r="P156" i="1"/>
  <c r="P238" i="1"/>
  <c r="P206" i="1"/>
  <c r="P174" i="1"/>
  <c r="P154" i="1"/>
  <c r="P236" i="1"/>
  <c r="P204" i="1"/>
  <c r="P172" i="1"/>
  <c r="P232" i="1"/>
  <c r="P200" i="1"/>
  <c r="P230" i="1"/>
  <c r="P198" i="1"/>
  <c r="P159" i="1"/>
  <c r="P31" i="1"/>
  <c r="P8" i="1"/>
  <c r="P155" i="1"/>
  <c r="P95" i="1"/>
  <c r="P72" i="1"/>
  <c r="P196" i="1"/>
  <c r="P91" i="1"/>
  <c r="P136" i="1"/>
  <c r="P228" i="1"/>
  <c r="P27" i="1"/>
  <c r="P226" i="1"/>
  <c r="P194" i="1"/>
  <c r="P254" i="1"/>
  <c r="P222" i="1"/>
  <c r="P190" i="1"/>
  <c r="P250" i="1"/>
  <c r="P218" i="1"/>
  <c r="P186" i="1"/>
  <c r="P114" i="1"/>
  <c r="P50" i="1"/>
  <c r="P112" i="1"/>
  <c r="P248" i="1"/>
  <c r="P184" i="1"/>
  <c r="P48" i="1"/>
  <c r="P108" i="1"/>
  <c r="P176" i="1"/>
  <c r="P162" i="1"/>
  <c r="P146" i="1"/>
  <c r="P20" i="1"/>
  <c r="P104" i="1"/>
  <c r="P240" i="1"/>
  <c r="P82" i="1"/>
  <c r="P220" i="1"/>
  <c r="P46" i="1"/>
  <c r="P212" i="1"/>
  <c r="P170" i="1"/>
  <c r="P192" i="1"/>
  <c r="P100" i="1"/>
  <c r="P234" i="1"/>
  <c r="P224" i="1"/>
  <c r="P54" i="1"/>
  <c r="P44" i="1"/>
  <c r="P36" i="1"/>
  <c r="P18" i="1"/>
  <c r="P164" i="1"/>
  <c r="P59" i="1"/>
  <c r="P208" i="1"/>
  <c r="P246" i="1"/>
  <c r="P216" i="1"/>
  <c r="P127" i="1"/>
  <c r="P42" i="1"/>
  <c r="P56" i="1"/>
  <c r="P214" i="1"/>
  <c r="P123" i="1"/>
  <c r="P166" i="1"/>
  <c r="P119" i="1"/>
  <c r="P75" i="1"/>
  <c r="P128" i="1"/>
  <c r="P34" i="1"/>
  <c r="P40" i="1"/>
  <c r="P210" i="1"/>
  <c r="P158" i="1"/>
  <c r="P103" i="1"/>
  <c r="P118" i="1"/>
  <c r="P167" i="1"/>
  <c r="P202" i="1"/>
  <c r="P83" i="1"/>
  <c r="P126" i="1"/>
  <c r="P180" i="1"/>
  <c r="P160" i="1"/>
  <c r="P256" i="1"/>
  <c r="P188" i="1"/>
  <c r="P67" i="1"/>
  <c r="P110" i="1"/>
  <c r="P102" i="1"/>
  <c r="P252" i="1"/>
  <c r="P182" i="1"/>
  <c r="P63" i="1"/>
  <c r="P106" i="1"/>
  <c r="P244" i="1"/>
  <c r="P178" i="1"/>
  <c r="P666" i="1"/>
  <c r="P120" i="1"/>
  <c r="P55" i="1"/>
  <c r="P98" i="1"/>
  <c r="P871" i="1"/>
  <c r="P323" i="1"/>
  <c r="P378" i="1"/>
  <c r="P581" i="1"/>
  <c r="P664" i="1"/>
  <c r="P642" i="1"/>
  <c r="P806" i="1"/>
  <c r="P877" i="1"/>
  <c r="P712" i="1"/>
  <c r="P736" i="1"/>
  <c r="P773" i="1"/>
  <c r="P541" i="1"/>
  <c r="P645" i="1"/>
  <c r="P803" i="1"/>
  <c r="P197" i="1"/>
  <c r="P685" i="1"/>
  <c r="P798" i="1"/>
  <c r="P869" i="1"/>
  <c r="P327" i="1"/>
  <c r="P875" i="1"/>
  <c r="P296" i="1"/>
  <c r="P181" i="1"/>
  <c r="P849" i="1"/>
  <c r="P291" i="1"/>
  <c r="P616" i="1"/>
  <c r="P761" i="1"/>
  <c r="P203" i="1"/>
  <c r="P351" i="1"/>
  <c r="P372" i="1"/>
  <c r="P680" i="1"/>
  <c r="P332" i="1"/>
  <c r="P376" i="1"/>
  <c r="P683" i="1"/>
  <c r="P617" i="1"/>
  <c r="P547" i="1"/>
  <c r="P490" i="1"/>
  <c r="P563" i="1"/>
  <c r="P395" i="1"/>
  <c r="P458" i="1"/>
  <c r="P585" i="1"/>
  <c r="P711" i="1"/>
  <c r="P279" i="1"/>
  <c r="P675" i="1"/>
  <c r="P532" i="1"/>
  <c r="P551" i="1"/>
  <c r="P594" i="1"/>
  <c r="P446" i="1"/>
  <c r="P321" i="1"/>
  <c r="P504" i="1"/>
  <c r="P641" i="1"/>
  <c r="P550" i="1"/>
  <c r="P813" i="1"/>
  <c r="P708" i="1"/>
  <c r="P346" i="1"/>
  <c r="P410" i="1"/>
  <c r="P513" i="1"/>
  <c r="P275" i="1"/>
  <c r="P187" i="1"/>
  <c r="P748" i="1"/>
  <c r="P797" i="1"/>
  <c r="P452" i="1"/>
  <c r="P320" i="1"/>
  <c r="P430" i="1"/>
  <c r="P829" i="1"/>
  <c r="P284" i="1"/>
  <c r="P207" i="1"/>
  <c r="P438" i="1"/>
  <c r="P437" i="1"/>
  <c r="P418" i="1"/>
  <c r="P455" i="1"/>
  <c r="P743" i="1"/>
  <c r="P153" i="1"/>
  <c r="P138" i="1"/>
  <c r="P60" i="1"/>
  <c r="P754" i="1"/>
  <c r="P821" i="1"/>
  <c r="P80" i="1"/>
</calcChain>
</file>

<file path=xl/sharedStrings.xml><?xml version="1.0" encoding="utf-8"?>
<sst xmlns="http://schemas.openxmlformats.org/spreadsheetml/2006/main" count="27" uniqueCount="27">
  <si>
    <t>Ua</t>
  </si>
  <si>
    <t>Ub</t>
  </si>
  <si>
    <t>t</t>
  </si>
  <si>
    <t>Nullpunktdrift</t>
  </si>
  <si>
    <t>Durchschnittliche zeit:</t>
  </si>
  <si>
    <t>Drift</t>
  </si>
  <si>
    <t>Driftkorrigierte werte:</t>
  </si>
  <si>
    <t>N1</t>
  </si>
  <si>
    <t>N2</t>
  </si>
  <si>
    <t>R</t>
  </si>
  <si>
    <t>di</t>
  </si>
  <si>
    <t>do</t>
  </si>
  <si>
    <t>h</t>
  </si>
  <si>
    <t>f</t>
  </si>
  <si>
    <t>C1</t>
  </si>
  <si>
    <t>C2</t>
  </si>
  <si>
    <t>H</t>
  </si>
  <si>
    <t>B</t>
  </si>
  <si>
    <t>H[A/m]</t>
  </si>
  <si>
    <t>B[T]</t>
  </si>
  <si>
    <t>mittleres H:</t>
  </si>
  <si>
    <t>mittleres B:</t>
  </si>
  <si>
    <t>in Mitte verschoben:</t>
  </si>
  <si>
    <t>Zeit (s) Messreihe #7</t>
  </si>
  <si>
    <t>Spannung, Ch A (V) Messreihe #7</t>
  </si>
  <si>
    <t>Spannung, Ch B (V) Messreihe #7</t>
  </si>
  <si>
    <t>Durchschnitt bei 7,015V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</si>
</sst>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2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0D110-4A86-4566-88D5-66B72A3129D8}">
  <dimension ref="A1:P877"/>
  <sheetViews>
    <sheetView tabSelected="1" workbookViewId="0">
      <selection activeCell="F26" sqref="F26"/>
    </sheetView>
  </sheetViews>
  <sheetFormatPr baseColWidth="10" defaultColWidth="9.140625" defaultRowHeight="15" x14ac:dyDescent="0.25"/>
  <cols>
    <col min="1" max="1" width="9.140625" style="2"/>
    <col min="2" max="2" width="9.140625" style="1"/>
    <col min="5" max="5" width="11" bestFit="1" customWidth="1"/>
    <col min="14" max="14" width="12.7109375" bestFit="1" customWidth="1"/>
  </cols>
  <sheetData>
    <row r="1" spans="1:16" x14ac:dyDescent="0.25">
      <c r="A1" s="2" t="s">
        <v>23</v>
      </c>
      <c r="B1" s="1" t="s">
        <v>24</v>
      </c>
      <c r="C1" t="s">
        <v>25</v>
      </c>
      <c r="E1" t="s">
        <v>3</v>
      </c>
      <c r="G1" t="s">
        <v>6</v>
      </c>
      <c r="H1" t="s">
        <v>2</v>
      </c>
      <c r="I1" t="s">
        <v>0</v>
      </c>
      <c r="J1" t="s">
        <v>1</v>
      </c>
      <c r="K1" t="s">
        <v>18</v>
      </c>
      <c r="L1" t="s">
        <v>19</v>
      </c>
      <c r="N1" t="s">
        <v>22</v>
      </c>
      <c r="O1" t="s">
        <v>16</v>
      </c>
      <c r="P1" t="s">
        <v>17</v>
      </c>
    </row>
    <row r="2" spans="1:16" x14ac:dyDescent="0.25">
      <c r="A2" s="2">
        <v>0</v>
      </c>
      <c r="B2" s="1">
        <v>-7.0149999999999997</v>
      </c>
      <c r="C2">
        <v>2.4E-2</v>
      </c>
      <c r="H2">
        <f>A2</f>
        <v>0</v>
      </c>
      <c r="I2">
        <f>B2</f>
        <v>-7.0149999999999997</v>
      </c>
      <c r="J2">
        <f>C2-E$12*A2</f>
        <v>2.4E-2</v>
      </c>
      <c r="K2">
        <f>F$24*I2</f>
        <v>-140.67323416261755</v>
      </c>
      <c r="L2">
        <f>F$25*J2</f>
        <v>3.1999999999999992E-4</v>
      </c>
      <c r="O2">
        <f>K2-N$12</f>
        <v>-140.63312775230747</v>
      </c>
      <c r="P2">
        <f>L2-N$15</f>
        <v>-3.3018353086331881E-4</v>
      </c>
    </row>
    <row r="3" spans="1:16" x14ac:dyDescent="0.25">
      <c r="A3" s="2">
        <v>0.05</v>
      </c>
      <c r="B3" s="1">
        <v>-7.0149999999999997</v>
      </c>
      <c r="C3">
        <v>2.4E-2</v>
      </c>
      <c r="H3">
        <f t="shared" ref="H3:H66" si="0">A3</f>
        <v>0.05</v>
      </c>
      <c r="I3">
        <f t="shared" ref="I3:I66" si="1">B3</f>
        <v>-7.0149999999999997</v>
      </c>
      <c r="J3">
        <f t="shared" ref="J3:J66" si="2">C3-E$12*A3</f>
        <v>2.396391073780119E-2</v>
      </c>
      <c r="K3">
        <f t="shared" ref="K3:K66" si="3">F$24*I3</f>
        <v>-140.67323416261755</v>
      </c>
      <c r="L3">
        <f t="shared" ref="L3:L66" si="4">F$25*J3</f>
        <v>3.1951880983734912E-4</v>
      </c>
      <c r="O3">
        <f t="shared" ref="O3:O66" si="5">K3-N$12</f>
        <v>-140.63312775230747</v>
      </c>
      <c r="P3">
        <f t="shared" ref="P3:P66" si="6">L3-N$15</f>
        <v>-3.3066472102596961E-4</v>
      </c>
    </row>
    <row r="4" spans="1:16" x14ac:dyDescent="0.25">
      <c r="A4" s="2">
        <v>0.1</v>
      </c>
      <c r="B4" s="1">
        <v>-7.0149999999999997</v>
      </c>
      <c r="C4">
        <v>2.5000000000000001E-2</v>
      </c>
      <c r="E4" t="s">
        <v>26</v>
      </c>
      <c r="H4">
        <f t="shared" si="0"/>
        <v>0.1</v>
      </c>
      <c r="I4">
        <f t="shared" si="1"/>
        <v>-7.0149999999999997</v>
      </c>
      <c r="J4">
        <f t="shared" si="2"/>
        <v>2.492782147560238E-2</v>
      </c>
      <c r="K4">
        <f t="shared" si="3"/>
        <v>-140.67323416261755</v>
      </c>
      <c r="L4">
        <f t="shared" si="4"/>
        <v>3.3237095300803167E-4</v>
      </c>
      <c r="O4">
        <f t="shared" si="5"/>
        <v>-140.63312775230747</v>
      </c>
      <c r="P4">
        <f t="shared" si="6"/>
        <v>-3.1781257785528706E-4</v>
      </c>
    </row>
    <row r="5" spans="1:16" x14ac:dyDescent="0.25">
      <c r="A5" s="2">
        <v>0.15</v>
      </c>
      <c r="B5" s="1">
        <v>-7.0149999999999997</v>
      </c>
      <c r="C5">
        <v>2.4E-2</v>
      </c>
      <c r="E5">
        <f>SUM(C2:C5,C7:C15,C17:C33,C35:C37)/COUNT(C2:C5,C7:C15,C17:C33,C35:C37)</f>
        <v>2.4939393939393952E-2</v>
      </c>
      <c r="H5">
        <f t="shared" si="0"/>
        <v>0.15</v>
      </c>
      <c r="I5">
        <f t="shared" si="1"/>
        <v>-7.0149999999999997</v>
      </c>
      <c r="J5">
        <f t="shared" si="2"/>
        <v>2.3891732213403568E-2</v>
      </c>
      <c r="K5">
        <f t="shared" si="3"/>
        <v>-140.67323416261755</v>
      </c>
      <c r="L5">
        <f t="shared" si="4"/>
        <v>3.1855642951204751E-4</v>
      </c>
      <c r="O5">
        <f t="shared" si="5"/>
        <v>-140.63312775230747</v>
      </c>
      <c r="P5">
        <f t="shared" si="6"/>
        <v>-3.3162710135127121E-4</v>
      </c>
    </row>
    <row r="6" spans="1:16" x14ac:dyDescent="0.25">
      <c r="A6" s="2">
        <v>0.2</v>
      </c>
      <c r="B6" s="1">
        <v>-7.016</v>
      </c>
      <c r="C6">
        <v>2.4E-2</v>
      </c>
      <c r="E6" t="s">
        <v>4</v>
      </c>
      <c r="H6">
        <f t="shared" si="0"/>
        <v>0.2</v>
      </c>
      <c r="I6">
        <f t="shared" si="1"/>
        <v>-7.016</v>
      </c>
      <c r="J6">
        <f t="shared" si="2"/>
        <v>2.3855642951204757E-2</v>
      </c>
      <c r="K6">
        <f t="shared" si="3"/>
        <v>-140.6932873677726</v>
      </c>
      <c r="L6">
        <f t="shared" si="4"/>
        <v>3.1807523934939671E-4</v>
      </c>
      <c r="O6">
        <f t="shared" si="5"/>
        <v>-140.6531809574625</v>
      </c>
      <c r="P6">
        <f t="shared" si="6"/>
        <v>-3.3210829151392201E-4</v>
      </c>
    </row>
    <row r="7" spans="1:16" x14ac:dyDescent="0.25">
      <c r="A7" s="2">
        <v>0.25</v>
      </c>
      <c r="B7" s="1">
        <v>-7.0149999999999997</v>
      </c>
      <c r="C7">
        <v>2.4E-2</v>
      </c>
      <c r="E7">
        <f>SUM(A2:A5,A7:A15,A17:A33,A35:A37)/COUNT(A2:A5,A7:A15,A17:A33,A35:A37)</f>
        <v>0.87878787878787867</v>
      </c>
      <c r="H7">
        <f t="shared" si="0"/>
        <v>0.25</v>
      </c>
      <c r="I7">
        <f t="shared" si="1"/>
        <v>-7.0149999999999997</v>
      </c>
      <c r="J7">
        <f t="shared" si="2"/>
        <v>2.3819553689005943E-2</v>
      </c>
      <c r="K7">
        <f t="shared" si="3"/>
        <v>-140.67323416261755</v>
      </c>
      <c r="L7">
        <f t="shared" si="4"/>
        <v>3.1759404918674586E-4</v>
      </c>
      <c r="O7">
        <f t="shared" si="5"/>
        <v>-140.63312775230747</v>
      </c>
      <c r="P7">
        <f t="shared" si="6"/>
        <v>-3.3258948167657286E-4</v>
      </c>
    </row>
    <row r="8" spans="1:16" x14ac:dyDescent="0.25">
      <c r="A8" s="2">
        <v>0.3</v>
      </c>
      <c r="B8" s="1">
        <v>-7.0149999999999997</v>
      </c>
      <c r="C8">
        <v>2.5000000000000001E-2</v>
      </c>
      <c r="H8">
        <f t="shared" si="0"/>
        <v>0.3</v>
      </c>
      <c r="I8">
        <f t="shared" si="1"/>
        <v>-7.0149999999999997</v>
      </c>
      <c r="J8">
        <f t="shared" si="2"/>
        <v>2.4783464426807133E-2</v>
      </c>
      <c r="K8">
        <f t="shared" si="3"/>
        <v>-140.67323416261755</v>
      </c>
      <c r="L8">
        <f t="shared" si="4"/>
        <v>3.3044619235742835E-4</v>
      </c>
      <c r="O8">
        <f t="shared" si="5"/>
        <v>-140.63312775230747</v>
      </c>
      <c r="P8">
        <f t="shared" si="6"/>
        <v>-3.1973733850589037E-4</v>
      </c>
    </row>
    <row r="9" spans="1:16" x14ac:dyDescent="0.25">
      <c r="A9" s="2">
        <v>0.35</v>
      </c>
      <c r="B9" s="1">
        <v>-7.0149999999999997</v>
      </c>
      <c r="C9">
        <v>2.4E-2</v>
      </c>
      <c r="H9">
        <f t="shared" si="0"/>
        <v>0.35</v>
      </c>
      <c r="I9">
        <f t="shared" si="1"/>
        <v>-7.0149999999999997</v>
      </c>
      <c r="J9">
        <f t="shared" si="2"/>
        <v>2.3747375164608321E-2</v>
      </c>
      <c r="K9">
        <f t="shared" si="3"/>
        <v>-140.67323416261755</v>
      </c>
      <c r="L9">
        <f t="shared" si="4"/>
        <v>3.166316688614442E-4</v>
      </c>
      <c r="O9">
        <f t="shared" si="5"/>
        <v>-140.63312775230747</v>
      </c>
      <c r="P9">
        <f t="shared" si="6"/>
        <v>-3.3355186200187452E-4</v>
      </c>
    </row>
    <row r="10" spans="1:16" x14ac:dyDescent="0.25">
      <c r="A10" s="2">
        <v>0.4</v>
      </c>
      <c r="B10" s="1">
        <v>-7.0149999999999997</v>
      </c>
      <c r="C10">
        <v>2.5000000000000001E-2</v>
      </c>
      <c r="H10">
        <f t="shared" si="0"/>
        <v>0.4</v>
      </c>
      <c r="I10">
        <f t="shared" si="1"/>
        <v>-7.0149999999999997</v>
      </c>
      <c r="J10">
        <f t="shared" si="2"/>
        <v>2.4711285902409511E-2</v>
      </c>
      <c r="K10">
        <f t="shared" si="3"/>
        <v>-140.67323416261755</v>
      </c>
      <c r="L10">
        <f t="shared" si="4"/>
        <v>3.2948381203212675E-4</v>
      </c>
      <c r="O10">
        <f t="shared" si="5"/>
        <v>-140.63312775230747</v>
      </c>
      <c r="P10">
        <f t="shared" si="6"/>
        <v>-3.2069971883119197E-4</v>
      </c>
    </row>
    <row r="11" spans="1:16" x14ac:dyDescent="0.25">
      <c r="A11" s="2">
        <v>0.45</v>
      </c>
      <c r="B11" s="1">
        <v>-7.0149999999999997</v>
      </c>
      <c r="C11">
        <v>2.4E-2</v>
      </c>
      <c r="E11" t="s">
        <v>5</v>
      </c>
      <c r="H11">
        <f t="shared" si="0"/>
        <v>0.45</v>
      </c>
      <c r="I11">
        <f t="shared" si="1"/>
        <v>-7.0149999999999997</v>
      </c>
      <c r="J11">
        <f t="shared" si="2"/>
        <v>2.3675196640210699E-2</v>
      </c>
      <c r="K11">
        <f t="shared" si="3"/>
        <v>-140.67323416261755</v>
      </c>
      <c r="L11">
        <f t="shared" si="4"/>
        <v>3.156692885361426E-4</v>
      </c>
      <c r="N11" t="s">
        <v>20</v>
      </c>
      <c r="O11">
        <f t="shared" si="5"/>
        <v>-140.63312775230747</v>
      </c>
      <c r="P11">
        <f t="shared" si="6"/>
        <v>-3.3451424232717612E-4</v>
      </c>
    </row>
    <row r="12" spans="1:16" x14ac:dyDescent="0.25">
      <c r="A12" s="2">
        <v>0.5</v>
      </c>
      <c r="B12" s="1">
        <v>-7.0149999999999997</v>
      </c>
      <c r="C12">
        <v>2.5000000000000001E-2</v>
      </c>
      <c r="E12">
        <f>(E862-E5)/(E863-E7)</f>
        <v>7.2178524397622503E-4</v>
      </c>
      <c r="H12">
        <f t="shared" si="0"/>
        <v>0.5</v>
      </c>
      <c r="I12">
        <f t="shared" si="1"/>
        <v>-7.0149999999999997</v>
      </c>
      <c r="J12">
        <f t="shared" si="2"/>
        <v>2.463910737801189E-2</v>
      </c>
      <c r="K12">
        <f t="shared" si="3"/>
        <v>-140.67323416261755</v>
      </c>
      <c r="L12">
        <f t="shared" si="4"/>
        <v>3.2852143170682515E-4</v>
      </c>
      <c r="N12">
        <f>(MAX(K2:K2674)+MIN(K2:K2674))/2</f>
        <v>-4.0106410310087881E-2</v>
      </c>
      <c r="O12">
        <f t="shared" si="5"/>
        <v>-140.63312775230747</v>
      </c>
      <c r="P12">
        <f t="shared" si="6"/>
        <v>-3.2166209915649357E-4</v>
      </c>
    </row>
    <row r="13" spans="1:16" x14ac:dyDescent="0.25">
      <c r="A13" s="2">
        <v>0.55000000000000004</v>
      </c>
      <c r="B13" s="1">
        <v>-7.0149999999999997</v>
      </c>
      <c r="C13">
        <v>2.4E-2</v>
      </c>
      <c r="H13">
        <f t="shared" si="0"/>
        <v>0.55000000000000004</v>
      </c>
      <c r="I13">
        <f t="shared" si="1"/>
        <v>-7.0149999999999997</v>
      </c>
      <c r="J13">
        <f t="shared" si="2"/>
        <v>2.3603018115813078E-2</v>
      </c>
      <c r="K13">
        <f t="shared" si="3"/>
        <v>-140.67323416261755</v>
      </c>
      <c r="L13">
        <f t="shared" si="4"/>
        <v>3.14706908210841E-4</v>
      </c>
      <c r="O13">
        <f t="shared" si="5"/>
        <v>-140.63312775230747</v>
      </c>
      <c r="P13">
        <f t="shared" si="6"/>
        <v>-3.3547662265247773E-4</v>
      </c>
    </row>
    <row r="14" spans="1:16" x14ac:dyDescent="0.25">
      <c r="A14" s="2">
        <v>0.6</v>
      </c>
      <c r="B14" s="1">
        <v>-7.0149999999999997</v>
      </c>
      <c r="C14">
        <v>2.5000000000000001E-2</v>
      </c>
      <c r="H14">
        <f t="shared" si="0"/>
        <v>0.6</v>
      </c>
      <c r="I14">
        <f t="shared" si="1"/>
        <v>-7.0149999999999997</v>
      </c>
      <c r="J14">
        <f t="shared" si="2"/>
        <v>2.4566928853614268E-2</v>
      </c>
      <c r="K14">
        <f t="shared" si="3"/>
        <v>-140.67323416261755</v>
      </c>
      <c r="L14">
        <f t="shared" si="4"/>
        <v>3.2755905138152349E-4</v>
      </c>
      <c r="N14" t="s">
        <v>21</v>
      </c>
      <c r="O14">
        <f t="shared" si="5"/>
        <v>-140.63312775230747</v>
      </c>
      <c r="P14">
        <f t="shared" si="6"/>
        <v>-3.2262447948179523E-4</v>
      </c>
    </row>
    <row r="15" spans="1:16" x14ac:dyDescent="0.25">
      <c r="A15" s="2">
        <v>0.65</v>
      </c>
      <c r="B15" s="1">
        <v>-7.0149999999999997</v>
      </c>
      <c r="C15">
        <v>2.5000000000000001E-2</v>
      </c>
      <c r="H15">
        <f t="shared" si="0"/>
        <v>0.65</v>
      </c>
      <c r="I15">
        <f t="shared" si="1"/>
        <v>-7.0149999999999997</v>
      </c>
      <c r="J15">
        <f t="shared" si="2"/>
        <v>2.4530839591415454E-2</v>
      </c>
      <c r="K15">
        <f t="shared" si="3"/>
        <v>-140.67323416261755</v>
      </c>
      <c r="L15">
        <f t="shared" si="4"/>
        <v>3.2707786121887264E-4</v>
      </c>
      <c r="N15">
        <f>(MAX(L2:L2674)+MIN(L2:L2674))/2</f>
        <v>6.5018353086331872E-4</v>
      </c>
      <c r="O15">
        <f t="shared" si="5"/>
        <v>-140.63312775230747</v>
      </c>
      <c r="P15">
        <f t="shared" si="6"/>
        <v>-3.2310566964444609E-4</v>
      </c>
    </row>
    <row r="16" spans="1:16" x14ac:dyDescent="0.25">
      <c r="A16" s="2">
        <v>0.7</v>
      </c>
      <c r="B16" s="1">
        <v>-7.016</v>
      </c>
      <c r="C16">
        <v>2.5000000000000001E-2</v>
      </c>
      <c r="E16" t="s">
        <v>7</v>
      </c>
      <c r="F16">
        <v>1010</v>
      </c>
      <c r="H16">
        <f t="shared" si="0"/>
        <v>0.7</v>
      </c>
      <c r="I16">
        <f t="shared" si="1"/>
        <v>-7.016</v>
      </c>
      <c r="J16">
        <f t="shared" si="2"/>
        <v>2.4494750329216643E-2</v>
      </c>
      <c r="K16">
        <f t="shared" si="3"/>
        <v>-140.6932873677726</v>
      </c>
      <c r="L16">
        <f t="shared" si="4"/>
        <v>3.2659667105622184E-4</v>
      </c>
      <c r="O16">
        <f t="shared" si="5"/>
        <v>-140.6531809574625</v>
      </c>
      <c r="P16">
        <f t="shared" si="6"/>
        <v>-3.2358685980709689E-4</v>
      </c>
    </row>
    <row r="17" spans="1:16" x14ac:dyDescent="0.25">
      <c r="A17" s="2">
        <v>0.75</v>
      </c>
      <c r="B17" s="1">
        <v>-7.0149999999999997</v>
      </c>
      <c r="C17">
        <v>2.5000000000000001E-2</v>
      </c>
      <c r="E17" t="s">
        <v>8</v>
      </c>
      <c r="F17">
        <v>250</v>
      </c>
      <c r="H17">
        <f t="shared" si="0"/>
        <v>0.75</v>
      </c>
      <c r="I17">
        <f t="shared" si="1"/>
        <v>-7.0149999999999997</v>
      </c>
      <c r="J17">
        <f t="shared" si="2"/>
        <v>2.4458661067017832E-2</v>
      </c>
      <c r="K17">
        <f t="shared" si="3"/>
        <v>-140.67323416261755</v>
      </c>
      <c r="L17">
        <f t="shared" si="4"/>
        <v>3.2611548089357103E-4</v>
      </c>
      <c r="O17">
        <f t="shared" si="5"/>
        <v>-140.63312775230747</v>
      </c>
      <c r="P17">
        <f t="shared" si="6"/>
        <v>-3.2406804996974769E-4</v>
      </c>
    </row>
    <row r="18" spans="1:16" x14ac:dyDescent="0.25">
      <c r="A18" s="2">
        <v>0.8</v>
      </c>
      <c r="B18" s="1">
        <v>-7.0149999999999997</v>
      </c>
      <c r="C18">
        <v>2.5000000000000001E-2</v>
      </c>
      <c r="E18" t="s">
        <v>9</v>
      </c>
      <c r="F18">
        <v>66.8</v>
      </c>
      <c r="H18">
        <f t="shared" si="0"/>
        <v>0.8</v>
      </c>
      <c r="I18">
        <f t="shared" si="1"/>
        <v>-7.0149999999999997</v>
      </c>
      <c r="J18">
        <f t="shared" si="2"/>
        <v>2.4422571804819021E-2</v>
      </c>
      <c r="K18">
        <f t="shared" si="3"/>
        <v>-140.67323416261755</v>
      </c>
      <c r="L18">
        <f t="shared" si="4"/>
        <v>3.2563429073092023E-4</v>
      </c>
      <c r="O18">
        <f t="shared" si="5"/>
        <v>-140.63312775230747</v>
      </c>
      <c r="P18">
        <f t="shared" si="6"/>
        <v>-3.2454924013239849E-4</v>
      </c>
    </row>
    <row r="19" spans="1:16" x14ac:dyDescent="0.25">
      <c r="A19" s="2">
        <v>0.85</v>
      </c>
      <c r="B19" s="1">
        <v>-7.0149999999999997</v>
      </c>
      <c r="C19">
        <v>2.5000000000000001E-2</v>
      </c>
      <c r="E19" t="s">
        <v>10</v>
      </c>
      <c r="F19">
        <v>0.22</v>
      </c>
      <c r="H19">
        <f t="shared" si="0"/>
        <v>0.85</v>
      </c>
      <c r="I19">
        <f t="shared" si="1"/>
        <v>-7.0149999999999997</v>
      </c>
      <c r="J19">
        <f t="shared" si="2"/>
        <v>2.438648254262021E-2</v>
      </c>
      <c r="K19">
        <f t="shared" si="3"/>
        <v>-140.67323416261755</v>
      </c>
      <c r="L19">
        <f t="shared" si="4"/>
        <v>3.2515310056826938E-4</v>
      </c>
      <c r="O19">
        <f t="shared" si="5"/>
        <v>-140.63312775230747</v>
      </c>
      <c r="P19">
        <f t="shared" si="6"/>
        <v>-3.2503043029504934E-4</v>
      </c>
    </row>
    <row r="20" spans="1:16" x14ac:dyDescent="0.25">
      <c r="A20" s="2">
        <v>0.9</v>
      </c>
      <c r="B20" s="1">
        <v>-7.0149999999999997</v>
      </c>
      <c r="C20">
        <v>2.5000000000000001E-2</v>
      </c>
      <c r="E20" t="s">
        <v>11</v>
      </c>
      <c r="F20">
        <v>0.26</v>
      </c>
      <c r="H20">
        <f t="shared" si="0"/>
        <v>0.9</v>
      </c>
      <c r="I20">
        <f t="shared" si="1"/>
        <v>-7.0149999999999997</v>
      </c>
      <c r="J20">
        <f t="shared" si="2"/>
        <v>2.4350393280421399E-2</v>
      </c>
      <c r="K20">
        <f t="shared" si="3"/>
        <v>-140.67323416261755</v>
      </c>
      <c r="L20">
        <f t="shared" si="4"/>
        <v>3.2467191040561858E-4</v>
      </c>
      <c r="O20">
        <f t="shared" si="5"/>
        <v>-140.63312775230747</v>
      </c>
      <c r="P20">
        <f t="shared" si="6"/>
        <v>-3.2551162045770015E-4</v>
      </c>
    </row>
    <row r="21" spans="1:16" x14ac:dyDescent="0.25">
      <c r="A21" s="2">
        <v>0.95</v>
      </c>
      <c r="B21" s="1">
        <v>-7.0149999999999997</v>
      </c>
      <c r="C21">
        <v>2.5000000000000001E-2</v>
      </c>
      <c r="E21" t="s">
        <v>12</v>
      </c>
      <c r="F21">
        <v>0.03</v>
      </c>
      <c r="H21">
        <f t="shared" si="0"/>
        <v>0.95</v>
      </c>
      <c r="I21">
        <f t="shared" si="1"/>
        <v>-7.0149999999999997</v>
      </c>
      <c r="J21">
        <f t="shared" si="2"/>
        <v>2.4314304018222588E-2</v>
      </c>
      <c r="K21">
        <f t="shared" si="3"/>
        <v>-140.67323416261755</v>
      </c>
      <c r="L21">
        <f t="shared" si="4"/>
        <v>3.2419072024296778E-4</v>
      </c>
      <c r="O21">
        <f t="shared" si="5"/>
        <v>-140.63312775230747</v>
      </c>
      <c r="P21">
        <f t="shared" si="6"/>
        <v>-3.2599281062035095E-4</v>
      </c>
    </row>
    <row r="22" spans="1:16" x14ac:dyDescent="0.25">
      <c r="A22" s="2">
        <v>1</v>
      </c>
      <c r="B22" s="1">
        <v>-7.0149999999999997</v>
      </c>
      <c r="C22">
        <v>2.5000000000000001E-2</v>
      </c>
      <c r="E22" t="s">
        <v>13</v>
      </c>
      <c r="F22">
        <v>1</v>
      </c>
      <c r="H22">
        <f t="shared" si="0"/>
        <v>1</v>
      </c>
      <c r="I22">
        <f t="shared" si="1"/>
        <v>-7.0149999999999997</v>
      </c>
      <c r="J22">
        <f t="shared" si="2"/>
        <v>2.4278214756023778E-2</v>
      </c>
      <c r="K22">
        <f t="shared" si="3"/>
        <v>-140.67323416261755</v>
      </c>
      <c r="L22">
        <f t="shared" si="4"/>
        <v>3.2370953008031698E-4</v>
      </c>
      <c r="O22">
        <f t="shared" si="5"/>
        <v>-140.63312775230747</v>
      </c>
      <c r="P22">
        <f t="shared" si="6"/>
        <v>-3.2647400078300175E-4</v>
      </c>
    </row>
    <row r="23" spans="1:16" x14ac:dyDescent="0.25">
      <c r="A23" s="2">
        <v>1.05</v>
      </c>
      <c r="B23" s="1">
        <v>-7.0149999999999997</v>
      </c>
      <c r="C23">
        <v>2.5000000000000001E-2</v>
      </c>
      <c r="H23">
        <f t="shared" si="0"/>
        <v>1.05</v>
      </c>
      <c r="I23">
        <f t="shared" si="1"/>
        <v>-7.0149999999999997</v>
      </c>
      <c r="J23">
        <f t="shared" si="2"/>
        <v>2.4242125493824963E-2</v>
      </c>
      <c r="K23">
        <f t="shared" si="3"/>
        <v>-140.67323416261755</v>
      </c>
      <c r="L23">
        <f t="shared" si="4"/>
        <v>3.2322833991766612E-4</v>
      </c>
      <c r="O23">
        <f t="shared" si="5"/>
        <v>-140.63312775230747</v>
      </c>
      <c r="P23">
        <f t="shared" si="6"/>
        <v>-3.269551909456526E-4</v>
      </c>
    </row>
    <row r="24" spans="1:16" x14ac:dyDescent="0.25">
      <c r="A24" s="2">
        <v>1.1000000000000001</v>
      </c>
      <c r="B24" s="1">
        <v>-7.0149999999999997</v>
      </c>
      <c r="C24">
        <v>2.5000000000000001E-2</v>
      </c>
      <c r="E24" t="s">
        <v>14</v>
      </c>
      <c r="F24">
        <f>F16/(0.5*PI()*(F19+F20)*F18)</f>
        <v>20.053205155041706</v>
      </c>
      <c r="H24">
        <f t="shared" si="0"/>
        <v>1.1000000000000001</v>
      </c>
      <c r="I24">
        <f t="shared" si="1"/>
        <v>-7.0149999999999997</v>
      </c>
      <c r="J24">
        <f t="shared" si="2"/>
        <v>2.4206036231626153E-2</v>
      </c>
      <c r="K24">
        <f t="shared" si="3"/>
        <v>-140.67323416261755</v>
      </c>
      <c r="L24">
        <f t="shared" si="4"/>
        <v>3.2274714975501532E-4</v>
      </c>
      <c r="O24">
        <f t="shared" si="5"/>
        <v>-140.63312775230747</v>
      </c>
      <c r="P24">
        <f t="shared" si="6"/>
        <v>-3.274363811083034E-4</v>
      </c>
    </row>
    <row r="25" spans="1:16" x14ac:dyDescent="0.25">
      <c r="A25" s="2">
        <v>1.1499999999999999</v>
      </c>
      <c r="B25" s="1">
        <v>-7.0149999999999997</v>
      </c>
      <c r="C25">
        <v>2.5000000000000001E-2</v>
      </c>
      <c r="E25" t="s">
        <v>15</v>
      </c>
      <c r="F25">
        <f>2/(1000*0.5*F17*(F20-F19)*F21*F22)</f>
        <v>1.3333333333333331E-2</v>
      </c>
      <c r="H25">
        <f t="shared" si="0"/>
        <v>1.1499999999999999</v>
      </c>
      <c r="I25">
        <f t="shared" si="1"/>
        <v>-7.0149999999999997</v>
      </c>
      <c r="J25">
        <f t="shared" si="2"/>
        <v>2.4169946969427342E-2</v>
      </c>
      <c r="K25">
        <f t="shared" si="3"/>
        <v>-140.67323416261755</v>
      </c>
      <c r="L25">
        <f t="shared" si="4"/>
        <v>3.2226595959236452E-4</v>
      </c>
      <c r="O25">
        <f t="shared" si="5"/>
        <v>-140.63312775230747</v>
      </c>
      <c r="P25">
        <f t="shared" si="6"/>
        <v>-3.279175712709542E-4</v>
      </c>
    </row>
    <row r="26" spans="1:16" x14ac:dyDescent="0.25">
      <c r="A26" s="2">
        <v>1.2</v>
      </c>
      <c r="B26" s="1">
        <v>-7.0149999999999997</v>
      </c>
      <c r="C26">
        <v>2.5999999999999999E-2</v>
      </c>
      <c r="H26">
        <f t="shared" si="0"/>
        <v>1.2</v>
      </c>
      <c r="I26">
        <f t="shared" si="1"/>
        <v>-7.0149999999999997</v>
      </c>
      <c r="J26">
        <f t="shared" si="2"/>
        <v>2.5133857707228528E-2</v>
      </c>
      <c r="K26">
        <f t="shared" si="3"/>
        <v>-140.67323416261755</v>
      </c>
      <c r="L26">
        <f t="shared" si="4"/>
        <v>3.3511810276304696E-4</v>
      </c>
      <c r="O26">
        <f t="shared" si="5"/>
        <v>-140.63312775230747</v>
      </c>
      <c r="P26">
        <f t="shared" si="6"/>
        <v>-3.1506542810027176E-4</v>
      </c>
    </row>
    <row r="27" spans="1:16" x14ac:dyDescent="0.25">
      <c r="A27" s="2">
        <v>1.25</v>
      </c>
      <c r="B27" s="1">
        <v>-7.0149999999999997</v>
      </c>
      <c r="C27">
        <v>2.5000000000000001E-2</v>
      </c>
      <c r="H27">
        <f t="shared" si="0"/>
        <v>1.25</v>
      </c>
      <c r="I27">
        <f t="shared" si="1"/>
        <v>-7.0149999999999997</v>
      </c>
      <c r="J27">
        <f t="shared" si="2"/>
        <v>2.409776844502972E-2</v>
      </c>
      <c r="K27">
        <f t="shared" si="3"/>
        <v>-140.67323416261755</v>
      </c>
      <c r="L27">
        <f t="shared" si="4"/>
        <v>3.2130357926706286E-4</v>
      </c>
      <c r="O27">
        <f t="shared" si="5"/>
        <v>-140.63312775230747</v>
      </c>
      <c r="P27">
        <f t="shared" si="6"/>
        <v>-3.2887995159625586E-4</v>
      </c>
    </row>
    <row r="28" spans="1:16" x14ac:dyDescent="0.25">
      <c r="A28" s="2">
        <v>1.3</v>
      </c>
      <c r="B28" s="1">
        <v>-7.0149999999999997</v>
      </c>
      <c r="C28">
        <v>2.5999999999999999E-2</v>
      </c>
      <c r="H28">
        <f t="shared" si="0"/>
        <v>1.3</v>
      </c>
      <c r="I28">
        <f t="shared" si="1"/>
        <v>-7.0149999999999997</v>
      </c>
      <c r="J28">
        <f t="shared" si="2"/>
        <v>2.5061679182830907E-2</v>
      </c>
      <c r="K28">
        <f t="shared" si="3"/>
        <v>-140.67323416261755</v>
      </c>
      <c r="L28">
        <f t="shared" si="4"/>
        <v>3.3415572243774536E-4</v>
      </c>
      <c r="O28">
        <f t="shared" si="5"/>
        <v>-140.63312775230747</v>
      </c>
      <c r="P28">
        <f t="shared" si="6"/>
        <v>-3.1602780842557337E-4</v>
      </c>
    </row>
    <row r="29" spans="1:16" x14ac:dyDescent="0.25">
      <c r="A29" s="2">
        <v>1.35</v>
      </c>
      <c r="B29" s="1">
        <v>-7.0149999999999997</v>
      </c>
      <c r="C29">
        <v>2.5000000000000001E-2</v>
      </c>
      <c r="H29">
        <f t="shared" si="0"/>
        <v>1.35</v>
      </c>
      <c r="I29">
        <f t="shared" si="1"/>
        <v>-7.0149999999999997</v>
      </c>
      <c r="J29">
        <f t="shared" si="2"/>
        <v>2.4025589920632098E-2</v>
      </c>
      <c r="K29">
        <f t="shared" si="3"/>
        <v>-140.67323416261755</v>
      </c>
      <c r="L29">
        <f t="shared" si="4"/>
        <v>3.2034119894176126E-4</v>
      </c>
      <c r="O29">
        <f t="shared" si="5"/>
        <v>-140.63312775230747</v>
      </c>
      <c r="P29">
        <f t="shared" si="6"/>
        <v>-3.2984233192155746E-4</v>
      </c>
    </row>
    <row r="30" spans="1:16" x14ac:dyDescent="0.25">
      <c r="A30" s="2">
        <v>1.4</v>
      </c>
      <c r="B30" s="1">
        <v>-7.0149999999999997</v>
      </c>
      <c r="C30">
        <v>2.5999999999999999E-2</v>
      </c>
      <c r="H30">
        <f t="shared" si="0"/>
        <v>1.4</v>
      </c>
      <c r="I30">
        <f t="shared" si="1"/>
        <v>-7.0149999999999997</v>
      </c>
      <c r="J30">
        <f t="shared" si="2"/>
        <v>2.4989500658433285E-2</v>
      </c>
      <c r="K30">
        <f t="shared" si="3"/>
        <v>-140.67323416261755</v>
      </c>
      <c r="L30">
        <f t="shared" si="4"/>
        <v>3.3319334211244375E-4</v>
      </c>
      <c r="O30">
        <f t="shared" si="5"/>
        <v>-140.63312775230747</v>
      </c>
      <c r="P30">
        <f t="shared" si="6"/>
        <v>-3.1699018875087497E-4</v>
      </c>
    </row>
    <row r="31" spans="1:16" x14ac:dyDescent="0.25">
      <c r="A31" s="2">
        <v>1.45</v>
      </c>
      <c r="B31" s="1">
        <v>-7.0149999999999997</v>
      </c>
      <c r="C31">
        <v>2.5000000000000001E-2</v>
      </c>
      <c r="H31">
        <f t="shared" si="0"/>
        <v>1.45</v>
      </c>
      <c r="I31">
        <f t="shared" si="1"/>
        <v>-7.0149999999999997</v>
      </c>
      <c r="J31">
        <f t="shared" si="2"/>
        <v>2.3953411396234477E-2</v>
      </c>
      <c r="K31">
        <f t="shared" si="3"/>
        <v>-140.67323416261755</v>
      </c>
      <c r="L31">
        <f t="shared" si="4"/>
        <v>3.193788186164596E-4</v>
      </c>
      <c r="O31">
        <f t="shared" si="5"/>
        <v>-140.63312775230747</v>
      </c>
      <c r="P31">
        <f t="shared" si="6"/>
        <v>-3.3080471224685912E-4</v>
      </c>
    </row>
    <row r="32" spans="1:16" x14ac:dyDescent="0.25">
      <c r="A32" s="2">
        <v>1.5</v>
      </c>
      <c r="B32" s="1">
        <v>-7.0149999999999997</v>
      </c>
      <c r="C32">
        <v>2.5999999999999999E-2</v>
      </c>
      <c r="H32">
        <f t="shared" si="0"/>
        <v>1.5</v>
      </c>
      <c r="I32">
        <f t="shared" si="1"/>
        <v>-7.0149999999999997</v>
      </c>
      <c r="J32">
        <f t="shared" si="2"/>
        <v>2.491732213403566E-2</v>
      </c>
      <c r="K32">
        <f t="shared" si="3"/>
        <v>-140.67323416261755</v>
      </c>
      <c r="L32">
        <f t="shared" si="4"/>
        <v>3.3223096178714204E-4</v>
      </c>
      <c r="O32">
        <f t="shared" si="5"/>
        <v>-140.63312775230747</v>
      </c>
      <c r="P32">
        <f t="shared" si="6"/>
        <v>-3.1795256907617668E-4</v>
      </c>
    </row>
    <row r="33" spans="1:16" x14ac:dyDescent="0.25">
      <c r="A33" s="2">
        <v>1.55</v>
      </c>
      <c r="B33" s="1">
        <v>-7.0149999999999997</v>
      </c>
      <c r="C33">
        <v>2.5000000000000001E-2</v>
      </c>
      <c r="H33">
        <f t="shared" si="0"/>
        <v>1.55</v>
      </c>
      <c r="I33">
        <f t="shared" si="1"/>
        <v>-7.0149999999999997</v>
      </c>
      <c r="J33">
        <f t="shared" si="2"/>
        <v>2.3881232871836851E-2</v>
      </c>
      <c r="K33">
        <f t="shared" si="3"/>
        <v>-140.67323416261755</v>
      </c>
      <c r="L33">
        <f t="shared" si="4"/>
        <v>3.1841643829115795E-4</v>
      </c>
      <c r="O33">
        <f t="shared" si="5"/>
        <v>-140.63312775230747</v>
      </c>
      <c r="P33">
        <f t="shared" si="6"/>
        <v>-3.3176709257216078E-4</v>
      </c>
    </row>
    <row r="34" spans="1:16" x14ac:dyDescent="0.25">
      <c r="A34" s="2">
        <v>1.6</v>
      </c>
      <c r="B34" s="1">
        <v>-7.016</v>
      </c>
      <c r="C34">
        <v>2.5000000000000001E-2</v>
      </c>
      <c r="H34">
        <f t="shared" si="0"/>
        <v>1.6</v>
      </c>
      <c r="I34">
        <f t="shared" si="1"/>
        <v>-7.016</v>
      </c>
      <c r="J34">
        <f t="shared" si="2"/>
        <v>2.3845143609638041E-2</v>
      </c>
      <c r="K34">
        <f t="shared" si="3"/>
        <v>-140.6932873677726</v>
      </c>
      <c r="L34">
        <f t="shared" si="4"/>
        <v>3.1793524812850715E-4</v>
      </c>
      <c r="O34">
        <f t="shared" si="5"/>
        <v>-140.6531809574625</v>
      </c>
      <c r="P34">
        <f t="shared" si="6"/>
        <v>-3.3224828273481158E-4</v>
      </c>
    </row>
    <row r="35" spans="1:16" x14ac:dyDescent="0.25">
      <c r="A35" s="2">
        <v>1.65</v>
      </c>
      <c r="B35" s="1">
        <v>-7.0149999999999997</v>
      </c>
      <c r="C35">
        <v>2.5000000000000001E-2</v>
      </c>
      <c r="H35">
        <f t="shared" si="0"/>
        <v>1.65</v>
      </c>
      <c r="I35">
        <f t="shared" si="1"/>
        <v>-7.0149999999999997</v>
      </c>
      <c r="J35">
        <f t="shared" si="2"/>
        <v>2.380905434743923E-2</v>
      </c>
      <c r="K35">
        <f t="shared" si="3"/>
        <v>-140.67323416261755</v>
      </c>
      <c r="L35">
        <f t="shared" si="4"/>
        <v>3.1745405796585634E-4</v>
      </c>
      <c r="O35">
        <f t="shared" si="5"/>
        <v>-140.63312775230747</v>
      </c>
      <c r="P35">
        <f t="shared" si="6"/>
        <v>-3.3272947289746238E-4</v>
      </c>
    </row>
    <row r="36" spans="1:16" x14ac:dyDescent="0.25">
      <c r="A36" s="2">
        <v>1.7</v>
      </c>
      <c r="B36" s="1">
        <v>-7.0149999999999997</v>
      </c>
      <c r="C36">
        <v>2.5999999999999999E-2</v>
      </c>
      <c r="H36">
        <f t="shared" si="0"/>
        <v>1.7</v>
      </c>
      <c r="I36">
        <f t="shared" si="1"/>
        <v>-7.0149999999999997</v>
      </c>
      <c r="J36">
        <f t="shared" si="2"/>
        <v>2.4772965085240416E-2</v>
      </c>
      <c r="K36">
        <f t="shared" si="3"/>
        <v>-140.67323416261755</v>
      </c>
      <c r="L36">
        <f t="shared" si="4"/>
        <v>3.3030620113653884E-4</v>
      </c>
      <c r="O36">
        <f t="shared" si="5"/>
        <v>-140.63312775230747</v>
      </c>
      <c r="P36">
        <f t="shared" si="6"/>
        <v>-3.1987732972677988E-4</v>
      </c>
    </row>
    <row r="37" spans="1:16" x14ac:dyDescent="0.25">
      <c r="A37" s="2">
        <v>1.75</v>
      </c>
      <c r="B37" s="1">
        <v>-7.0149999999999997</v>
      </c>
      <c r="C37">
        <v>2.5000000000000001E-2</v>
      </c>
      <c r="H37">
        <f t="shared" si="0"/>
        <v>1.75</v>
      </c>
      <c r="I37">
        <f t="shared" si="1"/>
        <v>-7.0149999999999997</v>
      </c>
      <c r="J37">
        <f t="shared" si="2"/>
        <v>2.3736875823041608E-2</v>
      </c>
      <c r="K37">
        <f t="shared" si="3"/>
        <v>-140.67323416261755</v>
      </c>
      <c r="L37">
        <f t="shared" si="4"/>
        <v>3.1649167764055469E-4</v>
      </c>
      <c r="O37">
        <f t="shared" si="5"/>
        <v>-140.63312775230747</v>
      </c>
      <c r="P37">
        <f t="shared" si="6"/>
        <v>-3.3369185322276403E-4</v>
      </c>
    </row>
    <row r="38" spans="1:16" x14ac:dyDescent="0.25">
      <c r="A38" s="2">
        <v>1.8</v>
      </c>
      <c r="B38" s="1">
        <v>-6.9880000000000004</v>
      </c>
      <c r="C38">
        <v>2.5999999999999999E-2</v>
      </c>
      <c r="H38">
        <f t="shared" si="0"/>
        <v>1.8</v>
      </c>
      <c r="I38">
        <f t="shared" si="1"/>
        <v>-6.9880000000000004</v>
      </c>
      <c r="J38">
        <f t="shared" si="2"/>
        <v>2.4700786560842795E-2</v>
      </c>
      <c r="K38">
        <f t="shared" si="3"/>
        <v>-140.13179762343145</v>
      </c>
      <c r="L38">
        <f t="shared" si="4"/>
        <v>3.2934382081123718E-4</v>
      </c>
      <c r="O38">
        <f t="shared" si="5"/>
        <v>-140.09169121312135</v>
      </c>
      <c r="P38">
        <f t="shared" si="6"/>
        <v>-3.2083971005208154E-4</v>
      </c>
    </row>
    <row r="39" spans="1:16" x14ac:dyDescent="0.25">
      <c r="A39" s="2">
        <v>1.85</v>
      </c>
      <c r="B39" s="1">
        <v>-6.9660000000000002</v>
      </c>
      <c r="C39">
        <v>2.5999999999999999E-2</v>
      </c>
      <c r="H39">
        <f t="shared" si="0"/>
        <v>1.85</v>
      </c>
      <c r="I39">
        <f t="shared" si="1"/>
        <v>-6.9660000000000002</v>
      </c>
      <c r="J39">
        <f t="shared" si="2"/>
        <v>2.4664697298643984E-2</v>
      </c>
      <c r="K39">
        <f t="shared" si="3"/>
        <v>-139.69062711002053</v>
      </c>
      <c r="L39">
        <f t="shared" si="4"/>
        <v>3.2886263064858638E-4</v>
      </c>
      <c r="O39">
        <f t="shared" si="5"/>
        <v>-139.65052069971046</v>
      </c>
      <c r="P39">
        <f t="shared" si="6"/>
        <v>-3.2132090021473234E-4</v>
      </c>
    </row>
    <row r="40" spans="1:16" x14ac:dyDescent="0.25">
      <c r="A40" s="2">
        <v>1.9</v>
      </c>
      <c r="B40" s="1">
        <v>-6.9649999999999999</v>
      </c>
      <c r="C40">
        <v>2.5999999999999999E-2</v>
      </c>
      <c r="H40">
        <f t="shared" si="0"/>
        <v>1.9</v>
      </c>
      <c r="I40">
        <f t="shared" si="1"/>
        <v>-6.9649999999999999</v>
      </c>
      <c r="J40">
        <f t="shared" si="2"/>
        <v>2.462860803644517E-2</v>
      </c>
      <c r="K40">
        <f t="shared" si="3"/>
        <v>-139.67057390486548</v>
      </c>
      <c r="L40">
        <f t="shared" si="4"/>
        <v>3.2838144048593553E-4</v>
      </c>
      <c r="O40">
        <f t="shared" si="5"/>
        <v>-139.63046749455538</v>
      </c>
      <c r="P40">
        <f t="shared" si="6"/>
        <v>-3.218020903773832E-4</v>
      </c>
    </row>
    <row r="41" spans="1:16" x14ac:dyDescent="0.25">
      <c r="A41" s="2">
        <v>1.95</v>
      </c>
      <c r="B41" s="1">
        <v>-6.9649999999999999</v>
      </c>
      <c r="C41">
        <v>2.5999999999999999E-2</v>
      </c>
      <c r="H41">
        <f t="shared" si="0"/>
        <v>1.95</v>
      </c>
      <c r="I41">
        <f t="shared" si="1"/>
        <v>-6.9649999999999999</v>
      </c>
      <c r="J41">
        <f t="shared" si="2"/>
        <v>2.4592518774246359E-2</v>
      </c>
      <c r="K41">
        <f t="shared" si="3"/>
        <v>-139.67057390486548</v>
      </c>
      <c r="L41">
        <f t="shared" si="4"/>
        <v>3.2790025032328473E-4</v>
      </c>
      <c r="O41">
        <f t="shared" si="5"/>
        <v>-139.63046749455538</v>
      </c>
      <c r="P41">
        <f t="shared" si="6"/>
        <v>-3.22283280540034E-4</v>
      </c>
    </row>
    <row r="42" spans="1:16" x14ac:dyDescent="0.25">
      <c r="A42" s="2">
        <v>2</v>
      </c>
      <c r="B42" s="1">
        <v>-6.9649999999999999</v>
      </c>
      <c r="C42">
        <v>2.5999999999999999E-2</v>
      </c>
      <c r="H42">
        <f t="shared" si="0"/>
        <v>2</v>
      </c>
      <c r="I42">
        <f t="shared" si="1"/>
        <v>-6.9649999999999999</v>
      </c>
      <c r="J42">
        <f t="shared" si="2"/>
        <v>2.4556429512047548E-2</v>
      </c>
      <c r="K42">
        <f t="shared" si="3"/>
        <v>-139.67057390486548</v>
      </c>
      <c r="L42">
        <f t="shared" si="4"/>
        <v>3.2741906016063392E-4</v>
      </c>
      <c r="O42">
        <f t="shared" si="5"/>
        <v>-139.63046749455538</v>
      </c>
      <c r="P42">
        <f t="shared" si="6"/>
        <v>-3.227644707026848E-4</v>
      </c>
    </row>
    <row r="43" spans="1:16" x14ac:dyDescent="0.25">
      <c r="A43" s="2">
        <v>2.0499999999999998</v>
      </c>
      <c r="B43" s="1">
        <v>-6.9649999999999999</v>
      </c>
      <c r="C43">
        <v>2.5999999999999999E-2</v>
      </c>
      <c r="H43">
        <f t="shared" si="0"/>
        <v>2.0499999999999998</v>
      </c>
      <c r="I43">
        <f t="shared" si="1"/>
        <v>-6.9649999999999999</v>
      </c>
      <c r="J43">
        <f t="shared" si="2"/>
        <v>2.4520340249848737E-2</v>
      </c>
      <c r="K43">
        <f t="shared" si="3"/>
        <v>-139.67057390486548</v>
      </c>
      <c r="L43">
        <f t="shared" si="4"/>
        <v>3.2693786999798307E-4</v>
      </c>
      <c r="O43">
        <f t="shared" si="5"/>
        <v>-139.63046749455538</v>
      </c>
      <c r="P43">
        <f t="shared" si="6"/>
        <v>-3.2324566086533565E-4</v>
      </c>
    </row>
    <row r="44" spans="1:16" x14ac:dyDescent="0.25">
      <c r="A44" s="2">
        <v>2.1</v>
      </c>
      <c r="B44" s="1">
        <v>-6.9640000000000004</v>
      </c>
      <c r="C44">
        <v>2.5999999999999999E-2</v>
      </c>
      <c r="H44">
        <f t="shared" si="0"/>
        <v>2.1</v>
      </c>
      <c r="I44">
        <f t="shared" si="1"/>
        <v>-6.9640000000000004</v>
      </c>
      <c r="J44">
        <f t="shared" si="2"/>
        <v>2.4484250987649926E-2</v>
      </c>
      <c r="K44">
        <f t="shared" si="3"/>
        <v>-139.65052069971046</v>
      </c>
      <c r="L44">
        <f t="shared" si="4"/>
        <v>3.2645667983533227E-4</v>
      </c>
      <c r="O44">
        <f t="shared" si="5"/>
        <v>-139.61041428940035</v>
      </c>
      <c r="P44">
        <f t="shared" si="6"/>
        <v>-3.2372685102798645E-4</v>
      </c>
    </row>
    <row r="45" spans="1:16" x14ac:dyDescent="0.25">
      <c r="A45" s="2">
        <v>2.15</v>
      </c>
      <c r="B45" s="1">
        <v>-6.9130000000000003</v>
      </c>
      <c r="C45">
        <v>2.5999999999999999E-2</v>
      </c>
      <c r="H45">
        <f t="shared" si="0"/>
        <v>2.15</v>
      </c>
      <c r="I45">
        <f t="shared" si="1"/>
        <v>-6.9130000000000003</v>
      </c>
      <c r="J45">
        <f t="shared" si="2"/>
        <v>2.4448161725451115E-2</v>
      </c>
      <c r="K45">
        <f t="shared" si="3"/>
        <v>-138.62780723680331</v>
      </c>
      <c r="L45">
        <f t="shared" si="4"/>
        <v>3.2597548967268147E-4</v>
      </c>
      <c r="O45">
        <f t="shared" si="5"/>
        <v>-138.58770082649323</v>
      </c>
      <c r="P45">
        <f t="shared" si="6"/>
        <v>-3.2420804119063726E-4</v>
      </c>
    </row>
    <row r="46" spans="1:16" x14ac:dyDescent="0.25">
      <c r="A46" s="2">
        <v>2.2000000000000002</v>
      </c>
      <c r="B46" s="1">
        <v>-6.8120000000000003</v>
      </c>
      <c r="C46">
        <v>2.7E-2</v>
      </c>
      <c r="H46">
        <f t="shared" si="0"/>
        <v>2.2000000000000002</v>
      </c>
      <c r="I46">
        <f t="shared" si="1"/>
        <v>-6.8120000000000003</v>
      </c>
      <c r="J46">
        <f t="shared" si="2"/>
        <v>2.5412072463252305E-2</v>
      </c>
      <c r="K46">
        <f t="shared" si="3"/>
        <v>-136.60243351614412</v>
      </c>
      <c r="L46">
        <f t="shared" si="4"/>
        <v>3.3882763284336402E-4</v>
      </c>
      <c r="O46">
        <f t="shared" si="5"/>
        <v>-136.56232710583402</v>
      </c>
      <c r="P46">
        <f t="shared" si="6"/>
        <v>-3.1135589801995471E-4</v>
      </c>
    </row>
    <row r="47" spans="1:16" x14ac:dyDescent="0.25">
      <c r="A47" s="2">
        <v>2.25</v>
      </c>
      <c r="B47" s="1">
        <v>-6.742</v>
      </c>
      <c r="C47">
        <v>2.7E-2</v>
      </c>
      <c r="H47">
        <f t="shared" si="0"/>
        <v>2.25</v>
      </c>
      <c r="I47">
        <f t="shared" si="1"/>
        <v>-6.742</v>
      </c>
      <c r="J47">
        <f t="shared" si="2"/>
        <v>2.5375983201053495E-2</v>
      </c>
      <c r="K47">
        <f t="shared" si="3"/>
        <v>-135.19870915529117</v>
      </c>
      <c r="L47">
        <f t="shared" si="4"/>
        <v>3.3834644268071322E-4</v>
      </c>
      <c r="O47">
        <f t="shared" si="5"/>
        <v>-135.15860274498107</v>
      </c>
      <c r="P47">
        <f t="shared" si="6"/>
        <v>-3.1183708818260551E-4</v>
      </c>
    </row>
    <row r="48" spans="1:16" x14ac:dyDescent="0.25">
      <c r="A48" s="2">
        <v>2.2999999999999998</v>
      </c>
      <c r="B48" s="1">
        <v>-6.6719999999999997</v>
      </c>
      <c r="C48">
        <v>2.8000000000000001E-2</v>
      </c>
      <c r="H48">
        <f t="shared" si="0"/>
        <v>2.2999999999999998</v>
      </c>
      <c r="I48">
        <f t="shared" si="1"/>
        <v>-6.6719999999999997</v>
      </c>
      <c r="J48">
        <f t="shared" si="2"/>
        <v>2.6339893938854685E-2</v>
      </c>
      <c r="K48">
        <f t="shared" si="3"/>
        <v>-133.79498479443825</v>
      </c>
      <c r="L48">
        <f t="shared" si="4"/>
        <v>3.5119858585139571E-4</v>
      </c>
      <c r="O48">
        <f t="shared" si="5"/>
        <v>-133.75487838412818</v>
      </c>
      <c r="P48">
        <f t="shared" si="6"/>
        <v>-2.9898494501192301E-4</v>
      </c>
    </row>
    <row r="49" spans="1:16" x14ac:dyDescent="0.25">
      <c r="A49" s="2">
        <v>2.35</v>
      </c>
      <c r="B49" s="1">
        <v>-6.6470000000000002</v>
      </c>
      <c r="C49">
        <v>2.7E-2</v>
      </c>
      <c r="H49">
        <f t="shared" si="0"/>
        <v>2.35</v>
      </c>
      <c r="I49">
        <f t="shared" si="1"/>
        <v>-6.6470000000000002</v>
      </c>
      <c r="J49">
        <f t="shared" si="2"/>
        <v>2.5303804676655869E-2</v>
      </c>
      <c r="K49">
        <f t="shared" si="3"/>
        <v>-133.29365466556223</v>
      </c>
      <c r="L49">
        <f t="shared" si="4"/>
        <v>3.373840623554115E-4</v>
      </c>
      <c r="O49">
        <f t="shared" si="5"/>
        <v>-133.25354825525216</v>
      </c>
      <c r="P49">
        <f t="shared" si="6"/>
        <v>-3.1279946850790722E-4</v>
      </c>
    </row>
    <row r="50" spans="1:16" x14ac:dyDescent="0.25">
      <c r="A50" s="2">
        <v>2.4</v>
      </c>
      <c r="B50" s="1">
        <v>-6.6470000000000002</v>
      </c>
      <c r="C50">
        <v>2.8000000000000001E-2</v>
      </c>
      <c r="H50">
        <f t="shared" si="0"/>
        <v>2.4</v>
      </c>
      <c r="I50">
        <f t="shared" si="1"/>
        <v>-6.6470000000000002</v>
      </c>
      <c r="J50">
        <f t="shared" si="2"/>
        <v>2.6267715414457059E-2</v>
      </c>
      <c r="K50">
        <f t="shared" si="3"/>
        <v>-133.29365466556223</v>
      </c>
      <c r="L50">
        <f t="shared" si="4"/>
        <v>3.5023620552609405E-4</v>
      </c>
      <c r="O50">
        <f t="shared" si="5"/>
        <v>-133.25354825525216</v>
      </c>
      <c r="P50">
        <f t="shared" si="6"/>
        <v>-2.9994732533722467E-4</v>
      </c>
    </row>
    <row r="51" spans="1:16" x14ac:dyDescent="0.25">
      <c r="A51" s="2">
        <v>2.4500000000000002</v>
      </c>
      <c r="B51" s="1">
        <v>-6.6470000000000002</v>
      </c>
      <c r="C51">
        <v>2.7E-2</v>
      </c>
      <c r="H51">
        <f t="shared" si="0"/>
        <v>2.4500000000000002</v>
      </c>
      <c r="I51">
        <f t="shared" si="1"/>
        <v>-6.6470000000000002</v>
      </c>
      <c r="J51">
        <f t="shared" si="2"/>
        <v>2.5231626152258248E-2</v>
      </c>
      <c r="K51">
        <f t="shared" si="3"/>
        <v>-133.29365466556223</v>
      </c>
      <c r="L51">
        <f t="shared" si="4"/>
        <v>3.364216820301099E-4</v>
      </c>
      <c r="O51">
        <f t="shared" si="5"/>
        <v>-133.25354825525216</v>
      </c>
      <c r="P51">
        <f t="shared" si="6"/>
        <v>-3.1376184883320882E-4</v>
      </c>
    </row>
    <row r="52" spans="1:16" x14ac:dyDescent="0.25">
      <c r="A52" s="2">
        <v>2.5</v>
      </c>
      <c r="B52" s="1">
        <v>-6.6470000000000002</v>
      </c>
      <c r="C52">
        <v>2.8000000000000001E-2</v>
      </c>
      <c r="H52">
        <f t="shared" si="0"/>
        <v>2.5</v>
      </c>
      <c r="I52">
        <f t="shared" si="1"/>
        <v>-6.6470000000000002</v>
      </c>
      <c r="J52">
        <f t="shared" si="2"/>
        <v>2.6195536890059438E-2</v>
      </c>
      <c r="K52">
        <f t="shared" si="3"/>
        <v>-133.29365466556223</v>
      </c>
      <c r="L52">
        <f t="shared" si="4"/>
        <v>3.4927382520079245E-4</v>
      </c>
      <c r="O52">
        <f t="shared" si="5"/>
        <v>-133.25354825525216</v>
      </c>
      <c r="P52">
        <f t="shared" si="6"/>
        <v>-3.0090970566252627E-4</v>
      </c>
    </row>
    <row r="53" spans="1:16" x14ac:dyDescent="0.25">
      <c r="A53" s="2">
        <v>2.5499999999999998</v>
      </c>
      <c r="B53" s="1">
        <v>-6.6479999999999997</v>
      </c>
      <c r="C53">
        <v>2.7E-2</v>
      </c>
      <c r="H53">
        <f t="shared" si="0"/>
        <v>2.5499999999999998</v>
      </c>
      <c r="I53">
        <f t="shared" si="1"/>
        <v>-6.6479999999999997</v>
      </c>
      <c r="J53">
        <f t="shared" si="2"/>
        <v>2.5159447627860626E-2</v>
      </c>
      <c r="K53">
        <f t="shared" si="3"/>
        <v>-133.31370787071725</v>
      </c>
      <c r="L53">
        <f t="shared" si="4"/>
        <v>3.354593017048083E-4</v>
      </c>
      <c r="O53">
        <f t="shared" si="5"/>
        <v>-133.27360146040718</v>
      </c>
      <c r="P53">
        <f t="shared" si="6"/>
        <v>-3.1472422915851042E-4</v>
      </c>
    </row>
    <row r="54" spans="1:16" x14ac:dyDescent="0.25">
      <c r="A54" s="2">
        <v>2.6</v>
      </c>
      <c r="B54" s="1">
        <v>-6.65</v>
      </c>
      <c r="C54">
        <v>2.7E-2</v>
      </c>
      <c r="H54">
        <f t="shared" si="0"/>
        <v>2.6</v>
      </c>
      <c r="I54">
        <f t="shared" si="1"/>
        <v>-6.65</v>
      </c>
      <c r="J54">
        <f t="shared" si="2"/>
        <v>2.5123358365661815E-2</v>
      </c>
      <c r="K54">
        <f t="shared" si="3"/>
        <v>-133.35381428102735</v>
      </c>
      <c r="L54">
        <f t="shared" si="4"/>
        <v>3.3497811154215745E-4</v>
      </c>
      <c r="O54">
        <f t="shared" si="5"/>
        <v>-133.31370787071728</v>
      </c>
      <c r="P54">
        <f t="shared" si="6"/>
        <v>-3.1520541932116128E-4</v>
      </c>
    </row>
    <row r="55" spans="1:16" x14ac:dyDescent="0.25">
      <c r="A55" s="2">
        <v>2.65</v>
      </c>
      <c r="B55" s="1">
        <v>-6.6470000000000002</v>
      </c>
      <c r="C55">
        <v>2.7E-2</v>
      </c>
      <c r="H55">
        <f t="shared" si="0"/>
        <v>2.65</v>
      </c>
      <c r="I55">
        <f t="shared" si="1"/>
        <v>-6.6470000000000002</v>
      </c>
      <c r="J55">
        <f t="shared" si="2"/>
        <v>2.5087269103463004E-2</v>
      </c>
      <c r="K55">
        <f t="shared" si="3"/>
        <v>-133.29365466556223</v>
      </c>
      <c r="L55">
        <f t="shared" si="4"/>
        <v>3.3449692137950664E-4</v>
      </c>
      <c r="O55">
        <f t="shared" si="5"/>
        <v>-133.25354825525216</v>
      </c>
      <c r="P55">
        <f t="shared" si="6"/>
        <v>-3.1568660948381208E-4</v>
      </c>
    </row>
    <row r="56" spans="1:16" x14ac:dyDescent="0.25">
      <c r="A56" s="2">
        <v>2.7</v>
      </c>
      <c r="B56" s="1">
        <v>-6.5919999999999996</v>
      </c>
      <c r="C56">
        <v>2.8000000000000001E-2</v>
      </c>
      <c r="H56">
        <f t="shared" si="0"/>
        <v>2.7</v>
      </c>
      <c r="I56">
        <f t="shared" si="1"/>
        <v>-6.5919999999999996</v>
      </c>
      <c r="J56">
        <f t="shared" si="2"/>
        <v>2.6051179841264194E-2</v>
      </c>
      <c r="K56">
        <f t="shared" si="3"/>
        <v>-132.19072838203491</v>
      </c>
      <c r="L56">
        <f t="shared" si="4"/>
        <v>3.4734906455018919E-4</v>
      </c>
      <c r="O56">
        <f t="shared" si="5"/>
        <v>-132.15062197172483</v>
      </c>
      <c r="P56">
        <f t="shared" si="6"/>
        <v>-3.0283446631312953E-4</v>
      </c>
    </row>
    <row r="57" spans="1:16" x14ac:dyDescent="0.25">
      <c r="A57" s="2">
        <v>2.75</v>
      </c>
      <c r="B57" s="1">
        <v>-6.5129999999999999</v>
      </c>
      <c r="C57">
        <v>2.8000000000000001E-2</v>
      </c>
      <c r="H57">
        <f t="shared" si="0"/>
        <v>2.75</v>
      </c>
      <c r="I57">
        <f t="shared" si="1"/>
        <v>-6.5129999999999999</v>
      </c>
      <c r="J57">
        <f t="shared" si="2"/>
        <v>2.6015090579065384E-2</v>
      </c>
      <c r="K57">
        <f t="shared" si="3"/>
        <v>-130.60652517478664</v>
      </c>
      <c r="L57">
        <f t="shared" si="4"/>
        <v>3.4686787438753839E-4</v>
      </c>
      <c r="O57">
        <f t="shared" si="5"/>
        <v>-130.56641876447657</v>
      </c>
      <c r="P57">
        <f t="shared" si="6"/>
        <v>-3.0331565647578033E-4</v>
      </c>
    </row>
    <row r="58" spans="1:16" x14ac:dyDescent="0.25">
      <c r="A58" s="2">
        <v>2.8</v>
      </c>
      <c r="B58" s="1">
        <v>-6.4029999999999996</v>
      </c>
      <c r="C58">
        <v>2.9000000000000001E-2</v>
      </c>
      <c r="H58">
        <f t="shared" si="0"/>
        <v>2.8</v>
      </c>
      <c r="I58">
        <f t="shared" si="1"/>
        <v>-6.4029999999999996</v>
      </c>
      <c r="J58">
        <f t="shared" si="2"/>
        <v>2.697900131686657E-2</v>
      </c>
      <c r="K58">
        <f t="shared" si="3"/>
        <v>-128.40067260773205</v>
      </c>
      <c r="L58">
        <f t="shared" si="4"/>
        <v>3.5972001755822089E-4</v>
      </c>
      <c r="O58">
        <f t="shared" si="5"/>
        <v>-128.36056619742197</v>
      </c>
      <c r="P58">
        <f t="shared" si="6"/>
        <v>-2.9046351330509784E-4</v>
      </c>
    </row>
    <row r="59" spans="1:16" x14ac:dyDescent="0.25">
      <c r="A59" s="2">
        <v>2.85</v>
      </c>
      <c r="B59" s="1">
        <v>-6.306</v>
      </c>
      <c r="C59">
        <v>2.9000000000000001E-2</v>
      </c>
      <c r="H59">
        <f t="shared" si="0"/>
        <v>2.85</v>
      </c>
      <c r="I59">
        <f t="shared" si="1"/>
        <v>-6.306</v>
      </c>
      <c r="J59">
        <f t="shared" si="2"/>
        <v>2.6942912054667759E-2</v>
      </c>
      <c r="K59">
        <f t="shared" si="3"/>
        <v>-126.45551170769299</v>
      </c>
      <c r="L59">
        <f t="shared" si="4"/>
        <v>3.5923882739557003E-4</v>
      </c>
      <c r="O59">
        <f t="shared" si="5"/>
        <v>-126.4154052973829</v>
      </c>
      <c r="P59">
        <f t="shared" si="6"/>
        <v>-2.9094470346774869E-4</v>
      </c>
    </row>
    <row r="60" spans="1:16" x14ac:dyDescent="0.25">
      <c r="A60" s="2">
        <v>2.9</v>
      </c>
      <c r="B60" s="1">
        <v>-6.2210000000000001</v>
      </c>
      <c r="C60">
        <v>2.9000000000000001E-2</v>
      </c>
      <c r="H60">
        <f t="shared" si="0"/>
        <v>2.9</v>
      </c>
      <c r="I60">
        <f t="shared" si="1"/>
        <v>-6.2210000000000001</v>
      </c>
      <c r="J60">
        <f t="shared" si="2"/>
        <v>2.6906822792468948E-2</v>
      </c>
      <c r="K60">
        <f t="shared" si="3"/>
        <v>-124.75098926951445</v>
      </c>
      <c r="L60">
        <f t="shared" si="4"/>
        <v>3.5875763723291923E-4</v>
      </c>
      <c r="O60">
        <f t="shared" si="5"/>
        <v>-124.71088285920436</v>
      </c>
      <c r="P60">
        <f t="shared" si="6"/>
        <v>-2.9142589363039949E-4</v>
      </c>
    </row>
    <row r="61" spans="1:16" x14ac:dyDescent="0.25">
      <c r="A61" s="2">
        <v>2.95</v>
      </c>
      <c r="B61" s="1">
        <v>-6.1539999999999999</v>
      </c>
      <c r="C61">
        <v>2.9000000000000001E-2</v>
      </c>
      <c r="H61">
        <f t="shared" si="0"/>
        <v>2.95</v>
      </c>
      <c r="I61">
        <f t="shared" si="1"/>
        <v>-6.1539999999999999</v>
      </c>
      <c r="J61">
        <f t="shared" si="2"/>
        <v>2.6870733530270138E-2</v>
      </c>
      <c r="K61">
        <f t="shared" si="3"/>
        <v>-123.40742452412665</v>
      </c>
      <c r="L61">
        <f t="shared" si="4"/>
        <v>3.5827644707026843E-4</v>
      </c>
      <c r="O61">
        <f t="shared" si="5"/>
        <v>-123.36731811381657</v>
      </c>
      <c r="P61">
        <f t="shared" si="6"/>
        <v>-2.9190708379305029E-4</v>
      </c>
    </row>
    <row r="62" spans="1:16" x14ac:dyDescent="0.25">
      <c r="A62" s="2">
        <v>3</v>
      </c>
      <c r="B62" s="1">
        <v>-6.133</v>
      </c>
      <c r="C62">
        <v>0.03</v>
      </c>
      <c r="H62">
        <f t="shared" si="0"/>
        <v>3</v>
      </c>
      <c r="I62">
        <f t="shared" si="1"/>
        <v>-6.133</v>
      </c>
      <c r="J62">
        <f t="shared" si="2"/>
        <v>2.7834644268071324E-2</v>
      </c>
      <c r="K62">
        <f t="shared" si="3"/>
        <v>-122.98630721587078</v>
      </c>
      <c r="L62">
        <f t="shared" si="4"/>
        <v>3.7112859024095092E-4</v>
      </c>
      <c r="O62">
        <f t="shared" si="5"/>
        <v>-122.94620080556069</v>
      </c>
      <c r="P62">
        <f t="shared" si="6"/>
        <v>-2.790549406223678E-4</v>
      </c>
    </row>
    <row r="63" spans="1:16" x14ac:dyDescent="0.25">
      <c r="A63" s="2">
        <v>3.05</v>
      </c>
      <c r="B63" s="1">
        <v>-6.133</v>
      </c>
      <c r="C63">
        <v>2.9000000000000001E-2</v>
      </c>
      <c r="H63">
        <f t="shared" si="0"/>
        <v>3.05</v>
      </c>
      <c r="I63">
        <f t="shared" si="1"/>
        <v>-6.133</v>
      </c>
      <c r="J63">
        <f t="shared" si="2"/>
        <v>2.6798555005872516E-2</v>
      </c>
      <c r="K63">
        <f t="shared" si="3"/>
        <v>-122.98630721587078</v>
      </c>
      <c r="L63">
        <f t="shared" si="4"/>
        <v>3.5731406674496683E-4</v>
      </c>
      <c r="O63">
        <f t="shared" si="5"/>
        <v>-122.94620080556069</v>
      </c>
      <c r="P63">
        <f t="shared" si="6"/>
        <v>-2.928694641183519E-4</v>
      </c>
    </row>
    <row r="64" spans="1:16" x14ac:dyDescent="0.25">
      <c r="A64" s="2">
        <v>3.1</v>
      </c>
      <c r="B64" s="1">
        <v>-6.133</v>
      </c>
      <c r="C64">
        <v>0.03</v>
      </c>
      <c r="H64">
        <f t="shared" si="0"/>
        <v>3.1</v>
      </c>
      <c r="I64">
        <f t="shared" si="1"/>
        <v>-6.133</v>
      </c>
      <c r="J64">
        <f t="shared" si="2"/>
        <v>2.7762465743673703E-2</v>
      </c>
      <c r="K64">
        <f t="shared" si="3"/>
        <v>-122.98630721587078</v>
      </c>
      <c r="L64">
        <f t="shared" si="4"/>
        <v>3.7016620991564927E-4</v>
      </c>
      <c r="O64">
        <f t="shared" si="5"/>
        <v>-122.94620080556069</v>
      </c>
      <c r="P64">
        <f t="shared" si="6"/>
        <v>-2.8001732094766945E-4</v>
      </c>
    </row>
    <row r="65" spans="1:16" x14ac:dyDescent="0.25">
      <c r="A65" s="2">
        <v>3.15</v>
      </c>
      <c r="B65" s="1">
        <v>-6.133</v>
      </c>
      <c r="C65">
        <v>2.9000000000000001E-2</v>
      </c>
      <c r="H65">
        <f t="shared" si="0"/>
        <v>3.15</v>
      </c>
      <c r="I65">
        <f t="shared" si="1"/>
        <v>-6.133</v>
      </c>
      <c r="J65">
        <f t="shared" si="2"/>
        <v>2.6726376481474891E-2</v>
      </c>
      <c r="K65">
        <f t="shared" si="3"/>
        <v>-122.98630721587078</v>
      </c>
      <c r="L65">
        <f t="shared" si="4"/>
        <v>3.5635168641966512E-4</v>
      </c>
      <c r="O65">
        <f t="shared" si="5"/>
        <v>-122.94620080556069</v>
      </c>
      <c r="P65">
        <f t="shared" si="6"/>
        <v>-2.9383184444365361E-4</v>
      </c>
    </row>
    <row r="66" spans="1:16" x14ac:dyDescent="0.25">
      <c r="A66" s="2">
        <v>3.2</v>
      </c>
      <c r="B66" s="1">
        <v>-6.1340000000000003</v>
      </c>
      <c r="C66">
        <v>0.03</v>
      </c>
      <c r="H66">
        <f t="shared" si="0"/>
        <v>3.2</v>
      </c>
      <c r="I66">
        <f t="shared" si="1"/>
        <v>-6.1340000000000003</v>
      </c>
      <c r="J66">
        <f t="shared" si="2"/>
        <v>2.7690287219276077E-2</v>
      </c>
      <c r="K66">
        <f t="shared" si="3"/>
        <v>-123.00636042102583</v>
      </c>
      <c r="L66">
        <f t="shared" si="4"/>
        <v>3.6920382959034761E-4</v>
      </c>
      <c r="O66">
        <f t="shared" si="5"/>
        <v>-122.96625401071574</v>
      </c>
      <c r="P66">
        <f t="shared" si="6"/>
        <v>-2.8097970127297111E-4</v>
      </c>
    </row>
    <row r="67" spans="1:16" x14ac:dyDescent="0.25">
      <c r="A67" s="2">
        <v>3.25</v>
      </c>
      <c r="B67" s="1">
        <v>-6.1159999999999997</v>
      </c>
      <c r="C67">
        <v>2.9000000000000001E-2</v>
      </c>
      <c r="H67">
        <f t="shared" ref="H67:H130" si="7">A67</f>
        <v>3.25</v>
      </c>
      <c r="I67">
        <f t="shared" ref="I67:I130" si="8">B67</f>
        <v>-6.1159999999999997</v>
      </c>
      <c r="J67">
        <f t="shared" ref="J67:J130" si="9">C67-E$12*A67</f>
        <v>2.6654197957077269E-2</v>
      </c>
      <c r="K67">
        <f t="shared" ref="K67:K130" si="10">F$24*I67</f>
        <v>-122.64540272823507</v>
      </c>
      <c r="L67">
        <f t="shared" ref="L67:L130" si="11">F$25*J67</f>
        <v>3.5538930609436351E-4</v>
      </c>
      <c r="O67">
        <f t="shared" ref="O67:O130" si="12">K67-N$12</f>
        <v>-122.60529631792498</v>
      </c>
      <c r="P67">
        <f t="shared" ref="P67:P130" si="13">L67-N$15</f>
        <v>-2.9479422476895521E-4</v>
      </c>
    </row>
    <row r="68" spans="1:16" x14ac:dyDescent="0.25">
      <c r="A68" s="2">
        <v>3.3</v>
      </c>
      <c r="B68" s="1">
        <v>-6.0339999999999998</v>
      </c>
      <c r="C68">
        <v>0.03</v>
      </c>
      <c r="H68">
        <f t="shared" si="7"/>
        <v>3.3</v>
      </c>
      <c r="I68">
        <f t="shared" si="8"/>
        <v>-6.0339999999999998</v>
      </c>
      <c r="J68">
        <f t="shared" si="9"/>
        <v>2.7618108694878456E-2</v>
      </c>
      <c r="K68">
        <f t="shared" si="10"/>
        <v>-121.00103990552165</v>
      </c>
      <c r="L68">
        <f t="shared" si="11"/>
        <v>3.6824144926504601E-4</v>
      </c>
      <c r="O68">
        <f t="shared" si="12"/>
        <v>-120.96093349521156</v>
      </c>
      <c r="P68">
        <f t="shared" si="13"/>
        <v>-2.8194208159827271E-4</v>
      </c>
    </row>
    <row r="69" spans="1:16" x14ac:dyDescent="0.25">
      <c r="A69" s="2">
        <v>3.35</v>
      </c>
      <c r="B69" s="1">
        <v>-5.9139999999999997</v>
      </c>
      <c r="C69">
        <v>3.1E-2</v>
      </c>
      <c r="H69">
        <f t="shared" si="7"/>
        <v>3.35</v>
      </c>
      <c r="I69">
        <f t="shared" si="8"/>
        <v>-5.9139999999999997</v>
      </c>
      <c r="J69">
        <f t="shared" si="9"/>
        <v>2.8582019432679646E-2</v>
      </c>
      <c r="K69">
        <f t="shared" si="10"/>
        <v>-118.59465528691665</v>
      </c>
      <c r="L69">
        <f t="shared" si="11"/>
        <v>3.8109359243572856E-4</v>
      </c>
      <c r="O69">
        <f t="shared" si="12"/>
        <v>-118.55454887660656</v>
      </c>
      <c r="P69">
        <f t="shared" si="13"/>
        <v>-2.6908993842759016E-4</v>
      </c>
    </row>
    <row r="70" spans="1:16" x14ac:dyDescent="0.25">
      <c r="A70" s="2">
        <v>3.4</v>
      </c>
      <c r="B70" s="1">
        <v>-5.7939999999999996</v>
      </c>
      <c r="C70">
        <v>3.1E-2</v>
      </c>
      <c r="H70">
        <f t="shared" si="7"/>
        <v>3.4</v>
      </c>
      <c r="I70">
        <f t="shared" si="8"/>
        <v>-5.7939999999999996</v>
      </c>
      <c r="J70">
        <f t="shared" si="9"/>
        <v>2.8545930170480835E-2</v>
      </c>
      <c r="K70">
        <f t="shared" si="10"/>
        <v>-116.18827066831163</v>
      </c>
      <c r="L70">
        <f t="shared" si="11"/>
        <v>3.806124022730777E-4</v>
      </c>
      <c r="O70">
        <f t="shared" si="12"/>
        <v>-116.14816425800154</v>
      </c>
      <c r="P70">
        <f t="shared" si="13"/>
        <v>-2.6957112859024102E-4</v>
      </c>
    </row>
    <row r="71" spans="1:16" x14ac:dyDescent="0.25">
      <c r="A71" s="2">
        <v>3.45</v>
      </c>
      <c r="B71" s="1">
        <v>-5.6689999999999996</v>
      </c>
      <c r="C71">
        <v>3.1E-2</v>
      </c>
      <c r="H71">
        <f t="shared" si="7"/>
        <v>3.45</v>
      </c>
      <c r="I71">
        <f t="shared" si="8"/>
        <v>-5.6689999999999996</v>
      </c>
      <c r="J71">
        <f t="shared" si="9"/>
        <v>2.8509840908282024E-2</v>
      </c>
      <c r="K71">
        <f t="shared" si="10"/>
        <v>-113.68162002393142</v>
      </c>
      <c r="L71">
        <f t="shared" si="11"/>
        <v>3.801312121104269E-4</v>
      </c>
      <c r="O71">
        <f t="shared" si="12"/>
        <v>-113.64151361362133</v>
      </c>
      <c r="P71">
        <f t="shared" si="13"/>
        <v>-2.7005231875289182E-4</v>
      </c>
    </row>
    <row r="72" spans="1:16" x14ac:dyDescent="0.25">
      <c r="A72" s="2">
        <v>3.5</v>
      </c>
      <c r="B72" s="1">
        <v>-5.6</v>
      </c>
      <c r="C72">
        <v>3.2000000000000001E-2</v>
      </c>
      <c r="H72">
        <f t="shared" si="7"/>
        <v>3.5</v>
      </c>
      <c r="I72">
        <f t="shared" si="8"/>
        <v>-5.6</v>
      </c>
      <c r="J72">
        <f t="shared" si="9"/>
        <v>2.9473751646083214E-2</v>
      </c>
      <c r="K72">
        <f t="shared" si="10"/>
        <v>-112.29794886823355</v>
      </c>
      <c r="L72">
        <f t="shared" si="11"/>
        <v>3.9298335528110945E-4</v>
      </c>
      <c r="O72">
        <f t="shared" si="12"/>
        <v>-112.25784245792346</v>
      </c>
      <c r="P72">
        <f t="shared" si="13"/>
        <v>-2.5720017558220927E-4</v>
      </c>
    </row>
    <row r="73" spans="1:16" x14ac:dyDescent="0.25">
      <c r="A73" s="2">
        <v>3.55</v>
      </c>
      <c r="B73" s="1">
        <v>-5.577</v>
      </c>
      <c r="C73">
        <v>3.2000000000000001E-2</v>
      </c>
      <c r="H73">
        <f t="shared" si="7"/>
        <v>3.55</v>
      </c>
      <c r="I73">
        <f t="shared" si="8"/>
        <v>-5.577</v>
      </c>
      <c r="J73">
        <f t="shared" si="9"/>
        <v>2.9437662383884403E-2</v>
      </c>
      <c r="K73">
        <f t="shared" si="10"/>
        <v>-111.83672514966759</v>
      </c>
      <c r="L73">
        <f t="shared" si="11"/>
        <v>3.9250216511845865E-4</v>
      </c>
      <c r="O73">
        <f t="shared" si="12"/>
        <v>-111.7966187393575</v>
      </c>
      <c r="P73">
        <f t="shared" si="13"/>
        <v>-2.5768136574486007E-4</v>
      </c>
    </row>
    <row r="74" spans="1:16" x14ac:dyDescent="0.25">
      <c r="A74" s="2">
        <v>3.6</v>
      </c>
      <c r="B74" s="1">
        <v>-5.577</v>
      </c>
      <c r="C74">
        <v>3.2000000000000001E-2</v>
      </c>
      <c r="H74">
        <f t="shared" si="7"/>
        <v>3.6</v>
      </c>
      <c r="I74">
        <f t="shared" si="8"/>
        <v>-5.577</v>
      </c>
      <c r="J74">
        <f t="shared" si="9"/>
        <v>2.9401573121685589E-2</v>
      </c>
      <c r="K74">
        <f t="shared" si="10"/>
        <v>-111.83672514966759</v>
      </c>
      <c r="L74">
        <f t="shared" si="11"/>
        <v>3.920209749558078E-4</v>
      </c>
      <c r="O74">
        <f t="shared" si="12"/>
        <v>-111.7966187393575</v>
      </c>
      <c r="P74">
        <f t="shared" si="13"/>
        <v>-2.5816255590751093E-4</v>
      </c>
    </row>
    <row r="75" spans="1:16" x14ac:dyDescent="0.25">
      <c r="A75" s="2">
        <v>3.65</v>
      </c>
      <c r="B75" s="1">
        <v>-5.5780000000000003</v>
      </c>
      <c r="C75">
        <v>3.1E-2</v>
      </c>
      <c r="H75">
        <f t="shared" si="7"/>
        <v>3.65</v>
      </c>
      <c r="I75">
        <f t="shared" si="8"/>
        <v>-5.5780000000000003</v>
      </c>
      <c r="J75">
        <f t="shared" si="9"/>
        <v>2.8365483859486777E-2</v>
      </c>
      <c r="K75">
        <f t="shared" si="10"/>
        <v>-111.85677835482264</v>
      </c>
      <c r="L75">
        <f t="shared" si="11"/>
        <v>3.7820645145982364E-4</v>
      </c>
      <c r="O75">
        <f t="shared" si="12"/>
        <v>-111.81667194451255</v>
      </c>
      <c r="P75">
        <f t="shared" si="13"/>
        <v>-2.7197707940349508E-4</v>
      </c>
    </row>
    <row r="76" spans="1:16" x14ac:dyDescent="0.25">
      <c r="A76" s="2">
        <v>3.7</v>
      </c>
      <c r="B76" s="1">
        <v>-5.577</v>
      </c>
      <c r="C76">
        <v>3.2000000000000001E-2</v>
      </c>
      <c r="H76">
        <f t="shared" si="7"/>
        <v>3.7</v>
      </c>
      <c r="I76">
        <f t="shared" si="8"/>
        <v>-5.577</v>
      </c>
      <c r="J76">
        <f t="shared" si="9"/>
        <v>2.9329394597287967E-2</v>
      </c>
      <c r="K76">
        <f t="shared" si="10"/>
        <v>-111.83672514966759</v>
      </c>
      <c r="L76">
        <f t="shared" si="11"/>
        <v>3.9105859463050614E-4</v>
      </c>
      <c r="O76">
        <f t="shared" si="12"/>
        <v>-111.7966187393575</v>
      </c>
      <c r="P76">
        <f t="shared" si="13"/>
        <v>-2.5912493623281258E-4</v>
      </c>
    </row>
    <row r="77" spans="1:16" x14ac:dyDescent="0.25">
      <c r="A77" s="2">
        <v>3.75</v>
      </c>
      <c r="B77" s="1">
        <v>-5.577</v>
      </c>
      <c r="C77">
        <v>3.2000000000000001E-2</v>
      </c>
      <c r="H77">
        <f t="shared" si="7"/>
        <v>3.75</v>
      </c>
      <c r="I77">
        <f t="shared" si="8"/>
        <v>-5.577</v>
      </c>
      <c r="J77">
        <f t="shared" si="9"/>
        <v>2.9293305335089156E-2</v>
      </c>
      <c r="K77">
        <f t="shared" si="10"/>
        <v>-111.83672514966759</v>
      </c>
      <c r="L77">
        <f t="shared" si="11"/>
        <v>3.9057740446785534E-4</v>
      </c>
      <c r="O77">
        <f t="shared" si="12"/>
        <v>-111.7966187393575</v>
      </c>
      <c r="P77">
        <f t="shared" si="13"/>
        <v>-2.5960612639546339E-4</v>
      </c>
    </row>
    <row r="78" spans="1:16" x14ac:dyDescent="0.25">
      <c r="A78" s="2">
        <v>3.8</v>
      </c>
      <c r="B78" s="1">
        <v>-5.569</v>
      </c>
      <c r="C78">
        <v>3.2000000000000001E-2</v>
      </c>
      <c r="H78">
        <f t="shared" si="7"/>
        <v>3.8</v>
      </c>
      <c r="I78">
        <f t="shared" si="8"/>
        <v>-5.569</v>
      </c>
      <c r="J78">
        <f t="shared" si="9"/>
        <v>2.9257216072890346E-2</v>
      </c>
      <c r="K78">
        <f t="shared" si="10"/>
        <v>-111.67629950842726</v>
      </c>
      <c r="L78">
        <f t="shared" si="11"/>
        <v>3.9009621430520454E-4</v>
      </c>
      <c r="O78">
        <f t="shared" si="12"/>
        <v>-111.63619309811718</v>
      </c>
      <c r="P78">
        <f t="shared" si="13"/>
        <v>-2.6008731655811419E-4</v>
      </c>
    </row>
    <row r="79" spans="1:16" x14ac:dyDescent="0.25">
      <c r="A79" s="2">
        <v>3.85</v>
      </c>
      <c r="B79" s="1">
        <v>-5.48</v>
      </c>
      <c r="C79">
        <v>3.2000000000000001E-2</v>
      </c>
      <c r="H79">
        <f t="shared" si="7"/>
        <v>3.85</v>
      </c>
      <c r="I79">
        <f t="shared" si="8"/>
        <v>-5.48</v>
      </c>
      <c r="J79">
        <f t="shared" si="9"/>
        <v>2.9221126810691535E-2</v>
      </c>
      <c r="K79">
        <f t="shared" si="10"/>
        <v>-109.89156424962856</v>
      </c>
      <c r="L79">
        <f t="shared" si="11"/>
        <v>3.8961502414255374E-4</v>
      </c>
      <c r="O79">
        <f t="shared" si="12"/>
        <v>-109.85145783931847</v>
      </c>
      <c r="P79">
        <f t="shared" si="13"/>
        <v>-2.6056850672076499E-4</v>
      </c>
    </row>
    <row r="80" spans="1:16" x14ac:dyDescent="0.25">
      <c r="A80" s="2">
        <v>3.9</v>
      </c>
      <c r="B80" s="1">
        <v>-5.3579999999999997</v>
      </c>
      <c r="C80">
        <v>3.3000000000000002E-2</v>
      </c>
      <c r="H80">
        <f t="shared" si="7"/>
        <v>3.9</v>
      </c>
      <c r="I80">
        <f t="shared" si="8"/>
        <v>-5.3579999999999997</v>
      </c>
      <c r="J80">
        <f t="shared" si="9"/>
        <v>3.0185037548492725E-2</v>
      </c>
      <c r="K80">
        <f t="shared" si="10"/>
        <v>-107.44507322071345</v>
      </c>
      <c r="L80">
        <f t="shared" si="11"/>
        <v>4.0246716731323623E-4</v>
      </c>
      <c r="O80">
        <f t="shared" si="12"/>
        <v>-107.40496681040337</v>
      </c>
      <c r="P80">
        <f t="shared" si="13"/>
        <v>-2.4771636355008249E-4</v>
      </c>
    </row>
    <row r="81" spans="1:16" x14ac:dyDescent="0.25">
      <c r="A81" s="2">
        <v>3.95</v>
      </c>
      <c r="B81" s="1">
        <v>-5.2640000000000002</v>
      </c>
      <c r="C81">
        <v>3.3000000000000002E-2</v>
      </c>
      <c r="H81">
        <f t="shared" si="7"/>
        <v>3.95</v>
      </c>
      <c r="I81">
        <f t="shared" si="8"/>
        <v>-5.2640000000000002</v>
      </c>
      <c r="J81">
        <f t="shared" si="9"/>
        <v>3.0148948286293914E-2</v>
      </c>
      <c r="K81">
        <f t="shared" si="10"/>
        <v>-105.56007193613955</v>
      </c>
      <c r="L81">
        <f t="shared" si="11"/>
        <v>4.0198597715058543E-4</v>
      </c>
      <c r="O81">
        <f t="shared" si="12"/>
        <v>-105.51996552582946</v>
      </c>
      <c r="P81">
        <f t="shared" si="13"/>
        <v>-2.4819755371273329E-4</v>
      </c>
    </row>
    <row r="82" spans="1:16" x14ac:dyDescent="0.25">
      <c r="A82" s="2">
        <v>4</v>
      </c>
      <c r="B82" s="1">
        <v>-5.165</v>
      </c>
      <c r="C82">
        <v>3.4000000000000002E-2</v>
      </c>
      <c r="H82">
        <f t="shared" si="7"/>
        <v>4</v>
      </c>
      <c r="I82">
        <f t="shared" si="8"/>
        <v>-5.165</v>
      </c>
      <c r="J82">
        <f t="shared" si="9"/>
        <v>3.1112859024095101E-2</v>
      </c>
      <c r="K82">
        <f t="shared" si="10"/>
        <v>-103.57480462579041</v>
      </c>
      <c r="L82">
        <f t="shared" si="11"/>
        <v>4.1483812032126792E-4</v>
      </c>
      <c r="O82">
        <f t="shared" si="12"/>
        <v>-103.53469821548032</v>
      </c>
      <c r="P82">
        <f t="shared" si="13"/>
        <v>-2.353454105420508E-4</v>
      </c>
    </row>
    <row r="83" spans="1:16" x14ac:dyDescent="0.25">
      <c r="A83" s="2">
        <v>4.05</v>
      </c>
      <c r="B83" s="1">
        <v>-5.0609999999999999</v>
      </c>
      <c r="C83">
        <v>3.4000000000000002E-2</v>
      </c>
      <c r="H83">
        <f t="shared" si="7"/>
        <v>4.05</v>
      </c>
      <c r="I83">
        <f t="shared" si="8"/>
        <v>-5.0609999999999999</v>
      </c>
      <c r="J83">
        <f t="shared" si="9"/>
        <v>3.107676976189629E-2</v>
      </c>
      <c r="K83">
        <f t="shared" si="10"/>
        <v>-101.48927128966608</v>
      </c>
      <c r="L83">
        <f t="shared" si="11"/>
        <v>4.1435693015861712E-4</v>
      </c>
      <c r="O83">
        <f t="shared" si="12"/>
        <v>-101.44916487935599</v>
      </c>
      <c r="P83">
        <f t="shared" si="13"/>
        <v>-2.358266007047016E-4</v>
      </c>
    </row>
    <row r="84" spans="1:16" x14ac:dyDescent="0.25">
      <c r="A84" s="2">
        <v>4.0999999999999996</v>
      </c>
      <c r="B84" s="1">
        <v>-4.9850000000000003</v>
      </c>
      <c r="C84">
        <v>3.5000000000000003E-2</v>
      </c>
      <c r="H84">
        <f t="shared" si="7"/>
        <v>4.0999999999999996</v>
      </c>
      <c r="I84">
        <f t="shared" si="8"/>
        <v>-4.9850000000000003</v>
      </c>
      <c r="J84">
        <f t="shared" si="9"/>
        <v>3.204068049969748E-2</v>
      </c>
      <c r="K84">
        <f t="shared" si="10"/>
        <v>-99.965227697882909</v>
      </c>
      <c r="L84">
        <f t="shared" si="11"/>
        <v>4.2720907332929967E-4</v>
      </c>
      <c r="O84">
        <f t="shared" si="12"/>
        <v>-99.925121287572821</v>
      </c>
      <c r="P84">
        <f t="shared" si="13"/>
        <v>-2.2297445753401905E-4</v>
      </c>
    </row>
    <row r="85" spans="1:16" x14ac:dyDescent="0.25">
      <c r="A85" s="2">
        <v>4.1500000000000004</v>
      </c>
      <c r="B85" s="1">
        <v>-4.9820000000000002</v>
      </c>
      <c r="C85">
        <v>3.4000000000000002E-2</v>
      </c>
      <c r="H85">
        <f t="shared" si="7"/>
        <v>4.1500000000000004</v>
      </c>
      <c r="I85">
        <f t="shared" si="8"/>
        <v>-4.9820000000000002</v>
      </c>
      <c r="J85">
        <f t="shared" si="9"/>
        <v>3.1004591237498668E-2</v>
      </c>
      <c r="K85">
        <f t="shared" si="10"/>
        <v>-99.905068082417785</v>
      </c>
      <c r="L85">
        <f t="shared" si="11"/>
        <v>4.1339454983331547E-4</v>
      </c>
      <c r="O85">
        <f t="shared" si="12"/>
        <v>-99.864961672107697</v>
      </c>
      <c r="P85">
        <f t="shared" si="13"/>
        <v>-2.3678898103000326E-4</v>
      </c>
    </row>
    <row r="86" spans="1:16" x14ac:dyDescent="0.25">
      <c r="A86" s="2">
        <v>4.2</v>
      </c>
      <c r="B86" s="1">
        <v>-4.9820000000000002</v>
      </c>
      <c r="C86">
        <v>3.5000000000000003E-2</v>
      </c>
      <c r="H86">
        <f t="shared" si="7"/>
        <v>4.2</v>
      </c>
      <c r="I86">
        <f t="shared" si="8"/>
        <v>-4.9820000000000002</v>
      </c>
      <c r="J86">
        <f t="shared" si="9"/>
        <v>3.1968501975299858E-2</v>
      </c>
      <c r="K86">
        <f t="shared" si="10"/>
        <v>-99.905068082417785</v>
      </c>
      <c r="L86">
        <f t="shared" si="11"/>
        <v>4.2624669300399802E-4</v>
      </c>
      <c r="O86">
        <f t="shared" si="12"/>
        <v>-99.864961672107697</v>
      </c>
      <c r="P86">
        <f t="shared" si="13"/>
        <v>-2.2393683785932071E-4</v>
      </c>
    </row>
    <row r="87" spans="1:16" x14ac:dyDescent="0.25">
      <c r="A87" s="2">
        <v>4.25</v>
      </c>
      <c r="B87" s="1">
        <v>-4.9820000000000002</v>
      </c>
      <c r="C87">
        <v>3.4000000000000002E-2</v>
      </c>
      <c r="H87">
        <f t="shared" si="7"/>
        <v>4.25</v>
      </c>
      <c r="I87">
        <f t="shared" si="8"/>
        <v>-4.9820000000000002</v>
      </c>
      <c r="J87">
        <f t="shared" si="9"/>
        <v>3.0932412713101046E-2</v>
      </c>
      <c r="K87">
        <f t="shared" si="10"/>
        <v>-99.905068082417785</v>
      </c>
      <c r="L87">
        <f t="shared" si="11"/>
        <v>4.1243216950801386E-4</v>
      </c>
      <c r="O87">
        <f t="shared" si="12"/>
        <v>-99.864961672107697</v>
      </c>
      <c r="P87">
        <f t="shared" si="13"/>
        <v>-2.3775136135530486E-4</v>
      </c>
    </row>
    <row r="88" spans="1:16" x14ac:dyDescent="0.25">
      <c r="A88" s="2">
        <v>4.3</v>
      </c>
      <c r="B88" s="1">
        <v>-4.9809999999999999</v>
      </c>
      <c r="C88">
        <v>3.5000000000000003E-2</v>
      </c>
      <c r="H88">
        <f t="shared" si="7"/>
        <v>4.3</v>
      </c>
      <c r="I88">
        <f t="shared" si="8"/>
        <v>-4.9809999999999999</v>
      </c>
      <c r="J88">
        <f t="shared" si="9"/>
        <v>3.1896323450902236E-2</v>
      </c>
      <c r="K88">
        <f t="shared" si="10"/>
        <v>-99.885014877262734</v>
      </c>
      <c r="L88">
        <f t="shared" si="11"/>
        <v>4.2528431267869641E-4</v>
      </c>
      <c r="O88">
        <f t="shared" si="12"/>
        <v>-99.844908466952646</v>
      </c>
      <c r="P88">
        <f t="shared" si="13"/>
        <v>-2.2489921818462231E-4</v>
      </c>
    </row>
    <row r="89" spans="1:16" x14ac:dyDescent="0.25">
      <c r="A89" s="2">
        <v>4.3499999999999996</v>
      </c>
      <c r="B89" s="1">
        <v>-4.9820000000000002</v>
      </c>
      <c r="C89">
        <v>3.4000000000000002E-2</v>
      </c>
      <c r="H89">
        <f t="shared" si="7"/>
        <v>4.3499999999999996</v>
      </c>
      <c r="I89">
        <f t="shared" si="8"/>
        <v>-4.9820000000000002</v>
      </c>
      <c r="J89">
        <f t="shared" si="9"/>
        <v>3.0860234188703425E-2</v>
      </c>
      <c r="K89">
        <f t="shared" si="10"/>
        <v>-99.905068082417785</v>
      </c>
      <c r="L89">
        <f t="shared" si="11"/>
        <v>4.1146978918271226E-4</v>
      </c>
      <c r="O89">
        <f t="shared" si="12"/>
        <v>-99.864961672107697</v>
      </c>
      <c r="P89">
        <f t="shared" si="13"/>
        <v>-2.3871374168060646E-4</v>
      </c>
    </row>
    <row r="90" spans="1:16" x14ac:dyDescent="0.25">
      <c r="A90" s="2">
        <v>4.4000000000000004</v>
      </c>
      <c r="B90" s="1">
        <v>-4.976</v>
      </c>
      <c r="C90">
        <v>3.5000000000000003E-2</v>
      </c>
      <c r="H90">
        <f t="shared" si="7"/>
        <v>4.4000000000000004</v>
      </c>
      <c r="I90">
        <f t="shared" si="8"/>
        <v>-4.976</v>
      </c>
      <c r="J90">
        <f t="shared" si="9"/>
        <v>3.1824144926504615E-2</v>
      </c>
      <c r="K90">
        <f t="shared" si="10"/>
        <v>-99.784748851487521</v>
      </c>
      <c r="L90">
        <f t="shared" si="11"/>
        <v>4.2432193235339476E-4</v>
      </c>
      <c r="O90">
        <f t="shared" si="12"/>
        <v>-99.744642441177433</v>
      </c>
      <c r="P90">
        <f t="shared" si="13"/>
        <v>-2.2586159850992397E-4</v>
      </c>
    </row>
    <row r="91" spans="1:16" x14ac:dyDescent="0.25">
      <c r="A91" s="2">
        <v>4.45</v>
      </c>
      <c r="B91" s="1">
        <v>-4.8680000000000003</v>
      </c>
      <c r="C91">
        <v>3.5000000000000003E-2</v>
      </c>
      <c r="H91">
        <f t="shared" si="7"/>
        <v>4.45</v>
      </c>
      <c r="I91">
        <f t="shared" si="8"/>
        <v>-4.8680000000000003</v>
      </c>
      <c r="J91">
        <f t="shared" si="9"/>
        <v>3.17880556643058E-2</v>
      </c>
      <c r="K91">
        <f t="shared" si="10"/>
        <v>-97.619002694743031</v>
      </c>
      <c r="L91">
        <f t="shared" si="11"/>
        <v>4.238407421907439E-4</v>
      </c>
      <c r="O91">
        <f t="shared" si="12"/>
        <v>-97.578896284432943</v>
      </c>
      <c r="P91">
        <f t="shared" si="13"/>
        <v>-2.2634278867257482E-4</v>
      </c>
    </row>
    <row r="92" spans="1:16" x14ac:dyDescent="0.25">
      <c r="A92" s="2">
        <v>4.5</v>
      </c>
      <c r="B92" s="1">
        <v>-4.7539999999999996</v>
      </c>
      <c r="C92">
        <v>3.5999999999999997E-2</v>
      </c>
      <c r="H92">
        <f t="shared" si="7"/>
        <v>4.5</v>
      </c>
      <c r="I92">
        <f t="shared" si="8"/>
        <v>-4.7539999999999996</v>
      </c>
      <c r="J92">
        <f t="shared" si="9"/>
        <v>3.2751966402106987E-2</v>
      </c>
      <c r="K92">
        <f t="shared" si="10"/>
        <v>-95.332937307068264</v>
      </c>
      <c r="L92">
        <f t="shared" si="11"/>
        <v>4.366928853614264E-4</v>
      </c>
      <c r="O92">
        <f t="shared" si="12"/>
        <v>-95.292830896758176</v>
      </c>
      <c r="P92">
        <f t="shared" si="13"/>
        <v>-2.1349064550189233E-4</v>
      </c>
    </row>
    <row r="93" spans="1:16" x14ac:dyDescent="0.25">
      <c r="A93" s="2">
        <v>4.55</v>
      </c>
      <c r="B93" s="1">
        <v>-4.609</v>
      </c>
      <c r="C93">
        <v>3.5999999999999997E-2</v>
      </c>
      <c r="H93">
        <f t="shared" si="7"/>
        <v>4.55</v>
      </c>
      <c r="I93">
        <f t="shared" si="8"/>
        <v>-4.609</v>
      </c>
      <c r="J93">
        <f t="shared" si="9"/>
        <v>3.2715877139908173E-2</v>
      </c>
      <c r="K93">
        <f t="shared" si="10"/>
        <v>-92.425222559587226</v>
      </c>
      <c r="L93">
        <f t="shared" si="11"/>
        <v>4.3621169519877554E-4</v>
      </c>
      <c r="O93">
        <f t="shared" si="12"/>
        <v>-92.385116149277138</v>
      </c>
      <c r="P93">
        <f t="shared" si="13"/>
        <v>-2.1397183566454318E-4</v>
      </c>
    </row>
    <row r="94" spans="1:16" x14ac:dyDescent="0.25">
      <c r="A94" s="2">
        <v>4.5999999999999996</v>
      </c>
      <c r="B94" s="1">
        <v>-4.4669999999999996</v>
      </c>
      <c r="C94">
        <v>3.6999999999999998E-2</v>
      </c>
      <c r="H94">
        <f t="shared" si="7"/>
        <v>4.5999999999999996</v>
      </c>
      <c r="I94">
        <f t="shared" si="8"/>
        <v>-4.4669999999999996</v>
      </c>
      <c r="J94">
        <f t="shared" si="9"/>
        <v>3.3679787877709366E-2</v>
      </c>
      <c r="K94">
        <f t="shared" si="10"/>
        <v>-89.577667427571299</v>
      </c>
      <c r="L94">
        <f t="shared" si="11"/>
        <v>4.4906383836945815E-4</v>
      </c>
      <c r="O94">
        <f t="shared" si="12"/>
        <v>-89.537561017261211</v>
      </c>
      <c r="P94">
        <f t="shared" si="13"/>
        <v>-2.0111969249386058E-4</v>
      </c>
    </row>
    <row r="95" spans="1:16" x14ac:dyDescent="0.25">
      <c r="A95" s="2">
        <v>4.6500000000000004</v>
      </c>
      <c r="B95" s="1">
        <v>-4.3529999999999998</v>
      </c>
      <c r="C95">
        <v>3.6999999999999998E-2</v>
      </c>
      <c r="H95">
        <f t="shared" si="7"/>
        <v>4.6500000000000004</v>
      </c>
      <c r="I95">
        <f t="shared" si="8"/>
        <v>-4.3529999999999998</v>
      </c>
      <c r="J95">
        <f t="shared" si="9"/>
        <v>3.3643698615510552E-2</v>
      </c>
      <c r="K95">
        <f t="shared" si="10"/>
        <v>-87.291602039896546</v>
      </c>
      <c r="L95">
        <f t="shared" si="11"/>
        <v>4.4858264820680729E-4</v>
      </c>
      <c r="O95">
        <f t="shared" si="12"/>
        <v>-87.251495629586458</v>
      </c>
      <c r="P95">
        <f t="shared" si="13"/>
        <v>-2.0160088265651143E-4</v>
      </c>
    </row>
    <row r="96" spans="1:16" x14ac:dyDescent="0.25">
      <c r="A96" s="2">
        <v>4.7</v>
      </c>
      <c r="B96" s="1">
        <v>-4.3330000000000002</v>
      </c>
      <c r="C96">
        <v>3.6999999999999998E-2</v>
      </c>
      <c r="H96">
        <f t="shared" si="7"/>
        <v>4.7</v>
      </c>
      <c r="I96">
        <f t="shared" si="8"/>
        <v>-4.3330000000000002</v>
      </c>
      <c r="J96">
        <f t="shared" si="9"/>
        <v>3.3607609353311738E-2</v>
      </c>
      <c r="K96">
        <f t="shared" si="10"/>
        <v>-86.89053793679571</v>
      </c>
      <c r="L96">
        <f t="shared" si="11"/>
        <v>4.4810145804415643E-4</v>
      </c>
      <c r="O96">
        <f t="shared" si="12"/>
        <v>-86.850431526485622</v>
      </c>
      <c r="P96">
        <f t="shared" si="13"/>
        <v>-2.0208207281916229E-4</v>
      </c>
    </row>
    <row r="97" spans="1:16" x14ac:dyDescent="0.25">
      <c r="A97" s="2">
        <v>4.75</v>
      </c>
      <c r="B97" s="1">
        <v>-4.3330000000000002</v>
      </c>
      <c r="C97">
        <v>3.6999999999999998E-2</v>
      </c>
      <c r="H97">
        <f t="shared" si="7"/>
        <v>4.75</v>
      </c>
      <c r="I97">
        <f t="shared" si="8"/>
        <v>-4.3330000000000002</v>
      </c>
      <c r="J97">
        <f t="shared" si="9"/>
        <v>3.357152009111293E-2</v>
      </c>
      <c r="K97">
        <f t="shared" si="10"/>
        <v>-86.89053793679571</v>
      </c>
      <c r="L97">
        <f t="shared" si="11"/>
        <v>4.4762026788150563E-4</v>
      </c>
      <c r="O97">
        <f t="shared" si="12"/>
        <v>-86.850431526485622</v>
      </c>
      <c r="P97">
        <f t="shared" si="13"/>
        <v>-2.0256326298181309E-4</v>
      </c>
    </row>
    <row r="98" spans="1:16" x14ac:dyDescent="0.25">
      <c r="A98" s="2">
        <v>4.8</v>
      </c>
      <c r="B98" s="1">
        <v>-4.3330000000000002</v>
      </c>
      <c r="C98">
        <v>3.6999999999999998E-2</v>
      </c>
      <c r="H98">
        <f t="shared" si="7"/>
        <v>4.8</v>
      </c>
      <c r="I98">
        <f t="shared" si="8"/>
        <v>-4.3330000000000002</v>
      </c>
      <c r="J98">
        <f t="shared" si="9"/>
        <v>3.3535430828914116E-2</v>
      </c>
      <c r="K98">
        <f t="shared" si="10"/>
        <v>-86.89053793679571</v>
      </c>
      <c r="L98">
        <f t="shared" si="11"/>
        <v>4.4713907771885478E-4</v>
      </c>
      <c r="O98">
        <f t="shared" si="12"/>
        <v>-86.850431526485622</v>
      </c>
      <c r="P98">
        <f t="shared" si="13"/>
        <v>-2.0304445314446394E-4</v>
      </c>
    </row>
    <row r="99" spans="1:16" x14ac:dyDescent="0.25">
      <c r="A99" s="2">
        <v>4.8499999999999996</v>
      </c>
      <c r="B99" s="1">
        <v>-4.3330000000000002</v>
      </c>
      <c r="C99">
        <v>3.6999999999999998E-2</v>
      </c>
      <c r="H99">
        <f t="shared" si="7"/>
        <v>4.8499999999999996</v>
      </c>
      <c r="I99">
        <f t="shared" si="8"/>
        <v>-4.3330000000000002</v>
      </c>
      <c r="J99">
        <f t="shared" si="9"/>
        <v>3.3499341566715309E-2</v>
      </c>
      <c r="K99">
        <f t="shared" si="10"/>
        <v>-86.89053793679571</v>
      </c>
      <c r="L99">
        <f t="shared" si="11"/>
        <v>4.4665788755620403E-4</v>
      </c>
      <c r="O99">
        <f t="shared" si="12"/>
        <v>-86.850431526485622</v>
      </c>
      <c r="P99">
        <f t="shared" si="13"/>
        <v>-2.0352564330711469E-4</v>
      </c>
    </row>
    <row r="100" spans="1:16" x14ac:dyDescent="0.25">
      <c r="A100" s="2">
        <v>4.9000000000000004</v>
      </c>
      <c r="B100" s="1">
        <v>-4.3330000000000002</v>
      </c>
      <c r="C100">
        <v>3.7999999999999999E-2</v>
      </c>
      <c r="H100">
        <f t="shared" si="7"/>
        <v>4.9000000000000004</v>
      </c>
      <c r="I100">
        <f t="shared" si="8"/>
        <v>-4.3330000000000002</v>
      </c>
      <c r="J100">
        <f t="shared" si="9"/>
        <v>3.4463252304516495E-2</v>
      </c>
      <c r="K100">
        <f t="shared" si="10"/>
        <v>-86.89053793679571</v>
      </c>
      <c r="L100">
        <f t="shared" si="11"/>
        <v>4.5951003072688653E-4</v>
      </c>
      <c r="O100">
        <f t="shared" si="12"/>
        <v>-86.850431526485622</v>
      </c>
      <c r="P100">
        <f t="shared" si="13"/>
        <v>-1.906735001364322E-4</v>
      </c>
    </row>
    <row r="101" spans="1:16" x14ac:dyDescent="0.25">
      <c r="A101" s="2">
        <v>4.95</v>
      </c>
      <c r="B101" s="1">
        <v>-4.3330000000000002</v>
      </c>
      <c r="C101">
        <v>3.6999999999999998E-2</v>
      </c>
      <c r="H101">
        <f t="shared" si="7"/>
        <v>4.95</v>
      </c>
      <c r="I101">
        <f t="shared" si="8"/>
        <v>-4.3330000000000002</v>
      </c>
      <c r="J101">
        <f t="shared" si="9"/>
        <v>3.3427163042317687E-2</v>
      </c>
      <c r="K101">
        <f t="shared" si="10"/>
        <v>-86.89053793679571</v>
      </c>
      <c r="L101">
        <f t="shared" si="11"/>
        <v>4.4569550723090243E-4</v>
      </c>
      <c r="O101">
        <f t="shared" si="12"/>
        <v>-86.850431526485622</v>
      </c>
      <c r="P101">
        <f t="shared" si="13"/>
        <v>-2.0448802363241629E-4</v>
      </c>
    </row>
    <row r="102" spans="1:16" x14ac:dyDescent="0.25">
      <c r="A102" s="2">
        <v>5</v>
      </c>
      <c r="B102" s="1">
        <v>-4.3250000000000002</v>
      </c>
      <c r="C102">
        <v>3.7999999999999999E-2</v>
      </c>
      <c r="H102">
        <f t="shared" si="7"/>
        <v>5</v>
      </c>
      <c r="I102">
        <f t="shared" si="8"/>
        <v>-4.3250000000000002</v>
      </c>
      <c r="J102">
        <f t="shared" si="9"/>
        <v>3.4391073780118873E-2</v>
      </c>
      <c r="K102">
        <f t="shared" si="10"/>
        <v>-86.730112295555386</v>
      </c>
      <c r="L102">
        <f t="shared" si="11"/>
        <v>4.5854765040158487E-4</v>
      </c>
      <c r="O102">
        <f t="shared" si="12"/>
        <v>-86.690005885245299</v>
      </c>
      <c r="P102">
        <f t="shared" si="13"/>
        <v>-1.9163588046173385E-4</v>
      </c>
    </row>
    <row r="103" spans="1:16" x14ac:dyDescent="0.25">
      <c r="A103" s="2">
        <v>5.05</v>
      </c>
      <c r="B103" s="1">
        <v>-4.2300000000000004</v>
      </c>
      <c r="C103">
        <v>3.7999999999999999E-2</v>
      </c>
      <c r="H103">
        <f t="shared" si="7"/>
        <v>5.05</v>
      </c>
      <c r="I103">
        <f t="shared" si="8"/>
        <v>-4.2300000000000004</v>
      </c>
      <c r="J103">
        <f t="shared" si="9"/>
        <v>3.4354984517920059E-2</v>
      </c>
      <c r="K103">
        <f t="shared" si="10"/>
        <v>-84.825057805826418</v>
      </c>
      <c r="L103">
        <f t="shared" si="11"/>
        <v>4.5806646023893401E-4</v>
      </c>
      <c r="O103">
        <f t="shared" si="12"/>
        <v>-84.78495139551633</v>
      </c>
      <c r="P103">
        <f t="shared" si="13"/>
        <v>-1.9211707062438471E-4</v>
      </c>
    </row>
    <row r="104" spans="1:16" x14ac:dyDescent="0.25">
      <c r="A104" s="2">
        <v>5.0999999999999996</v>
      </c>
      <c r="B104" s="1">
        <v>-4.0890000000000004</v>
      </c>
      <c r="C104">
        <v>3.7999999999999999E-2</v>
      </c>
      <c r="H104">
        <f t="shared" si="7"/>
        <v>5.0999999999999996</v>
      </c>
      <c r="I104">
        <f t="shared" si="8"/>
        <v>-4.0890000000000004</v>
      </c>
      <c r="J104">
        <f t="shared" si="9"/>
        <v>3.4318895255721252E-2</v>
      </c>
      <c r="K104">
        <f t="shared" si="10"/>
        <v>-81.997555878965542</v>
      </c>
      <c r="L104">
        <f t="shared" si="11"/>
        <v>4.5758527007628327E-4</v>
      </c>
      <c r="O104">
        <f t="shared" si="12"/>
        <v>-81.957449468655454</v>
      </c>
      <c r="P104">
        <f t="shared" si="13"/>
        <v>-1.9259826078703545E-4</v>
      </c>
    </row>
    <row r="105" spans="1:16" x14ac:dyDescent="0.25">
      <c r="A105" s="2">
        <v>5.15</v>
      </c>
      <c r="B105" s="1">
        <v>-3.956</v>
      </c>
      <c r="C105">
        <v>3.9E-2</v>
      </c>
      <c r="H105">
        <f t="shared" si="7"/>
        <v>5.15</v>
      </c>
      <c r="I105">
        <f t="shared" si="8"/>
        <v>-3.956</v>
      </c>
      <c r="J105">
        <f t="shared" si="9"/>
        <v>3.5282805993522438E-2</v>
      </c>
      <c r="K105">
        <f t="shared" si="10"/>
        <v>-79.33047959334499</v>
      </c>
      <c r="L105">
        <f t="shared" si="11"/>
        <v>4.7043741324696576E-4</v>
      </c>
      <c r="O105">
        <f t="shared" si="12"/>
        <v>-79.290373183034902</v>
      </c>
      <c r="P105">
        <f t="shared" si="13"/>
        <v>-1.7974611761635296E-4</v>
      </c>
    </row>
    <row r="106" spans="1:16" x14ac:dyDescent="0.25">
      <c r="A106" s="2">
        <v>5.2</v>
      </c>
      <c r="B106" s="1">
        <v>-3.806</v>
      </c>
      <c r="C106">
        <v>0.04</v>
      </c>
      <c r="H106">
        <f t="shared" si="7"/>
        <v>5.2</v>
      </c>
      <c r="I106">
        <f t="shared" si="8"/>
        <v>-3.806</v>
      </c>
      <c r="J106">
        <f t="shared" si="9"/>
        <v>3.6246716731323632E-2</v>
      </c>
      <c r="K106">
        <f t="shared" si="10"/>
        <v>-76.32249882008874</v>
      </c>
      <c r="L106">
        <f t="shared" si="11"/>
        <v>4.8328955641764831E-4</v>
      </c>
      <c r="O106">
        <f t="shared" si="12"/>
        <v>-76.282392409778652</v>
      </c>
      <c r="P106">
        <f t="shared" si="13"/>
        <v>-1.6689397444567041E-4</v>
      </c>
    </row>
    <row r="107" spans="1:16" x14ac:dyDescent="0.25">
      <c r="A107" s="2">
        <v>5.25</v>
      </c>
      <c r="B107" s="1">
        <v>-3.7890000000000001</v>
      </c>
      <c r="C107">
        <v>3.9E-2</v>
      </c>
      <c r="H107">
        <f t="shared" si="7"/>
        <v>5.25</v>
      </c>
      <c r="I107">
        <f t="shared" si="8"/>
        <v>-3.7890000000000001</v>
      </c>
      <c r="J107">
        <f t="shared" si="9"/>
        <v>3.5210627469124817E-2</v>
      </c>
      <c r="K107">
        <f t="shared" si="10"/>
        <v>-75.981594332453028</v>
      </c>
      <c r="L107">
        <f t="shared" si="11"/>
        <v>4.6947503292166411E-4</v>
      </c>
      <c r="O107">
        <f t="shared" si="12"/>
        <v>-75.94148792214294</v>
      </c>
      <c r="P107">
        <f t="shared" si="13"/>
        <v>-1.8070849794165462E-4</v>
      </c>
    </row>
    <row r="108" spans="1:16" x14ac:dyDescent="0.25">
      <c r="A108" s="2">
        <v>5.3</v>
      </c>
      <c r="B108" s="1">
        <v>-3.7890000000000001</v>
      </c>
      <c r="C108">
        <v>0.04</v>
      </c>
      <c r="H108">
        <f t="shared" si="7"/>
        <v>5.3</v>
      </c>
      <c r="I108">
        <f t="shared" si="8"/>
        <v>-3.7890000000000001</v>
      </c>
      <c r="J108">
        <f t="shared" si="9"/>
        <v>3.617453820692601E-2</v>
      </c>
      <c r="K108">
        <f t="shared" si="10"/>
        <v>-75.981594332453028</v>
      </c>
      <c r="L108">
        <f t="shared" si="11"/>
        <v>4.8232717609234671E-4</v>
      </c>
      <c r="O108">
        <f t="shared" si="12"/>
        <v>-75.94148792214294</v>
      </c>
      <c r="P108">
        <f t="shared" si="13"/>
        <v>-1.6785635477097201E-4</v>
      </c>
    </row>
    <row r="109" spans="1:16" x14ac:dyDescent="0.25">
      <c r="A109" s="2">
        <v>5.35</v>
      </c>
      <c r="B109" s="1">
        <v>-3.7890000000000001</v>
      </c>
      <c r="C109">
        <v>3.9E-2</v>
      </c>
      <c r="H109">
        <f t="shared" si="7"/>
        <v>5.35</v>
      </c>
      <c r="I109">
        <f t="shared" si="8"/>
        <v>-3.7890000000000001</v>
      </c>
      <c r="J109">
        <f t="shared" si="9"/>
        <v>3.5138448944727195E-2</v>
      </c>
      <c r="K109">
        <f t="shared" si="10"/>
        <v>-75.981594332453028</v>
      </c>
      <c r="L109">
        <f t="shared" si="11"/>
        <v>4.685126525963625E-4</v>
      </c>
      <c r="O109">
        <f t="shared" si="12"/>
        <v>-75.94148792214294</v>
      </c>
      <c r="P109">
        <f t="shared" si="13"/>
        <v>-1.8167087826695622E-4</v>
      </c>
    </row>
    <row r="110" spans="1:16" x14ac:dyDescent="0.25">
      <c r="A110" s="2">
        <v>5.4</v>
      </c>
      <c r="B110" s="1">
        <v>-3.7890000000000001</v>
      </c>
      <c r="C110">
        <v>0.04</v>
      </c>
      <c r="H110">
        <f t="shared" si="7"/>
        <v>5.4</v>
      </c>
      <c r="I110">
        <f t="shared" si="8"/>
        <v>-3.7890000000000001</v>
      </c>
      <c r="J110">
        <f t="shared" si="9"/>
        <v>3.6102359682528389E-2</v>
      </c>
      <c r="K110">
        <f t="shared" si="10"/>
        <v>-75.981594332453028</v>
      </c>
      <c r="L110">
        <f t="shared" si="11"/>
        <v>4.8136479576704511E-4</v>
      </c>
      <c r="O110">
        <f t="shared" si="12"/>
        <v>-75.94148792214294</v>
      </c>
      <c r="P110">
        <f t="shared" si="13"/>
        <v>-1.6881873509627362E-4</v>
      </c>
    </row>
    <row r="111" spans="1:16" x14ac:dyDescent="0.25">
      <c r="A111" s="2">
        <v>5.45</v>
      </c>
      <c r="B111" s="1">
        <v>-3.7890000000000001</v>
      </c>
      <c r="C111">
        <v>3.9E-2</v>
      </c>
      <c r="H111">
        <f t="shared" si="7"/>
        <v>5.45</v>
      </c>
      <c r="I111">
        <f t="shared" si="8"/>
        <v>-3.7890000000000001</v>
      </c>
      <c r="J111">
        <f t="shared" si="9"/>
        <v>3.5066270420329573E-2</v>
      </c>
      <c r="K111">
        <f t="shared" si="10"/>
        <v>-75.981594332453028</v>
      </c>
      <c r="L111">
        <f t="shared" si="11"/>
        <v>4.675502722710609E-4</v>
      </c>
      <c r="O111">
        <f t="shared" si="12"/>
        <v>-75.94148792214294</v>
      </c>
      <c r="P111">
        <f t="shared" si="13"/>
        <v>-1.8263325859225782E-4</v>
      </c>
    </row>
    <row r="112" spans="1:16" x14ac:dyDescent="0.25">
      <c r="A112" s="2">
        <v>5.5</v>
      </c>
      <c r="B112" s="1">
        <v>-3.7890000000000001</v>
      </c>
      <c r="C112">
        <v>0.04</v>
      </c>
      <c r="H112">
        <f t="shared" si="7"/>
        <v>5.5</v>
      </c>
      <c r="I112">
        <f t="shared" si="8"/>
        <v>-3.7890000000000001</v>
      </c>
      <c r="J112">
        <f t="shared" si="9"/>
        <v>3.6030181158130767E-2</v>
      </c>
      <c r="K112">
        <f t="shared" si="10"/>
        <v>-75.981594332453028</v>
      </c>
      <c r="L112">
        <f t="shared" si="11"/>
        <v>4.8040241544174345E-4</v>
      </c>
      <c r="O112">
        <f t="shared" si="12"/>
        <v>-75.94148792214294</v>
      </c>
      <c r="P112">
        <f t="shared" si="13"/>
        <v>-1.6978111542157527E-4</v>
      </c>
    </row>
    <row r="113" spans="1:16" x14ac:dyDescent="0.25">
      <c r="A113" s="2">
        <v>5.55</v>
      </c>
      <c r="B113" s="1">
        <v>-3.7890000000000001</v>
      </c>
      <c r="C113">
        <v>3.9E-2</v>
      </c>
      <c r="H113">
        <f t="shared" si="7"/>
        <v>5.55</v>
      </c>
      <c r="I113">
        <f t="shared" si="8"/>
        <v>-3.7890000000000001</v>
      </c>
      <c r="J113">
        <f t="shared" si="9"/>
        <v>3.4994091895931952E-2</v>
      </c>
      <c r="K113">
        <f t="shared" si="10"/>
        <v>-75.981594332453028</v>
      </c>
      <c r="L113">
        <f t="shared" si="11"/>
        <v>4.6658789194575925E-4</v>
      </c>
      <c r="O113">
        <f t="shared" si="12"/>
        <v>-75.94148792214294</v>
      </c>
      <c r="P113">
        <f t="shared" si="13"/>
        <v>-1.8359563891755948E-4</v>
      </c>
    </row>
    <row r="114" spans="1:16" x14ac:dyDescent="0.25">
      <c r="A114" s="2">
        <v>5.6</v>
      </c>
      <c r="B114" s="1">
        <v>-3.7240000000000002</v>
      </c>
      <c r="C114">
        <v>0.04</v>
      </c>
      <c r="H114">
        <f t="shared" si="7"/>
        <v>5.6</v>
      </c>
      <c r="I114">
        <f t="shared" si="8"/>
        <v>-3.7240000000000002</v>
      </c>
      <c r="J114">
        <f t="shared" si="9"/>
        <v>3.5958002633733138E-2</v>
      </c>
      <c r="K114">
        <f t="shared" si="10"/>
        <v>-74.678135997375321</v>
      </c>
      <c r="L114">
        <f t="shared" si="11"/>
        <v>4.7944003511644174E-4</v>
      </c>
      <c r="O114">
        <f t="shared" si="12"/>
        <v>-74.638029587065233</v>
      </c>
      <c r="P114">
        <f t="shared" si="13"/>
        <v>-1.7074349574687698E-4</v>
      </c>
    </row>
    <row r="115" spans="1:16" x14ac:dyDescent="0.25">
      <c r="A115" s="2">
        <v>5.65</v>
      </c>
      <c r="B115" s="1">
        <v>-3.6120000000000001</v>
      </c>
      <c r="C115">
        <v>0.04</v>
      </c>
      <c r="H115">
        <f t="shared" si="7"/>
        <v>5.65</v>
      </c>
      <c r="I115">
        <f t="shared" si="8"/>
        <v>-3.6120000000000001</v>
      </c>
      <c r="J115">
        <f t="shared" si="9"/>
        <v>3.5921913371534331E-2</v>
      </c>
      <c r="K115">
        <f t="shared" si="10"/>
        <v>-72.432177020010641</v>
      </c>
      <c r="L115">
        <f t="shared" si="11"/>
        <v>4.7895884495379099E-4</v>
      </c>
      <c r="O115">
        <f t="shared" si="12"/>
        <v>-72.392070609700554</v>
      </c>
      <c r="P115">
        <f t="shared" si="13"/>
        <v>-1.7122468590952773E-4</v>
      </c>
    </row>
    <row r="116" spans="1:16" x14ac:dyDescent="0.25">
      <c r="A116" s="2">
        <v>5.7</v>
      </c>
      <c r="B116" s="1">
        <v>-3.4319999999999999</v>
      </c>
      <c r="C116">
        <v>4.2000000000000003E-2</v>
      </c>
      <c r="H116">
        <f t="shared" si="7"/>
        <v>5.7</v>
      </c>
      <c r="I116">
        <f t="shared" si="8"/>
        <v>-3.4319999999999999</v>
      </c>
      <c r="J116">
        <f t="shared" si="9"/>
        <v>3.7885824109335518E-2</v>
      </c>
      <c r="K116">
        <f t="shared" si="10"/>
        <v>-68.82260009210313</v>
      </c>
      <c r="L116">
        <f t="shared" si="11"/>
        <v>5.0514432145780678E-4</v>
      </c>
      <c r="O116">
        <f t="shared" si="12"/>
        <v>-68.782493681793042</v>
      </c>
      <c r="P116">
        <f t="shared" si="13"/>
        <v>-1.4503920940551194E-4</v>
      </c>
    </row>
    <row r="117" spans="1:16" x14ac:dyDescent="0.25">
      <c r="A117" s="2">
        <v>5.75</v>
      </c>
      <c r="B117" s="1">
        <v>-3.2570000000000001</v>
      </c>
      <c r="C117">
        <v>4.2000000000000003E-2</v>
      </c>
      <c r="H117">
        <f t="shared" si="7"/>
        <v>5.75</v>
      </c>
      <c r="I117">
        <f t="shared" si="8"/>
        <v>-3.2570000000000001</v>
      </c>
      <c r="J117">
        <f t="shared" si="9"/>
        <v>3.7849734847136711E-2</v>
      </c>
      <c r="K117">
        <f t="shared" si="10"/>
        <v>-65.313289189970845</v>
      </c>
      <c r="L117">
        <f t="shared" si="11"/>
        <v>5.0466313129515609E-4</v>
      </c>
      <c r="O117">
        <f t="shared" si="12"/>
        <v>-65.273182779660758</v>
      </c>
      <c r="P117">
        <f t="shared" si="13"/>
        <v>-1.4552039956816263E-4</v>
      </c>
    </row>
    <row r="118" spans="1:16" x14ac:dyDescent="0.25">
      <c r="A118" s="2">
        <v>5.8</v>
      </c>
      <c r="B118" s="1">
        <v>-3.1840000000000002</v>
      </c>
      <c r="C118">
        <v>4.2000000000000003E-2</v>
      </c>
      <c r="H118">
        <f t="shared" si="7"/>
        <v>5.8</v>
      </c>
      <c r="I118">
        <f t="shared" si="8"/>
        <v>-3.1840000000000002</v>
      </c>
      <c r="J118">
        <f t="shared" si="9"/>
        <v>3.7813645584937897E-2</v>
      </c>
      <c r="K118">
        <f t="shared" si="10"/>
        <v>-63.849405213652794</v>
      </c>
      <c r="L118">
        <f t="shared" si="11"/>
        <v>5.0418194113250518E-4</v>
      </c>
      <c r="O118">
        <f t="shared" si="12"/>
        <v>-63.809298803342706</v>
      </c>
      <c r="P118">
        <f t="shared" si="13"/>
        <v>-1.4600158973081354E-4</v>
      </c>
    </row>
    <row r="119" spans="1:16" x14ac:dyDescent="0.25">
      <c r="A119" s="2">
        <v>5.85</v>
      </c>
      <c r="B119" s="1">
        <v>-3.1709999999999998</v>
      </c>
      <c r="C119">
        <v>4.2000000000000003E-2</v>
      </c>
      <c r="H119">
        <f t="shared" si="7"/>
        <v>5.85</v>
      </c>
      <c r="I119">
        <f t="shared" si="8"/>
        <v>-3.1709999999999998</v>
      </c>
      <c r="J119">
        <f t="shared" si="9"/>
        <v>3.7777556322739089E-2</v>
      </c>
      <c r="K119">
        <f t="shared" si="10"/>
        <v>-63.588713546637244</v>
      </c>
      <c r="L119">
        <f t="shared" si="11"/>
        <v>5.0370075096985438E-4</v>
      </c>
      <c r="O119">
        <f t="shared" si="12"/>
        <v>-63.548607136327156</v>
      </c>
      <c r="P119">
        <f t="shared" si="13"/>
        <v>-1.4648277989346434E-4</v>
      </c>
    </row>
    <row r="120" spans="1:16" x14ac:dyDescent="0.25">
      <c r="A120" s="2">
        <v>5.9</v>
      </c>
      <c r="B120" s="1">
        <v>-3.17</v>
      </c>
      <c r="C120">
        <v>4.2999999999999997E-2</v>
      </c>
      <c r="H120">
        <f t="shared" si="7"/>
        <v>5.9</v>
      </c>
      <c r="I120">
        <f t="shared" si="8"/>
        <v>-3.17</v>
      </c>
      <c r="J120">
        <f t="shared" si="9"/>
        <v>3.8741467060540269E-2</v>
      </c>
      <c r="K120">
        <f t="shared" si="10"/>
        <v>-63.568660341482207</v>
      </c>
      <c r="L120">
        <f t="shared" si="11"/>
        <v>5.1655289414053677E-4</v>
      </c>
      <c r="O120">
        <f t="shared" si="12"/>
        <v>-63.528553931172119</v>
      </c>
      <c r="P120">
        <f t="shared" si="13"/>
        <v>-1.3363063672278195E-4</v>
      </c>
    </row>
    <row r="121" spans="1:16" x14ac:dyDescent="0.25">
      <c r="A121" s="2">
        <v>5.95</v>
      </c>
      <c r="B121" s="1">
        <v>-3.1709999999999998</v>
      </c>
      <c r="C121">
        <v>4.2000000000000003E-2</v>
      </c>
      <c r="H121">
        <f t="shared" si="7"/>
        <v>5.95</v>
      </c>
      <c r="I121">
        <f t="shared" si="8"/>
        <v>-3.1709999999999998</v>
      </c>
      <c r="J121">
        <f t="shared" si="9"/>
        <v>3.7705377798341461E-2</v>
      </c>
      <c r="K121">
        <f t="shared" si="10"/>
        <v>-63.588713546637244</v>
      </c>
      <c r="L121">
        <f t="shared" si="11"/>
        <v>5.0273837064455267E-4</v>
      </c>
      <c r="O121">
        <f t="shared" si="12"/>
        <v>-63.548607136327156</v>
      </c>
      <c r="P121">
        <f t="shared" si="13"/>
        <v>-1.4744516021876605E-4</v>
      </c>
    </row>
    <row r="122" spans="1:16" x14ac:dyDescent="0.25">
      <c r="A122" s="2">
        <v>6</v>
      </c>
      <c r="B122" s="1">
        <v>-3.1709999999999998</v>
      </c>
      <c r="C122">
        <v>4.2000000000000003E-2</v>
      </c>
      <c r="H122">
        <f t="shared" si="7"/>
        <v>6</v>
      </c>
      <c r="I122">
        <f t="shared" si="8"/>
        <v>-3.1709999999999998</v>
      </c>
      <c r="J122">
        <f t="shared" si="9"/>
        <v>3.7669288536142653E-2</v>
      </c>
      <c r="K122">
        <f t="shared" si="10"/>
        <v>-63.588713546637244</v>
      </c>
      <c r="L122">
        <f t="shared" si="11"/>
        <v>5.0225718048190198E-4</v>
      </c>
      <c r="O122">
        <f t="shared" si="12"/>
        <v>-63.548607136327156</v>
      </c>
      <c r="P122">
        <f t="shared" si="13"/>
        <v>-1.4792635038141674E-4</v>
      </c>
    </row>
    <row r="123" spans="1:16" x14ac:dyDescent="0.25">
      <c r="A123" s="2">
        <v>6.05</v>
      </c>
      <c r="B123" s="1">
        <v>-3.1709999999999998</v>
      </c>
      <c r="C123">
        <v>4.2000000000000003E-2</v>
      </c>
      <c r="H123">
        <f t="shared" si="7"/>
        <v>6.05</v>
      </c>
      <c r="I123">
        <f t="shared" si="8"/>
        <v>-3.1709999999999998</v>
      </c>
      <c r="J123">
        <f t="shared" si="9"/>
        <v>3.7633199273943839E-2</v>
      </c>
      <c r="K123">
        <f t="shared" si="10"/>
        <v>-63.588713546637244</v>
      </c>
      <c r="L123">
        <f t="shared" si="11"/>
        <v>5.0177599031925107E-4</v>
      </c>
      <c r="O123">
        <f t="shared" si="12"/>
        <v>-63.548607136327156</v>
      </c>
      <c r="P123">
        <f t="shared" si="13"/>
        <v>-1.4840754054406765E-4</v>
      </c>
    </row>
    <row r="124" spans="1:16" x14ac:dyDescent="0.25">
      <c r="A124" s="2">
        <v>6.1</v>
      </c>
      <c r="B124" s="1">
        <v>-3.1080000000000001</v>
      </c>
      <c r="C124">
        <v>4.2999999999999997E-2</v>
      </c>
      <c r="H124">
        <f t="shared" si="7"/>
        <v>6.1</v>
      </c>
      <c r="I124">
        <f t="shared" si="8"/>
        <v>-3.1080000000000001</v>
      </c>
      <c r="J124">
        <f t="shared" si="9"/>
        <v>3.8597110011745026E-2</v>
      </c>
      <c r="K124">
        <f t="shared" si="10"/>
        <v>-62.325361621869625</v>
      </c>
      <c r="L124">
        <f t="shared" si="11"/>
        <v>5.1462813348993356E-4</v>
      </c>
      <c r="O124">
        <f t="shared" si="12"/>
        <v>-62.285255211559537</v>
      </c>
      <c r="P124">
        <f t="shared" si="13"/>
        <v>-1.3555539737338516E-4</v>
      </c>
    </row>
    <row r="125" spans="1:16" x14ac:dyDescent="0.25">
      <c r="A125" s="2">
        <v>6.15</v>
      </c>
      <c r="B125" s="1">
        <v>-2.99</v>
      </c>
      <c r="C125">
        <v>4.2999999999999997E-2</v>
      </c>
      <c r="H125">
        <f t="shared" si="7"/>
        <v>6.15</v>
      </c>
      <c r="I125">
        <f t="shared" si="8"/>
        <v>-2.99</v>
      </c>
      <c r="J125">
        <f t="shared" si="9"/>
        <v>3.8561020749546211E-2</v>
      </c>
      <c r="K125">
        <f t="shared" si="10"/>
        <v>-59.959083413574703</v>
      </c>
      <c r="L125">
        <f t="shared" si="11"/>
        <v>5.1414694332728276E-4</v>
      </c>
      <c r="O125">
        <f t="shared" si="12"/>
        <v>-59.918977003264615</v>
      </c>
      <c r="P125">
        <f t="shared" si="13"/>
        <v>-1.3603658753603596E-4</v>
      </c>
    </row>
    <row r="126" spans="1:16" x14ac:dyDescent="0.25">
      <c r="A126" s="2">
        <v>6.2</v>
      </c>
      <c r="B126" s="1">
        <v>-2.8780000000000001</v>
      </c>
      <c r="C126">
        <v>4.3999999999999997E-2</v>
      </c>
      <c r="H126">
        <f t="shared" si="7"/>
        <v>6.2</v>
      </c>
      <c r="I126">
        <f t="shared" si="8"/>
        <v>-2.8780000000000001</v>
      </c>
      <c r="J126">
        <f t="shared" si="9"/>
        <v>3.9524931487347405E-2</v>
      </c>
      <c r="K126">
        <f t="shared" si="10"/>
        <v>-57.71312443621003</v>
      </c>
      <c r="L126">
        <f t="shared" si="11"/>
        <v>5.2699908649796526E-4</v>
      </c>
      <c r="O126">
        <f t="shared" si="12"/>
        <v>-57.673018025899943</v>
      </c>
      <c r="P126">
        <f t="shared" si="13"/>
        <v>-1.2318444436535347E-4</v>
      </c>
    </row>
    <row r="127" spans="1:16" x14ac:dyDescent="0.25">
      <c r="A127" s="2">
        <v>6.25</v>
      </c>
      <c r="B127" s="1">
        <v>-2.7919999999999998</v>
      </c>
      <c r="C127">
        <v>4.2999999999999997E-2</v>
      </c>
      <c r="H127">
        <f t="shared" si="7"/>
        <v>6.25</v>
      </c>
      <c r="I127">
        <f t="shared" si="8"/>
        <v>-2.7919999999999998</v>
      </c>
      <c r="J127">
        <f t="shared" si="9"/>
        <v>3.848884222514859E-2</v>
      </c>
      <c r="K127">
        <f t="shared" si="10"/>
        <v>-55.988548792876436</v>
      </c>
      <c r="L127">
        <f t="shared" si="11"/>
        <v>5.1318456300198105E-4</v>
      </c>
      <c r="O127">
        <f t="shared" si="12"/>
        <v>-55.948442382566348</v>
      </c>
      <c r="P127">
        <f t="shared" si="13"/>
        <v>-1.3699896786133767E-4</v>
      </c>
    </row>
    <row r="128" spans="1:16" x14ac:dyDescent="0.25">
      <c r="A128" s="2">
        <v>6.3</v>
      </c>
      <c r="B128" s="1">
        <v>-2.7389999999999999</v>
      </c>
      <c r="C128">
        <v>4.3999999999999997E-2</v>
      </c>
      <c r="H128">
        <f t="shared" si="7"/>
        <v>6.3</v>
      </c>
      <c r="I128">
        <f t="shared" si="8"/>
        <v>-2.7389999999999999</v>
      </c>
      <c r="J128">
        <f t="shared" si="9"/>
        <v>3.9452752962949783E-2</v>
      </c>
      <c r="K128">
        <f t="shared" si="10"/>
        <v>-54.925728919659228</v>
      </c>
      <c r="L128">
        <f t="shared" si="11"/>
        <v>5.2603670617266366E-4</v>
      </c>
      <c r="O128">
        <f t="shared" si="12"/>
        <v>-54.88562250934914</v>
      </c>
      <c r="P128">
        <f t="shared" si="13"/>
        <v>-1.2414682469065507E-4</v>
      </c>
    </row>
    <row r="129" spans="1:16" x14ac:dyDescent="0.25">
      <c r="A129" s="2">
        <v>6.35</v>
      </c>
      <c r="B129" s="1">
        <v>-2.6560000000000001</v>
      </c>
      <c r="C129">
        <v>4.3999999999999997E-2</v>
      </c>
      <c r="H129">
        <f t="shared" si="7"/>
        <v>6.35</v>
      </c>
      <c r="I129">
        <f t="shared" si="8"/>
        <v>-2.6560000000000001</v>
      </c>
      <c r="J129">
        <f t="shared" si="9"/>
        <v>3.9416663700750969E-2</v>
      </c>
      <c r="K129">
        <f t="shared" si="10"/>
        <v>-53.261312891790773</v>
      </c>
      <c r="L129">
        <f t="shared" si="11"/>
        <v>5.2555551601001285E-4</v>
      </c>
      <c r="O129">
        <f t="shared" si="12"/>
        <v>-53.221206481480685</v>
      </c>
      <c r="P129">
        <f t="shared" si="13"/>
        <v>-1.2462801485330587E-4</v>
      </c>
    </row>
    <row r="130" spans="1:16" x14ac:dyDescent="0.25">
      <c r="A130" s="2">
        <v>6.4</v>
      </c>
      <c r="B130" s="1">
        <v>-2.5920000000000001</v>
      </c>
      <c r="C130">
        <v>4.4999999999999998E-2</v>
      </c>
      <c r="H130">
        <f t="shared" si="7"/>
        <v>6.4</v>
      </c>
      <c r="I130">
        <f t="shared" si="8"/>
        <v>-2.5920000000000001</v>
      </c>
      <c r="J130">
        <f t="shared" si="9"/>
        <v>4.0380574438552155E-2</v>
      </c>
      <c r="K130">
        <f t="shared" si="10"/>
        <v>-51.977907761868103</v>
      </c>
      <c r="L130">
        <f t="shared" si="11"/>
        <v>5.3840765918069535E-4</v>
      </c>
      <c r="O130">
        <f t="shared" si="12"/>
        <v>-51.937801351558015</v>
      </c>
      <c r="P130">
        <f t="shared" si="13"/>
        <v>-1.1177587168262337E-4</v>
      </c>
    </row>
    <row r="131" spans="1:16" x14ac:dyDescent="0.25">
      <c r="A131" s="2">
        <v>6.45</v>
      </c>
      <c r="B131" s="1">
        <v>-2.569</v>
      </c>
      <c r="C131">
        <v>4.3999999999999997E-2</v>
      </c>
      <c r="H131">
        <f t="shared" ref="H131:H194" si="14">A131</f>
        <v>6.45</v>
      </c>
      <c r="I131">
        <f t="shared" ref="I131:I194" si="15">B131</f>
        <v>-2.569</v>
      </c>
      <c r="J131">
        <f t="shared" ref="J131:J194" si="16">C131-E$12*A131</f>
        <v>3.9344485176353347E-2</v>
      </c>
      <c r="K131">
        <f t="shared" ref="K131:K194" si="17">F$24*I131</f>
        <v>-51.516684043302142</v>
      </c>
      <c r="L131">
        <f t="shared" ref="L131:L194" si="18">F$25*J131</f>
        <v>5.2459313568471114E-4</v>
      </c>
      <c r="O131">
        <f t="shared" ref="O131:O194" si="19">K131-N$12</f>
        <v>-51.476577632992054</v>
      </c>
      <c r="P131">
        <f t="shared" ref="P131:P194" si="20">L131-N$15</f>
        <v>-1.2559039517860758E-4</v>
      </c>
    </row>
    <row r="132" spans="1:16" x14ac:dyDescent="0.25">
      <c r="A132" s="2">
        <v>6.5</v>
      </c>
      <c r="B132" s="1">
        <v>-2.5630000000000002</v>
      </c>
      <c r="C132">
        <v>4.4999999999999998E-2</v>
      </c>
      <c r="H132">
        <f t="shared" si="14"/>
        <v>6.5</v>
      </c>
      <c r="I132">
        <f t="shared" si="15"/>
        <v>-2.5630000000000002</v>
      </c>
      <c r="J132">
        <f t="shared" si="16"/>
        <v>4.0308395914154534E-2</v>
      </c>
      <c r="K132">
        <f t="shared" si="17"/>
        <v>-51.396364812371893</v>
      </c>
      <c r="L132">
        <f t="shared" si="18"/>
        <v>5.3744527885539364E-4</v>
      </c>
      <c r="O132">
        <f t="shared" si="19"/>
        <v>-51.356258402061805</v>
      </c>
      <c r="P132">
        <f t="shared" si="20"/>
        <v>-1.1273825200792508E-4</v>
      </c>
    </row>
    <row r="133" spans="1:16" x14ac:dyDescent="0.25">
      <c r="A133" s="2">
        <v>6.55</v>
      </c>
      <c r="B133" s="1">
        <v>-2.5630000000000002</v>
      </c>
      <c r="C133">
        <v>4.3999999999999997E-2</v>
      </c>
      <c r="H133">
        <f t="shared" si="14"/>
        <v>6.55</v>
      </c>
      <c r="I133">
        <f t="shared" si="15"/>
        <v>-2.5630000000000002</v>
      </c>
      <c r="J133">
        <f t="shared" si="16"/>
        <v>3.9272306651955725E-2</v>
      </c>
      <c r="K133">
        <f t="shared" si="17"/>
        <v>-51.396364812371893</v>
      </c>
      <c r="L133">
        <f t="shared" si="18"/>
        <v>5.2363075535940954E-4</v>
      </c>
      <c r="O133">
        <f t="shared" si="19"/>
        <v>-51.356258402061805</v>
      </c>
      <c r="P133">
        <f t="shared" si="20"/>
        <v>-1.2655277550390918E-4</v>
      </c>
    </row>
    <row r="134" spans="1:16" x14ac:dyDescent="0.25">
      <c r="A134" s="2">
        <v>6.6</v>
      </c>
      <c r="B134" s="1">
        <v>-2.5619999999999998</v>
      </c>
      <c r="C134">
        <v>4.4999999999999998E-2</v>
      </c>
      <c r="H134">
        <f t="shared" si="14"/>
        <v>6.6</v>
      </c>
      <c r="I134">
        <f t="shared" si="15"/>
        <v>-2.5619999999999998</v>
      </c>
      <c r="J134">
        <f t="shared" si="16"/>
        <v>4.0236217389756912E-2</v>
      </c>
      <c r="K134">
        <f t="shared" si="17"/>
        <v>-51.376311607216849</v>
      </c>
      <c r="L134">
        <f t="shared" si="18"/>
        <v>5.3648289853009204E-4</v>
      </c>
      <c r="O134">
        <f t="shared" si="19"/>
        <v>-51.336205196906761</v>
      </c>
      <c r="P134">
        <f t="shared" si="20"/>
        <v>-1.1370063233322669E-4</v>
      </c>
    </row>
    <row r="135" spans="1:16" x14ac:dyDescent="0.25">
      <c r="A135" s="2">
        <v>6.65</v>
      </c>
      <c r="B135" s="1">
        <v>-2.5630000000000002</v>
      </c>
      <c r="C135">
        <v>4.3999999999999997E-2</v>
      </c>
      <c r="H135">
        <f t="shared" si="14"/>
        <v>6.65</v>
      </c>
      <c r="I135">
        <f t="shared" si="15"/>
        <v>-2.5630000000000002</v>
      </c>
      <c r="J135">
        <f t="shared" si="16"/>
        <v>3.9200128127558104E-2</v>
      </c>
      <c r="K135">
        <f t="shared" si="17"/>
        <v>-51.396364812371893</v>
      </c>
      <c r="L135">
        <f t="shared" si="18"/>
        <v>5.2266837503410794E-4</v>
      </c>
      <c r="O135">
        <f t="shared" si="19"/>
        <v>-51.356258402061805</v>
      </c>
      <c r="P135">
        <f t="shared" si="20"/>
        <v>-1.2751515582921078E-4</v>
      </c>
    </row>
    <row r="136" spans="1:16" x14ac:dyDescent="0.25">
      <c r="A136" s="2">
        <v>6.7</v>
      </c>
      <c r="B136" s="1">
        <v>-2.5249999999999999</v>
      </c>
      <c r="C136">
        <v>4.4999999999999998E-2</v>
      </c>
      <c r="H136">
        <f t="shared" si="14"/>
        <v>6.7</v>
      </c>
      <c r="I136">
        <f t="shared" si="15"/>
        <v>-2.5249999999999999</v>
      </c>
      <c r="J136">
        <f t="shared" si="16"/>
        <v>4.016403886535929E-2</v>
      </c>
      <c r="K136">
        <f t="shared" si="17"/>
        <v>-50.634343016480308</v>
      </c>
      <c r="L136">
        <f t="shared" si="18"/>
        <v>5.3552051820479043E-4</v>
      </c>
      <c r="O136">
        <f t="shared" si="19"/>
        <v>-50.59423660617022</v>
      </c>
      <c r="P136">
        <f t="shared" si="20"/>
        <v>-1.1466301265852829E-4</v>
      </c>
    </row>
    <row r="137" spans="1:16" x14ac:dyDescent="0.25">
      <c r="A137" s="2">
        <v>6.75</v>
      </c>
      <c r="B137" s="1">
        <v>-2.4180000000000001</v>
      </c>
      <c r="C137">
        <v>4.4999999999999998E-2</v>
      </c>
      <c r="H137">
        <f t="shared" si="14"/>
        <v>6.75</v>
      </c>
      <c r="I137">
        <f t="shared" si="15"/>
        <v>-2.4180000000000001</v>
      </c>
      <c r="J137">
        <f t="shared" si="16"/>
        <v>4.0127949603160476E-2</v>
      </c>
      <c r="K137">
        <f t="shared" si="17"/>
        <v>-48.488650064890848</v>
      </c>
      <c r="L137">
        <f t="shared" si="18"/>
        <v>5.3503932804213953E-4</v>
      </c>
      <c r="O137">
        <f t="shared" si="19"/>
        <v>-48.44854365458076</v>
      </c>
      <c r="P137">
        <f t="shared" si="20"/>
        <v>-1.151442028211792E-4</v>
      </c>
    </row>
    <row r="138" spans="1:16" x14ac:dyDescent="0.25">
      <c r="A138" s="2">
        <v>6.8</v>
      </c>
      <c r="B138" s="1">
        <v>-2.2989999999999999</v>
      </c>
      <c r="C138">
        <v>4.5999999999999999E-2</v>
      </c>
      <c r="H138">
        <f t="shared" si="14"/>
        <v>6.8</v>
      </c>
      <c r="I138">
        <f t="shared" si="15"/>
        <v>-2.2989999999999999</v>
      </c>
      <c r="J138">
        <f t="shared" si="16"/>
        <v>4.109186034096167E-2</v>
      </c>
      <c r="K138">
        <f t="shared" si="17"/>
        <v>-46.102318651440882</v>
      </c>
      <c r="L138">
        <f t="shared" si="18"/>
        <v>5.4789147121282213E-4</v>
      </c>
      <c r="O138">
        <f t="shared" si="19"/>
        <v>-46.062212241130794</v>
      </c>
      <c r="P138">
        <f t="shared" si="20"/>
        <v>-1.0229205965049659E-4</v>
      </c>
    </row>
    <row r="139" spans="1:16" x14ac:dyDescent="0.25">
      <c r="A139" s="2">
        <v>6.85</v>
      </c>
      <c r="B139" s="1">
        <v>-2.2149999999999999</v>
      </c>
      <c r="C139">
        <v>4.5999999999999999E-2</v>
      </c>
      <c r="H139">
        <f t="shared" si="14"/>
        <v>6.85</v>
      </c>
      <c r="I139">
        <f t="shared" si="15"/>
        <v>-2.2149999999999999</v>
      </c>
      <c r="J139">
        <f t="shared" si="16"/>
        <v>4.1055771078762855E-2</v>
      </c>
      <c r="K139">
        <f t="shared" si="17"/>
        <v>-44.417849418417376</v>
      </c>
      <c r="L139">
        <f t="shared" si="18"/>
        <v>5.4741028105017133E-4</v>
      </c>
      <c r="O139">
        <f t="shared" si="19"/>
        <v>-44.377743008107288</v>
      </c>
      <c r="P139">
        <f t="shared" si="20"/>
        <v>-1.027732498131474E-4</v>
      </c>
    </row>
    <row r="140" spans="1:16" x14ac:dyDescent="0.25">
      <c r="A140" s="2">
        <v>6.9</v>
      </c>
      <c r="B140" s="1">
        <v>-2.1139999999999999</v>
      </c>
      <c r="C140">
        <v>4.5999999999999999E-2</v>
      </c>
      <c r="H140">
        <f t="shared" si="14"/>
        <v>6.9</v>
      </c>
      <c r="I140">
        <f t="shared" si="15"/>
        <v>-2.1139999999999999</v>
      </c>
      <c r="J140">
        <f t="shared" si="16"/>
        <v>4.1019681816564048E-2</v>
      </c>
      <c r="K140">
        <f t="shared" si="17"/>
        <v>-42.392475697758165</v>
      </c>
      <c r="L140">
        <f t="shared" si="18"/>
        <v>5.4692909088752053E-4</v>
      </c>
      <c r="O140">
        <f t="shared" si="19"/>
        <v>-42.352369287448077</v>
      </c>
      <c r="P140">
        <f t="shared" si="20"/>
        <v>-1.032544399757982E-4</v>
      </c>
    </row>
    <row r="141" spans="1:16" x14ac:dyDescent="0.25">
      <c r="A141" s="2">
        <v>6.95</v>
      </c>
      <c r="B141" s="1">
        <v>-2.0449999999999999</v>
      </c>
      <c r="C141">
        <v>4.5999999999999999E-2</v>
      </c>
      <c r="H141">
        <f t="shared" si="14"/>
        <v>6.95</v>
      </c>
      <c r="I141">
        <f t="shared" si="15"/>
        <v>-2.0449999999999999</v>
      </c>
      <c r="J141">
        <f t="shared" si="16"/>
        <v>4.0983592554365234E-2</v>
      </c>
      <c r="K141">
        <f t="shared" si="17"/>
        <v>-41.00880454206029</v>
      </c>
      <c r="L141">
        <f t="shared" si="18"/>
        <v>5.4644790072486973E-4</v>
      </c>
      <c r="O141">
        <f t="shared" si="19"/>
        <v>-40.968698131750202</v>
      </c>
      <c r="P141">
        <f t="shared" si="20"/>
        <v>-1.03735630138449E-4</v>
      </c>
    </row>
    <row r="142" spans="1:16" x14ac:dyDescent="0.25">
      <c r="A142" s="2">
        <v>7</v>
      </c>
      <c r="B142" s="1">
        <v>-2.0409999999999999</v>
      </c>
      <c r="C142">
        <v>4.7E-2</v>
      </c>
      <c r="H142">
        <f t="shared" si="14"/>
        <v>7</v>
      </c>
      <c r="I142">
        <f t="shared" si="15"/>
        <v>-2.0409999999999999</v>
      </c>
      <c r="J142">
        <f t="shared" si="16"/>
        <v>4.1947503292166427E-2</v>
      </c>
      <c r="K142">
        <f t="shared" si="17"/>
        <v>-40.928591721440121</v>
      </c>
      <c r="L142">
        <f t="shared" si="18"/>
        <v>5.5930004389555222E-4</v>
      </c>
      <c r="O142">
        <f t="shared" si="19"/>
        <v>-40.888485311130033</v>
      </c>
      <c r="P142">
        <f t="shared" si="20"/>
        <v>-9.0883486967766503E-5</v>
      </c>
    </row>
    <row r="143" spans="1:16" x14ac:dyDescent="0.25">
      <c r="A143" s="2">
        <v>7.05</v>
      </c>
      <c r="B143" s="1">
        <v>-2.0409999999999999</v>
      </c>
      <c r="C143">
        <v>4.7E-2</v>
      </c>
      <c r="H143">
        <f t="shared" si="14"/>
        <v>7.05</v>
      </c>
      <c r="I143">
        <f t="shared" si="15"/>
        <v>-2.0409999999999999</v>
      </c>
      <c r="J143">
        <f t="shared" si="16"/>
        <v>4.1911414029967613E-2</v>
      </c>
      <c r="K143">
        <f t="shared" si="17"/>
        <v>-40.928591721440121</v>
      </c>
      <c r="L143">
        <f t="shared" si="18"/>
        <v>5.5881885373290142E-4</v>
      </c>
      <c r="O143">
        <f t="shared" si="19"/>
        <v>-40.888485311130033</v>
      </c>
      <c r="P143">
        <f t="shared" si="20"/>
        <v>-9.1364677130417304E-5</v>
      </c>
    </row>
    <row r="144" spans="1:16" x14ac:dyDescent="0.25">
      <c r="A144" s="2">
        <v>7.1</v>
      </c>
      <c r="B144" s="1">
        <v>-2.0409999999999999</v>
      </c>
      <c r="C144">
        <v>4.7E-2</v>
      </c>
      <c r="H144">
        <f t="shared" si="14"/>
        <v>7.1</v>
      </c>
      <c r="I144">
        <f t="shared" si="15"/>
        <v>-2.0409999999999999</v>
      </c>
      <c r="J144">
        <f t="shared" si="16"/>
        <v>4.1875324767768805E-2</v>
      </c>
      <c r="K144">
        <f t="shared" si="17"/>
        <v>-40.928591721440121</v>
      </c>
      <c r="L144">
        <f t="shared" si="18"/>
        <v>5.5833766357025062E-4</v>
      </c>
      <c r="O144">
        <f t="shared" si="19"/>
        <v>-40.888485311130033</v>
      </c>
      <c r="P144">
        <f t="shared" si="20"/>
        <v>-9.1845867293068105E-5</v>
      </c>
    </row>
    <row r="145" spans="1:16" x14ac:dyDescent="0.25">
      <c r="A145" s="2">
        <v>7.15</v>
      </c>
      <c r="B145" s="1">
        <v>-2.0409999999999999</v>
      </c>
      <c r="C145">
        <v>4.7E-2</v>
      </c>
      <c r="H145">
        <f t="shared" si="14"/>
        <v>7.15</v>
      </c>
      <c r="I145">
        <f t="shared" si="15"/>
        <v>-2.0409999999999999</v>
      </c>
      <c r="J145">
        <f t="shared" si="16"/>
        <v>4.1839235505569991E-2</v>
      </c>
      <c r="K145">
        <f t="shared" si="17"/>
        <v>-40.928591721440121</v>
      </c>
      <c r="L145">
        <f t="shared" si="18"/>
        <v>5.5785647340759982E-4</v>
      </c>
      <c r="O145">
        <f t="shared" si="19"/>
        <v>-40.888485311130033</v>
      </c>
      <c r="P145">
        <f t="shared" si="20"/>
        <v>-9.2327057455718906E-5</v>
      </c>
    </row>
    <row r="146" spans="1:16" x14ac:dyDescent="0.25">
      <c r="A146" s="2">
        <v>7.2</v>
      </c>
      <c r="B146" s="1">
        <v>-2.0409999999999999</v>
      </c>
      <c r="C146">
        <v>4.7E-2</v>
      </c>
      <c r="H146">
        <f t="shared" si="14"/>
        <v>7.2</v>
      </c>
      <c r="I146">
        <f t="shared" si="15"/>
        <v>-2.0409999999999999</v>
      </c>
      <c r="J146">
        <f t="shared" si="16"/>
        <v>4.1803146243371177E-2</v>
      </c>
      <c r="K146">
        <f t="shared" si="17"/>
        <v>-40.928591721440121</v>
      </c>
      <c r="L146">
        <f t="shared" si="18"/>
        <v>5.5737528324494891E-4</v>
      </c>
      <c r="O146">
        <f t="shared" si="19"/>
        <v>-40.888485311130033</v>
      </c>
      <c r="P146">
        <f t="shared" si="20"/>
        <v>-9.2808247618369815E-5</v>
      </c>
    </row>
    <row r="147" spans="1:16" x14ac:dyDescent="0.25">
      <c r="A147" s="2">
        <v>7.25</v>
      </c>
      <c r="B147" s="1">
        <v>-2.0409999999999999</v>
      </c>
      <c r="C147">
        <v>4.5999999999999999E-2</v>
      </c>
      <c r="H147">
        <f t="shared" si="14"/>
        <v>7.25</v>
      </c>
      <c r="I147">
        <f t="shared" si="15"/>
        <v>-2.0409999999999999</v>
      </c>
      <c r="J147">
        <f t="shared" si="16"/>
        <v>4.0767056981172368E-2</v>
      </c>
      <c r="K147">
        <f t="shared" si="17"/>
        <v>-40.928591721440121</v>
      </c>
      <c r="L147">
        <f t="shared" si="18"/>
        <v>5.4356075974896481E-4</v>
      </c>
      <c r="O147">
        <f t="shared" si="19"/>
        <v>-40.888485311130033</v>
      </c>
      <c r="P147">
        <f t="shared" si="20"/>
        <v>-1.0662277111435391E-4</v>
      </c>
    </row>
    <row r="148" spans="1:16" x14ac:dyDescent="0.25">
      <c r="A148" s="2">
        <v>7.3</v>
      </c>
      <c r="B148" s="1">
        <v>-2.04</v>
      </c>
      <c r="C148">
        <v>4.7E-2</v>
      </c>
      <c r="H148">
        <f t="shared" si="14"/>
        <v>7.3</v>
      </c>
      <c r="I148">
        <f t="shared" si="15"/>
        <v>-2.04</v>
      </c>
      <c r="J148">
        <f t="shared" si="16"/>
        <v>4.1730967718973555E-2</v>
      </c>
      <c r="K148">
        <f t="shared" si="17"/>
        <v>-40.908538516285084</v>
      </c>
      <c r="L148">
        <f t="shared" si="18"/>
        <v>5.5641290291964731E-4</v>
      </c>
      <c r="O148">
        <f t="shared" si="19"/>
        <v>-40.868432105974996</v>
      </c>
      <c r="P148">
        <f t="shared" si="20"/>
        <v>-9.3770627943671418E-5</v>
      </c>
    </row>
    <row r="149" spans="1:16" x14ac:dyDescent="0.25">
      <c r="A149" s="2">
        <v>7.35</v>
      </c>
      <c r="B149" s="1">
        <v>-2.0139999999999998</v>
      </c>
      <c r="C149">
        <v>4.7E-2</v>
      </c>
      <c r="H149">
        <f t="shared" si="14"/>
        <v>7.35</v>
      </c>
      <c r="I149">
        <f t="shared" si="15"/>
        <v>-2.0139999999999998</v>
      </c>
      <c r="J149">
        <f t="shared" si="16"/>
        <v>4.1694878456774748E-2</v>
      </c>
      <c r="K149">
        <f t="shared" si="17"/>
        <v>-40.387155182253991</v>
      </c>
      <c r="L149">
        <f t="shared" si="18"/>
        <v>5.559317127569965E-4</v>
      </c>
      <c r="O149">
        <f t="shared" si="19"/>
        <v>-40.347048771943903</v>
      </c>
      <c r="P149">
        <f t="shared" si="20"/>
        <v>-9.4251818106322219E-5</v>
      </c>
    </row>
    <row r="150" spans="1:16" x14ac:dyDescent="0.25">
      <c r="A150" s="2">
        <v>7.4</v>
      </c>
      <c r="B150" s="1">
        <v>-1.9259999999999999</v>
      </c>
      <c r="C150">
        <v>4.8000000000000001E-2</v>
      </c>
      <c r="H150">
        <f t="shared" si="14"/>
        <v>7.4</v>
      </c>
      <c r="I150">
        <f t="shared" si="15"/>
        <v>-1.9259999999999999</v>
      </c>
      <c r="J150">
        <f t="shared" si="16"/>
        <v>4.2658789194575934E-2</v>
      </c>
      <c r="K150">
        <f t="shared" si="17"/>
        <v>-38.622473128610324</v>
      </c>
      <c r="L150">
        <f t="shared" si="18"/>
        <v>5.68783855927679E-4</v>
      </c>
      <c r="O150">
        <f t="shared" si="19"/>
        <v>-38.582366718300236</v>
      </c>
      <c r="P150">
        <f t="shared" si="20"/>
        <v>-8.1399674935639724E-5</v>
      </c>
    </row>
    <row r="151" spans="1:16" x14ac:dyDescent="0.25">
      <c r="A151" s="2">
        <v>7.45</v>
      </c>
      <c r="B151" s="1">
        <v>-1.8160000000000001</v>
      </c>
      <c r="C151">
        <v>4.7E-2</v>
      </c>
      <c r="H151">
        <f t="shared" si="14"/>
        <v>7.45</v>
      </c>
      <c r="I151">
        <f t="shared" si="15"/>
        <v>-1.8160000000000001</v>
      </c>
      <c r="J151">
        <f t="shared" si="16"/>
        <v>4.1622699932377126E-2</v>
      </c>
      <c r="K151">
        <f t="shared" si="17"/>
        <v>-36.416620561555739</v>
      </c>
      <c r="L151">
        <f t="shared" si="18"/>
        <v>5.549693324316949E-4</v>
      </c>
      <c r="O151">
        <f t="shared" si="19"/>
        <v>-36.376514151245651</v>
      </c>
      <c r="P151">
        <f t="shared" si="20"/>
        <v>-9.5214198431623821E-5</v>
      </c>
    </row>
    <row r="152" spans="1:16" x14ac:dyDescent="0.25">
      <c r="A152" s="2">
        <v>7.5</v>
      </c>
      <c r="B152" s="1">
        <v>-1.738</v>
      </c>
      <c r="C152">
        <v>4.9000000000000002E-2</v>
      </c>
      <c r="H152">
        <f t="shared" si="14"/>
        <v>7.5</v>
      </c>
      <c r="I152">
        <f t="shared" si="15"/>
        <v>-1.738</v>
      </c>
      <c r="J152">
        <f t="shared" si="16"/>
        <v>4.3586610670178313E-2</v>
      </c>
      <c r="K152">
        <f t="shared" si="17"/>
        <v>-34.852470559462482</v>
      </c>
      <c r="L152">
        <f t="shared" si="18"/>
        <v>5.8115480893571069E-4</v>
      </c>
      <c r="O152">
        <f t="shared" si="19"/>
        <v>-34.812364149152394</v>
      </c>
      <c r="P152">
        <f t="shared" si="20"/>
        <v>-6.902872192760803E-5</v>
      </c>
    </row>
    <row r="153" spans="1:16" x14ac:dyDescent="0.25">
      <c r="A153" s="2">
        <v>7.55</v>
      </c>
      <c r="B153" s="1">
        <v>-1.6859999999999999</v>
      </c>
      <c r="C153">
        <v>4.8000000000000001E-2</v>
      </c>
      <c r="H153">
        <f t="shared" si="14"/>
        <v>7.55</v>
      </c>
      <c r="I153">
        <f t="shared" si="15"/>
        <v>-1.6859999999999999</v>
      </c>
      <c r="J153">
        <f t="shared" si="16"/>
        <v>4.2550521407979505E-2</v>
      </c>
      <c r="K153">
        <f t="shared" si="17"/>
        <v>-33.809703891400318</v>
      </c>
      <c r="L153">
        <f t="shared" si="18"/>
        <v>5.673402854397266E-4</v>
      </c>
      <c r="O153">
        <f t="shared" si="19"/>
        <v>-33.76959748109023</v>
      </c>
      <c r="P153">
        <f t="shared" si="20"/>
        <v>-8.2843245423592127E-5</v>
      </c>
    </row>
    <row r="154" spans="1:16" x14ac:dyDescent="0.25">
      <c r="A154" s="2">
        <v>7.6</v>
      </c>
      <c r="B154" s="1">
        <v>-1.6220000000000001</v>
      </c>
      <c r="C154">
        <v>4.9000000000000002E-2</v>
      </c>
      <c r="H154">
        <f t="shared" si="14"/>
        <v>7.6</v>
      </c>
      <c r="I154">
        <f t="shared" si="15"/>
        <v>-1.6220000000000001</v>
      </c>
      <c r="J154">
        <f t="shared" si="16"/>
        <v>4.3514432145780692E-2</v>
      </c>
      <c r="K154">
        <f t="shared" si="17"/>
        <v>-32.526298761477648</v>
      </c>
      <c r="L154">
        <f t="shared" si="18"/>
        <v>5.8019242861040909E-4</v>
      </c>
      <c r="O154">
        <f t="shared" si="19"/>
        <v>-32.48619235116756</v>
      </c>
      <c r="P154">
        <f t="shared" si="20"/>
        <v>-6.9991102252909632E-5</v>
      </c>
    </row>
    <row r="155" spans="1:16" x14ac:dyDescent="0.25">
      <c r="A155" s="2">
        <v>7.65</v>
      </c>
      <c r="B155" s="1">
        <v>-1.6140000000000001</v>
      </c>
      <c r="C155">
        <v>4.8000000000000001E-2</v>
      </c>
      <c r="H155">
        <f t="shared" si="14"/>
        <v>7.65</v>
      </c>
      <c r="I155">
        <f t="shared" si="15"/>
        <v>-1.6140000000000001</v>
      </c>
      <c r="J155">
        <f t="shared" si="16"/>
        <v>4.2478342883581877E-2</v>
      </c>
      <c r="K155">
        <f t="shared" si="17"/>
        <v>-32.365873120237318</v>
      </c>
      <c r="L155">
        <f t="shared" si="18"/>
        <v>5.6637790511442489E-4</v>
      </c>
      <c r="O155">
        <f t="shared" si="19"/>
        <v>-32.32576670992723</v>
      </c>
      <c r="P155">
        <f t="shared" si="20"/>
        <v>-8.3805625748893837E-5</v>
      </c>
    </row>
    <row r="156" spans="1:16" x14ac:dyDescent="0.25">
      <c r="A156" s="2">
        <v>7.7</v>
      </c>
      <c r="B156" s="1">
        <v>-1.6140000000000001</v>
      </c>
      <c r="C156">
        <v>4.9000000000000002E-2</v>
      </c>
      <c r="H156">
        <f t="shared" si="14"/>
        <v>7.7</v>
      </c>
      <c r="I156">
        <f t="shared" si="15"/>
        <v>-1.6140000000000001</v>
      </c>
      <c r="J156">
        <f t="shared" si="16"/>
        <v>4.344225362138307E-2</v>
      </c>
      <c r="K156">
        <f t="shared" si="17"/>
        <v>-32.365873120237318</v>
      </c>
      <c r="L156">
        <f t="shared" si="18"/>
        <v>5.7923004828510749E-4</v>
      </c>
      <c r="O156">
        <f t="shared" si="19"/>
        <v>-32.32576670992723</v>
      </c>
      <c r="P156">
        <f t="shared" si="20"/>
        <v>-7.0953482578211234E-5</v>
      </c>
    </row>
    <row r="157" spans="1:16" x14ac:dyDescent="0.25">
      <c r="A157" s="2">
        <v>7.75</v>
      </c>
      <c r="B157" s="1">
        <v>-1.6140000000000001</v>
      </c>
      <c r="C157">
        <v>4.8000000000000001E-2</v>
      </c>
      <c r="H157">
        <f t="shared" si="14"/>
        <v>7.75</v>
      </c>
      <c r="I157">
        <f t="shared" si="15"/>
        <v>-1.6140000000000001</v>
      </c>
      <c r="J157">
        <f t="shared" si="16"/>
        <v>4.2406164359184255E-2</v>
      </c>
      <c r="K157">
        <f t="shared" si="17"/>
        <v>-32.365873120237318</v>
      </c>
      <c r="L157">
        <f t="shared" si="18"/>
        <v>5.6541552478912328E-4</v>
      </c>
      <c r="O157">
        <f t="shared" si="19"/>
        <v>-32.32576670992723</v>
      </c>
      <c r="P157">
        <f t="shared" si="20"/>
        <v>-8.476800607419544E-5</v>
      </c>
    </row>
    <row r="158" spans="1:16" x14ac:dyDescent="0.25">
      <c r="A158" s="2">
        <v>7.8</v>
      </c>
      <c r="B158" s="1">
        <v>-1.6140000000000001</v>
      </c>
      <c r="C158">
        <v>4.9000000000000002E-2</v>
      </c>
      <c r="H158">
        <f t="shared" si="14"/>
        <v>7.8</v>
      </c>
      <c r="I158">
        <f t="shared" si="15"/>
        <v>-1.6140000000000001</v>
      </c>
      <c r="J158">
        <f t="shared" si="16"/>
        <v>4.3370075096985448E-2</v>
      </c>
      <c r="K158">
        <f t="shared" si="17"/>
        <v>-32.365873120237318</v>
      </c>
      <c r="L158">
        <f t="shared" si="18"/>
        <v>5.7826766795980589E-4</v>
      </c>
      <c r="O158">
        <f t="shared" si="19"/>
        <v>-32.32576670992723</v>
      </c>
      <c r="P158">
        <f t="shared" si="20"/>
        <v>-7.1915862903512836E-5</v>
      </c>
    </row>
    <row r="159" spans="1:16" x14ac:dyDescent="0.25">
      <c r="A159" s="2">
        <v>7.85</v>
      </c>
      <c r="B159" s="1">
        <v>-1.615</v>
      </c>
      <c r="C159">
        <v>4.9000000000000002E-2</v>
      </c>
      <c r="H159">
        <f t="shared" si="14"/>
        <v>7.85</v>
      </c>
      <c r="I159">
        <f t="shared" si="15"/>
        <v>-1.615</v>
      </c>
      <c r="J159">
        <f t="shared" si="16"/>
        <v>4.3333985834786634E-2</v>
      </c>
      <c r="K159">
        <f t="shared" si="17"/>
        <v>-32.385926325392354</v>
      </c>
      <c r="L159">
        <f t="shared" si="18"/>
        <v>5.7778647779715498E-4</v>
      </c>
      <c r="O159">
        <f t="shared" si="19"/>
        <v>-32.345819915082267</v>
      </c>
      <c r="P159">
        <f t="shared" si="20"/>
        <v>-7.2397053066163746E-5</v>
      </c>
    </row>
    <row r="160" spans="1:16" x14ac:dyDescent="0.25">
      <c r="A160" s="2">
        <v>7.9</v>
      </c>
      <c r="B160" s="1">
        <v>-1.603</v>
      </c>
      <c r="C160">
        <v>4.9000000000000002E-2</v>
      </c>
      <c r="H160">
        <f t="shared" si="14"/>
        <v>7.9</v>
      </c>
      <c r="I160">
        <f t="shared" si="15"/>
        <v>-1.603</v>
      </c>
      <c r="J160">
        <f t="shared" si="16"/>
        <v>4.3297896572587827E-2</v>
      </c>
      <c r="K160">
        <f t="shared" si="17"/>
        <v>-32.145287863531856</v>
      </c>
      <c r="L160">
        <f t="shared" si="18"/>
        <v>5.7730528763450428E-4</v>
      </c>
      <c r="O160">
        <f t="shared" si="19"/>
        <v>-32.105181453221768</v>
      </c>
      <c r="P160">
        <f t="shared" si="20"/>
        <v>-7.2878243228814438E-5</v>
      </c>
    </row>
    <row r="161" spans="1:16" x14ac:dyDescent="0.25">
      <c r="A161" s="2">
        <v>7.95</v>
      </c>
      <c r="B161" s="1">
        <v>-1.548</v>
      </c>
      <c r="C161">
        <v>4.9000000000000002E-2</v>
      </c>
      <c r="H161">
        <f t="shared" si="14"/>
        <v>7.95</v>
      </c>
      <c r="I161">
        <f t="shared" si="15"/>
        <v>-1.548</v>
      </c>
      <c r="J161">
        <f t="shared" si="16"/>
        <v>4.3261807310389012E-2</v>
      </c>
      <c r="K161">
        <f t="shared" si="17"/>
        <v>-31.042361580004563</v>
      </c>
      <c r="L161">
        <f t="shared" si="18"/>
        <v>5.7682409747185337E-4</v>
      </c>
      <c r="O161">
        <f t="shared" si="19"/>
        <v>-31.002255169694475</v>
      </c>
      <c r="P161">
        <f t="shared" si="20"/>
        <v>-7.3359433391465348E-5</v>
      </c>
    </row>
    <row r="162" spans="1:16" x14ac:dyDescent="0.25">
      <c r="A162" s="2">
        <v>8</v>
      </c>
      <c r="B162" s="1">
        <v>-1.429</v>
      </c>
      <c r="C162">
        <v>0.05</v>
      </c>
      <c r="H162">
        <f t="shared" si="14"/>
        <v>8</v>
      </c>
      <c r="I162">
        <f t="shared" si="15"/>
        <v>-1.429</v>
      </c>
      <c r="J162">
        <f t="shared" si="16"/>
        <v>4.4225718048190199E-2</v>
      </c>
      <c r="K162">
        <f t="shared" si="17"/>
        <v>-28.656030166554597</v>
      </c>
      <c r="L162">
        <f t="shared" si="18"/>
        <v>5.8967624064253587E-4</v>
      </c>
      <c r="O162">
        <f t="shared" si="19"/>
        <v>-28.615923756244509</v>
      </c>
      <c r="P162">
        <f t="shared" si="20"/>
        <v>-6.0507290220782853E-5</v>
      </c>
    </row>
    <row r="163" spans="1:16" x14ac:dyDescent="0.25">
      <c r="A163" s="2">
        <v>8.0500000000000007</v>
      </c>
      <c r="B163" s="1">
        <v>-1.306</v>
      </c>
      <c r="C163">
        <v>0.05</v>
      </c>
      <c r="H163">
        <f t="shared" si="14"/>
        <v>8.0500000000000007</v>
      </c>
      <c r="I163">
        <f t="shared" si="15"/>
        <v>-1.306</v>
      </c>
      <c r="J163">
        <f t="shared" si="16"/>
        <v>4.4189628785991392E-2</v>
      </c>
      <c r="K163">
        <f t="shared" si="17"/>
        <v>-26.18948593248447</v>
      </c>
      <c r="L163">
        <f t="shared" si="18"/>
        <v>5.8919505047988507E-4</v>
      </c>
      <c r="O163">
        <f t="shared" si="19"/>
        <v>-26.149379522174382</v>
      </c>
      <c r="P163">
        <f t="shared" si="20"/>
        <v>-6.0988480383433654E-5</v>
      </c>
    </row>
    <row r="164" spans="1:16" x14ac:dyDescent="0.25">
      <c r="A164" s="2">
        <v>8.1</v>
      </c>
      <c r="B164" s="1">
        <v>-1.278</v>
      </c>
      <c r="C164">
        <v>5.0999999999999997E-2</v>
      </c>
      <c r="H164">
        <f t="shared" si="14"/>
        <v>8.1</v>
      </c>
      <c r="I164">
        <f t="shared" si="15"/>
        <v>-1.278</v>
      </c>
      <c r="J164">
        <f t="shared" si="16"/>
        <v>4.5153539523792571E-2</v>
      </c>
      <c r="K164">
        <f t="shared" si="17"/>
        <v>-25.6279961881433</v>
      </c>
      <c r="L164">
        <f t="shared" si="18"/>
        <v>6.0204719365056746E-4</v>
      </c>
      <c r="O164">
        <f t="shared" si="19"/>
        <v>-25.587889777833212</v>
      </c>
      <c r="P164">
        <f t="shared" si="20"/>
        <v>-4.8136337212751268E-5</v>
      </c>
    </row>
    <row r="165" spans="1:16" x14ac:dyDescent="0.25">
      <c r="A165" s="2">
        <v>8.15</v>
      </c>
      <c r="B165" s="1">
        <v>-1.2749999999999999</v>
      </c>
      <c r="C165">
        <v>0.05</v>
      </c>
      <c r="H165">
        <f t="shared" si="14"/>
        <v>8.15</v>
      </c>
      <c r="I165">
        <f t="shared" si="15"/>
        <v>-1.2749999999999999</v>
      </c>
      <c r="J165">
        <f t="shared" si="16"/>
        <v>4.411745026159377E-2</v>
      </c>
      <c r="K165">
        <f t="shared" si="17"/>
        <v>-25.567836572678175</v>
      </c>
      <c r="L165">
        <f t="shared" si="18"/>
        <v>5.8823267015458347E-4</v>
      </c>
      <c r="O165">
        <f t="shared" si="19"/>
        <v>-25.527730162368087</v>
      </c>
      <c r="P165">
        <f t="shared" si="20"/>
        <v>-6.1950860708735256E-5</v>
      </c>
    </row>
    <row r="166" spans="1:16" x14ac:dyDescent="0.25">
      <c r="A166" s="2">
        <v>8.1999999999999993</v>
      </c>
      <c r="B166" s="1">
        <v>-1.2749999999999999</v>
      </c>
      <c r="C166">
        <v>5.0999999999999997E-2</v>
      </c>
      <c r="H166">
        <f t="shared" si="14"/>
        <v>8.1999999999999993</v>
      </c>
      <c r="I166">
        <f t="shared" si="15"/>
        <v>-1.2749999999999999</v>
      </c>
      <c r="J166">
        <f t="shared" si="16"/>
        <v>4.508136099939495E-2</v>
      </c>
      <c r="K166">
        <f t="shared" si="17"/>
        <v>-25.567836572678175</v>
      </c>
      <c r="L166">
        <f t="shared" si="18"/>
        <v>6.0108481332526585E-4</v>
      </c>
      <c r="O166">
        <f t="shared" si="19"/>
        <v>-25.527730162368087</v>
      </c>
      <c r="P166">
        <f t="shared" si="20"/>
        <v>-4.909871753805287E-5</v>
      </c>
    </row>
    <row r="167" spans="1:16" x14ac:dyDescent="0.25">
      <c r="A167" s="2">
        <v>8.25</v>
      </c>
      <c r="B167" s="1">
        <v>-1.2749999999999999</v>
      </c>
      <c r="C167">
        <v>0.05</v>
      </c>
      <c r="H167">
        <f t="shared" si="14"/>
        <v>8.25</v>
      </c>
      <c r="I167">
        <f t="shared" si="15"/>
        <v>-1.2749999999999999</v>
      </c>
      <c r="J167">
        <f t="shared" si="16"/>
        <v>4.4045271737196148E-2</v>
      </c>
      <c r="K167">
        <f t="shared" si="17"/>
        <v>-25.567836572678175</v>
      </c>
      <c r="L167">
        <f t="shared" si="18"/>
        <v>5.8727028982928186E-4</v>
      </c>
      <c r="O167">
        <f t="shared" si="19"/>
        <v>-25.527730162368087</v>
      </c>
      <c r="P167">
        <f t="shared" si="20"/>
        <v>-6.2913241034036858E-5</v>
      </c>
    </row>
    <row r="168" spans="1:16" x14ac:dyDescent="0.25">
      <c r="A168" s="2">
        <v>8.3000000000000007</v>
      </c>
      <c r="B168" s="1">
        <v>-1.2749999999999999</v>
      </c>
      <c r="C168">
        <v>0.05</v>
      </c>
      <c r="H168">
        <f t="shared" si="14"/>
        <v>8.3000000000000007</v>
      </c>
      <c r="I168">
        <f t="shared" si="15"/>
        <v>-1.2749999999999999</v>
      </c>
      <c r="J168">
        <f t="shared" si="16"/>
        <v>4.4009182474997334E-2</v>
      </c>
      <c r="K168">
        <f t="shared" si="17"/>
        <v>-25.567836572678175</v>
      </c>
      <c r="L168">
        <f t="shared" si="18"/>
        <v>5.8678909966663096E-4</v>
      </c>
      <c r="O168">
        <f t="shared" si="19"/>
        <v>-25.527730162368087</v>
      </c>
      <c r="P168">
        <f t="shared" si="20"/>
        <v>-6.3394431196687768E-5</v>
      </c>
    </row>
    <row r="169" spans="1:16" x14ac:dyDescent="0.25">
      <c r="A169" s="2">
        <v>8.35</v>
      </c>
      <c r="B169" s="1">
        <v>-1.2749999999999999</v>
      </c>
      <c r="C169">
        <v>0.05</v>
      </c>
      <c r="H169">
        <f t="shared" si="14"/>
        <v>8.35</v>
      </c>
      <c r="I169">
        <f t="shared" si="15"/>
        <v>-1.2749999999999999</v>
      </c>
      <c r="J169">
        <f t="shared" si="16"/>
        <v>4.3973093212798527E-2</v>
      </c>
      <c r="K169">
        <f t="shared" si="17"/>
        <v>-25.567836572678175</v>
      </c>
      <c r="L169">
        <f t="shared" si="18"/>
        <v>5.8630790950398026E-4</v>
      </c>
      <c r="O169">
        <f t="shared" si="19"/>
        <v>-25.527730162368087</v>
      </c>
      <c r="P169">
        <f t="shared" si="20"/>
        <v>-6.3875621359338461E-5</v>
      </c>
    </row>
    <row r="170" spans="1:16" x14ac:dyDescent="0.25">
      <c r="A170" s="2">
        <v>8.4</v>
      </c>
      <c r="B170" s="1">
        <v>-1.2749999999999999</v>
      </c>
      <c r="C170">
        <v>5.0999999999999997E-2</v>
      </c>
      <c r="H170">
        <f t="shared" si="14"/>
        <v>8.4</v>
      </c>
      <c r="I170">
        <f t="shared" si="15"/>
        <v>-1.2749999999999999</v>
      </c>
      <c r="J170">
        <f t="shared" si="16"/>
        <v>4.4937003950599706E-2</v>
      </c>
      <c r="K170">
        <f t="shared" si="17"/>
        <v>-25.567836572678175</v>
      </c>
      <c r="L170">
        <f t="shared" si="18"/>
        <v>5.9916005267466265E-4</v>
      </c>
      <c r="O170">
        <f t="shared" si="19"/>
        <v>-25.527730162368087</v>
      </c>
      <c r="P170">
        <f t="shared" si="20"/>
        <v>-5.1023478188656074E-5</v>
      </c>
    </row>
    <row r="171" spans="1:16" x14ac:dyDescent="0.25">
      <c r="A171" s="2">
        <v>8.4499999999999993</v>
      </c>
      <c r="B171" s="1">
        <v>-1.2669999999999999</v>
      </c>
      <c r="C171">
        <v>0.05</v>
      </c>
      <c r="H171">
        <f t="shared" si="14"/>
        <v>8.4499999999999993</v>
      </c>
      <c r="I171">
        <f t="shared" si="15"/>
        <v>-1.2669999999999999</v>
      </c>
      <c r="J171">
        <f t="shared" si="16"/>
        <v>4.3900914688400905E-2</v>
      </c>
      <c r="K171">
        <f t="shared" si="17"/>
        <v>-25.407410931437841</v>
      </c>
      <c r="L171">
        <f t="shared" si="18"/>
        <v>5.8534552917867866E-4</v>
      </c>
      <c r="O171">
        <f t="shared" si="19"/>
        <v>-25.367304521127753</v>
      </c>
      <c r="P171">
        <f t="shared" si="20"/>
        <v>-6.4838001684640063E-5</v>
      </c>
    </row>
    <row r="172" spans="1:16" x14ac:dyDescent="0.25">
      <c r="A172" s="2">
        <v>8.5</v>
      </c>
      <c r="B172" s="1">
        <v>-1.1950000000000001</v>
      </c>
      <c r="C172">
        <v>5.0999999999999997E-2</v>
      </c>
      <c r="H172">
        <f t="shared" si="14"/>
        <v>8.5</v>
      </c>
      <c r="I172">
        <f t="shared" si="15"/>
        <v>-1.1950000000000001</v>
      </c>
      <c r="J172">
        <f t="shared" si="16"/>
        <v>4.4864825426202085E-2</v>
      </c>
      <c r="K172">
        <f t="shared" si="17"/>
        <v>-23.963580160274841</v>
      </c>
      <c r="L172">
        <f t="shared" si="18"/>
        <v>5.9819767234936105E-4</v>
      </c>
      <c r="O172">
        <f t="shared" si="19"/>
        <v>-23.923473749964753</v>
      </c>
      <c r="P172">
        <f t="shared" si="20"/>
        <v>-5.1985858513957676E-5</v>
      </c>
    </row>
    <row r="173" spans="1:16" x14ac:dyDescent="0.25">
      <c r="A173" s="2">
        <v>8.5500000000000007</v>
      </c>
      <c r="B173" s="1">
        <v>-1.115</v>
      </c>
      <c r="C173">
        <v>5.0999999999999997E-2</v>
      </c>
      <c r="H173">
        <f t="shared" si="14"/>
        <v>8.5500000000000007</v>
      </c>
      <c r="I173">
        <f t="shared" si="15"/>
        <v>-1.115</v>
      </c>
      <c r="J173">
        <f t="shared" si="16"/>
        <v>4.482873616400327E-2</v>
      </c>
      <c r="K173">
        <f t="shared" si="17"/>
        <v>-22.359323747871503</v>
      </c>
      <c r="L173">
        <f t="shared" si="18"/>
        <v>5.9771648218671014E-4</v>
      </c>
      <c r="O173">
        <f t="shared" si="19"/>
        <v>-22.319217337561415</v>
      </c>
      <c r="P173">
        <f t="shared" si="20"/>
        <v>-5.2467048676608586E-5</v>
      </c>
    </row>
    <row r="174" spans="1:16" x14ac:dyDescent="0.25">
      <c r="A174" s="2">
        <v>8.6</v>
      </c>
      <c r="B174" s="1">
        <v>-1.0249999999999999</v>
      </c>
      <c r="C174">
        <v>5.1999999999999998E-2</v>
      </c>
      <c r="H174">
        <f t="shared" si="14"/>
        <v>8.6</v>
      </c>
      <c r="I174">
        <f t="shared" si="15"/>
        <v>-1.0249999999999999</v>
      </c>
      <c r="J174">
        <f t="shared" si="16"/>
        <v>4.5792646901804464E-2</v>
      </c>
      <c r="K174">
        <f t="shared" si="17"/>
        <v>-20.554535283917748</v>
      </c>
      <c r="L174">
        <f t="shared" si="18"/>
        <v>6.1056862535739274E-4</v>
      </c>
      <c r="O174">
        <f t="shared" si="19"/>
        <v>-20.51442887360766</v>
      </c>
      <c r="P174">
        <f t="shared" si="20"/>
        <v>-3.9614905505925982E-5</v>
      </c>
    </row>
    <row r="175" spans="1:16" x14ac:dyDescent="0.25">
      <c r="A175" s="2">
        <v>8.65</v>
      </c>
      <c r="B175" s="1">
        <v>-0.94299999999999995</v>
      </c>
      <c r="C175">
        <v>5.0999999999999997E-2</v>
      </c>
      <c r="H175">
        <f t="shared" si="14"/>
        <v>8.65</v>
      </c>
      <c r="I175">
        <f t="shared" si="15"/>
        <v>-0.94299999999999995</v>
      </c>
      <c r="J175">
        <f t="shared" si="16"/>
        <v>4.4756557639605649E-2</v>
      </c>
      <c r="K175">
        <f t="shared" si="17"/>
        <v>-18.910172461204329</v>
      </c>
      <c r="L175">
        <f t="shared" si="18"/>
        <v>5.9675410186140854E-4</v>
      </c>
      <c r="O175">
        <f t="shared" si="19"/>
        <v>-18.870066050894241</v>
      </c>
      <c r="P175">
        <f t="shared" si="20"/>
        <v>-5.3429429001910188E-5</v>
      </c>
    </row>
    <row r="176" spans="1:16" x14ac:dyDescent="0.25">
      <c r="A176" s="2">
        <v>8.6999999999999993</v>
      </c>
      <c r="B176" s="1">
        <v>-0.89900000000000002</v>
      </c>
      <c r="C176">
        <v>5.1999999999999998E-2</v>
      </c>
      <c r="H176">
        <f t="shared" si="14"/>
        <v>8.6999999999999993</v>
      </c>
      <c r="I176">
        <f t="shared" si="15"/>
        <v>-0.89900000000000002</v>
      </c>
      <c r="J176">
        <f t="shared" si="16"/>
        <v>4.5720468377406842E-2</v>
      </c>
      <c r="K176">
        <f t="shared" si="17"/>
        <v>-18.027831434382495</v>
      </c>
      <c r="L176">
        <f t="shared" si="18"/>
        <v>6.0960624503209114E-4</v>
      </c>
      <c r="O176">
        <f t="shared" si="19"/>
        <v>-17.987725024072407</v>
      </c>
      <c r="P176">
        <f t="shared" si="20"/>
        <v>-4.0577285831227584E-5</v>
      </c>
    </row>
    <row r="177" spans="1:16" x14ac:dyDescent="0.25">
      <c r="A177" s="2">
        <v>8.75</v>
      </c>
      <c r="B177" s="1">
        <v>-0.9</v>
      </c>
      <c r="C177">
        <v>5.0999999999999997E-2</v>
      </c>
      <c r="H177">
        <f t="shared" si="14"/>
        <v>8.75</v>
      </c>
      <c r="I177">
        <f t="shared" si="15"/>
        <v>-0.9</v>
      </c>
      <c r="J177">
        <f t="shared" si="16"/>
        <v>4.4684379115208027E-2</v>
      </c>
      <c r="K177">
        <f t="shared" si="17"/>
        <v>-18.047884639537536</v>
      </c>
      <c r="L177">
        <f t="shared" si="18"/>
        <v>5.9579172153610693E-4</v>
      </c>
      <c r="O177">
        <f t="shared" si="19"/>
        <v>-18.007778229227448</v>
      </c>
      <c r="P177">
        <f t="shared" si="20"/>
        <v>-5.439180932721179E-5</v>
      </c>
    </row>
    <row r="178" spans="1:16" x14ac:dyDescent="0.25">
      <c r="A178" s="2">
        <v>8.8000000000000007</v>
      </c>
      <c r="B178" s="1">
        <v>-0.9</v>
      </c>
      <c r="C178">
        <v>5.1999999999999998E-2</v>
      </c>
      <c r="H178">
        <f t="shared" si="14"/>
        <v>8.8000000000000007</v>
      </c>
      <c r="I178">
        <f t="shared" si="15"/>
        <v>-0.9</v>
      </c>
      <c r="J178">
        <f t="shared" si="16"/>
        <v>4.5648289853009213E-2</v>
      </c>
      <c r="K178">
        <f t="shared" si="17"/>
        <v>-18.047884639537536</v>
      </c>
      <c r="L178">
        <f t="shared" si="18"/>
        <v>6.0864386470678943E-4</v>
      </c>
      <c r="O178">
        <f t="shared" si="19"/>
        <v>-18.007778229227448</v>
      </c>
      <c r="P178">
        <f t="shared" si="20"/>
        <v>-4.1539666156529295E-5</v>
      </c>
    </row>
    <row r="179" spans="1:16" x14ac:dyDescent="0.25">
      <c r="A179" s="2">
        <v>8.85</v>
      </c>
      <c r="B179" s="1">
        <v>-0.9</v>
      </c>
      <c r="C179">
        <v>5.1999999999999998E-2</v>
      </c>
      <c r="H179">
        <f t="shared" si="14"/>
        <v>8.85</v>
      </c>
      <c r="I179">
        <f t="shared" si="15"/>
        <v>-0.9</v>
      </c>
      <c r="J179">
        <f t="shared" si="16"/>
        <v>4.5612200590810406E-2</v>
      </c>
      <c r="K179">
        <f t="shared" si="17"/>
        <v>-18.047884639537536</v>
      </c>
      <c r="L179">
        <f t="shared" si="18"/>
        <v>6.0816267454413863E-4</v>
      </c>
      <c r="O179">
        <f t="shared" si="19"/>
        <v>-18.007778229227448</v>
      </c>
      <c r="P179">
        <f t="shared" si="20"/>
        <v>-4.2020856319180096E-5</v>
      </c>
    </row>
    <row r="180" spans="1:16" x14ac:dyDescent="0.25">
      <c r="A180" s="2">
        <v>8.9</v>
      </c>
      <c r="B180" s="1">
        <v>-0.90200000000000002</v>
      </c>
      <c r="C180">
        <v>5.2999999999999999E-2</v>
      </c>
      <c r="H180">
        <f t="shared" si="14"/>
        <v>8.9</v>
      </c>
      <c r="I180">
        <f t="shared" si="15"/>
        <v>-0.90200000000000002</v>
      </c>
      <c r="J180">
        <f t="shared" si="16"/>
        <v>4.6576111328611593E-2</v>
      </c>
      <c r="K180">
        <f t="shared" si="17"/>
        <v>-18.08799104984762</v>
      </c>
      <c r="L180">
        <f t="shared" si="18"/>
        <v>6.2101481771482112E-4</v>
      </c>
      <c r="O180">
        <f t="shared" si="19"/>
        <v>-18.047884639537532</v>
      </c>
      <c r="P180">
        <f t="shared" si="20"/>
        <v>-2.9168713148497601E-5</v>
      </c>
    </row>
    <row r="181" spans="1:16" x14ac:dyDescent="0.25">
      <c r="A181" s="2">
        <v>8.9499999999999993</v>
      </c>
      <c r="B181" s="1">
        <v>-0.88100000000000001</v>
      </c>
      <c r="C181">
        <v>5.1999999999999998E-2</v>
      </c>
      <c r="H181">
        <f t="shared" si="14"/>
        <v>8.9499999999999993</v>
      </c>
      <c r="I181">
        <f t="shared" si="15"/>
        <v>-0.88100000000000001</v>
      </c>
      <c r="J181">
        <f t="shared" si="16"/>
        <v>4.5540022066412784E-2</v>
      </c>
      <c r="K181">
        <f t="shared" si="17"/>
        <v>-17.666873741591743</v>
      </c>
      <c r="L181">
        <f t="shared" si="18"/>
        <v>6.0720029421883702E-4</v>
      </c>
      <c r="O181">
        <f t="shared" si="19"/>
        <v>-17.626767331281656</v>
      </c>
      <c r="P181">
        <f t="shared" si="20"/>
        <v>-4.2983236644481698E-5</v>
      </c>
    </row>
    <row r="182" spans="1:16" x14ac:dyDescent="0.25">
      <c r="A182" s="2">
        <v>9</v>
      </c>
      <c r="B182" s="1">
        <v>-0.79900000000000004</v>
      </c>
      <c r="C182">
        <v>5.2999999999999999E-2</v>
      </c>
      <c r="H182">
        <f t="shared" si="14"/>
        <v>9</v>
      </c>
      <c r="I182">
        <f t="shared" si="15"/>
        <v>-0.79900000000000004</v>
      </c>
      <c r="J182">
        <f t="shared" si="16"/>
        <v>4.6503932804213971E-2</v>
      </c>
      <c r="K182">
        <f t="shared" si="17"/>
        <v>-16.022510918878325</v>
      </c>
      <c r="L182">
        <f t="shared" si="18"/>
        <v>6.2005243738951952E-4</v>
      </c>
      <c r="O182">
        <f t="shared" si="19"/>
        <v>-15.982404508568237</v>
      </c>
      <c r="P182">
        <f t="shared" si="20"/>
        <v>-3.0131093473799203E-5</v>
      </c>
    </row>
    <row r="183" spans="1:16" x14ac:dyDescent="0.25">
      <c r="A183" s="2">
        <v>9.0500000000000007</v>
      </c>
      <c r="B183" s="1">
        <v>-0.75600000000000001</v>
      </c>
      <c r="C183">
        <v>5.1999999999999998E-2</v>
      </c>
      <c r="H183">
        <f t="shared" si="14"/>
        <v>9.0500000000000007</v>
      </c>
      <c r="I183">
        <f t="shared" si="15"/>
        <v>-0.75600000000000001</v>
      </c>
      <c r="J183">
        <f t="shared" si="16"/>
        <v>4.5467843542015163E-2</v>
      </c>
      <c r="K183">
        <f t="shared" si="17"/>
        <v>-15.16022309721153</v>
      </c>
      <c r="L183">
        <f t="shared" si="18"/>
        <v>6.0623791389353542E-4</v>
      </c>
      <c r="O183">
        <f t="shared" si="19"/>
        <v>-15.120116686901442</v>
      </c>
      <c r="P183">
        <f t="shared" si="20"/>
        <v>-4.39456169697833E-5</v>
      </c>
    </row>
    <row r="184" spans="1:16" x14ac:dyDescent="0.25">
      <c r="A184" s="2">
        <v>9.1</v>
      </c>
      <c r="B184" s="1">
        <v>-0.72899999999999998</v>
      </c>
      <c r="C184">
        <v>5.2999999999999999E-2</v>
      </c>
      <c r="H184">
        <f t="shared" si="14"/>
        <v>9.1</v>
      </c>
      <c r="I184">
        <f t="shared" si="15"/>
        <v>-0.72899999999999998</v>
      </c>
      <c r="J184">
        <f t="shared" si="16"/>
        <v>4.6431754279816349E-2</v>
      </c>
      <c r="K184">
        <f t="shared" si="17"/>
        <v>-14.618786558025404</v>
      </c>
      <c r="L184">
        <f t="shared" si="18"/>
        <v>6.1909005706421792E-4</v>
      </c>
      <c r="O184">
        <f t="shared" si="19"/>
        <v>-14.578680147715316</v>
      </c>
      <c r="P184">
        <f t="shared" si="20"/>
        <v>-3.1093473799100805E-5</v>
      </c>
    </row>
    <row r="185" spans="1:16" x14ac:dyDescent="0.25">
      <c r="A185" s="2">
        <v>9.15</v>
      </c>
      <c r="B185" s="1">
        <v>-0.71699999999999997</v>
      </c>
      <c r="C185">
        <v>5.2999999999999999E-2</v>
      </c>
      <c r="H185">
        <f t="shared" si="14"/>
        <v>9.15</v>
      </c>
      <c r="I185">
        <f t="shared" si="15"/>
        <v>-0.71699999999999997</v>
      </c>
      <c r="J185">
        <f t="shared" si="16"/>
        <v>4.6395665017617542E-2</v>
      </c>
      <c r="K185">
        <f t="shared" si="17"/>
        <v>-14.378148096164903</v>
      </c>
      <c r="L185">
        <f t="shared" si="18"/>
        <v>6.1860886690156712E-4</v>
      </c>
      <c r="O185">
        <f t="shared" si="19"/>
        <v>-14.338041685854815</v>
      </c>
      <c r="P185">
        <f t="shared" si="20"/>
        <v>-3.1574663961751607E-5</v>
      </c>
    </row>
    <row r="186" spans="1:16" x14ac:dyDescent="0.25">
      <c r="A186" s="2">
        <v>9.1999999999999993</v>
      </c>
      <c r="B186" s="1">
        <v>-0.67100000000000004</v>
      </c>
      <c r="C186">
        <v>5.2999999999999999E-2</v>
      </c>
      <c r="H186">
        <f t="shared" si="14"/>
        <v>9.1999999999999993</v>
      </c>
      <c r="I186">
        <f t="shared" si="15"/>
        <v>-0.67100000000000004</v>
      </c>
      <c r="J186">
        <f t="shared" si="16"/>
        <v>4.6359575755418728E-2</v>
      </c>
      <c r="K186">
        <f t="shared" si="17"/>
        <v>-13.455700659032985</v>
      </c>
      <c r="L186">
        <f t="shared" si="18"/>
        <v>6.1812767673891621E-4</v>
      </c>
      <c r="O186">
        <f t="shared" si="19"/>
        <v>-13.415594248722897</v>
      </c>
      <c r="P186">
        <f t="shared" si="20"/>
        <v>-3.2055854124402516E-5</v>
      </c>
    </row>
    <row r="187" spans="1:16" x14ac:dyDescent="0.25">
      <c r="A187" s="2">
        <v>9.25</v>
      </c>
      <c r="B187" s="1">
        <v>-0.626</v>
      </c>
      <c r="C187">
        <v>5.2999999999999999E-2</v>
      </c>
      <c r="H187">
        <f t="shared" si="14"/>
        <v>9.25</v>
      </c>
      <c r="I187">
        <f t="shared" si="15"/>
        <v>-0.626</v>
      </c>
      <c r="J187">
        <f t="shared" si="16"/>
        <v>4.632348649321992E-2</v>
      </c>
      <c r="K187">
        <f t="shared" si="17"/>
        <v>-12.553306427056109</v>
      </c>
      <c r="L187">
        <f t="shared" si="18"/>
        <v>6.1764648657626551E-4</v>
      </c>
      <c r="O187">
        <f t="shared" si="19"/>
        <v>-12.513200016746021</v>
      </c>
      <c r="P187">
        <f t="shared" si="20"/>
        <v>-3.2537044287053209E-5</v>
      </c>
    </row>
    <row r="188" spans="1:16" x14ac:dyDescent="0.25">
      <c r="A188" s="2">
        <v>9.3000000000000007</v>
      </c>
      <c r="B188" s="1">
        <v>-0.53700000000000003</v>
      </c>
      <c r="C188">
        <v>5.3999999999999999E-2</v>
      </c>
      <c r="H188">
        <f t="shared" si="14"/>
        <v>9.3000000000000007</v>
      </c>
      <c r="I188">
        <f t="shared" si="15"/>
        <v>-0.53700000000000003</v>
      </c>
      <c r="J188">
        <f t="shared" si="16"/>
        <v>4.7287397231021107E-2</v>
      </c>
      <c r="K188">
        <f t="shared" si="17"/>
        <v>-10.768571168257397</v>
      </c>
      <c r="L188">
        <f t="shared" si="18"/>
        <v>6.3049862974694801E-4</v>
      </c>
      <c r="O188">
        <f t="shared" si="19"/>
        <v>-10.728464757947309</v>
      </c>
      <c r="P188">
        <f t="shared" si="20"/>
        <v>-1.9684901116370714E-5</v>
      </c>
    </row>
    <row r="189" spans="1:16" x14ac:dyDescent="0.25">
      <c r="A189" s="2">
        <v>9.35</v>
      </c>
      <c r="B189" s="1">
        <v>-0.49</v>
      </c>
      <c r="C189">
        <v>5.2999999999999999E-2</v>
      </c>
      <c r="H189">
        <f t="shared" si="14"/>
        <v>9.35</v>
      </c>
      <c r="I189">
        <f t="shared" si="15"/>
        <v>-0.49</v>
      </c>
      <c r="J189">
        <f t="shared" si="16"/>
        <v>4.6251307968822292E-2</v>
      </c>
      <c r="K189">
        <f t="shared" si="17"/>
        <v>-9.8260705259704348</v>
      </c>
      <c r="L189">
        <f t="shared" si="18"/>
        <v>6.166841062509638E-4</v>
      </c>
      <c r="O189">
        <f t="shared" si="19"/>
        <v>-9.785964115660347</v>
      </c>
      <c r="P189">
        <f t="shared" si="20"/>
        <v>-3.3499424612354919E-5</v>
      </c>
    </row>
    <row r="190" spans="1:16" x14ac:dyDescent="0.25">
      <c r="A190" s="2">
        <v>9.4</v>
      </c>
      <c r="B190" s="1">
        <v>-0.48699999999999999</v>
      </c>
      <c r="C190">
        <v>5.3999999999999999E-2</v>
      </c>
      <c r="H190">
        <f t="shared" si="14"/>
        <v>9.4</v>
      </c>
      <c r="I190">
        <f t="shared" si="15"/>
        <v>-0.48699999999999999</v>
      </c>
      <c r="J190">
        <f t="shared" si="16"/>
        <v>4.7215218706623485E-2</v>
      </c>
      <c r="K190">
        <f t="shared" si="17"/>
        <v>-9.7659109105053101</v>
      </c>
      <c r="L190">
        <f t="shared" si="18"/>
        <v>6.295362494216463E-4</v>
      </c>
      <c r="O190">
        <f t="shared" si="19"/>
        <v>-9.7258045001952222</v>
      </c>
      <c r="P190">
        <f t="shared" si="20"/>
        <v>-2.0647281441672424E-5</v>
      </c>
    </row>
    <row r="191" spans="1:16" x14ac:dyDescent="0.25">
      <c r="A191" s="2">
        <v>9.4499999999999993</v>
      </c>
      <c r="B191" s="1">
        <v>-0.48799999999999999</v>
      </c>
      <c r="C191">
        <v>5.2999999999999999E-2</v>
      </c>
      <c r="H191">
        <f t="shared" si="14"/>
        <v>9.4499999999999993</v>
      </c>
      <c r="I191">
        <f t="shared" si="15"/>
        <v>-0.48799999999999999</v>
      </c>
      <c r="J191">
        <f t="shared" si="16"/>
        <v>4.617912944442467E-2</v>
      </c>
      <c r="K191">
        <f t="shared" si="17"/>
        <v>-9.7859641156603523</v>
      </c>
      <c r="L191">
        <f t="shared" si="18"/>
        <v>6.1572172592566209E-4</v>
      </c>
      <c r="O191">
        <f t="shared" si="19"/>
        <v>-9.7458577053502644</v>
      </c>
      <c r="P191">
        <f t="shared" si="20"/>
        <v>-3.446180493765663E-5</v>
      </c>
    </row>
    <row r="192" spans="1:16" x14ac:dyDescent="0.25">
      <c r="A192" s="2">
        <v>9.5</v>
      </c>
      <c r="B192" s="1">
        <v>-0.48699999999999999</v>
      </c>
      <c r="C192">
        <v>5.3999999999999999E-2</v>
      </c>
      <c r="H192">
        <f t="shared" si="14"/>
        <v>9.5</v>
      </c>
      <c r="I192">
        <f t="shared" si="15"/>
        <v>-0.48699999999999999</v>
      </c>
      <c r="J192">
        <f t="shared" si="16"/>
        <v>4.7143040182225864E-2</v>
      </c>
      <c r="K192">
        <f t="shared" si="17"/>
        <v>-9.7659109105053101</v>
      </c>
      <c r="L192">
        <f t="shared" si="18"/>
        <v>6.285738690963447E-4</v>
      </c>
      <c r="O192">
        <f t="shared" si="19"/>
        <v>-9.7258045001952222</v>
      </c>
      <c r="P192">
        <f t="shared" si="20"/>
        <v>-2.1609661766974026E-5</v>
      </c>
    </row>
    <row r="193" spans="1:16" x14ac:dyDescent="0.25">
      <c r="A193" s="2">
        <v>9.5500000000000007</v>
      </c>
      <c r="B193" s="1">
        <v>-0.48699999999999999</v>
      </c>
      <c r="C193">
        <v>5.3999999999999999E-2</v>
      </c>
      <c r="H193">
        <f t="shared" si="14"/>
        <v>9.5500000000000007</v>
      </c>
      <c r="I193">
        <f t="shared" si="15"/>
        <v>-0.48699999999999999</v>
      </c>
      <c r="J193">
        <f t="shared" si="16"/>
        <v>4.7106950920027049E-2</v>
      </c>
      <c r="K193">
        <f t="shared" si="17"/>
        <v>-9.7659109105053101</v>
      </c>
      <c r="L193">
        <f t="shared" si="18"/>
        <v>6.280926789336939E-4</v>
      </c>
      <c r="O193">
        <f t="shared" si="19"/>
        <v>-9.7258045001952222</v>
      </c>
      <c r="P193">
        <f t="shared" si="20"/>
        <v>-2.2090851929624828E-5</v>
      </c>
    </row>
    <row r="194" spans="1:16" x14ac:dyDescent="0.25">
      <c r="A194" s="2">
        <v>9.6</v>
      </c>
      <c r="B194" s="1">
        <v>-0.48699999999999999</v>
      </c>
      <c r="C194">
        <v>5.3999999999999999E-2</v>
      </c>
      <c r="H194">
        <f t="shared" si="14"/>
        <v>9.6</v>
      </c>
      <c r="I194">
        <f t="shared" si="15"/>
        <v>-0.48699999999999999</v>
      </c>
      <c r="J194">
        <f t="shared" si="16"/>
        <v>4.7070861657828242E-2</v>
      </c>
      <c r="K194">
        <f t="shared" si="17"/>
        <v>-9.7659109105053101</v>
      </c>
      <c r="L194">
        <f t="shared" si="18"/>
        <v>6.2761148877104309E-4</v>
      </c>
      <c r="O194">
        <f t="shared" si="19"/>
        <v>-9.7258045001952222</v>
      </c>
      <c r="P194">
        <f t="shared" si="20"/>
        <v>-2.2572042092275629E-5</v>
      </c>
    </row>
    <row r="195" spans="1:16" x14ac:dyDescent="0.25">
      <c r="A195" s="2">
        <v>9.65</v>
      </c>
      <c r="B195" s="1">
        <v>-0.439</v>
      </c>
      <c r="C195">
        <v>5.3999999999999999E-2</v>
      </c>
      <c r="H195">
        <f t="shared" ref="H195:H258" si="21">A195</f>
        <v>9.65</v>
      </c>
      <c r="I195">
        <f t="shared" ref="I195:I258" si="22">B195</f>
        <v>-0.439</v>
      </c>
      <c r="J195">
        <f t="shared" ref="J195:J258" si="23">C195-E$12*A195</f>
        <v>4.7034772395629428E-2</v>
      </c>
      <c r="K195">
        <f t="shared" ref="K195:K258" si="24">F$24*I195</f>
        <v>-8.8033570630633093</v>
      </c>
      <c r="L195">
        <f t="shared" ref="L195:L258" si="25">F$25*J195</f>
        <v>6.2713029860839229E-4</v>
      </c>
      <c r="O195">
        <f t="shared" ref="O195:O258" si="26">K195-N$12</f>
        <v>-8.7632506527532215</v>
      </c>
      <c r="P195">
        <f t="shared" ref="P195:P258" si="27">L195-N$15</f>
        <v>-2.305323225492643E-5</v>
      </c>
    </row>
    <row r="196" spans="1:16" x14ac:dyDescent="0.25">
      <c r="A196" s="2">
        <v>9.6999999999999993</v>
      </c>
      <c r="B196" s="1">
        <v>-0.36099999999999999</v>
      </c>
      <c r="C196">
        <v>5.5E-2</v>
      </c>
      <c r="H196">
        <f t="shared" si="21"/>
        <v>9.6999999999999993</v>
      </c>
      <c r="I196">
        <f t="shared" si="22"/>
        <v>-0.36099999999999999</v>
      </c>
      <c r="J196">
        <f t="shared" si="23"/>
        <v>4.7998683133430614E-2</v>
      </c>
      <c r="K196">
        <f t="shared" si="24"/>
        <v>-7.2392070609700552</v>
      </c>
      <c r="L196">
        <f t="shared" si="25"/>
        <v>6.3998244177907468E-4</v>
      </c>
      <c r="O196">
        <f t="shared" si="26"/>
        <v>-7.1991006506599673</v>
      </c>
      <c r="P196">
        <f t="shared" si="27"/>
        <v>-1.0201089084244043E-5</v>
      </c>
    </row>
    <row r="197" spans="1:16" x14ac:dyDescent="0.25">
      <c r="A197" s="2">
        <v>9.75</v>
      </c>
      <c r="B197" s="1">
        <v>-0.30499999999999999</v>
      </c>
      <c r="C197">
        <v>5.3999999999999999E-2</v>
      </c>
      <c r="H197">
        <f t="shared" si="21"/>
        <v>9.75</v>
      </c>
      <c r="I197">
        <f t="shared" si="22"/>
        <v>-0.30499999999999999</v>
      </c>
      <c r="J197">
        <f t="shared" si="23"/>
        <v>4.6962593871231806E-2</v>
      </c>
      <c r="K197">
        <f t="shared" si="24"/>
        <v>-6.1162275722877197</v>
      </c>
      <c r="L197">
        <f t="shared" si="25"/>
        <v>6.2616791828309058E-4</v>
      </c>
      <c r="O197">
        <f t="shared" si="26"/>
        <v>-6.0761211619776319</v>
      </c>
      <c r="P197">
        <f t="shared" si="27"/>
        <v>-2.401561258022814E-5</v>
      </c>
    </row>
    <row r="198" spans="1:16" x14ac:dyDescent="0.25">
      <c r="A198" s="2">
        <v>9.8000000000000007</v>
      </c>
      <c r="B198" s="1">
        <v>-0.25900000000000001</v>
      </c>
      <c r="C198">
        <v>5.5E-2</v>
      </c>
      <c r="H198">
        <f t="shared" si="21"/>
        <v>9.8000000000000007</v>
      </c>
      <c r="I198">
        <f t="shared" si="22"/>
        <v>-0.25900000000000001</v>
      </c>
      <c r="J198">
        <f t="shared" si="23"/>
        <v>4.7926504609032992E-2</v>
      </c>
      <c r="K198">
        <f t="shared" si="24"/>
        <v>-5.1937801351558024</v>
      </c>
      <c r="L198">
        <f t="shared" si="25"/>
        <v>6.3902006145377308E-4</v>
      </c>
      <c r="O198">
        <f t="shared" si="26"/>
        <v>-5.1536737248457145</v>
      </c>
      <c r="P198">
        <f t="shared" si="27"/>
        <v>-1.1163469409545645E-5</v>
      </c>
    </row>
    <row r="199" spans="1:16" x14ac:dyDescent="0.25">
      <c r="A199" s="2">
        <v>9.85</v>
      </c>
      <c r="B199" s="1">
        <v>-0.215</v>
      </c>
      <c r="C199">
        <v>5.5E-2</v>
      </c>
      <c r="H199">
        <f t="shared" si="21"/>
        <v>9.85</v>
      </c>
      <c r="I199">
        <f t="shared" si="22"/>
        <v>-0.215</v>
      </c>
      <c r="J199">
        <f t="shared" si="23"/>
        <v>4.7890415346834185E-2</v>
      </c>
      <c r="K199">
        <f t="shared" si="24"/>
        <v>-4.3114391083339667</v>
      </c>
      <c r="L199">
        <f t="shared" si="25"/>
        <v>6.3853887129112238E-4</v>
      </c>
      <c r="O199">
        <f t="shared" si="26"/>
        <v>-4.2713326980238788</v>
      </c>
      <c r="P199">
        <f t="shared" si="27"/>
        <v>-1.1644659572196338E-5</v>
      </c>
    </row>
    <row r="200" spans="1:16" x14ac:dyDescent="0.25">
      <c r="A200" s="2">
        <v>9.9</v>
      </c>
      <c r="B200" s="1">
        <v>-0.16600000000000001</v>
      </c>
      <c r="C200">
        <v>5.6000000000000001E-2</v>
      </c>
      <c r="H200">
        <f t="shared" si="21"/>
        <v>9.9</v>
      </c>
      <c r="I200">
        <f t="shared" si="22"/>
        <v>-0.16600000000000001</v>
      </c>
      <c r="J200">
        <f t="shared" si="23"/>
        <v>4.8854326084635372E-2</v>
      </c>
      <c r="K200">
        <f t="shared" si="24"/>
        <v>-3.3288320557369233</v>
      </c>
      <c r="L200">
        <f t="shared" si="25"/>
        <v>6.5139101446180488E-4</v>
      </c>
      <c r="O200">
        <f t="shared" si="26"/>
        <v>-3.2887256454268354</v>
      </c>
      <c r="P200">
        <f t="shared" si="27"/>
        <v>1.207483598486157E-6</v>
      </c>
    </row>
    <row r="201" spans="1:16" x14ac:dyDescent="0.25">
      <c r="A201" s="2">
        <v>9.9499999999999993</v>
      </c>
      <c r="B201" s="1">
        <v>-0.105</v>
      </c>
      <c r="C201">
        <v>5.5E-2</v>
      </c>
      <c r="H201">
        <f t="shared" si="21"/>
        <v>9.9499999999999993</v>
      </c>
      <c r="I201">
        <f t="shared" si="22"/>
        <v>-0.105</v>
      </c>
      <c r="J201">
        <f t="shared" si="23"/>
        <v>4.7818236822436563E-2</v>
      </c>
      <c r="K201">
        <f t="shared" si="24"/>
        <v>-2.1055865412793788</v>
      </c>
      <c r="L201">
        <f t="shared" si="25"/>
        <v>6.3757649096582067E-4</v>
      </c>
      <c r="O201">
        <f t="shared" si="26"/>
        <v>-2.065480130969291</v>
      </c>
      <c r="P201">
        <f t="shared" si="27"/>
        <v>-1.2607039897498049E-5</v>
      </c>
    </row>
    <row r="202" spans="1:16" x14ac:dyDescent="0.25">
      <c r="A202" s="2">
        <v>10</v>
      </c>
      <c r="B202" s="1">
        <v>-2.1999999999999999E-2</v>
      </c>
      <c r="C202">
        <v>5.6000000000000001E-2</v>
      </c>
      <c r="H202">
        <f t="shared" si="21"/>
        <v>10</v>
      </c>
      <c r="I202">
        <f t="shared" si="22"/>
        <v>-2.1999999999999999E-2</v>
      </c>
      <c r="J202">
        <f t="shared" si="23"/>
        <v>4.878214756023775E-2</v>
      </c>
      <c r="K202">
        <f t="shared" si="24"/>
        <v>-0.44117051341091751</v>
      </c>
      <c r="L202">
        <f t="shared" si="25"/>
        <v>6.5042863413650317E-4</v>
      </c>
      <c r="O202">
        <f t="shared" si="26"/>
        <v>-0.40106410310082963</v>
      </c>
      <c r="P202">
        <f t="shared" si="27"/>
        <v>2.4510327318444641E-7</v>
      </c>
    </row>
    <row r="203" spans="1:16" x14ac:dyDescent="0.25">
      <c r="A203" s="2">
        <v>10.050000000000001</v>
      </c>
      <c r="B203" s="1">
        <v>3.0000000000000001E-3</v>
      </c>
      <c r="C203">
        <v>5.5E-2</v>
      </c>
      <c r="H203">
        <f t="shared" si="21"/>
        <v>10.050000000000001</v>
      </c>
      <c r="I203">
        <f t="shared" si="22"/>
        <v>3.0000000000000001E-3</v>
      </c>
      <c r="J203">
        <f t="shared" si="23"/>
        <v>4.7746058298038935E-2</v>
      </c>
      <c r="K203">
        <f t="shared" si="24"/>
        <v>6.0159615465125119E-2</v>
      </c>
      <c r="L203">
        <f t="shared" si="25"/>
        <v>6.3661411064051896E-4</v>
      </c>
      <c r="O203">
        <f t="shared" si="26"/>
        <v>0.100266025775213</v>
      </c>
      <c r="P203">
        <f t="shared" si="27"/>
        <v>-1.3569420222799759E-5</v>
      </c>
    </row>
    <row r="204" spans="1:16" x14ac:dyDescent="0.25">
      <c r="A204" s="2">
        <v>10.1</v>
      </c>
      <c r="B204" s="1">
        <v>4.0000000000000001E-3</v>
      </c>
      <c r="C204">
        <v>5.6000000000000001E-2</v>
      </c>
      <c r="H204">
        <f t="shared" si="21"/>
        <v>10.1</v>
      </c>
      <c r="I204">
        <f t="shared" si="22"/>
        <v>4.0000000000000001E-3</v>
      </c>
      <c r="J204">
        <f t="shared" si="23"/>
        <v>4.8709969035840128E-2</v>
      </c>
      <c r="K204">
        <f t="shared" si="24"/>
        <v>8.0212820620166825E-2</v>
      </c>
      <c r="L204">
        <f t="shared" si="25"/>
        <v>6.4946625381120157E-4</v>
      </c>
      <c r="O204">
        <f t="shared" si="26"/>
        <v>0.12031923093025471</v>
      </c>
      <c r="P204">
        <f t="shared" si="27"/>
        <v>-7.1727705211715575E-7</v>
      </c>
    </row>
    <row r="205" spans="1:16" x14ac:dyDescent="0.25">
      <c r="A205" s="2">
        <v>10.15</v>
      </c>
      <c r="B205" s="1">
        <v>4.0000000000000001E-3</v>
      </c>
      <c r="C205">
        <v>5.6000000000000001E-2</v>
      </c>
      <c r="H205">
        <f t="shared" si="21"/>
        <v>10.15</v>
      </c>
      <c r="I205">
        <f t="shared" si="22"/>
        <v>4.0000000000000001E-3</v>
      </c>
      <c r="J205">
        <f t="shared" si="23"/>
        <v>4.8673879773641314E-2</v>
      </c>
      <c r="K205">
        <f t="shared" si="24"/>
        <v>8.0212820620166825E-2</v>
      </c>
      <c r="L205">
        <f t="shared" si="25"/>
        <v>6.4898506364855077E-4</v>
      </c>
      <c r="O205">
        <f t="shared" si="26"/>
        <v>0.12031923093025471</v>
      </c>
      <c r="P205">
        <f t="shared" si="27"/>
        <v>-1.1984672147679568E-6</v>
      </c>
    </row>
    <row r="206" spans="1:16" x14ac:dyDescent="0.25">
      <c r="A206" s="2">
        <v>10.199999999999999</v>
      </c>
      <c r="B206" s="1">
        <v>4.0000000000000001E-3</v>
      </c>
      <c r="C206">
        <v>5.6000000000000001E-2</v>
      </c>
      <c r="H206">
        <f t="shared" si="21"/>
        <v>10.199999999999999</v>
      </c>
      <c r="I206">
        <f t="shared" si="22"/>
        <v>4.0000000000000001E-3</v>
      </c>
      <c r="J206">
        <f t="shared" si="23"/>
        <v>4.8637790511442507E-2</v>
      </c>
      <c r="K206">
        <f t="shared" si="24"/>
        <v>8.0212820620166825E-2</v>
      </c>
      <c r="L206">
        <f t="shared" si="25"/>
        <v>6.4850387348589997E-4</v>
      </c>
      <c r="O206">
        <f t="shared" si="26"/>
        <v>0.12031923093025471</v>
      </c>
      <c r="P206">
        <f t="shared" si="27"/>
        <v>-1.6796573774187579E-6</v>
      </c>
    </row>
    <row r="207" spans="1:16" x14ac:dyDescent="0.25">
      <c r="A207" s="2">
        <v>10.25</v>
      </c>
      <c r="B207" s="1">
        <v>4.0000000000000001E-3</v>
      </c>
      <c r="C207">
        <v>5.6000000000000001E-2</v>
      </c>
      <c r="H207">
        <f t="shared" si="21"/>
        <v>10.25</v>
      </c>
      <c r="I207">
        <f t="shared" si="22"/>
        <v>4.0000000000000001E-3</v>
      </c>
      <c r="J207">
        <f t="shared" si="23"/>
        <v>4.8601701249243692E-2</v>
      </c>
      <c r="K207">
        <f t="shared" si="24"/>
        <v>8.0212820620166825E-2</v>
      </c>
      <c r="L207">
        <f t="shared" si="25"/>
        <v>6.4802268332324906E-4</v>
      </c>
      <c r="O207">
        <f t="shared" si="26"/>
        <v>0.12031923093025471</v>
      </c>
      <c r="P207">
        <f t="shared" si="27"/>
        <v>-2.1608475400696674E-6</v>
      </c>
    </row>
    <row r="208" spans="1:16" x14ac:dyDescent="0.25">
      <c r="A208" s="2">
        <v>10.3</v>
      </c>
      <c r="B208" s="1">
        <v>4.0000000000000001E-3</v>
      </c>
      <c r="C208">
        <v>5.6000000000000001E-2</v>
      </c>
      <c r="H208">
        <f t="shared" si="21"/>
        <v>10.3</v>
      </c>
      <c r="I208">
        <f t="shared" si="22"/>
        <v>4.0000000000000001E-3</v>
      </c>
      <c r="J208">
        <f t="shared" si="23"/>
        <v>4.8565611987044885E-2</v>
      </c>
      <c r="K208">
        <f t="shared" si="24"/>
        <v>8.0212820620166825E-2</v>
      </c>
      <c r="L208">
        <f t="shared" si="25"/>
        <v>6.4754149316059836E-4</v>
      </c>
      <c r="O208">
        <f t="shared" si="26"/>
        <v>0.12031923093025471</v>
      </c>
      <c r="P208">
        <f t="shared" si="27"/>
        <v>-2.6420377027203601E-6</v>
      </c>
    </row>
    <row r="209" spans="1:16" x14ac:dyDescent="0.25">
      <c r="A209" s="2">
        <v>10.35</v>
      </c>
      <c r="B209" s="1">
        <v>4.0000000000000001E-3</v>
      </c>
      <c r="C209">
        <v>5.6000000000000001E-2</v>
      </c>
      <c r="H209">
        <f t="shared" si="21"/>
        <v>10.35</v>
      </c>
      <c r="I209">
        <f t="shared" si="22"/>
        <v>4.0000000000000001E-3</v>
      </c>
      <c r="J209">
        <f t="shared" si="23"/>
        <v>4.8529522724846071E-2</v>
      </c>
      <c r="K209">
        <f t="shared" si="24"/>
        <v>8.0212820620166825E-2</v>
      </c>
      <c r="L209">
        <f t="shared" si="25"/>
        <v>6.4706030299794745E-4</v>
      </c>
      <c r="O209">
        <f t="shared" si="26"/>
        <v>0.12031923093025471</v>
      </c>
      <c r="P209">
        <f t="shared" si="27"/>
        <v>-3.1232278653712696E-6</v>
      </c>
    </row>
    <row r="210" spans="1:16" x14ac:dyDescent="0.25">
      <c r="A210" s="2">
        <v>10.4</v>
      </c>
      <c r="B210" s="1">
        <v>4.0000000000000001E-3</v>
      </c>
      <c r="C210">
        <v>5.6000000000000001E-2</v>
      </c>
      <c r="H210">
        <f t="shared" si="21"/>
        <v>10.4</v>
      </c>
      <c r="I210">
        <f t="shared" si="22"/>
        <v>4.0000000000000001E-3</v>
      </c>
      <c r="J210">
        <f t="shared" si="23"/>
        <v>4.8493433462647263E-2</v>
      </c>
      <c r="K210">
        <f t="shared" si="24"/>
        <v>8.0212820620166825E-2</v>
      </c>
      <c r="L210">
        <f t="shared" si="25"/>
        <v>6.4657911283529676E-4</v>
      </c>
      <c r="O210">
        <f t="shared" si="26"/>
        <v>0.12031923093025471</v>
      </c>
      <c r="P210">
        <f t="shared" si="27"/>
        <v>-3.6044180280219622E-6</v>
      </c>
    </row>
    <row r="211" spans="1:16" x14ac:dyDescent="0.25">
      <c r="A211" s="2">
        <v>10.45</v>
      </c>
      <c r="B211" s="1">
        <v>4.0000000000000001E-3</v>
      </c>
      <c r="C211">
        <v>5.6000000000000001E-2</v>
      </c>
      <c r="H211">
        <f t="shared" si="21"/>
        <v>10.45</v>
      </c>
      <c r="I211">
        <f t="shared" si="22"/>
        <v>4.0000000000000001E-3</v>
      </c>
      <c r="J211">
        <f t="shared" si="23"/>
        <v>4.8457344200448449E-2</v>
      </c>
      <c r="K211">
        <f t="shared" si="24"/>
        <v>8.0212820620166825E-2</v>
      </c>
      <c r="L211">
        <f t="shared" si="25"/>
        <v>6.4609792267264585E-4</v>
      </c>
      <c r="O211">
        <f t="shared" si="26"/>
        <v>0.12031923093025471</v>
      </c>
      <c r="P211">
        <f t="shared" si="27"/>
        <v>-4.0856081906728717E-6</v>
      </c>
    </row>
    <row r="212" spans="1:16" x14ac:dyDescent="0.25">
      <c r="A212" s="2">
        <v>10.5</v>
      </c>
      <c r="B212" s="1">
        <v>4.0000000000000001E-3</v>
      </c>
      <c r="C212">
        <v>5.7000000000000002E-2</v>
      </c>
      <c r="H212">
        <f t="shared" si="21"/>
        <v>10.5</v>
      </c>
      <c r="I212">
        <f t="shared" si="22"/>
        <v>4.0000000000000001E-3</v>
      </c>
      <c r="J212">
        <f t="shared" si="23"/>
        <v>4.9421254938249642E-2</v>
      </c>
      <c r="K212">
        <f t="shared" si="24"/>
        <v>8.0212820620166825E-2</v>
      </c>
      <c r="L212">
        <f t="shared" si="25"/>
        <v>6.5895006584332845E-4</v>
      </c>
      <c r="O212">
        <f t="shared" si="26"/>
        <v>0.12031923093025471</v>
      </c>
      <c r="P212">
        <f t="shared" si="27"/>
        <v>8.7665349800097317E-6</v>
      </c>
    </row>
    <row r="213" spans="1:16" x14ac:dyDescent="0.25">
      <c r="A213" s="2">
        <v>10.55</v>
      </c>
      <c r="B213" s="1">
        <v>4.0000000000000001E-3</v>
      </c>
      <c r="C213">
        <v>5.6000000000000001E-2</v>
      </c>
      <c r="H213">
        <f t="shared" si="21"/>
        <v>10.55</v>
      </c>
      <c r="I213">
        <f t="shared" si="22"/>
        <v>4.0000000000000001E-3</v>
      </c>
      <c r="J213">
        <f t="shared" si="23"/>
        <v>4.8385165676050827E-2</v>
      </c>
      <c r="K213">
        <f t="shared" si="24"/>
        <v>8.0212820620166825E-2</v>
      </c>
      <c r="L213">
        <f t="shared" si="25"/>
        <v>6.4513554234734425E-4</v>
      </c>
      <c r="O213">
        <f t="shared" si="26"/>
        <v>0.12031923093025471</v>
      </c>
      <c r="P213">
        <f t="shared" si="27"/>
        <v>-5.0479885159744739E-6</v>
      </c>
    </row>
    <row r="214" spans="1:16" x14ac:dyDescent="0.25">
      <c r="A214" s="2">
        <v>10.6</v>
      </c>
      <c r="B214" s="1">
        <v>4.0000000000000001E-3</v>
      </c>
      <c r="C214">
        <v>5.7000000000000002E-2</v>
      </c>
      <c r="H214">
        <f t="shared" si="21"/>
        <v>10.6</v>
      </c>
      <c r="I214">
        <f t="shared" si="22"/>
        <v>4.0000000000000001E-3</v>
      </c>
      <c r="J214">
        <f t="shared" si="23"/>
        <v>4.9349076413852014E-2</v>
      </c>
      <c r="K214">
        <f t="shared" si="24"/>
        <v>8.0212820620166825E-2</v>
      </c>
      <c r="L214">
        <f t="shared" si="25"/>
        <v>6.5798768551802674E-4</v>
      </c>
      <c r="O214">
        <f t="shared" si="26"/>
        <v>0.12031923093025471</v>
      </c>
      <c r="P214">
        <f t="shared" si="27"/>
        <v>7.8041546547080211E-6</v>
      </c>
    </row>
    <row r="215" spans="1:16" x14ac:dyDescent="0.25">
      <c r="A215" s="2">
        <v>10.65</v>
      </c>
      <c r="B215" s="1">
        <v>4.0000000000000001E-3</v>
      </c>
      <c r="C215">
        <v>5.6000000000000001E-2</v>
      </c>
      <c r="H215">
        <f t="shared" si="21"/>
        <v>10.65</v>
      </c>
      <c r="I215">
        <f t="shared" si="22"/>
        <v>4.0000000000000001E-3</v>
      </c>
      <c r="J215">
        <f t="shared" si="23"/>
        <v>4.8312987151653206E-2</v>
      </c>
      <c r="K215">
        <f t="shared" si="24"/>
        <v>8.0212820620166825E-2</v>
      </c>
      <c r="L215">
        <f t="shared" si="25"/>
        <v>6.4417316202204265E-4</v>
      </c>
      <c r="O215">
        <f t="shared" si="26"/>
        <v>0.12031923093025471</v>
      </c>
      <c r="P215">
        <f t="shared" si="27"/>
        <v>-6.010368841276076E-6</v>
      </c>
    </row>
    <row r="216" spans="1:16" x14ac:dyDescent="0.25">
      <c r="A216" s="2">
        <v>10.7</v>
      </c>
      <c r="B216" s="1">
        <v>4.0000000000000001E-3</v>
      </c>
      <c r="C216">
        <v>5.7000000000000002E-2</v>
      </c>
      <c r="H216">
        <f t="shared" si="21"/>
        <v>10.7</v>
      </c>
      <c r="I216">
        <f t="shared" si="22"/>
        <v>4.0000000000000001E-3</v>
      </c>
      <c r="J216">
        <f t="shared" si="23"/>
        <v>4.9276897889454392E-2</v>
      </c>
      <c r="K216">
        <f t="shared" si="24"/>
        <v>8.0212820620166825E-2</v>
      </c>
      <c r="L216">
        <f t="shared" si="25"/>
        <v>6.5702530519272514E-4</v>
      </c>
      <c r="O216">
        <f t="shared" si="26"/>
        <v>0.12031923093025471</v>
      </c>
      <c r="P216">
        <f t="shared" si="27"/>
        <v>6.8417743294064189E-6</v>
      </c>
    </row>
    <row r="217" spans="1:16" x14ac:dyDescent="0.25">
      <c r="A217" s="2">
        <v>10.75</v>
      </c>
      <c r="B217" s="1">
        <v>5.0480000000000002E-4</v>
      </c>
      <c r="C217">
        <v>5.6000000000000001E-2</v>
      </c>
      <c r="H217">
        <f t="shared" si="21"/>
        <v>10.75</v>
      </c>
      <c r="I217">
        <f t="shared" si="22"/>
        <v>5.0480000000000002E-4</v>
      </c>
      <c r="J217">
        <f t="shared" si="23"/>
        <v>4.8240808627255584E-2</v>
      </c>
      <c r="K217">
        <f t="shared" si="24"/>
        <v>1.0122857962265053E-2</v>
      </c>
      <c r="L217">
        <f t="shared" si="25"/>
        <v>6.4321078169674104E-4</v>
      </c>
      <c r="O217">
        <f t="shared" si="26"/>
        <v>5.0229268272352932E-2</v>
      </c>
      <c r="P217">
        <f t="shared" si="27"/>
        <v>-6.9727491665776782E-6</v>
      </c>
    </row>
    <row r="218" spans="1:16" x14ac:dyDescent="0.25">
      <c r="A218" s="2">
        <v>10.8</v>
      </c>
      <c r="B218" s="1">
        <v>-6.5609999999999996E-4</v>
      </c>
      <c r="C218">
        <v>5.7000000000000002E-2</v>
      </c>
      <c r="H218">
        <f t="shared" si="21"/>
        <v>10.8</v>
      </c>
      <c r="I218">
        <f t="shared" si="22"/>
        <v>-6.5609999999999996E-4</v>
      </c>
      <c r="J218">
        <f t="shared" si="23"/>
        <v>4.920471936505677E-2</v>
      </c>
      <c r="K218">
        <f t="shared" si="24"/>
        <v>-1.3156907902222863E-2</v>
      </c>
      <c r="L218">
        <f t="shared" si="25"/>
        <v>6.5606292486742343E-4</v>
      </c>
      <c r="O218">
        <f t="shared" si="26"/>
        <v>2.694950240786502E-2</v>
      </c>
      <c r="P218">
        <f t="shared" si="27"/>
        <v>5.8793940041047084E-6</v>
      </c>
    </row>
    <row r="219" spans="1:16" x14ac:dyDescent="0.25">
      <c r="A219" s="2">
        <v>10.85</v>
      </c>
      <c r="B219" s="1">
        <v>-4.706E-4</v>
      </c>
      <c r="C219">
        <v>5.6000000000000001E-2</v>
      </c>
      <c r="H219">
        <f t="shared" si="21"/>
        <v>10.85</v>
      </c>
      <c r="I219">
        <f t="shared" si="22"/>
        <v>-4.706E-4</v>
      </c>
      <c r="J219">
        <f t="shared" si="23"/>
        <v>4.8168630102857962E-2</v>
      </c>
      <c r="K219">
        <f t="shared" si="24"/>
        <v>-9.4370383459626266E-3</v>
      </c>
      <c r="L219">
        <f t="shared" si="25"/>
        <v>6.4224840137143933E-4</v>
      </c>
      <c r="O219">
        <f t="shared" si="26"/>
        <v>3.0669371964125253E-2</v>
      </c>
      <c r="P219">
        <f t="shared" si="27"/>
        <v>-7.9351294918793887E-6</v>
      </c>
    </row>
    <row r="220" spans="1:16" x14ac:dyDescent="0.25">
      <c r="A220" s="2">
        <v>10.9</v>
      </c>
      <c r="B220" s="1">
        <v>-6.0729999999999996E-4</v>
      </c>
      <c r="C220">
        <v>5.7000000000000002E-2</v>
      </c>
      <c r="H220">
        <f t="shared" si="21"/>
        <v>10.9</v>
      </c>
      <c r="I220">
        <f t="shared" si="22"/>
        <v>-6.0729999999999996E-4</v>
      </c>
      <c r="J220">
        <f t="shared" si="23"/>
        <v>4.9132540840659149E-2</v>
      </c>
      <c r="K220">
        <f t="shared" si="24"/>
        <v>-1.2178311490656827E-2</v>
      </c>
      <c r="L220">
        <f t="shared" si="25"/>
        <v>6.5510054454212183E-4</v>
      </c>
      <c r="O220">
        <f t="shared" si="26"/>
        <v>2.7928098819431056E-2</v>
      </c>
      <c r="P220">
        <f t="shared" si="27"/>
        <v>4.9170136788031062E-6</v>
      </c>
    </row>
    <row r="221" spans="1:16" x14ac:dyDescent="0.25">
      <c r="A221" s="2">
        <v>10.95</v>
      </c>
      <c r="B221" s="1">
        <v>-3.2410000000000002E-4</v>
      </c>
      <c r="C221">
        <v>5.6000000000000001E-2</v>
      </c>
      <c r="H221">
        <f t="shared" si="21"/>
        <v>10.95</v>
      </c>
      <c r="I221">
        <f t="shared" si="22"/>
        <v>-3.2410000000000002E-4</v>
      </c>
      <c r="J221">
        <f t="shared" si="23"/>
        <v>4.8096451578460334E-2</v>
      </c>
      <c r="K221">
        <f t="shared" si="24"/>
        <v>-6.4992437907490175E-3</v>
      </c>
      <c r="L221">
        <f t="shared" si="25"/>
        <v>6.4128602104613762E-4</v>
      </c>
      <c r="O221">
        <f t="shared" si="26"/>
        <v>3.3607166519338864E-2</v>
      </c>
      <c r="P221">
        <f t="shared" si="27"/>
        <v>-8.8975098171810993E-6</v>
      </c>
    </row>
    <row r="222" spans="1:16" x14ac:dyDescent="0.25">
      <c r="A222" s="2">
        <v>11</v>
      </c>
      <c r="B222" s="1">
        <v>2.1999999999999999E-2</v>
      </c>
      <c r="C222">
        <v>5.7000000000000002E-2</v>
      </c>
      <c r="H222">
        <f t="shared" si="21"/>
        <v>11</v>
      </c>
      <c r="I222">
        <f t="shared" si="22"/>
        <v>2.1999999999999999E-2</v>
      </c>
      <c r="J222">
        <f t="shared" si="23"/>
        <v>4.9060362316261527E-2</v>
      </c>
      <c r="K222">
        <f t="shared" si="24"/>
        <v>0.44117051341091751</v>
      </c>
      <c r="L222">
        <f t="shared" si="25"/>
        <v>6.5413816421682023E-4</v>
      </c>
      <c r="O222">
        <f t="shared" si="26"/>
        <v>0.48127692372100539</v>
      </c>
      <c r="P222">
        <f t="shared" si="27"/>
        <v>3.954633353501504E-6</v>
      </c>
    </row>
    <row r="223" spans="1:16" x14ac:dyDescent="0.25">
      <c r="A223" s="2">
        <v>11.05</v>
      </c>
      <c r="B223" s="1">
        <v>0.124</v>
      </c>
      <c r="C223">
        <v>5.7000000000000002E-2</v>
      </c>
      <c r="H223">
        <f t="shared" si="21"/>
        <v>11.05</v>
      </c>
      <c r="I223">
        <f t="shared" si="22"/>
        <v>0.124</v>
      </c>
      <c r="J223">
        <f t="shared" si="23"/>
        <v>4.9024273054062713E-2</v>
      </c>
      <c r="K223">
        <f t="shared" si="24"/>
        <v>2.4865974392251715</v>
      </c>
      <c r="L223">
        <f t="shared" si="25"/>
        <v>6.5365697405416943E-4</v>
      </c>
      <c r="O223">
        <f t="shared" si="26"/>
        <v>2.5267038495352594</v>
      </c>
      <c r="P223">
        <f t="shared" si="27"/>
        <v>3.473443190850703E-6</v>
      </c>
    </row>
    <row r="224" spans="1:16" x14ac:dyDescent="0.25">
      <c r="A224" s="2">
        <v>11.1</v>
      </c>
      <c r="B224" s="1">
        <v>0.214</v>
      </c>
      <c r="C224">
        <v>5.8000000000000003E-2</v>
      </c>
      <c r="H224">
        <f t="shared" si="21"/>
        <v>11.1</v>
      </c>
      <c r="I224">
        <f t="shared" si="22"/>
        <v>0.214</v>
      </c>
      <c r="J224">
        <f t="shared" si="23"/>
        <v>4.9988183791863906E-2</v>
      </c>
      <c r="K224">
        <f t="shared" si="24"/>
        <v>4.2913859031789245</v>
      </c>
      <c r="L224">
        <f t="shared" si="25"/>
        <v>6.6650911722485192E-4</v>
      </c>
      <c r="O224">
        <f t="shared" si="26"/>
        <v>4.3314923134890124</v>
      </c>
      <c r="P224">
        <f t="shared" si="27"/>
        <v>1.6325586361533198E-5</v>
      </c>
    </row>
    <row r="225" spans="1:16" x14ac:dyDescent="0.25">
      <c r="A225" s="2">
        <v>11.15</v>
      </c>
      <c r="B225" s="1">
        <v>0.25700000000000001</v>
      </c>
      <c r="C225">
        <v>5.8000000000000003E-2</v>
      </c>
      <c r="H225">
        <f t="shared" si="21"/>
        <v>11.15</v>
      </c>
      <c r="I225">
        <f t="shared" si="22"/>
        <v>0.25700000000000001</v>
      </c>
      <c r="J225">
        <f t="shared" si="23"/>
        <v>4.9952094529665092E-2</v>
      </c>
      <c r="K225">
        <f t="shared" si="24"/>
        <v>5.153673724845719</v>
      </c>
      <c r="L225">
        <f t="shared" si="25"/>
        <v>6.6602792706220112E-4</v>
      </c>
      <c r="O225">
        <f t="shared" si="26"/>
        <v>5.1937801351558068</v>
      </c>
      <c r="P225">
        <f t="shared" si="27"/>
        <v>1.5844396198882397E-5</v>
      </c>
    </row>
    <row r="226" spans="1:16" x14ac:dyDescent="0.25">
      <c r="A226" s="2">
        <v>11.2</v>
      </c>
      <c r="B226" s="1">
        <v>0.30499999999999999</v>
      </c>
      <c r="C226">
        <v>5.8000000000000003E-2</v>
      </c>
      <c r="H226">
        <f t="shared" si="21"/>
        <v>11.2</v>
      </c>
      <c r="I226">
        <f t="shared" si="22"/>
        <v>0.30499999999999999</v>
      </c>
      <c r="J226">
        <f t="shared" si="23"/>
        <v>4.9916005267466285E-2</v>
      </c>
      <c r="K226">
        <f t="shared" si="24"/>
        <v>6.1162275722877197</v>
      </c>
      <c r="L226">
        <f t="shared" si="25"/>
        <v>6.6554673689955032E-4</v>
      </c>
      <c r="O226">
        <f t="shared" si="26"/>
        <v>6.1563339825978076</v>
      </c>
      <c r="P226">
        <f t="shared" si="27"/>
        <v>1.5363206036231596E-5</v>
      </c>
    </row>
    <row r="227" spans="1:16" x14ac:dyDescent="0.25">
      <c r="A227" s="2">
        <v>11.25</v>
      </c>
      <c r="B227" s="1">
        <v>0.376</v>
      </c>
      <c r="C227">
        <v>5.8000000000000003E-2</v>
      </c>
      <c r="H227">
        <f t="shared" si="21"/>
        <v>11.25</v>
      </c>
      <c r="I227">
        <f t="shared" si="22"/>
        <v>0.376</v>
      </c>
      <c r="J227">
        <f t="shared" si="23"/>
        <v>4.987991600526747E-2</v>
      </c>
      <c r="K227">
        <f t="shared" si="24"/>
        <v>7.5400051382956814</v>
      </c>
      <c r="L227">
        <f t="shared" si="25"/>
        <v>6.6506554673689952E-4</v>
      </c>
      <c r="O227">
        <f t="shared" si="26"/>
        <v>7.5801115486057693</v>
      </c>
      <c r="P227">
        <f t="shared" si="27"/>
        <v>1.4882015873580795E-5</v>
      </c>
    </row>
    <row r="228" spans="1:16" x14ac:dyDescent="0.25">
      <c r="A228" s="2">
        <v>11.3</v>
      </c>
      <c r="B228" s="1">
        <v>0.41399999999999998</v>
      </c>
      <c r="C228">
        <v>5.8999999999999997E-2</v>
      </c>
      <c r="H228">
        <f t="shared" si="21"/>
        <v>11.3</v>
      </c>
      <c r="I228">
        <f t="shared" si="22"/>
        <v>0.41399999999999998</v>
      </c>
      <c r="J228">
        <f t="shared" si="23"/>
        <v>5.0843826743068657E-2</v>
      </c>
      <c r="K228">
        <f t="shared" si="24"/>
        <v>8.3020269341872659</v>
      </c>
      <c r="L228">
        <f t="shared" si="25"/>
        <v>6.7791768990758201E-4</v>
      </c>
      <c r="O228">
        <f t="shared" si="26"/>
        <v>8.3421333444973538</v>
      </c>
      <c r="P228">
        <f t="shared" si="27"/>
        <v>2.773415904426329E-5</v>
      </c>
    </row>
    <row r="229" spans="1:16" x14ac:dyDescent="0.25">
      <c r="A229" s="2">
        <v>11.35</v>
      </c>
      <c r="B229" s="1">
        <v>0.41399999999999998</v>
      </c>
      <c r="C229">
        <v>5.8000000000000003E-2</v>
      </c>
      <c r="H229">
        <f t="shared" si="21"/>
        <v>11.35</v>
      </c>
      <c r="I229">
        <f t="shared" si="22"/>
        <v>0.41399999999999998</v>
      </c>
      <c r="J229">
        <f t="shared" si="23"/>
        <v>4.9807737480869849E-2</v>
      </c>
      <c r="K229">
        <f t="shared" si="24"/>
        <v>8.3020269341872659</v>
      </c>
      <c r="L229">
        <f t="shared" si="25"/>
        <v>6.6410316641159781E-4</v>
      </c>
      <c r="O229">
        <f t="shared" si="26"/>
        <v>8.3421333444973538</v>
      </c>
      <c r="P229">
        <f t="shared" si="27"/>
        <v>1.3919635548279084E-5</v>
      </c>
    </row>
    <row r="230" spans="1:16" x14ac:dyDescent="0.25">
      <c r="A230" s="2">
        <v>11.4</v>
      </c>
      <c r="B230" s="1">
        <v>0.41499999999999998</v>
      </c>
      <c r="C230">
        <v>5.8999999999999997E-2</v>
      </c>
      <c r="H230">
        <f t="shared" si="21"/>
        <v>11.4</v>
      </c>
      <c r="I230">
        <f t="shared" si="22"/>
        <v>0.41499999999999998</v>
      </c>
      <c r="J230">
        <f t="shared" si="23"/>
        <v>5.0771648218671028E-2</v>
      </c>
      <c r="K230">
        <f t="shared" si="24"/>
        <v>8.3220801393423081</v>
      </c>
      <c r="L230">
        <f t="shared" si="25"/>
        <v>6.7695530958228019E-4</v>
      </c>
      <c r="O230">
        <f t="shared" si="26"/>
        <v>8.3621865496523959</v>
      </c>
      <c r="P230">
        <f t="shared" si="27"/>
        <v>2.6771778718961471E-5</v>
      </c>
    </row>
    <row r="231" spans="1:16" x14ac:dyDescent="0.25">
      <c r="A231" s="2">
        <v>11.45</v>
      </c>
      <c r="B231" s="1">
        <v>0.41399999999999998</v>
      </c>
      <c r="C231">
        <v>5.8000000000000003E-2</v>
      </c>
      <c r="H231">
        <f t="shared" si="21"/>
        <v>11.45</v>
      </c>
      <c r="I231">
        <f t="shared" si="22"/>
        <v>0.41399999999999998</v>
      </c>
      <c r="J231">
        <f t="shared" si="23"/>
        <v>4.9735558956472227E-2</v>
      </c>
      <c r="K231">
        <f t="shared" si="24"/>
        <v>8.3020269341872659</v>
      </c>
      <c r="L231">
        <f t="shared" si="25"/>
        <v>6.631407860862962E-4</v>
      </c>
      <c r="O231">
        <f t="shared" si="26"/>
        <v>8.3421333444973538</v>
      </c>
      <c r="P231">
        <f t="shared" si="27"/>
        <v>1.2957255222977482E-5</v>
      </c>
    </row>
    <row r="232" spans="1:16" x14ac:dyDescent="0.25">
      <c r="A232" s="2">
        <v>11.5</v>
      </c>
      <c r="B232" s="1">
        <v>0.41499999999999998</v>
      </c>
      <c r="C232">
        <v>5.8999999999999997E-2</v>
      </c>
      <c r="H232">
        <f t="shared" si="21"/>
        <v>11.5</v>
      </c>
      <c r="I232">
        <f t="shared" si="22"/>
        <v>0.41499999999999998</v>
      </c>
      <c r="J232">
        <f t="shared" si="23"/>
        <v>5.0699469694273407E-2</v>
      </c>
      <c r="K232">
        <f t="shared" si="24"/>
        <v>8.3220801393423081</v>
      </c>
      <c r="L232">
        <f t="shared" si="25"/>
        <v>6.7599292925697859E-4</v>
      </c>
      <c r="O232">
        <f t="shared" si="26"/>
        <v>8.3621865496523959</v>
      </c>
      <c r="P232">
        <f t="shared" si="27"/>
        <v>2.5809398393659868E-5</v>
      </c>
    </row>
    <row r="233" spans="1:16" x14ac:dyDescent="0.25">
      <c r="A233" s="2">
        <v>11.55</v>
      </c>
      <c r="B233" s="1">
        <v>0.41299999999999998</v>
      </c>
      <c r="C233">
        <v>5.8000000000000003E-2</v>
      </c>
      <c r="H233">
        <f t="shared" si="21"/>
        <v>11.55</v>
      </c>
      <c r="I233">
        <f t="shared" si="22"/>
        <v>0.41299999999999998</v>
      </c>
      <c r="J233">
        <f t="shared" si="23"/>
        <v>4.9663380432074605E-2</v>
      </c>
      <c r="K233">
        <f t="shared" si="24"/>
        <v>8.2819737290322237</v>
      </c>
      <c r="L233">
        <f t="shared" si="25"/>
        <v>6.621784057609946E-4</v>
      </c>
      <c r="O233">
        <f t="shared" si="26"/>
        <v>8.3220801393423116</v>
      </c>
      <c r="P233">
        <f t="shared" si="27"/>
        <v>1.199487489767588E-5</v>
      </c>
    </row>
    <row r="234" spans="1:16" x14ac:dyDescent="0.25">
      <c r="A234" s="2">
        <v>11.6</v>
      </c>
      <c r="B234" s="1">
        <v>0.44400000000000001</v>
      </c>
      <c r="C234">
        <v>5.8999999999999997E-2</v>
      </c>
      <c r="H234">
        <f t="shared" si="21"/>
        <v>11.6</v>
      </c>
      <c r="I234">
        <f t="shared" si="22"/>
        <v>0.44400000000000001</v>
      </c>
      <c r="J234">
        <f t="shared" si="23"/>
        <v>5.0627291169875785E-2</v>
      </c>
      <c r="K234">
        <f t="shared" si="24"/>
        <v>8.9036230888385184</v>
      </c>
      <c r="L234">
        <f t="shared" si="25"/>
        <v>6.7503054893167699E-4</v>
      </c>
      <c r="O234">
        <f t="shared" si="26"/>
        <v>8.9437294991486063</v>
      </c>
      <c r="P234">
        <f t="shared" si="27"/>
        <v>2.4847018068358266E-5</v>
      </c>
    </row>
    <row r="235" spans="1:16" x14ac:dyDescent="0.25">
      <c r="A235" s="2">
        <v>11.65</v>
      </c>
      <c r="B235" s="1">
        <v>0.46899999999999997</v>
      </c>
      <c r="C235">
        <v>5.8000000000000003E-2</v>
      </c>
      <c r="H235">
        <f t="shared" si="21"/>
        <v>11.65</v>
      </c>
      <c r="I235">
        <f t="shared" si="22"/>
        <v>0.46899999999999997</v>
      </c>
      <c r="J235">
        <f t="shared" si="23"/>
        <v>4.9591201907676984E-2</v>
      </c>
      <c r="K235">
        <f t="shared" si="24"/>
        <v>9.4049532177145601</v>
      </c>
      <c r="L235">
        <f t="shared" si="25"/>
        <v>6.61216025435693E-4</v>
      </c>
      <c r="O235">
        <f t="shared" si="26"/>
        <v>9.4450596280246479</v>
      </c>
      <c r="P235">
        <f t="shared" si="27"/>
        <v>1.1032494572374278E-5</v>
      </c>
    </row>
    <row r="236" spans="1:16" x14ac:dyDescent="0.25">
      <c r="A236" s="2">
        <v>11.7</v>
      </c>
      <c r="B236" s="1">
        <v>0.501</v>
      </c>
      <c r="C236">
        <v>0.06</v>
      </c>
      <c r="H236">
        <f t="shared" si="21"/>
        <v>11.7</v>
      </c>
      <c r="I236">
        <f t="shared" si="22"/>
        <v>0.501</v>
      </c>
      <c r="J236">
        <f t="shared" si="23"/>
        <v>5.1555112645478164E-2</v>
      </c>
      <c r="K236">
        <f t="shared" si="24"/>
        <v>10.046655782675895</v>
      </c>
      <c r="L236">
        <f t="shared" si="25"/>
        <v>6.8740150193970868E-4</v>
      </c>
      <c r="O236">
        <f t="shared" si="26"/>
        <v>10.086762192985983</v>
      </c>
      <c r="P236">
        <f t="shared" si="27"/>
        <v>3.721797107638996E-5</v>
      </c>
    </row>
    <row r="237" spans="1:16" x14ac:dyDescent="0.25">
      <c r="A237" s="2">
        <v>11.75</v>
      </c>
      <c r="B237" s="1">
        <v>0.57599999999999996</v>
      </c>
      <c r="C237">
        <v>5.8999999999999997E-2</v>
      </c>
      <c r="H237">
        <f t="shared" si="21"/>
        <v>11.75</v>
      </c>
      <c r="I237">
        <f t="shared" si="22"/>
        <v>0.57599999999999996</v>
      </c>
      <c r="J237">
        <f t="shared" si="23"/>
        <v>5.0519023383279349E-2</v>
      </c>
      <c r="K237">
        <f t="shared" si="24"/>
        <v>11.550646169304022</v>
      </c>
      <c r="L237">
        <f t="shared" si="25"/>
        <v>6.7358697844372448E-4</v>
      </c>
      <c r="O237">
        <f t="shared" si="26"/>
        <v>11.59075257961411</v>
      </c>
      <c r="P237">
        <f t="shared" si="27"/>
        <v>2.3403447580405755E-5</v>
      </c>
    </row>
    <row r="238" spans="1:16" x14ac:dyDescent="0.25">
      <c r="A238" s="2">
        <v>11.8</v>
      </c>
      <c r="B238" s="1">
        <v>0.65600000000000003</v>
      </c>
      <c r="C238">
        <v>0.06</v>
      </c>
      <c r="H238">
        <f t="shared" si="21"/>
        <v>11.8</v>
      </c>
      <c r="I238">
        <f t="shared" si="22"/>
        <v>0.65600000000000003</v>
      </c>
      <c r="J238">
        <f t="shared" si="23"/>
        <v>5.1482934121080542E-2</v>
      </c>
      <c r="K238">
        <f t="shared" si="24"/>
        <v>13.154902581707359</v>
      </c>
      <c r="L238">
        <f t="shared" si="25"/>
        <v>6.8643912161440708E-4</v>
      </c>
      <c r="O238">
        <f t="shared" si="26"/>
        <v>13.195008992017447</v>
      </c>
      <c r="P238">
        <f t="shared" si="27"/>
        <v>3.6255590751088358E-5</v>
      </c>
    </row>
    <row r="239" spans="1:16" x14ac:dyDescent="0.25">
      <c r="A239" s="2">
        <v>11.85</v>
      </c>
      <c r="B239" s="1">
        <v>0.72499999999999998</v>
      </c>
      <c r="C239">
        <v>5.8999999999999997E-2</v>
      </c>
      <c r="H239">
        <f t="shared" si="21"/>
        <v>11.85</v>
      </c>
      <c r="I239">
        <f t="shared" si="22"/>
        <v>0.72499999999999998</v>
      </c>
      <c r="J239">
        <f t="shared" si="23"/>
        <v>5.0446844858881734E-2</v>
      </c>
      <c r="K239">
        <f t="shared" si="24"/>
        <v>14.538573737405237</v>
      </c>
      <c r="L239">
        <f t="shared" si="25"/>
        <v>6.7262459811842298E-4</v>
      </c>
      <c r="O239">
        <f t="shared" si="26"/>
        <v>14.578680147715325</v>
      </c>
      <c r="P239">
        <f t="shared" si="27"/>
        <v>2.2441067255104261E-5</v>
      </c>
    </row>
    <row r="240" spans="1:16" x14ac:dyDescent="0.25">
      <c r="A240" s="2">
        <v>11.9</v>
      </c>
      <c r="B240" s="1">
        <v>0.76200000000000001</v>
      </c>
      <c r="C240">
        <v>6.0999999999999999E-2</v>
      </c>
      <c r="H240">
        <f t="shared" si="21"/>
        <v>11.9</v>
      </c>
      <c r="I240">
        <f t="shared" si="22"/>
        <v>0.76200000000000001</v>
      </c>
      <c r="J240">
        <f t="shared" si="23"/>
        <v>5.2410755596682922E-2</v>
      </c>
      <c r="K240">
        <f t="shared" si="24"/>
        <v>15.280542328141781</v>
      </c>
      <c r="L240">
        <f t="shared" si="25"/>
        <v>6.9881007462243877E-4</v>
      </c>
      <c r="O240">
        <f t="shared" si="26"/>
        <v>15.320648738451869</v>
      </c>
      <c r="P240">
        <f t="shared" si="27"/>
        <v>4.8626543759120052E-5</v>
      </c>
    </row>
    <row r="241" spans="1:16" x14ac:dyDescent="0.25">
      <c r="A241" s="2">
        <v>11.95</v>
      </c>
      <c r="B241" s="1">
        <v>0.76500000000000001</v>
      </c>
      <c r="C241">
        <v>0.06</v>
      </c>
      <c r="H241">
        <f t="shared" si="21"/>
        <v>11.95</v>
      </c>
      <c r="I241">
        <f t="shared" si="22"/>
        <v>0.76500000000000001</v>
      </c>
      <c r="J241">
        <f t="shared" si="23"/>
        <v>5.1374666334484106E-2</v>
      </c>
      <c r="K241">
        <f t="shared" si="24"/>
        <v>15.340701943606906</v>
      </c>
      <c r="L241">
        <f t="shared" si="25"/>
        <v>6.8499555112645457E-4</v>
      </c>
      <c r="O241">
        <f t="shared" si="26"/>
        <v>15.380808353916994</v>
      </c>
      <c r="P241">
        <f t="shared" si="27"/>
        <v>3.4812020263135846E-5</v>
      </c>
    </row>
    <row r="242" spans="1:16" x14ac:dyDescent="0.25">
      <c r="A242" s="2">
        <v>12</v>
      </c>
      <c r="B242" s="1">
        <v>0.76500000000000001</v>
      </c>
      <c r="C242">
        <v>0.06</v>
      </c>
      <c r="H242">
        <f t="shared" si="21"/>
        <v>12</v>
      </c>
      <c r="I242">
        <f t="shared" si="22"/>
        <v>0.76500000000000001</v>
      </c>
      <c r="J242">
        <f t="shared" si="23"/>
        <v>5.1338577072285299E-2</v>
      </c>
      <c r="K242">
        <f t="shared" si="24"/>
        <v>15.340701943606906</v>
      </c>
      <c r="L242">
        <f t="shared" si="25"/>
        <v>6.8451436096380388E-4</v>
      </c>
      <c r="O242">
        <f t="shared" si="26"/>
        <v>15.380808353916994</v>
      </c>
      <c r="P242">
        <f t="shared" si="27"/>
        <v>3.4330830100485154E-5</v>
      </c>
    </row>
    <row r="243" spans="1:16" x14ac:dyDescent="0.25">
      <c r="A243" s="2">
        <v>12.05</v>
      </c>
      <c r="B243" s="1">
        <v>0.76500000000000001</v>
      </c>
      <c r="C243">
        <v>0.06</v>
      </c>
      <c r="H243">
        <f t="shared" si="21"/>
        <v>12.05</v>
      </c>
      <c r="I243">
        <f t="shared" si="22"/>
        <v>0.76500000000000001</v>
      </c>
      <c r="J243">
        <f t="shared" si="23"/>
        <v>5.1302487810086485E-2</v>
      </c>
      <c r="K243">
        <f t="shared" si="24"/>
        <v>15.340701943606906</v>
      </c>
      <c r="L243">
        <f t="shared" si="25"/>
        <v>6.8403317080115297E-4</v>
      </c>
      <c r="O243">
        <f t="shared" si="26"/>
        <v>15.380808353916994</v>
      </c>
      <c r="P243">
        <f t="shared" si="27"/>
        <v>3.3849639937834244E-5</v>
      </c>
    </row>
    <row r="244" spans="1:16" x14ac:dyDescent="0.25">
      <c r="A244" s="2">
        <v>12.1</v>
      </c>
      <c r="B244" s="1">
        <v>0.76500000000000001</v>
      </c>
      <c r="C244">
        <v>0.06</v>
      </c>
      <c r="H244">
        <f t="shared" si="21"/>
        <v>12.1</v>
      </c>
      <c r="I244">
        <f t="shared" si="22"/>
        <v>0.76500000000000001</v>
      </c>
      <c r="J244">
        <f t="shared" si="23"/>
        <v>5.1266398547887677E-2</v>
      </c>
      <c r="K244">
        <f t="shared" si="24"/>
        <v>15.340701943606906</v>
      </c>
      <c r="L244">
        <f t="shared" si="25"/>
        <v>6.8355198063850227E-4</v>
      </c>
      <c r="O244">
        <f t="shared" si="26"/>
        <v>15.380808353916994</v>
      </c>
      <c r="P244">
        <f t="shared" si="27"/>
        <v>3.3368449775183552E-5</v>
      </c>
    </row>
    <row r="245" spans="1:16" x14ac:dyDescent="0.25">
      <c r="A245" s="2">
        <v>12.15</v>
      </c>
      <c r="B245" s="1">
        <v>0.75900000000000001</v>
      </c>
      <c r="C245">
        <v>0.06</v>
      </c>
      <c r="H245">
        <f t="shared" si="21"/>
        <v>12.15</v>
      </c>
      <c r="I245">
        <f t="shared" si="22"/>
        <v>0.75900000000000001</v>
      </c>
      <c r="J245">
        <f t="shared" si="23"/>
        <v>5.1230309285688863E-2</v>
      </c>
      <c r="K245">
        <f t="shared" si="24"/>
        <v>15.220382712676654</v>
      </c>
      <c r="L245">
        <f t="shared" si="25"/>
        <v>6.8307079047585136E-4</v>
      </c>
      <c r="O245">
        <f t="shared" si="26"/>
        <v>15.260489122986742</v>
      </c>
      <c r="P245">
        <f t="shared" si="27"/>
        <v>3.2887259612532642E-5</v>
      </c>
    </row>
    <row r="246" spans="1:16" x14ac:dyDescent="0.25">
      <c r="A246" s="2">
        <v>12.2</v>
      </c>
      <c r="B246" s="1">
        <v>0.76700000000000002</v>
      </c>
      <c r="C246">
        <v>6.0999999999999999E-2</v>
      </c>
      <c r="H246">
        <f t="shared" si="21"/>
        <v>12.2</v>
      </c>
      <c r="I246">
        <f t="shared" si="22"/>
        <v>0.76700000000000002</v>
      </c>
      <c r="J246">
        <f t="shared" si="23"/>
        <v>5.2194220023490057E-2</v>
      </c>
      <c r="K246">
        <f t="shared" si="24"/>
        <v>15.380808353916988</v>
      </c>
      <c r="L246">
        <f t="shared" si="25"/>
        <v>6.9592293364653397E-4</v>
      </c>
      <c r="O246">
        <f t="shared" si="26"/>
        <v>15.420914764227076</v>
      </c>
      <c r="P246">
        <f t="shared" si="27"/>
        <v>4.5739402783215245E-5</v>
      </c>
    </row>
    <row r="247" spans="1:16" x14ac:dyDescent="0.25">
      <c r="A247" s="2">
        <v>12.25</v>
      </c>
      <c r="B247" s="1">
        <v>0.79900000000000004</v>
      </c>
      <c r="C247">
        <v>0.06</v>
      </c>
      <c r="H247">
        <f t="shared" si="21"/>
        <v>12.25</v>
      </c>
      <c r="I247">
        <f t="shared" si="22"/>
        <v>0.79900000000000004</v>
      </c>
      <c r="J247">
        <f t="shared" si="23"/>
        <v>5.1158130761291241E-2</v>
      </c>
      <c r="K247">
        <f t="shared" si="24"/>
        <v>16.022510918878325</v>
      </c>
      <c r="L247">
        <f t="shared" si="25"/>
        <v>6.8210841015054976E-4</v>
      </c>
      <c r="O247">
        <f t="shared" si="26"/>
        <v>16.062617329188413</v>
      </c>
      <c r="P247">
        <f t="shared" si="27"/>
        <v>3.192487928723104E-5</v>
      </c>
    </row>
    <row r="248" spans="1:16" x14ac:dyDescent="0.25">
      <c r="A248" s="2">
        <v>12.3</v>
      </c>
      <c r="B248" s="1">
        <v>0.81</v>
      </c>
      <c r="C248">
        <v>0.06</v>
      </c>
      <c r="H248">
        <f t="shared" si="21"/>
        <v>12.3</v>
      </c>
      <c r="I248">
        <f t="shared" si="22"/>
        <v>0.81</v>
      </c>
      <c r="J248">
        <f t="shared" si="23"/>
        <v>5.1122041499092427E-2</v>
      </c>
      <c r="K248">
        <f t="shared" si="24"/>
        <v>16.243096175583783</v>
      </c>
      <c r="L248">
        <f t="shared" si="25"/>
        <v>6.8162721998789885E-4</v>
      </c>
      <c r="O248">
        <f t="shared" si="26"/>
        <v>16.283202585893871</v>
      </c>
      <c r="P248">
        <f t="shared" si="27"/>
        <v>3.144368912458013E-5</v>
      </c>
    </row>
    <row r="249" spans="1:16" x14ac:dyDescent="0.25">
      <c r="A249" s="2">
        <v>12.35</v>
      </c>
      <c r="B249" s="1">
        <v>0.84699999999999998</v>
      </c>
      <c r="C249">
        <v>0.06</v>
      </c>
      <c r="H249">
        <f t="shared" si="21"/>
        <v>12.35</v>
      </c>
      <c r="I249">
        <f t="shared" si="22"/>
        <v>0.84699999999999998</v>
      </c>
      <c r="J249">
        <f t="shared" si="23"/>
        <v>5.108595223689362E-2</v>
      </c>
      <c r="K249">
        <f t="shared" si="24"/>
        <v>16.985064766320324</v>
      </c>
      <c r="L249">
        <f t="shared" si="25"/>
        <v>6.8114602982524816E-4</v>
      </c>
      <c r="O249">
        <f t="shared" si="26"/>
        <v>17.025171176630412</v>
      </c>
      <c r="P249">
        <f t="shared" si="27"/>
        <v>3.0962498961929438E-5</v>
      </c>
    </row>
    <row r="250" spans="1:16" x14ac:dyDescent="0.25">
      <c r="A250" s="2">
        <v>12.4</v>
      </c>
      <c r="B250" s="1">
        <v>0.93700000000000006</v>
      </c>
      <c r="C250">
        <v>6.0999999999999999E-2</v>
      </c>
      <c r="H250">
        <f t="shared" si="21"/>
        <v>12.4</v>
      </c>
      <c r="I250">
        <f t="shared" si="22"/>
        <v>0.93700000000000006</v>
      </c>
      <c r="J250">
        <f t="shared" si="23"/>
        <v>5.2049862974694806E-2</v>
      </c>
      <c r="K250">
        <f t="shared" si="24"/>
        <v>18.78985323027408</v>
      </c>
      <c r="L250">
        <f t="shared" si="25"/>
        <v>6.9399817299593066E-4</v>
      </c>
      <c r="O250">
        <f t="shared" si="26"/>
        <v>18.829959640584168</v>
      </c>
      <c r="P250">
        <f t="shared" si="27"/>
        <v>4.3814642132611933E-5</v>
      </c>
    </row>
    <row r="251" spans="1:16" x14ac:dyDescent="0.25">
      <c r="A251" s="2">
        <v>12.45</v>
      </c>
      <c r="B251" s="1">
        <v>1.016</v>
      </c>
      <c r="C251">
        <v>0.06</v>
      </c>
      <c r="H251">
        <f t="shared" si="21"/>
        <v>12.45</v>
      </c>
      <c r="I251">
        <f t="shared" si="22"/>
        <v>1.016</v>
      </c>
      <c r="J251">
        <f t="shared" si="23"/>
        <v>5.1013773712495998E-2</v>
      </c>
      <c r="K251">
        <f t="shared" si="24"/>
        <v>20.374056437522373</v>
      </c>
      <c r="L251">
        <f t="shared" si="25"/>
        <v>6.8018364949994656E-4</v>
      </c>
      <c r="O251">
        <f t="shared" si="26"/>
        <v>20.414162847832461</v>
      </c>
      <c r="P251">
        <f t="shared" si="27"/>
        <v>3.0000118636627836E-5</v>
      </c>
    </row>
    <row r="252" spans="1:16" x14ac:dyDescent="0.25">
      <c r="A252" s="2">
        <v>12.5</v>
      </c>
      <c r="B252" s="1">
        <v>1.0289999999999999</v>
      </c>
      <c r="C252">
        <v>6.2E-2</v>
      </c>
      <c r="H252">
        <f t="shared" si="21"/>
        <v>12.5</v>
      </c>
      <c r="I252">
        <f t="shared" si="22"/>
        <v>1.0289999999999999</v>
      </c>
      <c r="J252">
        <f t="shared" si="23"/>
        <v>5.2977684450297186E-2</v>
      </c>
      <c r="K252">
        <f t="shared" si="24"/>
        <v>20.634748104537913</v>
      </c>
      <c r="L252">
        <f t="shared" si="25"/>
        <v>7.0636912600396235E-4</v>
      </c>
      <c r="O252">
        <f t="shared" si="26"/>
        <v>20.674854514848001</v>
      </c>
      <c r="P252">
        <f t="shared" si="27"/>
        <v>5.6185595140643627E-5</v>
      </c>
    </row>
    <row r="253" spans="1:16" x14ac:dyDescent="0.25">
      <c r="A253" s="2">
        <v>12.55</v>
      </c>
      <c r="B253" s="1">
        <v>1.04</v>
      </c>
      <c r="C253">
        <v>6.0999999999999999E-2</v>
      </c>
      <c r="H253">
        <f t="shared" si="21"/>
        <v>12.55</v>
      </c>
      <c r="I253">
        <f t="shared" si="22"/>
        <v>1.04</v>
      </c>
      <c r="J253">
        <f t="shared" si="23"/>
        <v>5.1941595188098377E-2</v>
      </c>
      <c r="K253">
        <f t="shared" si="24"/>
        <v>20.855333361243375</v>
      </c>
      <c r="L253">
        <f t="shared" si="25"/>
        <v>6.9255460250797825E-4</v>
      </c>
      <c r="O253">
        <f t="shared" si="26"/>
        <v>20.895439771553463</v>
      </c>
      <c r="P253">
        <f t="shared" si="27"/>
        <v>4.2371071644659529E-5</v>
      </c>
    </row>
    <row r="254" spans="1:16" x14ac:dyDescent="0.25">
      <c r="A254" s="2">
        <v>12.6</v>
      </c>
      <c r="B254" s="1">
        <v>1.0469999999999999</v>
      </c>
      <c r="C254">
        <v>6.2E-2</v>
      </c>
      <c r="H254">
        <f t="shared" si="21"/>
        <v>12.6</v>
      </c>
      <c r="I254">
        <f t="shared" si="22"/>
        <v>1.0469999999999999</v>
      </c>
      <c r="J254">
        <f t="shared" si="23"/>
        <v>5.2905505925899564E-2</v>
      </c>
      <c r="K254">
        <f t="shared" si="24"/>
        <v>20.995705797328664</v>
      </c>
      <c r="L254">
        <f t="shared" si="25"/>
        <v>7.0540674567866075E-4</v>
      </c>
      <c r="O254">
        <f t="shared" si="26"/>
        <v>21.035812207638752</v>
      </c>
      <c r="P254">
        <f t="shared" si="27"/>
        <v>5.5223214815342024E-5</v>
      </c>
    </row>
    <row r="255" spans="1:16" x14ac:dyDescent="0.25">
      <c r="A255" s="2">
        <v>12.65</v>
      </c>
      <c r="B255" s="1">
        <v>1.042</v>
      </c>
      <c r="C255">
        <v>6.0999999999999999E-2</v>
      </c>
      <c r="H255">
        <f t="shared" si="21"/>
        <v>12.65</v>
      </c>
      <c r="I255">
        <f t="shared" si="22"/>
        <v>1.042</v>
      </c>
      <c r="J255">
        <f t="shared" si="23"/>
        <v>5.1869416663700749E-2</v>
      </c>
      <c r="K255">
        <f t="shared" si="24"/>
        <v>20.895439771553459</v>
      </c>
      <c r="L255">
        <f t="shared" si="25"/>
        <v>6.9159222218267654E-4</v>
      </c>
      <c r="O255">
        <f t="shared" si="26"/>
        <v>20.935546181863547</v>
      </c>
      <c r="P255">
        <f t="shared" si="27"/>
        <v>4.1408691319357819E-5</v>
      </c>
    </row>
    <row r="256" spans="1:16" x14ac:dyDescent="0.25">
      <c r="A256" s="2">
        <v>12.7</v>
      </c>
      <c r="B256" s="1">
        <v>1.042</v>
      </c>
      <c r="C256">
        <v>6.2E-2</v>
      </c>
      <c r="H256">
        <f t="shared" si="21"/>
        <v>12.7</v>
      </c>
      <c r="I256">
        <f t="shared" si="22"/>
        <v>1.042</v>
      </c>
      <c r="J256">
        <f t="shared" si="23"/>
        <v>5.2833327401501942E-2</v>
      </c>
      <c r="K256">
        <f t="shared" si="24"/>
        <v>20.895439771553459</v>
      </c>
      <c r="L256">
        <f t="shared" si="25"/>
        <v>7.0444436535335904E-4</v>
      </c>
      <c r="O256">
        <f t="shared" si="26"/>
        <v>20.935546181863547</v>
      </c>
      <c r="P256">
        <f t="shared" si="27"/>
        <v>5.4260834490040314E-5</v>
      </c>
    </row>
    <row r="257" spans="1:16" x14ac:dyDescent="0.25">
      <c r="A257" s="2">
        <v>12.75</v>
      </c>
      <c r="B257" s="1">
        <v>1.0409999999999999</v>
      </c>
      <c r="C257">
        <v>6.0999999999999999E-2</v>
      </c>
      <c r="H257">
        <f t="shared" si="21"/>
        <v>12.75</v>
      </c>
      <c r="I257">
        <f t="shared" si="22"/>
        <v>1.0409999999999999</v>
      </c>
      <c r="J257">
        <f t="shared" si="23"/>
        <v>5.1797238139303127E-2</v>
      </c>
      <c r="K257">
        <f t="shared" si="24"/>
        <v>20.875386566398415</v>
      </c>
      <c r="L257">
        <f t="shared" si="25"/>
        <v>6.9062984185737494E-4</v>
      </c>
      <c r="O257">
        <f t="shared" si="26"/>
        <v>20.915492976708503</v>
      </c>
      <c r="P257">
        <f t="shared" si="27"/>
        <v>4.0446310994056217E-5</v>
      </c>
    </row>
    <row r="258" spans="1:16" x14ac:dyDescent="0.25">
      <c r="A258" s="2">
        <v>12.8</v>
      </c>
      <c r="B258" s="1">
        <v>1.038</v>
      </c>
      <c r="C258">
        <v>6.2E-2</v>
      </c>
      <c r="H258">
        <f t="shared" si="21"/>
        <v>12.8</v>
      </c>
      <c r="I258">
        <f t="shared" si="22"/>
        <v>1.038</v>
      </c>
      <c r="J258">
        <f t="shared" si="23"/>
        <v>5.276114887710432E-2</v>
      </c>
      <c r="K258">
        <f t="shared" si="24"/>
        <v>20.81522695093329</v>
      </c>
      <c r="L258">
        <f t="shared" si="25"/>
        <v>7.0348198502805743E-4</v>
      </c>
      <c r="O258">
        <f t="shared" si="26"/>
        <v>20.855333361243378</v>
      </c>
      <c r="P258">
        <f t="shared" si="27"/>
        <v>5.3298454164738712E-5</v>
      </c>
    </row>
    <row r="259" spans="1:16" x14ac:dyDescent="0.25">
      <c r="A259" s="2">
        <v>12.85</v>
      </c>
      <c r="B259" s="1">
        <v>1.069</v>
      </c>
      <c r="C259">
        <v>6.0999999999999999E-2</v>
      </c>
      <c r="H259">
        <f t="shared" ref="H259:H322" si="28">A259</f>
        <v>12.85</v>
      </c>
      <c r="I259">
        <f t="shared" ref="I259:I322" si="29">B259</f>
        <v>1.069</v>
      </c>
      <c r="J259">
        <f t="shared" ref="J259:J322" si="30">C259-E$12*A259</f>
        <v>5.1725059614905505E-2</v>
      </c>
      <c r="K259">
        <f t="shared" ref="K259:K322" si="31">F$24*I259</f>
        <v>21.436876310739581</v>
      </c>
      <c r="L259">
        <f t="shared" ref="L259:L322" si="32">F$25*J259</f>
        <v>6.8966746153207323E-4</v>
      </c>
      <c r="O259">
        <f t="shared" ref="O259:O322" si="33">K259-N$12</f>
        <v>21.476982721049669</v>
      </c>
      <c r="P259">
        <f t="shared" ref="P259:P322" si="34">L259-N$15</f>
        <v>3.9483930668754506E-5</v>
      </c>
    </row>
    <row r="260" spans="1:16" x14ac:dyDescent="0.25">
      <c r="A260" s="2">
        <v>12.9</v>
      </c>
      <c r="B260" s="1">
        <v>1.1419999999999999</v>
      </c>
      <c r="C260">
        <v>6.2E-2</v>
      </c>
      <c r="H260">
        <f t="shared" si="28"/>
        <v>12.9</v>
      </c>
      <c r="I260">
        <f t="shared" si="29"/>
        <v>1.1419999999999999</v>
      </c>
      <c r="J260">
        <f t="shared" si="30"/>
        <v>5.2688970352706699E-2</v>
      </c>
      <c r="K260">
        <f t="shared" si="31"/>
        <v>22.900760287057626</v>
      </c>
      <c r="L260">
        <f t="shared" si="32"/>
        <v>7.0251960470275583E-4</v>
      </c>
      <c r="O260">
        <f t="shared" si="33"/>
        <v>22.940866697367714</v>
      </c>
      <c r="P260">
        <f t="shared" si="34"/>
        <v>5.233607383943711E-5</v>
      </c>
    </row>
    <row r="261" spans="1:16" x14ac:dyDescent="0.25">
      <c r="A261" s="2">
        <v>12.95</v>
      </c>
      <c r="B261" s="1">
        <v>1.242</v>
      </c>
      <c r="C261">
        <v>6.2E-2</v>
      </c>
      <c r="H261">
        <f t="shared" si="28"/>
        <v>12.95</v>
      </c>
      <c r="I261">
        <f t="shared" si="29"/>
        <v>1.242</v>
      </c>
      <c r="J261">
        <f t="shared" si="30"/>
        <v>5.2652881090507885E-2</v>
      </c>
      <c r="K261">
        <f t="shared" si="31"/>
        <v>24.906080802561799</v>
      </c>
      <c r="L261">
        <f t="shared" si="32"/>
        <v>7.0203841454010503E-4</v>
      </c>
      <c r="O261">
        <f t="shared" si="33"/>
        <v>24.946187212871887</v>
      </c>
      <c r="P261">
        <f t="shared" si="34"/>
        <v>5.1854883676786308E-5</v>
      </c>
    </row>
    <row r="262" spans="1:16" x14ac:dyDescent="0.25">
      <c r="A262" s="2">
        <v>13</v>
      </c>
      <c r="B262" s="1">
        <v>1.2629999999999999</v>
      </c>
      <c r="C262">
        <v>6.3E-2</v>
      </c>
      <c r="H262">
        <f t="shared" si="28"/>
        <v>13</v>
      </c>
      <c r="I262">
        <f t="shared" si="29"/>
        <v>1.2629999999999999</v>
      </c>
      <c r="J262">
        <f t="shared" si="30"/>
        <v>5.3616791828309071E-2</v>
      </c>
      <c r="K262">
        <f t="shared" si="31"/>
        <v>25.327198110817672</v>
      </c>
      <c r="L262">
        <f t="shared" si="32"/>
        <v>7.1489055771078753E-4</v>
      </c>
      <c r="O262">
        <f t="shared" si="33"/>
        <v>25.36730452112776</v>
      </c>
      <c r="P262">
        <f t="shared" si="34"/>
        <v>6.4707026847468803E-5</v>
      </c>
    </row>
    <row r="263" spans="1:16" x14ac:dyDescent="0.25">
      <c r="A263" s="2">
        <v>13.05</v>
      </c>
      <c r="B263" s="1">
        <v>1.2869999999999999</v>
      </c>
      <c r="C263">
        <v>6.2E-2</v>
      </c>
      <c r="H263">
        <f t="shared" si="28"/>
        <v>13.05</v>
      </c>
      <c r="I263">
        <f t="shared" si="29"/>
        <v>1.2869999999999999</v>
      </c>
      <c r="J263">
        <f t="shared" si="30"/>
        <v>5.2580702566110263E-2</v>
      </c>
      <c r="K263">
        <f t="shared" si="31"/>
        <v>25.808475034538674</v>
      </c>
      <c r="L263">
        <f t="shared" si="32"/>
        <v>7.0107603421480332E-4</v>
      </c>
      <c r="O263">
        <f t="shared" si="33"/>
        <v>25.848581444848762</v>
      </c>
      <c r="P263">
        <f t="shared" si="34"/>
        <v>5.0892503351484598E-5</v>
      </c>
    </row>
    <row r="264" spans="1:16" x14ac:dyDescent="0.25">
      <c r="A264" s="2">
        <v>13.1</v>
      </c>
      <c r="B264" s="1">
        <v>1.3460000000000001</v>
      </c>
      <c r="C264">
        <v>6.3E-2</v>
      </c>
      <c r="H264">
        <f t="shared" si="28"/>
        <v>13.1</v>
      </c>
      <c r="I264">
        <f t="shared" si="29"/>
        <v>1.3460000000000001</v>
      </c>
      <c r="J264">
        <f t="shared" si="30"/>
        <v>5.3544613303911456E-2</v>
      </c>
      <c r="K264">
        <f t="shared" si="31"/>
        <v>26.991614138686138</v>
      </c>
      <c r="L264">
        <f t="shared" si="32"/>
        <v>7.1392817738548592E-4</v>
      </c>
      <c r="O264">
        <f t="shared" si="33"/>
        <v>27.031720548996226</v>
      </c>
      <c r="P264">
        <f t="shared" si="34"/>
        <v>6.3744646522167201E-5</v>
      </c>
    </row>
    <row r="265" spans="1:16" x14ac:dyDescent="0.25">
      <c r="A265" s="2">
        <v>13.15</v>
      </c>
      <c r="B265" s="1">
        <v>1.4239999999999999</v>
      </c>
      <c r="C265">
        <v>6.3E-2</v>
      </c>
      <c r="H265">
        <f t="shared" si="28"/>
        <v>13.15</v>
      </c>
      <c r="I265">
        <f t="shared" si="29"/>
        <v>1.4239999999999999</v>
      </c>
      <c r="J265">
        <f t="shared" si="30"/>
        <v>5.3508524041712642E-2</v>
      </c>
      <c r="K265">
        <f t="shared" si="31"/>
        <v>28.555764140779388</v>
      </c>
      <c r="L265">
        <f t="shared" si="32"/>
        <v>7.1344698722283512E-4</v>
      </c>
      <c r="O265">
        <f t="shared" si="33"/>
        <v>28.595870551089476</v>
      </c>
      <c r="P265">
        <f t="shared" si="34"/>
        <v>6.32634563595164E-5</v>
      </c>
    </row>
    <row r="266" spans="1:16" x14ac:dyDescent="0.25">
      <c r="A266" s="2">
        <v>13.2</v>
      </c>
      <c r="B266" s="1">
        <v>1.446</v>
      </c>
      <c r="C266">
        <v>6.4000000000000001E-2</v>
      </c>
      <c r="H266">
        <f t="shared" si="28"/>
        <v>13.2</v>
      </c>
      <c r="I266">
        <f t="shared" si="29"/>
        <v>1.446</v>
      </c>
      <c r="J266">
        <f t="shared" si="30"/>
        <v>5.4472434779513829E-2</v>
      </c>
      <c r="K266">
        <f t="shared" si="31"/>
        <v>28.996934654190305</v>
      </c>
      <c r="L266">
        <f t="shared" si="32"/>
        <v>7.2629913039351762E-4</v>
      </c>
      <c r="O266">
        <f t="shared" si="33"/>
        <v>29.037041064500393</v>
      </c>
      <c r="P266">
        <f t="shared" si="34"/>
        <v>7.6115599530198895E-5</v>
      </c>
    </row>
    <row r="267" spans="1:16" x14ac:dyDescent="0.25">
      <c r="A267" s="2">
        <v>13.25</v>
      </c>
      <c r="B267" s="1">
        <v>1.446</v>
      </c>
      <c r="C267">
        <v>6.3E-2</v>
      </c>
      <c r="H267">
        <f t="shared" si="28"/>
        <v>13.25</v>
      </c>
      <c r="I267">
        <f t="shared" si="29"/>
        <v>1.446</v>
      </c>
      <c r="J267">
        <f t="shared" si="30"/>
        <v>5.343634551731502E-2</v>
      </c>
      <c r="K267">
        <f t="shared" si="31"/>
        <v>28.996934654190305</v>
      </c>
      <c r="L267">
        <f t="shared" si="32"/>
        <v>7.1248460689753341E-4</v>
      </c>
      <c r="O267">
        <f t="shared" si="33"/>
        <v>29.037041064500393</v>
      </c>
      <c r="P267">
        <f t="shared" si="34"/>
        <v>6.230107603421469E-5</v>
      </c>
    </row>
    <row r="268" spans="1:16" x14ac:dyDescent="0.25">
      <c r="A268" s="2">
        <v>13.3</v>
      </c>
      <c r="B268" s="1">
        <v>1.4450000000000001</v>
      </c>
      <c r="C268">
        <v>6.4000000000000001E-2</v>
      </c>
      <c r="H268">
        <f t="shared" si="28"/>
        <v>13.3</v>
      </c>
      <c r="I268">
        <f t="shared" si="29"/>
        <v>1.4450000000000001</v>
      </c>
      <c r="J268">
        <f t="shared" si="30"/>
        <v>5.4400256255116207E-2</v>
      </c>
      <c r="K268">
        <f t="shared" si="31"/>
        <v>28.976881449035265</v>
      </c>
      <c r="L268">
        <f t="shared" si="32"/>
        <v>7.2533675006821591E-4</v>
      </c>
      <c r="O268">
        <f t="shared" si="33"/>
        <v>29.016987859345353</v>
      </c>
      <c r="P268">
        <f t="shared" si="34"/>
        <v>7.5153219204897185E-5</v>
      </c>
    </row>
    <row r="269" spans="1:16" x14ac:dyDescent="0.25">
      <c r="A269" s="2">
        <v>13.35</v>
      </c>
      <c r="B269" s="1">
        <v>1.4450000000000001</v>
      </c>
      <c r="C269">
        <v>6.3E-2</v>
      </c>
      <c r="H269">
        <f t="shared" si="28"/>
        <v>13.35</v>
      </c>
      <c r="I269">
        <f t="shared" si="29"/>
        <v>1.4450000000000001</v>
      </c>
      <c r="J269">
        <f t="shared" si="30"/>
        <v>5.3364166992917399E-2</v>
      </c>
      <c r="K269">
        <f t="shared" si="31"/>
        <v>28.976881449035265</v>
      </c>
      <c r="L269">
        <f t="shared" si="32"/>
        <v>7.1152222657223181E-4</v>
      </c>
      <c r="O269">
        <f t="shared" si="33"/>
        <v>29.016987859345353</v>
      </c>
      <c r="P269">
        <f t="shared" si="34"/>
        <v>6.1338695708913087E-5</v>
      </c>
    </row>
    <row r="270" spans="1:16" x14ac:dyDescent="0.25">
      <c r="A270" s="2">
        <v>13.4</v>
      </c>
      <c r="B270" s="1">
        <v>1.446</v>
      </c>
      <c r="C270">
        <v>6.4000000000000001E-2</v>
      </c>
      <c r="H270">
        <f t="shared" si="28"/>
        <v>13.4</v>
      </c>
      <c r="I270">
        <f t="shared" si="29"/>
        <v>1.446</v>
      </c>
      <c r="J270">
        <f t="shared" si="30"/>
        <v>5.4328077730718585E-2</v>
      </c>
      <c r="K270">
        <f t="shared" si="31"/>
        <v>28.996934654190305</v>
      </c>
      <c r="L270">
        <f t="shared" si="32"/>
        <v>7.2437436974291431E-4</v>
      </c>
      <c r="O270">
        <f t="shared" si="33"/>
        <v>29.037041064500393</v>
      </c>
      <c r="P270">
        <f t="shared" si="34"/>
        <v>7.4190838879595582E-5</v>
      </c>
    </row>
    <row r="271" spans="1:16" x14ac:dyDescent="0.25">
      <c r="A271" s="2">
        <v>13.45</v>
      </c>
      <c r="B271" s="1">
        <v>1.4550000000000001</v>
      </c>
      <c r="C271">
        <v>6.3E-2</v>
      </c>
      <c r="H271">
        <f t="shared" si="28"/>
        <v>13.45</v>
      </c>
      <c r="I271">
        <f t="shared" si="29"/>
        <v>1.4550000000000001</v>
      </c>
      <c r="J271">
        <f t="shared" si="30"/>
        <v>5.3291988468519777E-2</v>
      </c>
      <c r="K271">
        <f t="shared" si="31"/>
        <v>29.177413500585683</v>
      </c>
      <c r="L271">
        <f t="shared" si="32"/>
        <v>7.1055984624693021E-4</v>
      </c>
      <c r="O271">
        <f t="shared" si="33"/>
        <v>29.217519910895771</v>
      </c>
      <c r="P271">
        <f t="shared" si="34"/>
        <v>6.0376315383611485E-5</v>
      </c>
    </row>
    <row r="272" spans="1:16" x14ac:dyDescent="0.25">
      <c r="A272" s="2">
        <v>13.5</v>
      </c>
      <c r="B272" s="1">
        <v>1.4750000000000001</v>
      </c>
      <c r="C272">
        <v>6.4000000000000001E-2</v>
      </c>
      <c r="H272">
        <f t="shared" si="28"/>
        <v>13.5</v>
      </c>
      <c r="I272">
        <f t="shared" si="29"/>
        <v>1.4750000000000001</v>
      </c>
      <c r="J272">
        <f t="shared" si="30"/>
        <v>5.4255899206320964E-2</v>
      </c>
      <c r="K272">
        <f t="shared" si="31"/>
        <v>29.578477603686519</v>
      </c>
      <c r="L272">
        <f t="shared" si="32"/>
        <v>7.234119894176127E-4</v>
      </c>
      <c r="O272">
        <f t="shared" si="33"/>
        <v>29.618584013996607</v>
      </c>
      <c r="P272">
        <f t="shared" si="34"/>
        <v>7.322845855429398E-5</v>
      </c>
    </row>
    <row r="273" spans="1:16" x14ac:dyDescent="0.25">
      <c r="A273" s="2">
        <v>13.55</v>
      </c>
      <c r="B273" s="1">
        <v>1.5089999999999999</v>
      </c>
      <c r="C273">
        <v>6.3E-2</v>
      </c>
      <c r="H273">
        <f t="shared" si="28"/>
        <v>13.55</v>
      </c>
      <c r="I273">
        <f t="shared" si="29"/>
        <v>1.5089999999999999</v>
      </c>
      <c r="J273">
        <f t="shared" si="30"/>
        <v>5.3219809944122148E-2</v>
      </c>
      <c r="K273">
        <f t="shared" si="31"/>
        <v>30.260286578957931</v>
      </c>
      <c r="L273">
        <f t="shared" si="32"/>
        <v>7.095974659216285E-4</v>
      </c>
      <c r="O273">
        <f t="shared" si="33"/>
        <v>30.300392989268019</v>
      </c>
      <c r="P273">
        <f t="shared" si="34"/>
        <v>5.9413935058309775E-5</v>
      </c>
    </row>
    <row r="274" spans="1:16" x14ac:dyDescent="0.25">
      <c r="A274" s="2">
        <v>13.6</v>
      </c>
      <c r="B274" s="1">
        <v>1.526</v>
      </c>
      <c r="C274">
        <v>6.5000000000000002E-2</v>
      </c>
      <c r="H274">
        <f t="shared" si="28"/>
        <v>13.6</v>
      </c>
      <c r="I274">
        <f t="shared" si="29"/>
        <v>1.526</v>
      </c>
      <c r="J274">
        <f t="shared" si="30"/>
        <v>5.5183720681923343E-2</v>
      </c>
      <c r="K274">
        <f t="shared" si="31"/>
        <v>30.601191066593643</v>
      </c>
      <c r="L274">
        <f t="shared" si="32"/>
        <v>7.357829424256444E-4</v>
      </c>
      <c r="O274">
        <f t="shared" si="33"/>
        <v>30.641297476903731</v>
      </c>
      <c r="P274">
        <f t="shared" si="34"/>
        <v>8.5599411562325674E-5</v>
      </c>
    </row>
    <row r="275" spans="1:16" x14ac:dyDescent="0.25">
      <c r="A275" s="2">
        <v>13.65</v>
      </c>
      <c r="B275" s="1">
        <v>1.6040000000000001</v>
      </c>
      <c r="C275">
        <v>6.4000000000000001E-2</v>
      </c>
      <c r="H275">
        <f t="shared" si="28"/>
        <v>13.65</v>
      </c>
      <c r="I275">
        <f t="shared" si="29"/>
        <v>1.6040000000000001</v>
      </c>
      <c r="J275">
        <f t="shared" si="30"/>
        <v>5.4147631419724528E-2</v>
      </c>
      <c r="K275">
        <f t="shared" si="31"/>
        <v>32.165341068686899</v>
      </c>
      <c r="L275">
        <f t="shared" si="32"/>
        <v>7.2196841892966019E-4</v>
      </c>
      <c r="O275">
        <f t="shared" si="33"/>
        <v>32.205447478996987</v>
      </c>
      <c r="P275">
        <f t="shared" si="34"/>
        <v>7.1784888066341469E-5</v>
      </c>
    </row>
    <row r="276" spans="1:16" x14ac:dyDescent="0.25">
      <c r="A276" s="2">
        <v>13.7</v>
      </c>
      <c r="B276" s="1">
        <v>1.6759999999999999</v>
      </c>
      <c r="C276">
        <v>6.5000000000000002E-2</v>
      </c>
      <c r="H276">
        <f t="shared" si="28"/>
        <v>13.7</v>
      </c>
      <c r="I276">
        <f t="shared" si="29"/>
        <v>1.6759999999999999</v>
      </c>
      <c r="J276">
        <f t="shared" si="30"/>
        <v>5.5111542157525721E-2</v>
      </c>
      <c r="K276">
        <f t="shared" si="31"/>
        <v>33.6091718398499</v>
      </c>
      <c r="L276">
        <f t="shared" si="32"/>
        <v>7.3482056210034279E-4</v>
      </c>
      <c r="O276">
        <f t="shared" si="33"/>
        <v>33.649278250159988</v>
      </c>
      <c r="P276">
        <f t="shared" si="34"/>
        <v>8.4637031237024072E-5</v>
      </c>
    </row>
    <row r="277" spans="1:16" x14ac:dyDescent="0.25">
      <c r="A277" s="2">
        <v>13.75</v>
      </c>
      <c r="B277" s="1">
        <v>1.7669999999999999</v>
      </c>
      <c r="C277">
        <v>6.4000000000000001E-2</v>
      </c>
      <c r="H277">
        <f t="shared" si="28"/>
        <v>13.75</v>
      </c>
      <c r="I277">
        <f t="shared" si="29"/>
        <v>1.7669999999999999</v>
      </c>
      <c r="J277">
        <f t="shared" si="30"/>
        <v>5.4075452895326906E-2</v>
      </c>
      <c r="K277">
        <f t="shared" si="31"/>
        <v>35.434013508958692</v>
      </c>
      <c r="L277">
        <f t="shared" si="32"/>
        <v>7.2100603860435859E-4</v>
      </c>
      <c r="O277">
        <f t="shared" si="33"/>
        <v>35.47411991926878</v>
      </c>
      <c r="P277">
        <f t="shared" si="34"/>
        <v>7.0822507741039866E-5</v>
      </c>
    </row>
    <row r="278" spans="1:16" x14ac:dyDescent="0.25">
      <c r="A278" s="2">
        <v>13.8</v>
      </c>
      <c r="B278" s="1">
        <v>1.903</v>
      </c>
      <c r="C278">
        <v>6.5000000000000002E-2</v>
      </c>
      <c r="H278">
        <f t="shared" si="28"/>
        <v>13.8</v>
      </c>
      <c r="I278">
        <f t="shared" si="29"/>
        <v>1.903</v>
      </c>
      <c r="J278">
        <f t="shared" si="30"/>
        <v>5.5039363633128099E-2</v>
      </c>
      <c r="K278">
        <f t="shared" si="31"/>
        <v>38.16124941004437</v>
      </c>
      <c r="L278">
        <f t="shared" si="32"/>
        <v>7.3385818177504119E-4</v>
      </c>
      <c r="O278">
        <f t="shared" si="33"/>
        <v>38.201355820354458</v>
      </c>
      <c r="P278">
        <f t="shared" si="34"/>
        <v>8.367465091172247E-5</v>
      </c>
    </row>
    <row r="279" spans="1:16" x14ac:dyDescent="0.25">
      <c r="A279" s="2">
        <v>13.85</v>
      </c>
      <c r="B279" s="1">
        <v>1.91</v>
      </c>
      <c r="C279">
        <v>6.5000000000000002E-2</v>
      </c>
      <c r="H279">
        <f t="shared" si="28"/>
        <v>13.85</v>
      </c>
      <c r="I279">
        <f t="shared" si="29"/>
        <v>1.91</v>
      </c>
      <c r="J279">
        <f t="shared" si="30"/>
        <v>5.5003274370929285E-2</v>
      </c>
      <c r="K279">
        <f t="shared" si="31"/>
        <v>38.301621846129656</v>
      </c>
      <c r="L279">
        <f t="shared" si="32"/>
        <v>7.3337699161239028E-4</v>
      </c>
      <c r="O279">
        <f t="shared" si="33"/>
        <v>38.341728256439744</v>
      </c>
      <c r="P279">
        <f t="shared" si="34"/>
        <v>8.319346074907156E-5</v>
      </c>
    </row>
    <row r="280" spans="1:16" x14ac:dyDescent="0.25">
      <c r="A280" s="2">
        <v>13.9</v>
      </c>
      <c r="B280" s="1">
        <v>1.913</v>
      </c>
      <c r="C280">
        <v>6.6000000000000003E-2</v>
      </c>
      <c r="H280">
        <f t="shared" si="28"/>
        <v>13.9</v>
      </c>
      <c r="I280">
        <f t="shared" si="29"/>
        <v>1.913</v>
      </c>
      <c r="J280">
        <f t="shared" si="30"/>
        <v>5.5967185108730472E-2</v>
      </c>
      <c r="K280">
        <f t="shared" si="31"/>
        <v>38.361781461594781</v>
      </c>
      <c r="L280">
        <f t="shared" si="32"/>
        <v>7.4622913478307278E-4</v>
      </c>
      <c r="O280">
        <f t="shared" si="33"/>
        <v>38.401887871904869</v>
      </c>
      <c r="P280">
        <f t="shared" si="34"/>
        <v>9.6045603919754055E-5</v>
      </c>
    </row>
    <row r="281" spans="1:16" x14ac:dyDescent="0.25">
      <c r="A281" s="2">
        <v>13.95</v>
      </c>
      <c r="B281" s="1">
        <v>1.913</v>
      </c>
      <c r="C281">
        <v>6.5000000000000002E-2</v>
      </c>
      <c r="H281">
        <f t="shared" si="28"/>
        <v>13.95</v>
      </c>
      <c r="I281">
        <f t="shared" si="29"/>
        <v>1.913</v>
      </c>
      <c r="J281">
        <f t="shared" si="30"/>
        <v>5.4931095846531663E-2</v>
      </c>
      <c r="K281">
        <f t="shared" si="31"/>
        <v>38.361781461594781</v>
      </c>
      <c r="L281">
        <f t="shared" si="32"/>
        <v>7.3241461128708868E-4</v>
      </c>
      <c r="O281">
        <f t="shared" si="33"/>
        <v>38.401887871904869</v>
      </c>
      <c r="P281">
        <f t="shared" si="34"/>
        <v>8.2231080423769958E-5</v>
      </c>
    </row>
    <row r="282" spans="1:16" x14ac:dyDescent="0.25">
      <c r="A282" s="2">
        <v>14</v>
      </c>
      <c r="B282" s="1">
        <v>1.913</v>
      </c>
      <c r="C282">
        <v>6.6000000000000003E-2</v>
      </c>
      <c r="H282">
        <f t="shared" si="28"/>
        <v>14</v>
      </c>
      <c r="I282">
        <f t="shared" si="29"/>
        <v>1.913</v>
      </c>
      <c r="J282">
        <f t="shared" si="30"/>
        <v>5.5895006584332857E-2</v>
      </c>
      <c r="K282">
        <f t="shared" si="31"/>
        <v>38.361781461594781</v>
      </c>
      <c r="L282">
        <f t="shared" si="32"/>
        <v>7.4526675445777128E-4</v>
      </c>
      <c r="O282">
        <f t="shared" si="33"/>
        <v>38.401887871904869</v>
      </c>
      <c r="P282">
        <f t="shared" si="34"/>
        <v>9.5083223594452562E-5</v>
      </c>
    </row>
    <row r="283" spans="1:16" x14ac:dyDescent="0.25">
      <c r="A283" s="2">
        <v>14.05</v>
      </c>
      <c r="B283" s="1">
        <v>1.913</v>
      </c>
      <c r="C283">
        <v>6.5000000000000002E-2</v>
      </c>
      <c r="H283">
        <f t="shared" si="28"/>
        <v>14.05</v>
      </c>
      <c r="I283">
        <f t="shared" si="29"/>
        <v>1.913</v>
      </c>
      <c r="J283">
        <f t="shared" si="30"/>
        <v>5.4858917322134042E-2</v>
      </c>
      <c r="K283">
        <f t="shared" si="31"/>
        <v>38.361781461594781</v>
      </c>
      <c r="L283">
        <f t="shared" si="32"/>
        <v>7.3145223096178708E-4</v>
      </c>
      <c r="O283">
        <f t="shared" si="33"/>
        <v>38.401887871904869</v>
      </c>
      <c r="P283">
        <f t="shared" si="34"/>
        <v>8.1268700098468356E-5</v>
      </c>
    </row>
    <row r="284" spans="1:16" x14ac:dyDescent="0.25">
      <c r="A284" s="2">
        <v>14.1</v>
      </c>
      <c r="B284" s="1">
        <v>1.913</v>
      </c>
      <c r="C284">
        <v>6.6000000000000003E-2</v>
      </c>
      <c r="H284">
        <f t="shared" si="28"/>
        <v>14.1</v>
      </c>
      <c r="I284">
        <f t="shared" si="29"/>
        <v>1.913</v>
      </c>
      <c r="J284">
        <f t="shared" si="30"/>
        <v>5.5822828059935228E-2</v>
      </c>
      <c r="K284">
        <f t="shared" si="31"/>
        <v>38.361781461594781</v>
      </c>
      <c r="L284">
        <f t="shared" si="32"/>
        <v>7.4430437413246957E-4</v>
      </c>
      <c r="O284">
        <f t="shared" si="33"/>
        <v>38.401887871904869</v>
      </c>
      <c r="P284">
        <f t="shared" si="34"/>
        <v>9.4120843269150851E-5</v>
      </c>
    </row>
    <row r="285" spans="1:16" x14ac:dyDescent="0.25">
      <c r="A285" s="2">
        <v>14.15</v>
      </c>
      <c r="B285" s="1">
        <v>1.923</v>
      </c>
      <c r="C285">
        <v>6.5000000000000002E-2</v>
      </c>
      <c r="H285">
        <f t="shared" si="28"/>
        <v>14.15</v>
      </c>
      <c r="I285">
        <f t="shared" si="29"/>
        <v>1.923</v>
      </c>
      <c r="J285">
        <f t="shared" si="30"/>
        <v>5.478673879773642E-2</v>
      </c>
      <c r="K285">
        <f t="shared" si="31"/>
        <v>38.562313513145199</v>
      </c>
      <c r="L285">
        <f t="shared" si="32"/>
        <v>7.3048985063648548E-4</v>
      </c>
      <c r="O285">
        <f t="shared" si="33"/>
        <v>38.602419923455287</v>
      </c>
      <c r="P285">
        <f t="shared" si="34"/>
        <v>8.0306319773166754E-5</v>
      </c>
    </row>
    <row r="286" spans="1:16" x14ac:dyDescent="0.25">
      <c r="A286" s="2">
        <v>14.2</v>
      </c>
      <c r="B286" s="1">
        <v>1.97</v>
      </c>
      <c r="C286">
        <v>6.6000000000000003E-2</v>
      </c>
      <c r="H286">
        <f t="shared" si="28"/>
        <v>14.2</v>
      </c>
      <c r="I286">
        <f t="shared" si="29"/>
        <v>1.97</v>
      </c>
      <c r="J286">
        <f t="shared" si="30"/>
        <v>5.5750649535537607E-2</v>
      </c>
      <c r="K286">
        <f t="shared" si="31"/>
        <v>39.504814155432157</v>
      </c>
      <c r="L286">
        <f t="shared" si="32"/>
        <v>7.4334199380716797E-4</v>
      </c>
      <c r="O286">
        <f t="shared" si="33"/>
        <v>39.544920565742245</v>
      </c>
      <c r="P286">
        <f t="shared" si="34"/>
        <v>9.3158462943849249E-5</v>
      </c>
    </row>
    <row r="287" spans="1:16" x14ac:dyDescent="0.25">
      <c r="A287" s="2">
        <v>14.25</v>
      </c>
      <c r="B287" s="1">
        <v>2.073</v>
      </c>
      <c r="C287">
        <v>6.6000000000000003E-2</v>
      </c>
      <c r="H287">
        <f t="shared" si="28"/>
        <v>14.25</v>
      </c>
      <c r="I287">
        <f t="shared" si="29"/>
        <v>2.073</v>
      </c>
      <c r="J287">
        <f t="shared" si="30"/>
        <v>5.5714560273338792E-2</v>
      </c>
      <c r="K287">
        <f t="shared" si="31"/>
        <v>41.570294286401456</v>
      </c>
      <c r="L287">
        <f t="shared" si="32"/>
        <v>7.4286080364451706E-4</v>
      </c>
      <c r="O287">
        <f t="shared" si="33"/>
        <v>41.610400696711544</v>
      </c>
      <c r="P287">
        <f t="shared" si="34"/>
        <v>9.2677272781198339E-5</v>
      </c>
    </row>
    <row r="288" spans="1:16" x14ac:dyDescent="0.25">
      <c r="A288" s="2">
        <v>14.3</v>
      </c>
      <c r="B288" s="1">
        <v>2.1389999999999998</v>
      </c>
      <c r="C288">
        <v>6.7000000000000004E-2</v>
      </c>
      <c r="H288">
        <f t="shared" si="28"/>
        <v>14.3</v>
      </c>
      <c r="I288">
        <f t="shared" si="29"/>
        <v>2.1389999999999998</v>
      </c>
      <c r="J288">
        <f t="shared" si="30"/>
        <v>5.6678471011139986E-2</v>
      </c>
      <c r="K288">
        <f t="shared" si="31"/>
        <v>42.893805826634207</v>
      </c>
      <c r="L288">
        <f t="shared" si="32"/>
        <v>7.5571294681519967E-4</v>
      </c>
      <c r="O288">
        <f t="shared" si="33"/>
        <v>42.933912236944295</v>
      </c>
      <c r="P288">
        <f t="shared" si="34"/>
        <v>1.0552941595188094E-4</v>
      </c>
    </row>
    <row r="289" spans="1:16" x14ac:dyDescent="0.25">
      <c r="A289" s="2">
        <v>14.35</v>
      </c>
      <c r="B289" s="1">
        <v>2.1749999999999998</v>
      </c>
      <c r="C289">
        <v>6.6000000000000003E-2</v>
      </c>
      <c r="H289">
        <f t="shared" si="28"/>
        <v>14.35</v>
      </c>
      <c r="I289">
        <f t="shared" si="29"/>
        <v>2.1749999999999998</v>
      </c>
      <c r="J289">
        <f t="shared" si="30"/>
        <v>5.5642381748941178E-2</v>
      </c>
      <c r="K289">
        <f t="shared" si="31"/>
        <v>43.615721212215703</v>
      </c>
      <c r="L289">
        <f t="shared" si="32"/>
        <v>7.4189842331921557E-4</v>
      </c>
      <c r="O289">
        <f t="shared" si="33"/>
        <v>43.655827622525791</v>
      </c>
      <c r="P289">
        <f t="shared" si="34"/>
        <v>9.1714892455896846E-5</v>
      </c>
    </row>
    <row r="290" spans="1:16" x14ac:dyDescent="0.25">
      <c r="A290" s="2">
        <v>14.4</v>
      </c>
      <c r="B290" s="1">
        <v>2.282</v>
      </c>
      <c r="C290">
        <v>6.8000000000000005E-2</v>
      </c>
      <c r="H290">
        <f t="shared" si="28"/>
        <v>14.4</v>
      </c>
      <c r="I290">
        <f t="shared" si="29"/>
        <v>2.282</v>
      </c>
      <c r="J290">
        <f t="shared" si="30"/>
        <v>5.7606292486742365E-2</v>
      </c>
      <c r="K290">
        <f t="shared" si="31"/>
        <v>45.761414163805171</v>
      </c>
      <c r="L290">
        <f t="shared" si="32"/>
        <v>7.6808389982323136E-4</v>
      </c>
      <c r="O290">
        <f t="shared" si="33"/>
        <v>45.801520574115258</v>
      </c>
      <c r="P290">
        <f t="shared" si="34"/>
        <v>1.1790036895991264E-4</v>
      </c>
    </row>
    <row r="291" spans="1:16" x14ac:dyDescent="0.25">
      <c r="A291" s="2">
        <v>14.45</v>
      </c>
      <c r="B291" s="1">
        <v>2.4460000000000002</v>
      </c>
      <c r="C291">
        <v>6.7000000000000004E-2</v>
      </c>
      <c r="H291">
        <f t="shared" si="28"/>
        <v>14.45</v>
      </c>
      <c r="I291">
        <f t="shared" si="29"/>
        <v>2.4460000000000002</v>
      </c>
      <c r="J291">
        <f t="shared" si="30"/>
        <v>5.657020322454355E-2</v>
      </c>
      <c r="K291">
        <f t="shared" si="31"/>
        <v>49.050139809232014</v>
      </c>
      <c r="L291">
        <f t="shared" si="32"/>
        <v>7.5426937632724715E-4</v>
      </c>
      <c r="O291">
        <f t="shared" si="33"/>
        <v>49.090246219542102</v>
      </c>
      <c r="P291">
        <f t="shared" si="34"/>
        <v>1.0408584546392843E-4</v>
      </c>
    </row>
    <row r="292" spans="1:16" x14ac:dyDescent="0.25">
      <c r="A292" s="2">
        <v>14.5</v>
      </c>
      <c r="B292" s="1">
        <v>2.5249999999999999</v>
      </c>
      <c r="C292">
        <v>6.8000000000000005E-2</v>
      </c>
      <c r="H292">
        <f t="shared" si="28"/>
        <v>14.5</v>
      </c>
      <c r="I292">
        <f t="shared" si="29"/>
        <v>2.5249999999999999</v>
      </c>
      <c r="J292">
        <f t="shared" si="30"/>
        <v>5.7534113962344743E-2</v>
      </c>
      <c r="K292">
        <f t="shared" si="31"/>
        <v>50.634343016480308</v>
      </c>
      <c r="L292">
        <f t="shared" si="32"/>
        <v>7.6712151949792976E-4</v>
      </c>
      <c r="O292">
        <f t="shared" si="33"/>
        <v>50.674449426790396</v>
      </c>
      <c r="P292">
        <f t="shared" si="34"/>
        <v>1.1693798863461103E-4</v>
      </c>
    </row>
    <row r="293" spans="1:16" x14ac:dyDescent="0.25">
      <c r="A293" s="2">
        <v>14.55</v>
      </c>
      <c r="B293" s="1">
        <v>2.532</v>
      </c>
      <c r="C293">
        <v>6.8000000000000005E-2</v>
      </c>
      <c r="H293">
        <f t="shared" si="28"/>
        <v>14.55</v>
      </c>
      <c r="I293">
        <f t="shared" si="29"/>
        <v>2.532</v>
      </c>
      <c r="J293">
        <f t="shared" si="30"/>
        <v>5.7498024700145929E-2</v>
      </c>
      <c r="K293">
        <f t="shared" si="31"/>
        <v>50.774715452565601</v>
      </c>
      <c r="L293">
        <f t="shared" si="32"/>
        <v>7.6664032933527896E-4</v>
      </c>
      <c r="O293">
        <f t="shared" si="33"/>
        <v>50.814821862875689</v>
      </c>
      <c r="P293">
        <f t="shared" si="34"/>
        <v>1.1645679847196023E-4</v>
      </c>
    </row>
    <row r="294" spans="1:16" x14ac:dyDescent="0.25">
      <c r="A294" s="2">
        <v>14.6</v>
      </c>
      <c r="B294" s="1">
        <v>2.5310000000000001</v>
      </c>
      <c r="C294">
        <v>6.8000000000000005E-2</v>
      </c>
      <c r="H294">
        <f t="shared" si="28"/>
        <v>14.6</v>
      </c>
      <c r="I294">
        <f t="shared" si="29"/>
        <v>2.5310000000000001</v>
      </c>
      <c r="J294">
        <f t="shared" si="30"/>
        <v>5.7461935437947122E-2</v>
      </c>
      <c r="K294">
        <f t="shared" si="31"/>
        <v>50.754662247410558</v>
      </c>
      <c r="L294">
        <f t="shared" si="32"/>
        <v>7.6615913917262816E-4</v>
      </c>
      <c r="O294">
        <f t="shared" si="33"/>
        <v>50.794768657720645</v>
      </c>
      <c r="P294">
        <f t="shared" si="34"/>
        <v>1.1597560830930943E-4</v>
      </c>
    </row>
    <row r="295" spans="1:16" x14ac:dyDescent="0.25">
      <c r="A295" s="2">
        <v>14.65</v>
      </c>
      <c r="B295" s="1">
        <v>2.532</v>
      </c>
      <c r="C295">
        <v>6.8000000000000005E-2</v>
      </c>
      <c r="H295">
        <f t="shared" si="28"/>
        <v>14.65</v>
      </c>
      <c r="I295">
        <f t="shared" si="29"/>
        <v>2.532</v>
      </c>
      <c r="J295">
        <f t="shared" si="30"/>
        <v>5.7425846175748307E-2</v>
      </c>
      <c r="K295">
        <f t="shared" si="31"/>
        <v>50.774715452565601</v>
      </c>
      <c r="L295">
        <f t="shared" si="32"/>
        <v>7.6567794900997725E-4</v>
      </c>
      <c r="O295">
        <f t="shared" si="33"/>
        <v>50.814821862875689</v>
      </c>
      <c r="P295">
        <f t="shared" si="34"/>
        <v>1.1549441814665852E-4</v>
      </c>
    </row>
    <row r="296" spans="1:16" x14ac:dyDescent="0.25">
      <c r="A296" s="2">
        <v>14.7</v>
      </c>
      <c r="B296" s="1">
        <v>2.532</v>
      </c>
      <c r="C296">
        <v>6.9000000000000006E-2</v>
      </c>
      <c r="H296">
        <f t="shared" si="28"/>
        <v>14.7</v>
      </c>
      <c r="I296">
        <f t="shared" si="29"/>
        <v>2.532</v>
      </c>
      <c r="J296">
        <f t="shared" si="30"/>
        <v>5.8389756913549501E-2</v>
      </c>
      <c r="K296">
        <f t="shared" si="31"/>
        <v>50.774715452565601</v>
      </c>
      <c r="L296">
        <f t="shared" si="32"/>
        <v>7.7853009218065985E-4</v>
      </c>
      <c r="O296">
        <f t="shared" si="33"/>
        <v>50.814821862875689</v>
      </c>
      <c r="P296">
        <f t="shared" si="34"/>
        <v>1.2834656131734113E-4</v>
      </c>
    </row>
    <row r="297" spans="1:16" x14ac:dyDescent="0.25">
      <c r="A297" s="2">
        <v>14.75</v>
      </c>
      <c r="B297" s="1">
        <v>2.5310000000000001</v>
      </c>
      <c r="C297">
        <v>6.8000000000000005E-2</v>
      </c>
      <c r="H297">
        <f t="shared" si="28"/>
        <v>14.75</v>
      </c>
      <c r="I297">
        <f t="shared" si="29"/>
        <v>2.5310000000000001</v>
      </c>
      <c r="J297">
        <f t="shared" si="30"/>
        <v>5.7353667651350686E-2</v>
      </c>
      <c r="K297">
        <f t="shared" si="31"/>
        <v>50.754662247410558</v>
      </c>
      <c r="L297">
        <f t="shared" si="32"/>
        <v>7.6471556868467564E-4</v>
      </c>
      <c r="O297">
        <f t="shared" si="33"/>
        <v>50.794768657720645</v>
      </c>
      <c r="P297">
        <f t="shared" si="34"/>
        <v>1.1453203782135692E-4</v>
      </c>
    </row>
    <row r="298" spans="1:16" x14ac:dyDescent="0.25">
      <c r="A298" s="2">
        <v>14.8</v>
      </c>
      <c r="B298" s="1">
        <v>2.536</v>
      </c>
      <c r="C298">
        <v>6.9000000000000006E-2</v>
      </c>
      <c r="H298">
        <f t="shared" si="28"/>
        <v>14.8</v>
      </c>
      <c r="I298">
        <f t="shared" si="29"/>
        <v>2.536</v>
      </c>
      <c r="J298">
        <f t="shared" si="30"/>
        <v>5.8317578389151872E-2</v>
      </c>
      <c r="K298">
        <f t="shared" si="31"/>
        <v>50.85492827318577</v>
      </c>
      <c r="L298">
        <f t="shared" si="32"/>
        <v>7.7756771185535814E-4</v>
      </c>
      <c r="O298">
        <f t="shared" si="33"/>
        <v>50.895034683495858</v>
      </c>
      <c r="P298">
        <f t="shared" si="34"/>
        <v>1.2738418099203942E-4</v>
      </c>
    </row>
    <row r="299" spans="1:16" x14ac:dyDescent="0.25">
      <c r="A299" s="2">
        <v>14.85</v>
      </c>
      <c r="B299" s="1">
        <v>2.569</v>
      </c>
      <c r="C299">
        <v>6.8000000000000005E-2</v>
      </c>
      <c r="H299">
        <f t="shared" si="28"/>
        <v>14.85</v>
      </c>
      <c r="I299">
        <f t="shared" si="29"/>
        <v>2.569</v>
      </c>
      <c r="J299">
        <f t="shared" si="30"/>
        <v>5.7281489126953064E-2</v>
      </c>
      <c r="K299">
        <f t="shared" si="31"/>
        <v>51.516684043302142</v>
      </c>
      <c r="L299">
        <f t="shared" si="32"/>
        <v>7.6375318835937404E-4</v>
      </c>
      <c r="O299">
        <f t="shared" si="33"/>
        <v>51.55679045361223</v>
      </c>
      <c r="P299">
        <f t="shared" si="34"/>
        <v>1.1356965749605532E-4</v>
      </c>
    </row>
    <row r="300" spans="1:16" x14ac:dyDescent="0.25">
      <c r="A300" s="2">
        <v>14.9</v>
      </c>
      <c r="B300" s="1">
        <v>2.6739999999999999</v>
      </c>
      <c r="C300">
        <v>6.9000000000000006E-2</v>
      </c>
      <c r="H300">
        <f t="shared" si="28"/>
        <v>14.9</v>
      </c>
      <c r="I300">
        <f t="shared" si="29"/>
        <v>2.6739999999999999</v>
      </c>
      <c r="J300">
        <f t="shared" si="30"/>
        <v>5.8245399864754251E-2</v>
      </c>
      <c r="K300">
        <f t="shared" si="31"/>
        <v>53.622270584581521</v>
      </c>
      <c r="L300">
        <f t="shared" si="32"/>
        <v>7.7660533153005654E-4</v>
      </c>
      <c r="O300">
        <f t="shared" si="33"/>
        <v>53.662376994891609</v>
      </c>
      <c r="P300">
        <f t="shared" si="34"/>
        <v>1.2642180066673781E-4</v>
      </c>
    </row>
    <row r="301" spans="1:16" x14ac:dyDescent="0.25">
      <c r="A301" s="2">
        <v>14.95</v>
      </c>
      <c r="B301" s="1">
        <v>2.7269999999999999</v>
      </c>
      <c r="C301">
        <v>6.9000000000000006E-2</v>
      </c>
      <c r="H301">
        <f t="shared" si="28"/>
        <v>14.95</v>
      </c>
      <c r="I301">
        <f t="shared" si="29"/>
        <v>2.7269999999999999</v>
      </c>
      <c r="J301">
        <f t="shared" si="30"/>
        <v>5.8209310602555443E-2</v>
      </c>
      <c r="K301">
        <f t="shared" si="31"/>
        <v>54.685090457798729</v>
      </c>
      <c r="L301">
        <f t="shared" si="32"/>
        <v>7.7612414136740574E-4</v>
      </c>
      <c r="O301">
        <f t="shared" si="33"/>
        <v>54.725196868108817</v>
      </c>
      <c r="P301">
        <f t="shared" si="34"/>
        <v>1.2594061050408701E-4</v>
      </c>
    </row>
    <row r="302" spans="1:16" x14ac:dyDescent="0.25">
      <c r="A302" s="2">
        <v>15</v>
      </c>
      <c r="B302" s="1">
        <v>2.7759999999999998</v>
      </c>
      <c r="C302">
        <v>7.0000000000000007E-2</v>
      </c>
      <c r="H302">
        <f t="shared" si="28"/>
        <v>15</v>
      </c>
      <c r="I302">
        <f t="shared" si="29"/>
        <v>2.7759999999999998</v>
      </c>
      <c r="J302">
        <f t="shared" si="30"/>
        <v>5.917322134035663E-2</v>
      </c>
      <c r="K302">
        <f t="shared" si="31"/>
        <v>55.667697510395769</v>
      </c>
      <c r="L302">
        <f t="shared" si="32"/>
        <v>7.8897628453808823E-4</v>
      </c>
      <c r="O302">
        <f t="shared" si="33"/>
        <v>55.707803920705857</v>
      </c>
      <c r="P302">
        <f t="shared" si="34"/>
        <v>1.3879275367476951E-4</v>
      </c>
    </row>
    <row r="303" spans="1:16" x14ac:dyDescent="0.25">
      <c r="A303" s="2">
        <v>15.05</v>
      </c>
      <c r="B303" s="1">
        <v>2.8559999999999999</v>
      </c>
      <c r="C303">
        <v>6.9000000000000006E-2</v>
      </c>
      <c r="H303">
        <f t="shared" si="28"/>
        <v>15.05</v>
      </c>
      <c r="I303">
        <f t="shared" si="29"/>
        <v>2.8559999999999999</v>
      </c>
      <c r="J303">
        <f t="shared" si="30"/>
        <v>5.8137132078157822E-2</v>
      </c>
      <c r="K303">
        <f t="shared" si="31"/>
        <v>57.271953922799106</v>
      </c>
      <c r="L303">
        <f t="shared" si="32"/>
        <v>7.7516176104210413E-4</v>
      </c>
      <c r="O303">
        <f t="shared" si="33"/>
        <v>57.312060333109194</v>
      </c>
      <c r="P303">
        <f t="shared" si="34"/>
        <v>1.2497823017878541E-4</v>
      </c>
    </row>
    <row r="304" spans="1:16" x14ac:dyDescent="0.25">
      <c r="A304" s="2">
        <v>15.1</v>
      </c>
      <c r="B304" s="1">
        <v>2.9089999999999998</v>
      </c>
      <c r="C304">
        <v>7.0000000000000007E-2</v>
      </c>
      <c r="H304">
        <f t="shared" si="28"/>
        <v>15.1</v>
      </c>
      <c r="I304">
        <f t="shared" si="29"/>
        <v>2.9089999999999998</v>
      </c>
      <c r="J304">
        <f t="shared" si="30"/>
        <v>5.9101042815959008E-2</v>
      </c>
      <c r="K304">
        <f t="shared" si="31"/>
        <v>58.334773796016322</v>
      </c>
      <c r="L304">
        <f t="shared" si="32"/>
        <v>7.8801390421278663E-4</v>
      </c>
      <c r="O304">
        <f t="shared" si="33"/>
        <v>58.374880206326409</v>
      </c>
      <c r="P304">
        <f t="shared" si="34"/>
        <v>1.3783037334946791E-4</v>
      </c>
    </row>
    <row r="305" spans="1:16" x14ac:dyDescent="0.25">
      <c r="A305" s="2">
        <v>15.15</v>
      </c>
      <c r="B305" s="1">
        <v>2.952</v>
      </c>
      <c r="C305">
        <v>7.0000000000000007E-2</v>
      </c>
      <c r="H305">
        <f t="shared" si="28"/>
        <v>15.15</v>
      </c>
      <c r="I305">
        <f t="shared" si="29"/>
        <v>2.952</v>
      </c>
      <c r="J305">
        <f t="shared" si="30"/>
        <v>5.9064953553760194E-2</v>
      </c>
      <c r="K305">
        <f t="shared" si="31"/>
        <v>59.197061617683111</v>
      </c>
      <c r="L305">
        <f t="shared" si="32"/>
        <v>7.8753271405013572E-4</v>
      </c>
      <c r="O305">
        <f t="shared" si="33"/>
        <v>59.237168027993199</v>
      </c>
      <c r="P305">
        <f t="shared" si="34"/>
        <v>1.37349183186817E-4</v>
      </c>
    </row>
    <row r="306" spans="1:16" x14ac:dyDescent="0.25">
      <c r="A306" s="2">
        <v>15.2</v>
      </c>
      <c r="B306" s="1">
        <v>2.9620000000000002</v>
      </c>
      <c r="C306">
        <v>7.0000000000000007E-2</v>
      </c>
      <c r="H306">
        <f t="shared" si="28"/>
        <v>15.2</v>
      </c>
      <c r="I306">
        <f t="shared" si="29"/>
        <v>2.9620000000000002</v>
      </c>
      <c r="J306">
        <f t="shared" si="30"/>
        <v>5.9028864291561386E-2</v>
      </c>
      <c r="K306">
        <f t="shared" si="31"/>
        <v>59.397593669233537</v>
      </c>
      <c r="L306">
        <f t="shared" si="32"/>
        <v>7.8705152388748503E-4</v>
      </c>
      <c r="O306">
        <f t="shared" si="33"/>
        <v>59.437700079543625</v>
      </c>
      <c r="P306">
        <f t="shared" si="34"/>
        <v>1.368679930241663E-4</v>
      </c>
    </row>
    <row r="307" spans="1:16" x14ac:dyDescent="0.25">
      <c r="A307" s="2">
        <v>15.25</v>
      </c>
      <c r="B307" s="1">
        <v>2.9620000000000002</v>
      </c>
      <c r="C307">
        <v>7.0000000000000007E-2</v>
      </c>
      <c r="H307">
        <f t="shared" si="28"/>
        <v>15.25</v>
      </c>
      <c r="I307">
        <f t="shared" si="29"/>
        <v>2.9620000000000002</v>
      </c>
      <c r="J307">
        <f t="shared" si="30"/>
        <v>5.8992775029362579E-2</v>
      </c>
      <c r="K307">
        <f t="shared" si="31"/>
        <v>59.397593669233537</v>
      </c>
      <c r="L307">
        <f t="shared" si="32"/>
        <v>7.8657033372483422E-4</v>
      </c>
      <c r="O307">
        <f t="shared" si="33"/>
        <v>59.437700079543625</v>
      </c>
      <c r="P307">
        <f t="shared" si="34"/>
        <v>1.363868028615155E-4</v>
      </c>
    </row>
    <row r="308" spans="1:16" x14ac:dyDescent="0.25">
      <c r="A308" s="2">
        <v>15.3</v>
      </c>
      <c r="B308" s="1">
        <v>2.9620000000000002</v>
      </c>
      <c r="C308">
        <v>7.0000000000000007E-2</v>
      </c>
      <c r="H308">
        <f t="shared" si="28"/>
        <v>15.3</v>
      </c>
      <c r="I308">
        <f t="shared" si="29"/>
        <v>2.9620000000000002</v>
      </c>
      <c r="J308">
        <f t="shared" si="30"/>
        <v>5.8956685767163765E-2</v>
      </c>
      <c r="K308">
        <f t="shared" si="31"/>
        <v>59.397593669233537</v>
      </c>
      <c r="L308">
        <f t="shared" si="32"/>
        <v>7.8608914356218342E-4</v>
      </c>
      <c r="O308">
        <f t="shared" si="33"/>
        <v>59.437700079543625</v>
      </c>
      <c r="P308">
        <f t="shared" si="34"/>
        <v>1.359056126988647E-4</v>
      </c>
    </row>
    <row r="309" spans="1:16" x14ac:dyDescent="0.25">
      <c r="A309" s="2">
        <v>15.35</v>
      </c>
      <c r="B309" s="1">
        <v>2.9630000000000001</v>
      </c>
      <c r="C309">
        <v>7.0000000000000007E-2</v>
      </c>
      <c r="H309">
        <f t="shared" si="28"/>
        <v>15.35</v>
      </c>
      <c r="I309">
        <f t="shared" si="29"/>
        <v>2.9630000000000001</v>
      </c>
      <c r="J309">
        <f t="shared" si="30"/>
        <v>5.892059650496495E-2</v>
      </c>
      <c r="K309">
        <f t="shared" si="31"/>
        <v>59.417646874388574</v>
      </c>
      <c r="L309">
        <f t="shared" si="32"/>
        <v>7.8560795339953251E-4</v>
      </c>
      <c r="O309">
        <f t="shared" si="33"/>
        <v>59.457753284698661</v>
      </c>
      <c r="P309">
        <f t="shared" si="34"/>
        <v>1.3542442253621379E-4</v>
      </c>
    </row>
    <row r="310" spans="1:16" x14ac:dyDescent="0.25">
      <c r="A310" s="2">
        <v>15.4</v>
      </c>
      <c r="B310" s="1">
        <v>2.9630000000000001</v>
      </c>
      <c r="C310">
        <v>7.0999999999999994E-2</v>
      </c>
      <c r="H310">
        <f t="shared" si="28"/>
        <v>15.4</v>
      </c>
      <c r="I310">
        <f t="shared" si="29"/>
        <v>2.9630000000000001</v>
      </c>
      <c r="J310">
        <f t="shared" si="30"/>
        <v>5.988450724276613E-2</v>
      </c>
      <c r="K310">
        <f t="shared" si="31"/>
        <v>59.417646874388574</v>
      </c>
      <c r="L310">
        <f t="shared" si="32"/>
        <v>7.984600965702149E-4</v>
      </c>
      <c r="O310">
        <f t="shared" si="33"/>
        <v>59.457753284698661</v>
      </c>
      <c r="P310">
        <f t="shared" si="34"/>
        <v>1.4827656570689618E-4</v>
      </c>
    </row>
    <row r="311" spans="1:16" x14ac:dyDescent="0.25">
      <c r="A311" s="2">
        <v>15.45</v>
      </c>
      <c r="B311" s="1">
        <v>2.964</v>
      </c>
      <c r="C311">
        <v>7.0000000000000007E-2</v>
      </c>
      <c r="H311">
        <f t="shared" si="28"/>
        <v>15.45</v>
      </c>
      <c r="I311">
        <f t="shared" si="29"/>
        <v>2.964</v>
      </c>
      <c r="J311">
        <f t="shared" si="30"/>
        <v>5.8848417980567329E-2</v>
      </c>
      <c r="K311">
        <f t="shared" si="31"/>
        <v>59.437700079543617</v>
      </c>
      <c r="L311">
        <f t="shared" si="32"/>
        <v>7.8464557307423091E-4</v>
      </c>
      <c r="O311">
        <f t="shared" si="33"/>
        <v>59.477806489853705</v>
      </c>
      <c r="P311">
        <f t="shared" si="34"/>
        <v>1.3446204221091219E-4</v>
      </c>
    </row>
    <row r="312" spans="1:16" x14ac:dyDescent="0.25">
      <c r="A312" s="2">
        <v>15.5</v>
      </c>
      <c r="B312" s="1">
        <v>3.028</v>
      </c>
      <c r="C312">
        <v>7.0999999999999994E-2</v>
      </c>
      <c r="H312">
        <f t="shared" si="28"/>
        <v>15.5</v>
      </c>
      <c r="I312">
        <f t="shared" si="29"/>
        <v>3.028</v>
      </c>
      <c r="J312">
        <f t="shared" si="30"/>
        <v>5.9812328718368502E-2</v>
      </c>
      <c r="K312">
        <f t="shared" si="31"/>
        <v>60.721105209466288</v>
      </c>
      <c r="L312">
        <f t="shared" si="32"/>
        <v>7.9749771624491319E-4</v>
      </c>
      <c r="O312">
        <f t="shared" si="33"/>
        <v>60.761211619776375</v>
      </c>
      <c r="P312">
        <f t="shared" si="34"/>
        <v>1.4731418538159447E-4</v>
      </c>
    </row>
    <row r="313" spans="1:16" x14ac:dyDescent="0.25">
      <c r="A313" s="2">
        <v>15.55</v>
      </c>
      <c r="B313" s="1">
        <v>3.1230000000000002</v>
      </c>
      <c r="C313">
        <v>7.0000000000000007E-2</v>
      </c>
      <c r="H313">
        <f t="shared" si="28"/>
        <v>15.55</v>
      </c>
      <c r="I313">
        <f t="shared" si="29"/>
        <v>3.1230000000000002</v>
      </c>
      <c r="J313">
        <f t="shared" si="30"/>
        <v>5.8776239456169707E-2</v>
      </c>
      <c r="K313">
        <f t="shared" si="31"/>
        <v>62.626159699195249</v>
      </c>
      <c r="L313">
        <f t="shared" si="32"/>
        <v>7.8368319274892931E-4</v>
      </c>
      <c r="O313">
        <f t="shared" si="33"/>
        <v>62.666266109505337</v>
      </c>
      <c r="P313">
        <f t="shared" si="34"/>
        <v>1.3349966188561059E-4</v>
      </c>
    </row>
    <row r="314" spans="1:16" x14ac:dyDescent="0.25">
      <c r="A314" s="2">
        <v>15.6</v>
      </c>
      <c r="B314" s="1">
        <v>3.161</v>
      </c>
      <c r="C314">
        <v>7.0999999999999994E-2</v>
      </c>
      <c r="H314">
        <f t="shared" si="28"/>
        <v>15.6</v>
      </c>
      <c r="I314">
        <f t="shared" si="29"/>
        <v>3.161</v>
      </c>
      <c r="J314">
        <f t="shared" si="30"/>
        <v>5.9740150193970887E-2</v>
      </c>
      <c r="K314">
        <f t="shared" si="31"/>
        <v>63.388181495086833</v>
      </c>
      <c r="L314">
        <f t="shared" si="32"/>
        <v>7.965353359196117E-4</v>
      </c>
      <c r="O314">
        <f t="shared" si="33"/>
        <v>63.428287905396921</v>
      </c>
      <c r="P314">
        <f t="shared" si="34"/>
        <v>1.4635180505629297E-4</v>
      </c>
    </row>
    <row r="315" spans="1:16" x14ac:dyDescent="0.25">
      <c r="A315" s="2">
        <v>15.65</v>
      </c>
      <c r="B315" s="1">
        <v>3.2229999999999999</v>
      </c>
      <c r="C315">
        <v>7.0999999999999994E-2</v>
      </c>
      <c r="H315">
        <f t="shared" si="28"/>
        <v>15.65</v>
      </c>
      <c r="I315">
        <f t="shared" si="29"/>
        <v>3.2229999999999999</v>
      </c>
      <c r="J315">
        <f t="shared" si="30"/>
        <v>5.9704060931772072E-2</v>
      </c>
      <c r="K315">
        <f t="shared" si="31"/>
        <v>64.631480214699408</v>
      </c>
      <c r="L315">
        <f t="shared" si="32"/>
        <v>7.9605414575696079E-4</v>
      </c>
      <c r="O315">
        <f t="shared" si="33"/>
        <v>64.671586625009496</v>
      </c>
      <c r="P315">
        <f t="shared" si="34"/>
        <v>1.4587061489364206E-4</v>
      </c>
    </row>
    <row r="316" spans="1:16" x14ac:dyDescent="0.25">
      <c r="A316" s="2">
        <v>15.7</v>
      </c>
      <c r="B316" s="1">
        <v>3.3029999999999999</v>
      </c>
      <c r="C316">
        <v>7.1999999999999995E-2</v>
      </c>
      <c r="H316">
        <f t="shared" si="28"/>
        <v>15.7</v>
      </c>
      <c r="I316">
        <f t="shared" si="29"/>
        <v>3.3029999999999999</v>
      </c>
      <c r="J316">
        <f t="shared" si="30"/>
        <v>6.0667971669573259E-2</v>
      </c>
      <c r="K316">
        <f t="shared" si="31"/>
        <v>66.235736627102753</v>
      </c>
      <c r="L316">
        <f t="shared" si="32"/>
        <v>8.0890628892764328E-4</v>
      </c>
      <c r="O316">
        <f t="shared" si="33"/>
        <v>66.275843037412841</v>
      </c>
      <c r="P316">
        <f t="shared" si="34"/>
        <v>1.5872275806432456E-4</v>
      </c>
    </row>
    <row r="317" spans="1:16" x14ac:dyDescent="0.25">
      <c r="A317" s="2">
        <v>15.75</v>
      </c>
      <c r="B317" s="1">
        <v>3.4140000000000001</v>
      </c>
      <c r="C317">
        <v>7.0999999999999994E-2</v>
      </c>
      <c r="H317">
        <f t="shared" si="28"/>
        <v>15.75</v>
      </c>
      <c r="I317">
        <f t="shared" si="29"/>
        <v>3.4140000000000001</v>
      </c>
      <c r="J317">
        <f t="shared" si="30"/>
        <v>5.9631882407374451E-2</v>
      </c>
      <c r="K317">
        <f t="shared" si="31"/>
        <v>68.461642399312382</v>
      </c>
      <c r="L317">
        <f t="shared" si="32"/>
        <v>7.9509176543165918E-4</v>
      </c>
      <c r="O317">
        <f t="shared" si="33"/>
        <v>68.50174880962247</v>
      </c>
      <c r="P317">
        <f t="shared" si="34"/>
        <v>1.4490823456834046E-4</v>
      </c>
    </row>
    <row r="318" spans="1:16" x14ac:dyDescent="0.25">
      <c r="A318" s="2">
        <v>15.8</v>
      </c>
      <c r="B318" s="1">
        <v>3.4510000000000001</v>
      </c>
      <c r="C318">
        <v>7.2999999999999995E-2</v>
      </c>
      <c r="H318">
        <f t="shared" si="28"/>
        <v>15.8</v>
      </c>
      <c r="I318">
        <f t="shared" si="29"/>
        <v>3.4510000000000001</v>
      </c>
      <c r="J318">
        <f t="shared" si="30"/>
        <v>6.1595793145175638E-2</v>
      </c>
      <c r="K318">
        <f t="shared" si="31"/>
        <v>69.203610990048929</v>
      </c>
      <c r="L318">
        <f t="shared" si="32"/>
        <v>8.2127724193567498E-4</v>
      </c>
      <c r="O318">
        <f t="shared" si="33"/>
        <v>69.243717400359017</v>
      </c>
      <c r="P318">
        <f t="shared" si="34"/>
        <v>1.7109371107235625E-4</v>
      </c>
    </row>
    <row r="319" spans="1:16" x14ac:dyDescent="0.25">
      <c r="A319" s="2">
        <v>15.85</v>
      </c>
      <c r="B319" s="1">
        <v>3.4510000000000001</v>
      </c>
      <c r="C319">
        <v>7.1999999999999995E-2</v>
      </c>
      <c r="H319">
        <f t="shared" si="28"/>
        <v>15.85</v>
      </c>
      <c r="I319">
        <f t="shared" si="29"/>
        <v>3.4510000000000001</v>
      </c>
      <c r="J319">
        <f t="shared" si="30"/>
        <v>6.055970388297683E-2</v>
      </c>
      <c r="K319">
        <f t="shared" si="31"/>
        <v>69.203610990048929</v>
      </c>
      <c r="L319">
        <f t="shared" si="32"/>
        <v>8.0746271843969088E-4</v>
      </c>
      <c r="O319">
        <f t="shared" si="33"/>
        <v>69.243717400359017</v>
      </c>
      <c r="P319">
        <f t="shared" si="34"/>
        <v>1.5727918757637216E-4</v>
      </c>
    </row>
    <row r="320" spans="1:16" x14ac:dyDescent="0.25">
      <c r="A320" s="2">
        <v>15.9</v>
      </c>
      <c r="B320" s="1">
        <v>3.4510000000000001</v>
      </c>
      <c r="C320">
        <v>7.2999999999999995E-2</v>
      </c>
      <c r="H320">
        <f t="shared" si="28"/>
        <v>15.9</v>
      </c>
      <c r="I320">
        <f t="shared" si="29"/>
        <v>3.4510000000000001</v>
      </c>
      <c r="J320">
        <f t="shared" si="30"/>
        <v>6.1523614620778017E-2</v>
      </c>
      <c r="K320">
        <f t="shared" si="31"/>
        <v>69.203610990048929</v>
      </c>
      <c r="L320">
        <f t="shared" si="32"/>
        <v>8.2031486161037337E-4</v>
      </c>
      <c r="O320">
        <f t="shared" si="33"/>
        <v>69.243717400359017</v>
      </c>
      <c r="P320">
        <f t="shared" si="34"/>
        <v>1.7013133074705465E-4</v>
      </c>
    </row>
    <row r="321" spans="1:16" x14ac:dyDescent="0.25">
      <c r="A321" s="2">
        <v>15.95</v>
      </c>
      <c r="B321" s="1">
        <v>3.4510000000000001</v>
      </c>
      <c r="C321">
        <v>7.1999999999999995E-2</v>
      </c>
      <c r="H321">
        <f t="shared" si="28"/>
        <v>15.95</v>
      </c>
      <c r="I321">
        <f t="shared" si="29"/>
        <v>3.4510000000000001</v>
      </c>
      <c r="J321">
        <f t="shared" si="30"/>
        <v>6.0487525358579208E-2</v>
      </c>
      <c r="K321">
        <f t="shared" si="31"/>
        <v>69.203610990048929</v>
      </c>
      <c r="L321">
        <f t="shared" si="32"/>
        <v>8.0650033811438928E-4</v>
      </c>
      <c r="O321">
        <f t="shared" si="33"/>
        <v>69.243717400359017</v>
      </c>
      <c r="P321">
        <f t="shared" si="34"/>
        <v>1.5631680725107055E-4</v>
      </c>
    </row>
    <row r="322" spans="1:16" x14ac:dyDescent="0.25">
      <c r="A322" s="2">
        <v>16</v>
      </c>
      <c r="B322" s="1">
        <v>3.4510000000000001</v>
      </c>
      <c r="C322">
        <v>7.2999999999999995E-2</v>
      </c>
      <c r="H322">
        <f t="shared" si="28"/>
        <v>16</v>
      </c>
      <c r="I322">
        <f t="shared" si="29"/>
        <v>3.4510000000000001</v>
      </c>
      <c r="J322">
        <f t="shared" si="30"/>
        <v>6.1451436096380395E-2</v>
      </c>
      <c r="K322">
        <f t="shared" si="31"/>
        <v>69.203610990048929</v>
      </c>
      <c r="L322">
        <f t="shared" si="32"/>
        <v>8.1935248128507177E-4</v>
      </c>
      <c r="O322">
        <f t="shared" si="33"/>
        <v>69.243717400359017</v>
      </c>
      <c r="P322">
        <f t="shared" si="34"/>
        <v>1.6916895042175305E-4</v>
      </c>
    </row>
    <row r="323" spans="1:16" x14ac:dyDescent="0.25">
      <c r="A323" s="2">
        <v>16.05</v>
      </c>
      <c r="B323" s="1">
        <v>3.4529999999999998</v>
      </c>
      <c r="C323">
        <v>7.1999999999999995E-2</v>
      </c>
      <c r="H323">
        <f t="shared" ref="H323:H386" si="35">A323</f>
        <v>16.05</v>
      </c>
      <c r="I323">
        <f t="shared" ref="I323:I386" si="36">B323</f>
        <v>3.4529999999999998</v>
      </c>
      <c r="J323">
        <f t="shared" ref="J323:J386" si="37">C323-E$12*A323</f>
        <v>6.041534683418158E-2</v>
      </c>
      <c r="K323">
        <f t="shared" ref="K323:K386" si="38">F$24*I323</f>
        <v>69.243717400359003</v>
      </c>
      <c r="L323">
        <f t="shared" ref="L323:L386" si="39">F$25*J323</f>
        <v>8.0553795778908757E-4</v>
      </c>
      <c r="O323">
        <f t="shared" ref="O323:O386" si="40">K323-N$12</f>
        <v>69.283823810669091</v>
      </c>
      <c r="P323">
        <f t="shared" ref="P323:P386" si="41">L323-N$15</f>
        <v>1.5535442692576884E-4</v>
      </c>
    </row>
    <row r="324" spans="1:16" x14ac:dyDescent="0.25">
      <c r="A324" s="2">
        <v>16.100000000000001</v>
      </c>
      <c r="B324" s="1">
        <v>3.4769999999999999</v>
      </c>
      <c r="C324">
        <v>7.2999999999999995E-2</v>
      </c>
      <c r="H324">
        <f t="shared" si="35"/>
        <v>16.100000000000001</v>
      </c>
      <c r="I324">
        <f t="shared" si="36"/>
        <v>3.4769999999999999</v>
      </c>
      <c r="J324">
        <f t="shared" si="37"/>
        <v>6.1379257571982773E-2</v>
      </c>
      <c r="K324">
        <f t="shared" si="38"/>
        <v>69.724994324080015</v>
      </c>
      <c r="L324">
        <f t="shared" si="39"/>
        <v>8.1839010095977017E-4</v>
      </c>
      <c r="O324">
        <f t="shared" si="40"/>
        <v>69.765100734390103</v>
      </c>
      <c r="P324">
        <f t="shared" si="41"/>
        <v>1.6820657009645145E-4</v>
      </c>
    </row>
    <row r="325" spans="1:16" x14ac:dyDescent="0.25">
      <c r="A325" s="2">
        <v>16.149999999999999</v>
      </c>
      <c r="B325" s="1">
        <v>3.5419999999999998</v>
      </c>
      <c r="C325">
        <v>7.1999999999999995E-2</v>
      </c>
      <c r="H325">
        <f t="shared" si="35"/>
        <v>16.149999999999999</v>
      </c>
      <c r="I325">
        <f t="shared" si="36"/>
        <v>3.5419999999999998</v>
      </c>
      <c r="J325">
        <f t="shared" si="37"/>
        <v>6.0343168309783965E-2</v>
      </c>
      <c r="K325">
        <f t="shared" si="38"/>
        <v>71.028452659157722</v>
      </c>
      <c r="L325">
        <f t="shared" si="39"/>
        <v>8.0457557746378607E-4</v>
      </c>
      <c r="O325">
        <f t="shared" si="40"/>
        <v>71.06855906946781</v>
      </c>
      <c r="P325">
        <f t="shared" si="41"/>
        <v>1.5439204660046735E-4</v>
      </c>
    </row>
    <row r="326" spans="1:16" x14ac:dyDescent="0.25">
      <c r="A326" s="2">
        <v>16.2</v>
      </c>
      <c r="B326" s="1">
        <v>3.6019999999999999</v>
      </c>
      <c r="C326">
        <v>7.3999999999999996E-2</v>
      </c>
      <c r="H326">
        <f t="shared" si="35"/>
        <v>16.2</v>
      </c>
      <c r="I326">
        <f t="shared" si="36"/>
        <v>3.6019999999999999</v>
      </c>
      <c r="J326">
        <f t="shared" si="37"/>
        <v>6.2307079047585152E-2</v>
      </c>
      <c r="K326">
        <f t="shared" si="38"/>
        <v>72.231644968460216</v>
      </c>
      <c r="L326">
        <f t="shared" si="39"/>
        <v>8.3076105396780186E-4</v>
      </c>
      <c r="O326">
        <f t="shared" si="40"/>
        <v>72.271751378770304</v>
      </c>
      <c r="P326">
        <f t="shared" si="41"/>
        <v>1.8057752310448314E-4</v>
      </c>
    </row>
    <row r="327" spans="1:16" x14ac:dyDescent="0.25">
      <c r="A327" s="2">
        <v>16.25</v>
      </c>
      <c r="B327" s="1">
        <v>3.673</v>
      </c>
      <c r="C327">
        <v>7.2999999999999995E-2</v>
      </c>
      <c r="H327">
        <f t="shared" si="35"/>
        <v>16.25</v>
      </c>
      <c r="I327">
        <f t="shared" si="36"/>
        <v>3.673</v>
      </c>
      <c r="J327">
        <f t="shared" si="37"/>
        <v>6.1270989785386337E-2</v>
      </c>
      <c r="K327">
        <f t="shared" si="38"/>
        <v>73.655422534468187</v>
      </c>
      <c r="L327">
        <f t="shared" si="39"/>
        <v>8.1694653047181766E-4</v>
      </c>
      <c r="O327">
        <f t="shared" si="40"/>
        <v>73.695528944778275</v>
      </c>
      <c r="P327">
        <f t="shared" si="41"/>
        <v>1.6676299960849893E-4</v>
      </c>
    </row>
    <row r="328" spans="1:16" x14ac:dyDescent="0.25">
      <c r="A328" s="2">
        <v>16.3</v>
      </c>
      <c r="B328" s="1">
        <v>3.74</v>
      </c>
      <c r="C328">
        <v>7.3999999999999996E-2</v>
      </c>
      <c r="H328">
        <f t="shared" si="35"/>
        <v>16.3</v>
      </c>
      <c r="I328">
        <f t="shared" si="36"/>
        <v>3.74</v>
      </c>
      <c r="J328">
        <f t="shared" si="37"/>
        <v>6.2234900523187531E-2</v>
      </c>
      <c r="K328">
        <f t="shared" si="38"/>
        <v>74.998987279855982</v>
      </c>
      <c r="L328">
        <f t="shared" si="39"/>
        <v>8.2979867364250026E-4</v>
      </c>
      <c r="O328">
        <f t="shared" si="40"/>
        <v>75.039093690166069</v>
      </c>
      <c r="P328">
        <f t="shared" si="41"/>
        <v>1.7961514277918154E-4</v>
      </c>
    </row>
    <row r="329" spans="1:16" x14ac:dyDescent="0.25">
      <c r="A329" s="2">
        <v>16.350000000000001</v>
      </c>
      <c r="B329" s="1">
        <v>3.7679999999999998</v>
      </c>
      <c r="C329">
        <v>7.2999999999999995E-2</v>
      </c>
      <c r="H329">
        <f t="shared" si="35"/>
        <v>16.350000000000001</v>
      </c>
      <c r="I329">
        <f t="shared" si="36"/>
        <v>3.7679999999999998</v>
      </c>
      <c r="J329">
        <f t="shared" si="37"/>
        <v>6.1198811260988716E-2</v>
      </c>
      <c r="K329">
        <f t="shared" si="38"/>
        <v>75.560477024197141</v>
      </c>
      <c r="L329">
        <f t="shared" si="39"/>
        <v>8.1598415014651606E-4</v>
      </c>
      <c r="O329">
        <f t="shared" si="40"/>
        <v>75.600583434507229</v>
      </c>
      <c r="P329">
        <f t="shared" si="41"/>
        <v>1.6580061928319733E-4</v>
      </c>
    </row>
    <row r="330" spans="1:16" x14ac:dyDescent="0.25">
      <c r="A330" s="2">
        <v>16.399999999999999</v>
      </c>
      <c r="B330" s="1">
        <v>3.8279999999999998</v>
      </c>
      <c r="C330">
        <v>7.4999999999999997E-2</v>
      </c>
      <c r="H330">
        <f t="shared" si="35"/>
        <v>16.399999999999999</v>
      </c>
      <c r="I330">
        <f t="shared" si="36"/>
        <v>3.8279999999999998</v>
      </c>
      <c r="J330">
        <f t="shared" si="37"/>
        <v>6.3162721998789903E-2</v>
      </c>
      <c r="K330">
        <f t="shared" si="38"/>
        <v>76.763669333499649</v>
      </c>
      <c r="L330">
        <f t="shared" si="39"/>
        <v>8.4216962665053185E-4</v>
      </c>
      <c r="O330">
        <f t="shared" si="40"/>
        <v>76.803775743809737</v>
      </c>
      <c r="P330">
        <f t="shared" si="41"/>
        <v>1.9198609578721312E-4</v>
      </c>
    </row>
    <row r="331" spans="1:16" x14ac:dyDescent="0.25">
      <c r="A331" s="2">
        <v>16.45</v>
      </c>
      <c r="B331" s="1">
        <v>3.8730000000000002</v>
      </c>
      <c r="C331">
        <v>7.3999999999999996E-2</v>
      </c>
      <c r="H331">
        <f t="shared" si="35"/>
        <v>16.45</v>
      </c>
      <c r="I331">
        <f t="shared" si="36"/>
        <v>3.8730000000000002</v>
      </c>
      <c r="J331">
        <f t="shared" si="37"/>
        <v>6.2126632736591095E-2</v>
      </c>
      <c r="K331">
        <f t="shared" si="38"/>
        <v>77.666063565476534</v>
      </c>
      <c r="L331">
        <f t="shared" si="39"/>
        <v>8.2835510315454775E-4</v>
      </c>
      <c r="O331">
        <f t="shared" si="40"/>
        <v>77.706169975786622</v>
      </c>
      <c r="P331">
        <f t="shared" si="41"/>
        <v>1.7817157229122903E-4</v>
      </c>
    </row>
    <row r="332" spans="1:16" x14ac:dyDescent="0.25">
      <c r="A332" s="2">
        <v>16.5</v>
      </c>
      <c r="B332" s="1">
        <v>3.8889999999999998</v>
      </c>
      <c r="C332">
        <v>7.4999999999999997E-2</v>
      </c>
      <c r="H332">
        <f t="shared" si="35"/>
        <v>16.5</v>
      </c>
      <c r="I332">
        <f t="shared" si="36"/>
        <v>3.8889999999999998</v>
      </c>
      <c r="J332">
        <f t="shared" si="37"/>
        <v>6.3090543474392288E-2</v>
      </c>
      <c r="K332">
        <f t="shared" si="38"/>
        <v>77.986914847957195</v>
      </c>
      <c r="L332">
        <f t="shared" si="39"/>
        <v>8.4120724632523035E-4</v>
      </c>
      <c r="O332">
        <f t="shared" si="40"/>
        <v>78.027021258267283</v>
      </c>
      <c r="P332">
        <f t="shared" si="41"/>
        <v>1.9102371546191163E-4</v>
      </c>
    </row>
    <row r="333" spans="1:16" x14ac:dyDescent="0.25">
      <c r="A333" s="2">
        <v>16.55</v>
      </c>
      <c r="B333" s="1">
        <v>3.8889999999999998</v>
      </c>
      <c r="C333">
        <v>7.3999999999999996E-2</v>
      </c>
      <c r="H333">
        <f t="shared" si="35"/>
        <v>16.55</v>
      </c>
      <c r="I333">
        <f t="shared" si="36"/>
        <v>3.8889999999999998</v>
      </c>
      <c r="J333">
        <f t="shared" si="37"/>
        <v>6.2054454212193473E-2</v>
      </c>
      <c r="K333">
        <f t="shared" si="38"/>
        <v>77.986914847957195</v>
      </c>
      <c r="L333">
        <f t="shared" si="39"/>
        <v>8.2739272282924615E-4</v>
      </c>
      <c r="O333">
        <f t="shared" si="40"/>
        <v>78.027021258267283</v>
      </c>
      <c r="P333">
        <f t="shared" si="41"/>
        <v>1.7720919196592742E-4</v>
      </c>
    </row>
    <row r="334" spans="1:16" x14ac:dyDescent="0.25">
      <c r="A334" s="2">
        <v>16.600000000000001</v>
      </c>
      <c r="B334" s="1">
        <v>3.8879999999999999</v>
      </c>
      <c r="C334">
        <v>7.4999999999999997E-2</v>
      </c>
      <c r="H334">
        <f t="shared" si="35"/>
        <v>16.600000000000001</v>
      </c>
      <c r="I334">
        <f t="shared" si="36"/>
        <v>3.8879999999999999</v>
      </c>
      <c r="J334">
        <f t="shared" si="37"/>
        <v>6.301836494999466E-2</v>
      </c>
      <c r="K334">
        <f t="shared" si="38"/>
        <v>77.966861642802144</v>
      </c>
      <c r="L334">
        <f t="shared" si="39"/>
        <v>8.4024486599992864E-4</v>
      </c>
      <c r="O334">
        <f t="shared" si="40"/>
        <v>78.006968053112232</v>
      </c>
      <c r="P334">
        <f t="shared" si="41"/>
        <v>1.9006133513660992E-4</v>
      </c>
    </row>
    <row r="335" spans="1:16" x14ac:dyDescent="0.25">
      <c r="A335" s="2">
        <v>16.649999999999999</v>
      </c>
      <c r="B335" s="1">
        <v>3.887</v>
      </c>
      <c r="C335">
        <v>7.3999999999999996E-2</v>
      </c>
      <c r="H335">
        <f t="shared" si="35"/>
        <v>16.649999999999999</v>
      </c>
      <c r="I335">
        <f t="shared" si="36"/>
        <v>3.887</v>
      </c>
      <c r="J335">
        <f t="shared" si="37"/>
        <v>6.1982275687795851E-2</v>
      </c>
      <c r="K335">
        <f t="shared" si="38"/>
        <v>77.946808437647107</v>
      </c>
      <c r="L335">
        <f t="shared" si="39"/>
        <v>8.2643034250394455E-4</v>
      </c>
      <c r="O335">
        <f t="shared" si="40"/>
        <v>77.986914847957195</v>
      </c>
      <c r="P335">
        <f t="shared" si="41"/>
        <v>1.7624681164062582E-4</v>
      </c>
    </row>
    <row r="336" spans="1:16" x14ac:dyDescent="0.25">
      <c r="A336" s="2">
        <v>16.7</v>
      </c>
      <c r="B336" s="1">
        <v>3.8849999999999998</v>
      </c>
      <c r="C336">
        <v>7.4999999999999997E-2</v>
      </c>
      <c r="H336">
        <f t="shared" si="35"/>
        <v>16.7</v>
      </c>
      <c r="I336">
        <f t="shared" si="36"/>
        <v>3.8849999999999998</v>
      </c>
      <c r="J336">
        <f t="shared" si="37"/>
        <v>6.2946186425597045E-2</v>
      </c>
      <c r="K336">
        <f t="shared" si="38"/>
        <v>77.906702027337019</v>
      </c>
      <c r="L336">
        <f t="shared" si="39"/>
        <v>8.3928248567462715E-4</v>
      </c>
      <c r="O336">
        <f t="shared" si="40"/>
        <v>77.946808437647107</v>
      </c>
      <c r="P336">
        <f t="shared" si="41"/>
        <v>1.8909895481130843E-4</v>
      </c>
    </row>
    <row r="337" spans="1:16" x14ac:dyDescent="0.25">
      <c r="A337" s="2">
        <v>16.75</v>
      </c>
      <c r="B337" s="1">
        <v>3.915</v>
      </c>
      <c r="C337">
        <v>7.3999999999999996E-2</v>
      </c>
      <c r="H337">
        <f t="shared" si="35"/>
        <v>16.75</v>
      </c>
      <c r="I337">
        <f t="shared" si="36"/>
        <v>3.915</v>
      </c>
      <c r="J337">
        <f t="shared" si="37"/>
        <v>6.1910097163398223E-2</v>
      </c>
      <c r="K337">
        <f t="shared" si="38"/>
        <v>78.50829818198828</v>
      </c>
      <c r="L337">
        <f t="shared" si="39"/>
        <v>8.2546796217864283E-4</v>
      </c>
      <c r="O337">
        <f t="shared" si="40"/>
        <v>78.548404592298368</v>
      </c>
      <c r="P337">
        <f t="shared" si="41"/>
        <v>1.7528443131532411E-4</v>
      </c>
    </row>
    <row r="338" spans="1:16" x14ac:dyDescent="0.25">
      <c r="A338" s="2">
        <v>16.8</v>
      </c>
      <c r="B338" s="1">
        <v>4.0060000000000002</v>
      </c>
      <c r="C338">
        <v>7.4999999999999997E-2</v>
      </c>
      <c r="H338">
        <f t="shared" si="35"/>
        <v>16.8</v>
      </c>
      <c r="I338">
        <f t="shared" si="36"/>
        <v>4.0060000000000002</v>
      </c>
      <c r="J338">
        <f t="shared" si="37"/>
        <v>6.2874007901199416E-2</v>
      </c>
      <c r="K338">
        <f t="shared" si="38"/>
        <v>80.333139851097073</v>
      </c>
      <c r="L338">
        <f t="shared" si="39"/>
        <v>8.3832010534932544E-4</v>
      </c>
      <c r="O338">
        <f t="shared" si="40"/>
        <v>80.373246261407161</v>
      </c>
      <c r="P338">
        <f t="shared" si="41"/>
        <v>1.8813657448600671E-4</v>
      </c>
    </row>
    <row r="339" spans="1:16" x14ac:dyDescent="0.25">
      <c r="A339" s="2">
        <v>16.850000000000001</v>
      </c>
      <c r="B339" s="1">
        <v>4.0869999999999997</v>
      </c>
      <c r="C339">
        <v>7.4999999999999997E-2</v>
      </c>
      <c r="H339">
        <f t="shared" si="35"/>
        <v>16.850000000000001</v>
      </c>
      <c r="I339">
        <f t="shared" si="36"/>
        <v>4.0869999999999997</v>
      </c>
      <c r="J339">
        <f t="shared" si="37"/>
        <v>6.2837918639000609E-2</v>
      </c>
      <c r="K339">
        <f t="shared" si="38"/>
        <v>81.95744946865544</v>
      </c>
      <c r="L339">
        <f t="shared" si="39"/>
        <v>8.3783891518667464E-4</v>
      </c>
      <c r="O339">
        <f t="shared" si="40"/>
        <v>81.997555878965528</v>
      </c>
      <c r="P339">
        <f t="shared" si="41"/>
        <v>1.8765538432335591E-4</v>
      </c>
    </row>
    <row r="340" spans="1:16" x14ac:dyDescent="0.25">
      <c r="A340" s="2">
        <v>16.899999999999999</v>
      </c>
      <c r="B340" s="1">
        <v>4.1310000000000002</v>
      </c>
      <c r="C340">
        <v>7.5999999999999998E-2</v>
      </c>
      <c r="H340">
        <f t="shared" si="35"/>
        <v>16.899999999999999</v>
      </c>
      <c r="I340">
        <f t="shared" si="36"/>
        <v>4.1310000000000002</v>
      </c>
      <c r="J340">
        <f t="shared" si="37"/>
        <v>6.3801829376801789E-2</v>
      </c>
      <c r="K340">
        <f t="shared" si="38"/>
        <v>82.839790495477288</v>
      </c>
      <c r="L340">
        <f t="shared" si="39"/>
        <v>8.5069105835735702E-4</v>
      </c>
      <c r="O340">
        <f t="shared" si="40"/>
        <v>82.879896905787376</v>
      </c>
      <c r="P340">
        <f t="shared" si="41"/>
        <v>2.005075274940383E-4</v>
      </c>
    </row>
    <row r="341" spans="1:16" x14ac:dyDescent="0.25">
      <c r="A341" s="2">
        <v>16.95</v>
      </c>
      <c r="B341" s="1">
        <v>4.1760000000000002</v>
      </c>
      <c r="C341">
        <v>7.4999999999999997E-2</v>
      </c>
      <c r="H341">
        <f t="shared" si="35"/>
        <v>16.95</v>
      </c>
      <c r="I341">
        <f t="shared" si="36"/>
        <v>4.1760000000000002</v>
      </c>
      <c r="J341">
        <f t="shared" si="37"/>
        <v>6.276574011460298E-2</v>
      </c>
      <c r="K341">
        <f t="shared" si="38"/>
        <v>83.742184727454173</v>
      </c>
      <c r="L341">
        <f t="shared" si="39"/>
        <v>8.3687653486137293E-4</v>
      </c>
      <c r="O341">
        <f t="shared" si="40"/>
        <v>83.782291137764261</v>
      </c>
      <c r="P341">
        <f t="shared" si="41"/>
        <v>1.866930039980542E-4</v>
      </c>
    </row>
    <row r="342" spans="1:16" x14ac:dyDescent="0.25">
      <c r="A342" s="2">
        <v>17</v>
      </c>
      <c r="B342" s="1">
        <v>4.2300000000000004</v>
      </c>
      <c r="C342">
        <v>7.5999999999999998E-2</v>
      </c>
      <c r="H342">
        <f t="shared" si="35"/>
        <v>17</v>
      </c>
      <c r="I342">
        <f t="shared" si="36"/>
        <v>4.2300000000000004</v>
      </c>
      <c r="J342">
        <f t="shared" si="37"/>
        <v>6.3729650852404174E-2</v>
      </c>
      <c r="K342">
        <f t="shared" si="38"/>
        <v>84.825057805826418</v>
      </c>
      <c r="L342">
        <f t="shared" si="39"/>
        <v>8.4972867803205553E-4</v>
      </c>
      <c r="O342">
        <f t="shared" si="40"/>
        <v>84.865164216136506</v>
      </c>
      <c r="P342">
        <f t="shared" si="41"/>
        <v>1.9954514716873681E-4</v>
      </c>
    </row>
    <row r="343" spans="1:16" x14ac:dyDescent="0.25">
      <c r="A343" s="2">
        <v>17.05</v>
      </c>
      <c r="B343" s="1">
        <v>4.2670000000000003</v>
      </c>
      <c r="C343">
        <v>7.5999999999999998E-2</v>
      </c>
      <c r="H343">
        <f t="shared" si="35"/>
        <v>17.05</v>
      </c>
      <c r="I343">
        <f t="shared" si="36"/>
        <v>4.2670000000000003</v>
      </c>
      <c r="J343">
        <f t="shared" si="37"/>
        <v>6.3693561590205366E-2</v>
      </c>
      <c r="K343">
        <f t="shared" si="38"/>
        <v>85.567026396562966</v>
      </c>
      <c r="L343">
        <f t="shared" si="39"/>
        <v>8.4924748786940473E-4</v>
      </c>
      <c r="O343">
        <f t="shared" si="40"/>
        <v>85.607132806873054</v>
      </c>
      <c r="P343">
        <f t="shared" si="41"/>
        <v>1.9906395700608601E-4</v>
      </c>
    </row>
    <row r="344" spans="1:16" x14ac:dyDescent="0.25">
      <c r="A344" s="2">
        <v>17.100000000000001</v>
      </c>
      <c r="B344" s="1">
        <v>4.2930000000000001</v>
      </c>
      <c r="C344">
        <v>7.6999999999999999E-2</v>
      </c>
      <c r="H344">
        <f t="shared" si="35"/>
        <v>17.100000000000001</v>
      </c>
      <c r="I344">
        <f t="shared" si="36"/>
        <v>4.2930000000000001</v>
      </c>
      <c r="J344">
        <f t="shared" si="37"/>
        <v>6.4657472328006546E-2</v>
      </c>
      <c r="K344">
        <f t="shared" si="38"/>
        <v>86.088409730594051</v>
      </c>
      <c r="L344">
        <f t="shared" si="39"/>
        <v>8.6209963104008711E-4</v>
      </c>
      <c r="O344">
        <f t="shared" si="40"/>
        <v>86.128516140904139</v>
      </c>
      <c r="P344">
        <f t="shared" si="41"/>
        <v>2.1191610017676839E-4</v>
      </c>
    </row>
    <row r="345" spans="1:16" x14ac:dyDescent="0.25">
      <c r="A345" s="2">
        <v>17.149999999999999</v>
      </c>
      <c r="B345" s="1">
        <v>4.2939999999999996</v>
      </c>
      <c r="C345">
        <v>7.5999999999999998E-2</v>
      </c>
      <c r="H345">
        <f t="shared" si="35"/>
        <v>17.149999999999999</v>
      </c>
      <c r="I345">
        <f t="shared" si="36"/>
        <v>4.2939999999999996</v>
      </c>
      <c r="J345">
        <f t="shared" si="37"/>
        <v>6.3621383065807738E-2</v>
      </c>
      <c r="K345">
        <f t="shared" si="38"/>
        <v>86.108462935749074</v>
      </c>
      <c r="L345">
        <f t="shared" si="39"/>
        <v>8.4828510754410302E-4</v>
      </c>
      <c r="O345">
        <f t="shared" si="40"/>
        <v>86.148569346059162</v>
      </c>
      <c r="P345">
        <f t="shared" si="41"/>
        <v>1.9810157668078429E-4</v>
      </c>
    </row>
    <row r="346" spans="1:16" x14ac:dyDescent="0.25">
      <c r="A346" s="2">
        <v>17.2</v>
      </c>
      <c r="B346" s="1">
        <v>4.2930000000000001</v>
      </c>
      <c r="C346">
        <v>7.6999999999999999E-2</v>
      </c>
      <c r="H346">
        <f t="shared" si="35"/>
        <v>17.2</v>
      </c>
      <c r="I346">
        <f t="shared" si="36"/>
        <v>4.2930000000000001</v>
      </c>
      <c r="J346">
        <f t="shared" si="37"/>
        <v>6.4585293803608931E-2</v>
      </c>
      <c r="K346">
        <f t="shared" si="38"/>
        <v>86.088409730594051</v>
      </c>
      <c r="L346">
        <f t="shared" si="39"/>
        <v>8.6113725071478562E-4</v>
      </c>
      <c r="O346">
        <f t="shared" si="40"/>
        <v>86.128516140904139</v>
      </c>
      <c r="P346">
        <f t="shared" si="41"/>
        <v>2.109537198514669E-4</v>
      </c>
    </row>
    <row r="347" spans="1:16" x14ac:dyDescent="0.25">
      <c r="A347" s="2">
        <v>17.25</v>
      </c>
      <c r="B347" s="1">
        <v>4.2939999999999996</v>
      </c>
      <c r="C347">
        <v>7.5999999999999998E-2</v>
      </c>
      <c r="H347">
        <f t="shared" si="35"/>
        <v>17.25</v>
      </c>
      <c r="I347">
        <f t="shared" si="36"/>
        <v>4.2939999999999996</v>
      </c>
      <c r="J347">
        <f t="shared" si="37"/>
        <v>6.3549204541410109E-2</v>
      </c>
      <c r="K347">
        <f t="shared" si="38"/>
        <v>86.108462935749074</v>
      </c>
      <c r="L347">
        <f t="shared" si="39"/>
        <v>8.4732272721880131E-4</v>
      </c>
      <c r="O347">
        <f t="shared" si="40"/>
        <v>86.148569346059162</v>
      </c>
      <c r="P347">
        <f t="shared" si="41"/>
        <v>1.9713919635548258E-4</v>
      </c>
    </row>
    <row r="348" spans="1:16" x14ac:dyDescent="0.25">
      <c r="A348" s="2">
        <v>17.3</v>
      </c>
      <c r="B348" s="1">
        <v>4.2939999999999996</v>
      </c>
      <c r="C348">
        <v>7.6999999999999999E-2</v>
      </c>
      <c r="H348">
        <f t="shared" si="35"/>
        <v>17.3</v>
      </c>
      <c r="I348">
        <f t="shared" si="36"/>
        <v>4.2939999999999996</v>
      </c>
      <c r="J348">
        <f t="shared" si="37"/>
        <v>6.4513115279211303E-2</v>
      </c>
      <c r="K348">
        <f t="shared" si="38"/>
        <v>86.108462935749074</v>
      </c>
      <c r="L348">
        <f t="shared" si="39"/>
        <v>8.6017487038948391E-4</v>
      </c>
      <c r="O348">
        <f t="shared" si="40"/>
        <v>86.148569346059162</v>
      </c>
      <c r="P348">
        <f t="shared" si="41"/>
        <v>2.0999133952616519E-4</v>
      </c>
    </row>
    <row r="349" spans="1:16" x14ac:dyDescent="0.25">
      <c r="A349" s="2">
        <v>17.350000000000001</v>
      </c>
      <c r="B349" s="1">
        <v>4.2990000000000004</v>
      </c>
      <c r="C349">
        <v>7.5999999999999998E-2</v>
      </c>
      <c r="H349">
        <f t="shared" si="35"/>
        <v>17.350000000000001</v>
      </c>
      <c r="I349">
        <f t="shared" si="36"/>
        <v>4.2990000000000004</v>
      </c>
      <c r="J349">
        <f t="shared" si="37"/>
        <v>6.3477026017012494E-2</v>
      </c>
      <c r="K349">
        <f t="shared" si="38"/>
        <v>86.208728961524301</v>
      </c>
      <c r="L349">
        <f t="shared" si="39"/>
        <v>8.4636034689349981E-4</v>
      </c>
      <c r="O349">
        <f t="shared" si="40"/>
        <v>86.248835371834389</v>
      </c>
      <c r="P349">
        <f t="shared" si="41"/>
        <v>1.9617681603018109E-4</v>
      </c>
    </row>
    <row r="350" spans="1:16" x14ac:dyDescent="0.25">
      <c r="A350" s="2">
        <v>17.399999999999999</v>
      </c>
      <c r="B350" s="1">
        <v>4.3520000000000003</v>
      </c>
      <c r="C350">
        <v>7.6999999999999999E-2</v>
      </c>
      <c r="H350">
        <f t="shared" si="35"/>
        <v>17.399999999999999</v>
      </c>
      <c r="I350">
        <f t="shared" si="36"/>
        <v>4.3520000000000003</v>
      </c>
      <c r="J350">
        <f t="shared" si="37"/>
        <v>6.4440936754813688E-2</v>
      </c>
      <c r="K350">
        <f t="shared" si="38"/>
        <v>87.271548834741509</v>
      </c>
      <c r="L350">
        <f t="shared" si="39"/>
        <v>8.5921249006418231E-4</v>
      </c>
      <c r="O350">
        <f t="shared" si="40"/>
        <v>87.311655245051597</v>
      </c>
      <c r="P350">
        <f t="shared" si="41"/>
        <v>2.0902895920086359E-4</v>
      </c>
    </row>
    <row r="351" spans="1:16" x14ac:dyDescent="0.25">
      <c r="A351" s="2">
        <v>17.45</v>
      </c>
      <c r="B351" s="1">
        <v>4.4000000000000004</v>
      </c>
      <c r="C351">
        <v>7.5999999999999998E-2</v>
      </c>
      <c r="H351">
        <f t="shared" si="35"/>
        <v>17.45</v>
      </c>
      <c r="I351">
        <f t="shared" si="36"/>
        <v>4.4000000000000004</v>
      </c>
      <c r="J351">
        <f t="shared" si="37"/>
        <v>6.3404847492614866E-2</v>
      </c>
      <c r="K351">
        <f t="shared" si="38"/>
        <v>88.234102682183519</v>
      </c>
      <c r="L351">
        <f t="shared" si="39"/>
        <v>8.4539796656819799E-4</v>
      </c>
      <c r="O351">
        <f t="shared" si="40"/>
        <v>88.274209092493606</v>
      </c>
      <c r="P351">
        <f t="shared" si="41"/>
        <v>1.9521443570487927E-4</v>
      </c>
    </row>
    <row r="352" spans="1:16" x14ac:dyDescent="0.25">
      <c r="A352" s="2">
        <v>17.5</v>
      </c>
      <c r="B352" s="1">
        <v>4.5049999999999999</v>
      </c>
      <c r="C352">
        <v>7.8E-2</v>
      </c>
      <c r="H352">
        <f t="shared" si="35"/>
        <v>17.5</v>
      </c>
      <c r="I352">
        <f t="shared" si="36"/>
        <v>4.5049999999999999</v>
      </c>
      <c r="J352">
        <f t="shared" si="37"/>
        <v>6.536875823041606E-2</v>
      </c>
      <c r="K352">
        <f t="shared" si="38"/>
        <v>90.339689223462884</v>
      </c>
      <c r="L352">
        <f t="shared" si="39"/>
        <v>8.71583443072214E-4</v>
      </c>
      <c r="O352">
        <f t="shared" si="40"/>
        <v>90.379795633772972</v>
      </c>
      <c r="P352">
        <f t="shared" si="41"/>
        <v>2.2139991220889528E-4</v>
      </c>
    </row>
    <row r="353" spans="1:16" x14ac:dyDescent="0.25">
      <c r="A353" s="2">
        <v>17.55</v>
      </c>
      <c r="B353" s="1">
        <v>4.6020000000000003</v>
      </c>
      <c r="C353">
        <v>7.6999999999999999E-2</v>
      </c>
      <c r="H353">
        <f t="shared" si="35"/>
        <v>17.55</v>
      </c>
      <c r="I353">
        <f t="shared" si="36"/>
        <v>4.6020000000000003</v>
      </c>
      <c r="J353">
        <f t="shared" si="37"/>
        <v>6.4332668968217252E-2</v>
      </c>
      <c r="K353">
        <f t="shared" si="38"/>
        <v>92.28485012350194</v>
      </c>
      <c r="L353">
        <f t="shared" si="39"/>
        <v>8.5776891957622991E-4</v>
      </c>
      <c r="O353">
        <f t="shared" si="40"/>
        <v>92.324956533812028</v>
      </c>
      <c r="P353">
        <f t="shared" si="41"/>
        <v>2.0758538871291118E-4</v>
      </c>
    </row>
    <row r="354" spans="1:16" x14ac:dyDescent="0.25">
      <c r="A354" s="2">
        <v>17.600000000000001</v>
      </c>
      <c r="B354" s="1">
        <v>4.673</v>
      </c>
      <c r="C354">
        <v>7.9000000000000001E-2</v>
      </c>
      <c r="H354">
        <f t="shared" si="35"/>
        <v>17.600000000000001</v>
      </c>
      <c r="I354">
        <f t="shared" si="36"/>
        <v>4.673</v>
      </c>
      <c r="J354">
        <f t="shared" si="37"/>
        <v>6.6296579706018433E-2</v>
      </c>
      <c r="K354">
        <f t="shared" si="38"/>
        <v>93.708627689509896</v>
      </c>
      <c r="L354">
        <f t="shared" si="39"/>
        <v>8.8395439608024559E-4</v>
      </c>
      <c r="O354">
        <f t="shared" si="40"/>
        <v>93.748734099819984</v>
      </c>
      <c r="P354">
        <f t="shared" si="41"/>
        <v>2.3377086521692686E-4</v>
      </c>
    </row>
    <row r="355" spans="1:16" x14ac:dyDescent="0.25">
      <c r="A355" s="2">
        <v>17.649999999999999</v>
      </c>
      <c r="B355" s="1">
        <v>4.6859999999999999</v>
      </c>
      <c r="C355">
        <v>7.8E-2</v>
      </c>
      <c r="H355">
        <f t="shared" si="35"/>
        <v>17.649999999999999</v>
      </c>
      <c r="I355">
        <f t="shared" si="36"/>
        <v>4.6859999999999999</v>
      </c>
      <c r="J355">
        <f t="shared" si="37"/>
        <v>6.5260490443819624E-2</v>
      </c>
      <c r="K355">
        <f t="shared" si="38"/>
        <v>93.969319356525432</v>
      </c>
      <c r="L355">
        <f t="shared" si="39"/>
        <v>8.7013987258426149E-4</v>
      </c>
      <c r="O355">
        <f t="shared" si="40"/>
        <v>94.00942576683552</v>
      </c>
      <c r="P355">
        <f t="shared" si="41"/>
        <v>2.1995634172094277E-4</v>
      </c>
    </row>
    <row r="356" spans="1:16" x14ac:dyDescent="0.25">
      <c r="A356" s="2">
        <v>17.7</v>
      </c>
      <c r="B356" s="1">
        <v>4.6870000000000003</v>
      </c>
      <c r="C356">
        <v>7.9000000000000001E-2</v>
      </c>
      <c r="H356">
        <f t="shared" si="35"/>
        <v>17.7</v>
      </c>
      <c r="I356">
        <f t="shared" si="36"/>
        <v>4.6870000000000003</v>
      </c>
      <c r="J356">
        <f t="shared" si="37"/>
        <v>6.6224401181620818E-2</v>
      </c>
      <c r="K356">
        <f t="shared" si="38"/>
        <v>93.989372561680483</v>
      </c>
      <c r="L356">
        <f t="shared" si="39"/>
        <v>8.8299201575494409E-4</v>
      </c>
      <c r="O356">
        <f t="shared" si="40"/>
        <v>94.029478971990571</v>
      </c>
      <c r="P356">
        <f t="shared" si="41"/>
        <v>2.3280848489162537E-4</v>
      </c>
    </row>
    <row r="357" spans="1:16" x14ac:dyDescent="0.25">
      <c r="A357" s="2">
        <v>17.75</v>
      </c>
      <c r="B357" s="1">
        <v>4.6870000000000003</v>
      </c>
      <c r="C357">
        <v>7.8E-2</v>
      </c>
      <c r="H357">
        <f t="shared" si="35"/>
        <v>17.75</v>
      </c>
      <c r="I357">
        <f t="shared" si="36"/>
        <v>4.6870000000000003</v>
      </c>
      <c r="J357">
        <f t="shared" si="37"/>
        <v>6.518831191942201E-2</v>
      </c>
      <c r="K357">
        <f t="shared" si="38"/>
        <v>93.989372561680483</v>
      </c>
      <c r="L357">
        <f t="shared" si="39"/>
        <v>8.6917749225896E-4</v>
      </c>
      <c r="O357">
        <f t="shared" si="40"/>
        <v>94.029478971990571</v>
      </c>
      <c r="P357">
        <f t="shared" si="41"/>
        <v>2.1899396139564127E-4</v>
      </c>
    </row>
    <row r="358" spans="1:16" x14ac:dyDescent="0.25">
      <c r="A358" s="2">
        <v>17.8</v>
      </c>
      <c r="B358" s="1">
        <v>4.6859999999999999</v>
      </c>
      <c r="C358">
        <v>7.9000000000000001E-2</v>
      </c>
      <c r="H358">
        <f t="shared" si="35"/>
        <v>17.8</v>
      </c>
      <c r="I358">
        <f t="shared" si="36"/>
        <v>4.6859999999999999</v>
      </c>
      <c r="J358">
        <f t="shared" si="37"/>
        <v>6.6152222657223189E-2</v>
      </c>
      <c r="K358">
        <f t="shared" si="38"/>
        <v>93.969319356525432</v>
      </c>
      <c r="L358">
        <f t="shared" si="39"/>
        <v>8.8202963542964238E-4</v>
      </c>
      <c r="O358">
        <f t="shared" si="40"/>
        <v>94.00942576683552</v>
      </c>
      <c r="P358">
        <f t="shared" si="41"/>
        <v>2.3184610456632366E-4</v>
      </c>
    </row>
    <row r="359" spans="1:16" x14ac:dyDescent="0.25">
      <c r="A359" s="2">
        <v>17.850000000000001</v>
      </c>
      <c r="B359" s="1">
        <v>4.6859999999999999</v>
      </c>
      <c r="C359">
        <v>7.8E-2</v>
      </c>
      <c r="H359">
        <f t="shared" si="35"/>
        <v>17.850000000000001</v>
      </c>
      <c r="I359">
        <f t="shared" si="36"/>
        <v>4.6859999999999999</v>
      </c>
      <c r="J359">
        <f t="shared" si="37"/>
        <v>6.5116133395024381E-2</v>
      </c>
      <c r="K359">
        <f t="shared" si="38"/>
        <v>93.969319356525432</v>
      </c>
      <c r="L359">
        <f t="shared" si="39"/>
        <v>8.6821511193365829E-4</v>
      </c>
      <c r="O359">
        <f t="shared" si="40"/>
        <v>94.00942576683552</v>
      </c>
      <c r="P359">
        <f t="shared" si="41"/>
        <v>2.1803158107033956E-4</v>
      </c>
    </row>
    <row r="360" spans="1:16" x14ac:dyDescent="0.25">
      <c r="A360" s="2">
        <v>17.899999999999999</v>
      </c>
      <c r="B360" s="1">
        <v>4.6859999999999999</v>
      </c>
      <c r="C360">
        <v>7.8E-2</v>
      </c>
      <c r="H360">
        <f t="shared" si="35"/>
        <v>17.899999999999999</v>
      </c>
      <c r="I360">
        <f t="shared" si="36"/>
        <v>4.6859999999999999</v>
      </c>
      <c r="J360">
        <f t="shared" si="37"/>
        <v>6.5080044132825574E-2</v>
      </c>
      <c r="K360">
        <f t="shared" si="38"/>
        <v>93.969319356525432</v>
      </c>
      <c r="L360">
        <f t="shared" si="39"/>
        <v>8.6773392177100749E-4</v>
      </c>
      <c r="O360">
        <f t="shared" si="40"/>
        <v>94.00942576683552</v>
      </c>
      <c r="P360">
        <f t="shared" si="41"/>
        <v>2.1755039090768876E-4</v>
      </c>
    </row>
    <row r="361" spans="1:16" x14ac:dyDescent="0.25">
      <c r="A361" s="2">
        <v>17.95</v>
      </c>
      <c r="B361" s="1">
        <v>4.72</v>
      </c>
      <c r="C361">
        <v>7.8E-2</v>
      </c>
      <c r="H361">
        <f t="shared" si="35"/>
        <v>17.95</v>
      </c>
      <c r="I361">
        <f t="shared" si="36"/>
        <v>4.72</v>
      </c>
      <c r="J361">
        <f t="shared" si="37"/>
        <v>6.5043954870626766E-2</v>
      </c>
      <c r="K361">
        <f t="shared" si="38"/>
        <v>94.651128331796841</v>
      </c>
      <c r="L361">
        <f t="shared" si="39"/>
        <v>8.6725273160835668E-4</v>
      </c>
      <c r="O361">
        <f t="shared" si="40"/>
        <v>94.691234742106928</v>
      </c>
      <c r="P361">
        <f t="shared" si="41"/>
        <v>2.1706920074503796E-4</v>
      </c>
    </row>
    <row r="362" spans="1:16" x14ac:dyDescent="0.25">
      <c r="A362" s="2">
        <v>18</v>
      </c>
      <c r="B362" s="1">
        <v>4.78</v>
      </c>
      <c r="C362">
        <v>7.9000000000000001E-2</v>
      </c>
      <c r="H362">
        <f t="shared" si="35"/>
        <v>18</v>
      </c>
      <c r="I362">
        <f t="shared" si="36"/>
        <v>4.78</v>
      </c>
      <c r="J362">
        <f t="shared" si="37"/>
        <v>6.6007865608427946E-2</v>
      </c>
      <c r="K362">
        <f t="shared" si="38"/>
        <v>95.854320641099363</v>
      </c>
      <c r="L362">
        <f t="shared" si="39"/>
        <v>8.8010487477903907E-4</v>
      </c>
      <c r="O362">
        <f t="shared" si="40"/>
        <v>95.894427051409451</v>
      </c>
      <c r="P362">
        <f t="shared" si="41"/>
        <v>2.2992134391572035E-4</v>
      </c>
    </row>
    <row r="363" spans="1:16" x14ac:dyDescent="0.25">
      <c r="A363" s="2">
        <v>18.05</v>
      </c>
      <c r="B363" s="1">
        <v>4.8259999999999996</v>
      </c>
      <c r="C363">
        <v>7.8E-2</v>
      </c>
      <c r="H363">
        <f t="shared" si="35"/>
        <v>18.05</v>
      </c>
      <c r="I363">
        <f t="shared" si="36"/>
        <v>4.8259999999999996</v>
      </c>
      <c r="J363">
        <f t="shared" si="37"/>
        <v>6.4971776346229138E-2</v>
      </c>
      <c r="K363">
        <f t="shared" si="38"/>
        <v>96.776768078231271</v>
      </c>
      <c r="L363">
        <f t="shared" si="39"/>
        <v>8.6629035128305497E-4</v>
      </c>
      <c r="O363">
        <f t="shared" si="40"/>
        <v>96.816874488541359</v>
      </c>
      <c r="P363">
        <f t="shared" si="41"/>
        <v>2.1610682041973625E-4</v>
      </c>
    </row>
    <row r="364" spans="1:16" x14ac:dyDescent="0.25">
      <c r="A364" s="2">
        <v>18.100000000000001</v>
      </c>
      <c r="B364" s="1">
        <v>4.9569999999999999</v>
      </c>
      <c r="C364">
        <v>0.08</v>
      </c>
      <c r="H364">
        <f t="shared" si="35"/>
        <v>18.100000000000001</v>
      </c>
      <c r="I364">
        <f t="shared" si="36"/>
        <v>4.9569999999999999</v>
      </c>
      <c r="J364">
        <f t="shared" si="37"/>
        <v>6.6935687084030332E-2</v>
      </c>
      <c r="K364">
        <f t="shared" si="38"/>
        <v>99.403737953541736</v>
      </c>
      <c r="L364">
        <f t="shared" si="39"/>
        <v>8.9247582778707087E-4</v>
      </c>
      <c r="O364">
        <f t="shared" si="40"/>
        <v>99.443844363851824</v>
      </c>
      <c r="P364">
        <f t="shared" si="41"/>
        <v>2.4229229692375215E-4</v>
      </c>
    </row>
    <row r="365" spans="1:16" x14ac:dyDescent="0.25">
      <c r="A365" s="2">
        <v>18.149999999999999</v>
      </c>
      <c r="B365" s="1">
        <v>5.0620000000000003</v>
      </c>
      <c r="C365">
        <v>7.9000000000000001E-2</v>
      </c>
      <c r="H365">
        <f t="shared" si="35"/>
        <v>18.149999999999999</v>
      </c>
      <c r="I365">
        <f t="shared" si="36"/>
        <v>5.0620000000000003</v>
      </c>
      <c r="J365">
        <f t="shared" si="37"/>
        <v>6.5899597821831524E-2</v>
      </c>
      <c r="K365">
        <f t="shared" si="38"/>
        <v>101.50932449482112</v>
      </c>
      <c r="L365">
        <f t="shared" si="39"/>
        <v>8.7866130429108678E-4</v>
      </c>
      <c r="O365">
        <f t="shared" si="40"/>
        <v>101.5494309051312</v>
      </c>
      <c r="P365">
        <f t="shared" si="41"/>
        <v>2.2847777342776805E-4</v>
      </c>
    </row>
    <row r="366" spans="1:16" x14ac:dyDescent="0.25">
      <c r="A366" s="2">
        <v>18.2</v>
      </c>
      <c r="B366" s="1">
        <v>5.1180000000000003</v>
      </c>
      <c r="C366">
        <v>0.08</v>
      </c>
      <c r="H366">
        <f t="shared" si="35"/>
        <v>18.2</v>
      </c>
      <c r="I366">
        <f t="shared" si="36"/>
        <v>5.1180000000000003</v>
      </c>
      <c r="J366">
        <f t="shared" si="37"/>
        <v>6.6863508559632703E-2</v>
      </c>
      <c r="K366">
        <f t="shared" si="38"/>
        <v>102.63230398350346</v>
      </c>
      <c r="L366">
        <f t="shared" si="39"/>
        <v>8.9151344746176916E-4</v>
      </c>
      <c r="O366">
        <f t="shared" si="40"/>
        <v>102.67241039381355</v>
      </c>
      <c r="P366">
        <f t="shared" si="41"/>
        <v>2.4132991659845044E-4</v>
      </c>
    </row>
    <row r="367" spans="1:16" x14ac:dyDescent="0.25">
      <c r="A367" s="2">
        <v>18.25</v>
      </c>
      <c r="B367" s="1">
        <v>5.1180000000000003</v>
      </c>
      <c r="C367">
        <v>7.9000000000000001E-2</v>
      </c>
      <c r="H367">
        <f t="shared" si="35"/>
        <v>18.25</v>
      </c>
      <c r="I367">
        <f t="shared" si="36"/>
        <v>5.1180000000000003</v>
      </c>
      <c r="J367">
        <f t="shared" si="37"/>
        <v>6.5827419297433895E-2</v>
      </c>
      <c r="K367">
        <f t="shared" si="38"/>
        <v>102.63230398350346</v>
      </c>
      <c r="L367">
        <f t="shared" si="39"/>
        <v>8.7769892396578507E-4</v>
      </c>
      <c r="O367">
        <f t="shared" si="40"/>
        <v>102.67241039381355</v>
      </c>
      <c r="P367">
        <f t="shared" si="41"/>
        <v>2.2751539310246634E-4</v>
      </c>
    </row>
    <row r="368" spans="1:16" x14ac:dyDescent="0.25">
      <c r="A368" s="2">
        <v>18.3</v>
      </c>
      <c r="B368" s="1">
        <v>5.1180000000000003</v>
      </c>
      <c r="C368">
        <v>0.08</v>
      </c>
      <c r="H368">
        <f t="shared" si="35"/>
        <v>18.3</v>
      </c>
      <c r="I368">
        <f t="shared" si="36"/>
        <v>5.1180000000000003</v>
      </c>
      <c r="J368">
        <f t="shared" si="37"/>
        <v>6.6791330035235089E-2</v>
      </c>
      <c r="K368">
        <f t="shared" si="38"/>
        <v>102.63230398350346</v>
      </c>
      <c r="L368">
        <f t="shared" si="39"/>
        <v>8.9055106713646767E-4</v>
      </c>
      <c r="O368">
        <f t="shared" si="40"/>
        <v>102.67241039381355</v>
      </c>
      <c r="P368">
        <f t="shared" si="41"/>
        <v>2.4036753627314895E-4</v>
      </c>
    </row>
    <row r="369" spans="1:16" x14ac:dyDescent="0.25">
      <c r="A369" s="2">
        <v>18.350000000000001</v>
      </c>
      <c r="B369" s="1">
        <v>5.1180000000000003</v>
      </c>
      <c r="C369">
        <v>7.9000000000000001E-2</v>
      </c>
      <c r="H369">
        <f t="shared" si="35"/>
        <v>18.350000000000001</v>
      </c>
      <c r="I369">
        <f t="shared" si="36"/>
        <v>5.1180000000000003</v>
      </c>
      <c r="J369">
        <f t="shared" si="37"/>
        <v>6.5755240773036266E-2</v>
      </c>
      <c r="K369">
        <f t="shared" si="38"/>
        <v>102.63230398350346</v>
      </c>
      <c r="L369">
        <f t="shared" si="39"/>
        <v>8.7673654364048335E-4</v>
      </c>
      <c r="O369">
        <f t="shared" si="40"/>
        <v>102.67241039381355</v>
      </c>
      <c r="P369">
        <f t="shared" si="41"/>
        <v>2.2655301277716463E-4</v>
      </c>
    </row>
    <row r="370" spans="1:16" x14ac:dyDescent="0.25">
      <c r="A370" s="2">
        <v>18.399999999999999</v>
      </c>
      <c r="B370" s="1">
        <v>5.1180000000000003</v>
      </c>
      <c r="C370">
        <v>0.08</v>
      </c>
      <c r="H370">
        <f t="shared" si="35"/>
        <v>18.399999999999999</v>
      </c>
      <c r="I370">
        <f t="shared" si="36"/>
        <v>5.1180000000000003</v>
      </c>
      <c r="J370">
        <f t="shared" si="37"/>
        <v>6.671915151083746E-2</v>
      </c>
      <c r="K370">
        <f t="shared" si="38"/>
        <v>102.63230398350346</v>
      </c>
      <c r="L370">
        <f t="shared" si="39"/>
        <v>8.8958868681116596E-4</v>
      </c>
      <c r="O370">
        <f t="shared" si="40"/>
        <v>102.67241039381355</v>
      </c>
      <c r="P370">
        <f t="shared" si="41"/>
        <v>2.3940515594784724E-4</v>
      </c>
    </row>
    <row r="371" spans="1:16" x14ac:dyDescent="0.25">
      <c r="A371" s="2">
        <v>18.45</v>
      </c>
      <c r="B371" s="1">
        <v>5.1210000000000004</v>
      </c>
      <c r="C371">
        <v>7.9000000000000001E-2</v>
      </c>
      <c r="H371">
        <f t="shared" si="35"/>
        <v>18.45</v>
      </c>
      <c r="I371">
        <f t="shared" si="36"/>
        <v>5.1210000000000004</v>
      </c>
      <c r="J371">
        <f t="shared" si="37"/>
        <v>6.5683062248638652E-2</v>
      </c>
      <c r="K371">
        <f t="shared" si="38"/>
        <v>102.69246359896859</v>
      </c>
      <c r="L371">
        <f t="shared" si="39"/>
        <v>8.7577416331518186E-4</v>
      </c>
      <c r="O371">
        <f t="shared" si="40"/>
        <v>102.73257000927867</v>
      </c>
      <c r="P371">
        <f t="shared" si="41"/>
        <v>2.2559063245186314E-4</v>
      </c>
    </row>
    <row r="372" spans="1:16" x14ac:dyDescent="0.25">
      <c r="A372" s="2">
        <v>18.5</v>
      </c>
      <c r="B372" s="1">
        <v>5.1689999999999996</v>
      </c>
      <c r="C372">
        <v>8.1000000000000003E-2</v>
      </c>
      <c r="H372">
        <f t="shared" si="35"/>
        <v>18.5</v>
      </c>
      <c r="I372">
        <f t="shared" si="36"/>
        <v>5.1689999999999996</v>
      </c>
      <c r="J372">
        <f t="shared" si="37"/>
        <v>6.7646972986439846E-2</v>
      </c>
      <c r="K372">
        <f t="shared" si="38"/>
        <v>103.65501744641057</v>
      </c>
      <c r="L372">
        <f t="shared" si="39"/>
        <v>9.0195963981919776E-4</v>
      </c>
      <c r="O372">
        <f t="shared" si="40"/>
        <v>103.69512385672066</v>
      </c>
      <c r="P372">
        <f t="shared" si="41"/>
        <v>2.5177610895587904E-4</v>
      </c>
    </row>
    <row r="373" spans="1:16" x14ac:dyDescent="0.25">
      <c r="A373" s="2">
        <v>18.55</v>
      </c>
      <c r="B373" s="1">
        <v>5.226</v>
      </c>
      <c r="C373">
        <v>0.08</v>
      </c>
      <c r="H373">
        <f t="shared" si="35"/>
        <v>18.55</v>
      </c>
      <c r="I373">
        <f t="shared" si="36"/>
        <v>5.226</v>
      </c>
      <c r="J373">
        <f t="shared" si="37"/>
        <v>6.6610883724241024E-2</v>
      </c>
      <c r="K373">
        <f t="shared" si="38"/>
        <v>104.79805014024795</v>
      </c>
      <c r="L373">
        <f t="shared" si="39"/>
        <v>8.8814511632321345E-4</v>
      </c>
      <c r="O373">
        <f t="shared" si="40"/>
        <v>104.83815655055804</v>
      </c>
      <c r="P373">
        <f t="shared" si="41"/>
        <v>2.3796158545989472E-4</v>
      </c>
    </row>
    <row r="374" spans="1:16" x14ac:dyDescent="0.25">
      <c r="A374" s="2">
        <v>18.600000000000001</v>
      </c>
      <c r="B374" s="1">
        <v>5.2629999999999999</v>
      </c>
      <c r="C374">
        <v>8.1000000000000003E-2</v>
      </c>
      <c r="H374">
        <f t="shared" si="35"/>
        <v>18.600000000000001</v>
      </c>
      <c r="I374">
        <f t="shared" si="36"/>
        <v>5.2629999999999999</v>
      </c>
      <c r="J374">
        <f t="shared" si="37"/>
        <v>6.7574794462042218E-2</v>
      </c>
      <c r="K374">
        <f t="shared" si="38"/>
        <v>105.5400187309845</v>
      </c>
      <c r="L374">
        <f t="shared" si="39"/>
        <v>9.0099725949389605E-4</v>
      </c>
      <c r="O374">
        <f t="shared" si="40"/>
        <v>105.58012514129459</v>
      </c>
      <c r="P374">
        <f t="shared" si="41"/>
        <v>2.5081372863057733E-4</v>
      </c>
    </row>
    <row r="375" spans="1:16" x14ac:dyDescent="0.25">
      <c r="A375" s="2">
        <v>18.649999999999999</v>
      </c>
      <c r="B375" s="1">
        <v>5.3129999999999997</v>
      </c>
      <c r="C375">
        <v>8.1000000000000003E-2</v>
      </c>
      <c r="H375">
        <f t="shared" si="35"/>
        <v>18.649999999999999</v>
      </c>
      <c r="I375">
        <f t="shared" si="36"/>
        <v>5.3129999999999997</v>
      </c>
      <c r="J375">
        <f t="shared" si="37"/>
        <v>6.753870519984341E-2</v>
      </c>
      <c r="K375">
        <f t="shared" si="38"/>
        <v>106.54267898873658</v>
      </c>
      <c r="L375">
        <f t="shared" si="39"/>
        <v>9.0051606933124525E-4</v>
      </c>
      <c r="O375">
        <f t="shared" si="40"/>
        <v>106.58278539904667</v>
      </c>
      <c r="P375">
        <f t="shared" si="41"/>
        <v>2.5033253846792653E-4</v>
      </c>
    </row>
    <row r="376" spans="1:16" x14ac:dyDescent="0.25">
      <c r="A376" s="2">
        <v>18.7</v>
      </c>
      <c r="B376" s="1">
        <v>5.399</v>
      </c>
      <c r="C376">
        <v>8.2000000000000003E-2</v>
      </c>
      <c r="H376">
        <f t="shared" si="35"/>
        <v>18.7</v>
      </c>
      <c r="I376">
        <f t="shared" si="36"/>
        <v>5.399</v>
      </c>
      <c r="J376">
        <f t="shared" si="37"/>
        <v>6.850261593764459E-2</v>
      </c>
      <c r="K376">
        <f t="shared" si="38"/>
        <v>108.26725463207018</v>
      </c>
      <c r="L376">
        <f t="shared" si="39"/>
        <v>9.1336821250192764E-4</v>
      </c>
      <c r="O376">
        <f t="shared" si="40"/>
        <v>108.30736104238026</v>
      </c>
      <c r="P376">
        <f t="shared" si="41"/>
        <v>2.6318468163860891E-4</v>
      </c>
    </row>
    <row r="377" spans="1:16" x14ac:dyDescent="0.25">
      <c r="A377" s="2">
        <v>18.75</v>
      </c>
      <c r="B377" s="1">
        <v>5.4960000000000004</v>
      </c>
      <c r="C377">
        <v>8.1000000000000003E-2</v>
      </c>
      <c r="H377">
        <f t="shared" si="35"/>
        <v>18.75</v>
      </c>
      <c r="I377">
        <f t="shared" si="36"/>
        <v>5.4960000000000004</v>
      </c>
      <c r="J377">
        <f t="shared" si="37"/>
        <v>6.7466526675445782E-2</v>
      </c>
      <c r="K377">
        <f t="shared" si="38"/>
        <v>110.21241553210922</v>
      </c>
      <c r="L377">
        <f t="shared" si="39"/>
        <v>8.9955368900594354E-4</v>
      </c>
      <c r="O377">
        <f t="shared" si="40"/>
        <v>110.25252194241931</v>
      </c>
      <c r="P377">
        <f t="shared" si="41"/>
        <v>2.4937015814262482E-4</v>
      </c>
    </row>
    <row r="378" spans="1:16" x14ac:dyDescent="0.25">
      <c r="A378" s="2">
        <v>18.8</v>
      </c>
      <c r="B378" s="1">
        <v>5.5469999999999997</v>
      </c>
      <c r="C378">
        <v>8.2000000000000003E-2</v>
      </c>
      <c r="H378">
        <f t="shared" si="35"/>
        <v>18.8</v>
      </c>
      <c r="I378">
        <f t="shared" si="36"/>
        <v>5.5469999999999997</v>
      </c>
      <c r="J378">
        <f t="shared" si="37"/>
        <v>6.8430437413246975E-2</v>
      </c>
      <c r="K378">
        <f t="shared" si="38"/>
        <v>111.23512899501634</v>
      </c>
      <c r="L378">
        <f t="shared" si="39"/>
        <v>9.1240583217662614E-4</v>
      </c>
      <c r="O378">
        <f t="shared" si="40"/>
        <v>111.27523540532643</v>
      </c>
      <c r="P378">
        <f t="shared" si="41"/>
        <v>2.6222230131330742E-4</v>
      </c>
    </row>
    <row r="379" spans="1:16" x14ac:dyDescent="0.25">
      <c r="A379" s="2">
        <v>18.850000000000001</v>
      </c>
      <c r="B379" s="1">
        <v>5.617</v>
      </c>
      <c r="C379">
        <v>8.2000000000000003E-2</v>
      </c>
      <c r="H379">
        <f t="shared" si="35"/>
        <v>18.850000000000001</v>
      </c>
      <c r="I379">
        <f t="shared" si="36"/>
        <v>5.617</v>
      </c>
      <c r="J379">
        <f t="shared" si="37"/>
        <v>6.8394348151048168E-2</v>
      </c>
      <c r="K379">
        <f t="shared" si="38"/>
        <v>112.63885335586926</v>
      </c>
      <c r="L379">
        <f t="shared" si="39"/>
        <v>9.1192464201397534E-4</v>
      </c>
      <c r="O379">
        <f t="shared" si="40"/>
        <v>112.67895976617935</v>
      </c>
      <c r="P379">
        <f t="shared" si="41"/>
        <v>2.6174111115065662E-4</v>
      </c>
    </row>
    <row r="380" spans="1:16" x14ac:dyDescent="0.25">
      <c r="A380" s="2">
        <v>18.899999999999999</v>
      </c>
      <c r="B380" s="1">
        <v>5.6390000000000002</v>
      </c>
      <c r="C380">
        <v>8.3000000000000004E-2</v>
      </c>
      <c r="H380">
        <f t="shared" si="35"/>
        <v>18.899999999999999</v>
      </c>
      <c r="I380">
        <f t="shared" si="36"/>
        <v>5.6390000000000002</v>
      </c>
      <c r="J380">
        <f t="shared" si="37"/>
        <v>6.9358258888849347E-2</v>
      </c>
      <c r="K380">
        <f t="shared" si="38"/>
        <v>113.08002386928018</v>
      </c>
      <c r="L380">
        <f t="shared" si="39"/>
        <v>9.2477678518465784E-4</v>
      </c>
      <c r="O380">
        <f t="shared" si="40"/>
        <v>113.12013027959027</v>
      </c>
      <c r="P380">
        <f t="shared" si="41"/>
        <v>2.7459325432133911E-4</v>
      </c>
    </row>
    <row r="381" spans="1:16" x14ac:dyDescent="0.25">
      <c r="A381" s="2">
        <v>18.95</v>
      </c>
      <c r="B381" s="1">
        <v>5.6390000000000002</v>
      </c>
      <c r="C381">
        <v>8.2000000000000003E-2</v>
      </c>
      <c r="H381">
        <f t="shared" si="35"/>
        <v>18.95</v>
      </c>
      <c r="I381">
        <f t="shared" si="36"/>
        <v>5.6390000000000002</v>
      </c>
      <c r="J381">
        <f t="shared" si="37"/>
        <v>6.8322169626650539E-2</v>
      </c>
      <c r="K381">
        <f t="shared" si="38"/>
        <v>113.08002386928018</v>
      </c>
      <c r="L381">
        <f t="shared" si="39"/>
        <v>9.1096226168867363E-4</v>
      </c>
      <c r="O381">
        <f t="shared" si="40"/>
        <v>113.12013027959027</v>
      </c>
      <c r="P381">
        <f t="shared" si="41"/>
        <v>2.6077873082535491E-4</v>
      </c>
    </row>
    <row r="382" spans="1:16" x14ac:dyDescent="0.25">
      <c r="A382" s="2">
        <v>19</v>
      </c>
      <c r="B382" s="1">
        <v>5.6390000000000002</v>
      </c>
      <c r="C382">
        <v>8.3000000000000004E-2</v>
      </c>
      <c r="H382">
        <f t="shared" si="35"/>
        <v>19</v>
      </c>
      <c r="I382">
        <f t="shared" si="36"/>
        <v>5.6390000000000002</v>
      </c>
      <c r="J382">
        <f t="shared" si="37"/>
        <v>6.9286080364451733E-2</v>
      </c>
      <c r="K382">
        <f t="shared" si="38"/>
        <v>113.08002386928018</v>
      </c>
      <c r="L382">
        <f t="shared" si="39"/>
        <v>9.2381440485935623E-4</v>
      </c>
      <c r="O382">
        <f t="shared" si="40"/>
        <v>113.12013027959027</v>
      </c>
      <c r="P382">
        <f t="shared" si="41"/>
        <v>2.7363087399603751E-4</v>
      </c>
    </row>
    <row r="383" spans="1:16" x14ac:dyDescent="0.25">
      <c r="A383" s="2">
        <v>19.05</v>
      </c>
      <c r="B383" s="1">
        <v>5.6390000000000002</v>
      </c>
      <c r="C383">
        <v>8.2000000000000003E-2</v>
      </c>
      <c r="H383">
        <f t="shared" si="35"/>
        <v>19.05</v>
      </c>
      <c r="I383">
        <f t="shared" si="36"/>
        <v>5.6390000000000002</v>
      </c>
      <c r="J383">
        <f t="shared" si="37"/>
        <v>6.824999110225291E-2</v>
      </c>
      <c r="K383">
        <f t="shared" si="38"/>
        <v>113.08002386928018</v>
      </c>
      <c r="L383">
        <f t="shared" si="39"/>
        <v>9.0999988136337192E-4</v>
      </c>
      <c r="O383">
        <f t="shared" si="40"/>
        <v>113.12013027959027</v>
      </c>
      <c r="P383">
        <f t="shared" si="41"/>
        <v>2.598163505000532E-4</v>
      </c>
    </row>
    <row r="384" spans="1:16" x14ac:dyDescent="0.25">
      <c r="A384" s="2">
        <v>19.100000000000001</v>
      </c>
      <c r="B384" s="1">
        <v>5.6429999999999998</v>
      </c>
      <c r="C384">
        <v>8.3000000000000004E-2</v>
      </c>
      <c r="H384">
        <f t="shared" si="35"/>
        <v>19.100000000000001</v>
      </c>
      <c r="I384">
        <f t="shared" si="36"/>
        <v>5.6429999999999998</v>
      </c>
      <c r="J384">
        <f t="shared" si="37"/>
        <v>6.9213901840054104E-2</v>
      </c>
      <c r="K384">
        <f t="shared" si="38"/>
        <v>113.16023668990034</v>
      </c>
      <c r="L384">
        <f t="shared" si="39"/>
        <v>9.2285202453405452E-4</v>
      </c>
      <c r="O384">
        <f t="shared" si="40"/>
        <v>113.20034310021043</v>
      </c>
      <c r="P384">
        <f t="shared" si="41"/>
        <v>2.726684936707358E-4</v>
      </c>
    </row>
    <row r="385" spans="1:16" x14ac:dyDescent="0.25">
      <c r="A385" s="2">
        <v>19.149999999999999</v>
      </c>
      <c r="B385" s="1">
        <v>5.66</v>
      </c>
      <c r="C385">
        <v>8.2000000000000003E-2</v>
      </c>
      <c r="H385">
        <f t="shared" si="35"/>
        <v>19.149999999999999</v>
      </c>
      <c r="I385">
        <f t="shared" si="36"/>
        <v>5.66</v>
      </c>
      <c r="J385">
        <f t="shared" si="37"/>
        <v>6.8177812577855296E-2</v>
      </c>
      <c r="K385">
        <f t="shared" si="38"/>
        <v>113.50114117753606</v>
      </c>
      <c r="L385">
        <f t="shared" si="39"/>
        <v>9.0903750103807043E-4</v>
      </c>
      <c r="O385">
        <f t="shared" si="40"/>
        <v>113.54124758784614</v>
      </c>
      <c r="P385">
        <f t="shared" si="41"/>
        <v>2.588539701747517E-4</v>
      </c>
    </row>
    <row r="386" spans="1:16" x14ac:dyDescent="0.25">
      <c r="A386" s="2">
        <v>19.2</v>
      </c>
      <c r="B386" s="1">
        <v>5.73</v>
      </c>
      <c r="C386">
        <v>8.3000000000000004E-2</v>
      </c>
      <c r="H386">
        <f t="shared" si="35"/>
        <v>19.2</v>
      </c>
      <c r="I386">
        <f t="shared" si="36"/>
        <v>5.73</v>
      </c>
      <c r="J386">
        <f t="shared" si="37"/>
        <v>6.9141723315656489E-2</v>
      </c>
      <c r="K386">
        <f t="shared" si="38"/>
        <v>114.90486553838899</v>
      </c>
      <c r="L386">
        <f t="shared" si="39"/>
        <v>9.2188964420875303E-4</v>
      </c>
      <c r="O386">
        <f t="shared" si="40"/>
        <v>114.94497194869908</v>
      </c>
      <c r="P386">
        <f t="shared" si="41"/>
        <v>2.7170611334543431E-4</v>
      </c>
    </row>
    <row r="387" spans="1:16" x14ac:dyDescent="0.25">
      <c r="A387" s="2">
        <v>19.25</v>
      </c>
      <c r="B387" s="1">
        <v>5.7670000000000003</v>
      </c>
      <c r="C387">
        <v>8.2000000000000003E-2</v>
      </c>
      <c r="H387">
        <f t="shared" ref="H387:H450" si="42">A387</f>
        <v>19.25</v>
      </c>
      <c r="I387">
        <f t="shared" ref="I387:I450" si="43">B387</f>
        <v>5.7670000000000003</v>
      </c>
      <c r="J387">
        <f t="shared" ref="J387:J450" si="44">C387-E$12*A387</f>
        <v>6.8105634053457667E-2</v>
      </c>
      <c r="K387">
        <f t="shared" ref="K387:K450" si="45">F$24*I387</f>
        <v>115.64683412912552</v>
      </c>
      <c r="L387">
        <f t="shared" ref="L387:L450" si="46">F$25*J387</f>
        <v>9.0807512071276872E-4</v>
      </c>
      <c r="O387">
        <f t="shared" ref="O387:O450" si="47">K387-N$12</f>
        <v>115.68694053943561</v>
      </c>
      <c r="P387">
        <f t="shared" ref="P387:P450" si="48">L387-N$15</f>
        <v>2.5789158984944999E-4</v>
      </c>
    </row>
    <row r="388" spans="1:16" x14ac:dyDescent="0.25">
      <c r="A388" s="2">
        <v>19.3</v>
      </c>
      <c r="B388" s="1">
        <v>5.8040000000000003</v>
      </c>
      <c r="C388">
        <v>8.4000000000000005E-2</v>
      </c>
      <c r="H388">
        <f t="shared" si="42"/>
        <v>19.3</v>
      </c>
      <c r="I388">
        <f t="shared" si="43"/>
        <v>5.8040000000000003</v>
      </c>
      <c r="J388">
        <f t="shared" si="44"/>
        <v>7.0069544791258861E-2</v>
      </c>
      <c r="K388">
        <f t="shared" si="45"/>
        <v>116.38880271986207</v>
      </c>
      <c r="L388">
        <f t="shared" si="46"/>
        <v>9.3426059721678461E-4</v>
      </c>
      <c r="O388">
        <f t="shared" si="47"/>
        <v>116.42890913017216</v>
      </c>
      <c r="P388">
        <f t="shared" si="48"/>
        <v>2.8407706635346589E-4</v>
      </c>
    </row>
    <row r="389" spans="1:16" x14ac:dyDescent="0.25">
      <c r="A389" s="2">
        <v>19.350000000000001</v>
      </c>
      <c r="B389" s="1">
        <v>5.9359999999999999</v>
      </c>
      <c r="C389">
        <v>8.3000000000000004E-2</v>
      </c>
      <c r="H389">
        <f t="shared" si="42"/>
        <v>19.350000000000001</v>
      </c>
      <c r="I389">
        <f t="shared" si="43"/>
        <v>5.9359999999999999</v>
      </c>
      <c r="J389">
        <f t="shared" si="44"/>
        <v>6.9033455529060053E-2</v>
      </c>
      <c r="K389">
        <f t="shared" si="45"/>
        <v>119.03582580032756</v>
      </c>
      <c r="L389">
        <f t="shared" si="46"/>
        <v>9.2044607372080052E-4</v>
      </c>
      <c r="O389">
        <f t="shared" si="47"/>
        <v>119.07593221063765</v>
      </c>
      <c r="P389">
        <f t="shared" si="48"/>
        <v>2.7026254285748179E-4</v>
      </c>
    </row>
    <row r="390" spans="1:16" x14ac:dyDescent="0.25">
      <c r="A390" s="2">
        <v>19.399999999999999</v>
      </c>
      <c r="B390" s="1">
        <v>6.0380000000000003</v>
      </c>
      <c r="C390">
        <v>8.4000000000000005E-2</v>
      </c>
      <c r="H390">
        <f t="shared" si="42"/>
        <v>19.399999999999999</v>
      </c>
      <c r="I390">
        <f t="shared" si="43"/>
        <v>6.0380000000000003</v>
      </c>
      <c r="J390">
        <f t="shared" si="44"/>
        <v>6.9997366266861233E-2</v>
      </c>
      <c r="K390">
        <f t="shared" si="45"/>
        <v>121.08125272614183</v>
      </c>
      <c r="L390">
        <f t="shared" si="46"/>
        <v>9.332982168914829E-4</v>
      </c>
      <c r="O390">
        <f t="shared" si="47"/>
        <v>121.12135913645191</v>
      </c>
      <c r="P390">
        <f t="shared" si="48"/>
        <v>2.8311468602816418E-4</v>
      </c>
    </row>
    <row r="391" spans="1:16" x14ac:dyDescent="0.25">
      <c r="A391" s="2">
        <v>19.45</v>
      </c>
      <c r="B391" s="1">
        <v>6.173</v>
      </c>
      <c r="C391">
        <v>8.4000000000000005E-2</v>
      </c>
      <c r="H391">
        <f t="shared" si="42"/>
        <v>19.45</v>
      </c>
      <c r="I391">
        <f t="shared" si="43"/>
        <v>6.173</v>
      </c>
      <c r="J391">
        <f t="shared" si="44"/>
        <v>6.9961277004662425E-2</v>
      </c>
      <c r="K391">
        <f t="shared" si="45"/>
        <v>123.78843542207245</v>
      </c>
      <c r="L391">
        <f t="shared" si="46"/>
        <v>9.328170267288321E-4</v>
      </c>
      <c r="O391">
        <f t="shared" si="47"/>
        <v>123.82854183238254</v>
      </c>
      <c r="P391">
        <f t="shared" si="48"/>
        <v>2.8263349586551338E-4</v>
      </c>
    </row>
    <row r="392" spans="1:16" x14ac:dyDescent="0.25">
      <c r="A392" s="2">
        <v>19.5</v>
      </c>
      <c r="B392" s="1">
        <v>6.1879999999999997</v>
      </c>
      <c r="C392">
        <v>8.5000000000000006E-2</v>
      </c>
      <c r="H392">
        <f t="shared" si="42"/>
        <v>19.5</v>
      </c>
      <c r="I392">
        <f t="shared" si="43"/>
        <v>6.1879999999999997</v>
      </c>
      <c r="J392">
        <f t="shared" si="44"/>
        <v>7.0925187742463619E-2</v>
      </c>
      <c r="K392">
        <f t="shared" si="45"/>
        <v>124.08923349939808</v>
      </c>
      <c r="L392">
        <f t="shared" si="46"/>
        <v>9.4566916989951471E-4</v>
      </c>
      <c r="O392">
        <f t="shared" si="47"/>
        <v>124.12933990970816</v>
      </c>
      <c r="P392">
        <f t="shared" si="48"/>
        <v>2.9548563903619598E-4</v>
      </c>
    </row>
    <row r="393" spans="1:16" x14ac:dyDescent="0.25">
      <c r="A393" s="2">
        <v>19.55</v>
      </c>
      <c r="B393" s="1">
        <v>6.1859999999999999</v>
      </c>
      <c r="C393">
        <v>8.4000000000000005E-2</v>
      </c>
      <c r="H393">
        <f t="shared" si="42"/>
        <v>19.55</v>
      </c>
      <c r="I393">
        <f t="shared" si="43"/>
        <v>6.1859999999999999</v>
      </c>
      <c r="J393">
        <f t="shared" si="44"/>
        <v>6.9889098480264811E-2</v>
      </c>
      <c r="K393">
        <f t="shared" si="45"/>
        <v>124.04912708908799</v>
      </c>
      <c r="L393">
        <f t="shared" si="46"/>
        <v>9.3185464640353061E-4</v>
      </c>
      <c r="O393">
        <f t="shared" si="47"/>
        <v>124.08923349939808</v>
      </c>
      <c r="P393">
        <f t="shared" si="48"/>
        <v>2.8167111554021189E-4</v>
      </c>
    </row>
    <row r="394" spans="1:16" x14ac:dyDescent="0.25">
      <c r="A394" s="2">
        <v>19.600000000000001</v>
      </c>
      <c r="B394" s="1">
        <v>6.1870000000000003</v>
      </c>
      <c r="C394">
        <v>8.5000000000000006E-2</v>
      </c>
      <c r="H394">
        <f t="shared" si="42"/>
        <v>19.600000000000001</v>
      </c>
      <c r="I394">
        <f t="shared" si="43"/>
        <v>6.1870000000000003</v>
      </c>
      <c r="J394">
        <f t="shared" si="44"/>
        <v>7.085300921806599E-2</v>
      </c>
      <c r="K394">
        <f t="shared" si="45"/>
        <v>124.06918029424304</v>
      </c>
      <c r="L394">
        <f t="shared" si="46"/>
        <v>9.44706789574213E-4</v>
      </c>
      <c r="O394">
        <f t="shared" si="47"/>
        <v>124.10928670455313</v>
      </c>
      <c r="P394">
        <f t="shared" si="48"/>
        <v>2.9452325871089427E-4</v>
      </c>
    </row>
    <row r="395" spans="1:16" x14ac:dyDescent="0.25">
      <c r="A395" s="2">
        <v>19.649999999999999</v>
      </c>
      <c r="B395" s="1">
        <v>6.1859999999999999</v>
      </c>
      <c r="C395">
        <v>8.4000000000000005E-2</v>
      </c>
      <c r="H395">
        <f t="shared" si="42"/>
        <v>19.649999999999999</v>
      </c>
      <c r="I395">
        <f t="shared" si="43"/>
        <v>6.1859999999999999</v>
      </c>
      <c r="J395">
        <f t="shared" si="44"/>
        <v>6.9816919955867182E-2</v>
      </c>
      <c r="K395">
        <f t="shared" si="45"/>
        <v>124.04912708908799</v>
      </c>
      <c r="L395">
        <f t="shared" si="46"/>
        <v>9.308922660782289E-4</v>
      </c>
      <c r="O395">
        <f t="shared" si="47"/>
        <v>124.08923349939808</v>
      </c>
      <c r="P395">
        <f t="shared" si="48"/>
        <v>2.8070873521491018E-4</v>
      </c>
    </row>
    <row r="396" spans="1:16" x14ac:dyDescent="0.25">
      <c r="A396" s="2">
        <v>19.7</v>
      </c>
      <c r="B396" s="1">
        <v>6.1870000000000003</v>
      </c>
      <c r="C396">
        <v>8.5000000000000006E-2</v>
      </c>
      <c r="H396">
        <f t="shared" si="42"/>
        <v>19.7</v>
      </c>
      <c r="I396">
        <f t="shared" si="43"/>
        <v>6.1870000000000003</v>
      </c>
      <c r="J396">
        <f t="shared" si="44"/>
        <v>7.0780830693668376E-2</v>
      </c>
      <c r="K396">
        <f t="shared" si="45"/>
        <v>124.06918029424304</v>
      </c>
      <c r="L396">
        <f t="shared" si="46"/>
        <v>9.437444092489115E-4</v>
      </c>
      <c r="O396">
        <f t="shared" si="47"/>
        <v>124.10928670455313</v>
      </c>
      <c r="P396">
        <f t="shared" si="48"/>
        <v>2.9356087838559278E-4</v>
      </c>
    </row>
    <row r="397" spans="1:16" x14ac:dyDescent="0.25">
      <c r="A397" s="2">
        <v>19.75</v>
      </c>
      <c r="B397" s="1">
        <v>6.1859999999999999</v>
      </c>
      <c r="C397">
        <v>8.4000000000000005E-2</v>
      </c>
      <c r="H397">
        <f t="shared" si="42"/>
        <v>19.75</v>
      </c>
      <c r="I397">
        <f t="shared" si="43"/>
        <v>6.1859999999999999</v>
      </c>
      <c r="J397">
        <f t="shared" si="44"/>
        <v>6.9744741431469554E-2</v>
      </c>
      <c r="K397">
        <f t="shared" si="45"/>
        <v>124.04912708908799</v>
      </c>
      <c r="L397">
        <f t="shared" si="46"/>
        <v>9.2992988575292719E-4</v>
      </c>
      <c r="O397">
        <f t="shared" si="47"/>
        <v>124.08923349939808</v>
      </c>
      <c r="P397">
        <f t="shared" si="48"/>
        <v>2.7974635488960847E-4</v>
      </c>
    </row>
    <row r="398" spans="1:16" x14ac:dyDescent="0.25">
      <c r="A398" s="2">
        <v>19.8</v>
      </c>
      <c r="B398" s="1">
        <v>6.2009999999999996</v>
      </c>
      <c r="C398">
        <v>8.5000000000000006E-2</v>
      </c>
      <c r="H398">
        <f t="shared" si="42"/>
        <v>19.8</v>
      </c>
      <c r="I398">
        <f t="shared" si="43"/>
        <v>6.2009999999999996</v>
      </c>
      <c r="J398">
        <f t="shared" si="44"/>
        <v>7.0708652169270747E-2</v>
      </c>
      <c r="K398">
        <f t="shared" si="45"/>
        <v>124.34992516641361</v>
      </c>
      <c r="L398">
        <f t="shared" si="46"/>
        <v>9.4278202892360979E-4</v>
      </c>
      <c r="O398">
        <f t="shared" si="47"/>
        <v>124.3900315767237</v>
      </c>
      <c r="P398">
        <f t="shared" si="48"/>
        <v>2.9259849806029107E-4</v>
      </c>
    </row>
    <row r="399" spans="1:16" x14ac:dyDescent="0.25">
      <c r="A399" s="2">
        <v>19.850000000000001</v>
      </c>
      <c r="B399" s="1">
        <v>6.2960000000000003</v>
      </c>
      <c r="C399">
        <v>8.5000000000000006E-2</v>
      </c>
      <c r="H399">
        <f t="shared" si="42"/>
        <v>19.850000000000001</v>
      </c>
      <c r="I399">
        <f t="shared" si="43"/>
        <v>6.2960000000000003</v>
      </c>
      <c r="J399">
        <f t="shared" si="44"/>
        <v>7.067256290707194E-2</v>
      </c>
      <c r="K399">
        <f t="shared" si="45"/>
        <v>126.25497965614258</v>
      </c>
      <c r="L399">
        <f t="shared" si="46"/>
        <v>9.4230083876095899E-4</v>
      </c>
      <c r="O399">
        <f t="shared" si="47"/>
        <v>126.29508606645267</v>
      </c>
      <c r="P399">
        <f t="shared" si="48"/>
        <v>2.9211730789764027E-4</v>
      </c>
    </row>
    <row r="400" spans="1:16" x14ac:dyDescent="0.25">
      <c r="A400" s="2">
        <v>19.899999999999999</v>
      </c>
      <c r="B400" s="1">
        <v>6.3810000000000002</v>
      </c>
      <c r="C400">
        <v>8.5999999999999993E-2</v>
      </c>
      <c r="H400">
        <f t="shared" si="42"/>
        <v>19.899999999999999</v>
      </c>
      <c r="I400">
        <f t="shared" si="43"/>
        <v>6.3810000000000002</v>
      </c>
      <c r="J400">
        <f t="shared" si="44"/>
        <v>7.1636473644873119E-2</v>
      </c>
      <c r="K400">
        <f t="shared" si="45"/>
        <v>127.95950209432112</v>
      </c>
      <c r="L400">
        <f t="shared" si="46"/>
        <v>9.5515298193164138E-4</v>
      </c>
      <c r="O400">
        <f t="shared" si="47"/>
        <v>127.99960850463121</v>
      </c>
      <c r="P400">
        <f t="shared" si="48"/>
        <v>3.0496945106832265E-4</v>
      </c>
    </row>
    <row r="401" spans="1:16" x14ac:dyDescent="0.25">
      <c r="A401" s="2">
        <v>19.95</v>
      </c>
      <c r="B401" s="1">
        <v>6.39</v>
      </c>
      <c r="C401">
        <v>8.5000000000000006E-2</v>
      </c>
      <c r="H401">
        <f t="shared" si="42"/>
        <v>19.95</v>
      </c>
      <c r="I401">
        <f t="shared" si="43"/>
        <v>6.39</v>
      </c>
      <c r="J401">
        <f t="shared" si="44"/>
        <v>7.0600384382674325E-2</v>
      </c>
      <c r="K401">
        <f t="shared" si="45"/>
        <v>128.1399809407165</v>
      </c>
      <c r="L401">
        <f t="shared" si="46"/>
        <v>9.413384584356575E-4</v>
      </c>
      <c r="O401">
        <f t="shared" si="47"/>
        <v>128.1800873510266</v>
      </c>
      <c r="P401">
        <f t="shared" si="48"/>
        <v>2.9115492757233877E-4</v>
      </c>
    </row>
    <row r="402" spans="1:16" x14ac:dyDescent="0.25">
      <c r="A402" s="2">
        <v>20</v>
      </c>
      <c r="B402" s="1">
        <v>6.46</v>
      </c>
      <c r="C402">
        <v>8.5999999999999993E-2</v>
      </c>
      <c r="H402">
        <f t="shared" si="42"/>
        <v>20</v>
      </c>
      <c r="I402">
        <f t="shared" si="43"/>
        <v>6.46</v>
      </c>
      <c r="J402">
        <f t="shared" si="44"/>
        <v>7.1564295120475491E-2</v>
      </c>
      <c r="K402">
        <f t="shared" si="45"/>
        <v>129.54370530156942</v>
      </c>
      <c r="L402">
        <f t="shared" si="46"/>
        <v>9.5419060160633967E-4</v>
      </c>
      <c r="O402">
        <f t="shared" si="47"/>
        <v>129.58381171187949</v>
      </c>
      <c r="P402">
        <f t="shared" si="48"/>
        <v>3.0400707074302094E-4</v>
      </c>
    </row>
    <row r="403" spans="1:16" x14ac:dyDescent="0.25">
      <c r="A403" s="2">
        <v>20.05</v>
      </c>
      <c r="B403" s="1">
        <v>6.5330000000000004</v>
      </c>
      <c r="C403">
        <v>8.5999999999999993E-2</v>
      </c>
      <c r="H403">
        <f t="shared" si="42"/>
        <v>20.05</v>
      </c>
      <c r="I403">
        <f t="shared" si="43"/>
        <v>6.5330000000000004</v>
      </c>
      <c r="J403">
        <f t="shared" si="44"/>
        <v>7.1528205858276683E-2</v>
      </c>
      <c r="K403">
        <f t="shared" si="45"/>
        <v>131.00758927788746</v>
      </c>
      <c r="L403">
        <f t="shared" si="46"/>
        <v>9.5370941144368897E-4</v>
      </c>
      <c r="O403">
        <f t="shared" si="47"/>
        <v>131.04769568819756</v>
      </c>
      <c r="P403">
        <f t="shared" si="48"/>
        <v>3.0352588058037025E-4</v>
      </c>
    </row>
    <row r="404" spans="1:16" x14ac:dyDescent="0.25">
      <c r="A404" s="2">
        <v>20.100000000000001</v>
      </c>
      <c r="B404" s="1">
        <v>6.5810000000000004</v>
      </c>
      <c r="C404">
        <v>8.6999999999999994E-2</v>
      </c>
      <c r="H404">
        <f t="shared" si="42"/>
        <v>20.100000000000001</v>
      </c>
      <c r="I404">
        <f t="shared" si="43"/>
        <v>6.5810000000000004</v>
      </c>
      <c r="J404">
        <f t="shared" si="44"/>
        <v>7.2492116596077877E-2</v>
      </c>
      <c r="K404">
        <f t="shared" si="45"/>
        <v>131.97014312532949</v>
      </c>
      <c r="L404">
        <f t="shared" si="46"/>
        <v>9.6656155461437147E-4</v>
      </c>
      <c r="O404">
        <f t="shared" si="47"/>
        <v>132.01024953563956</v>
      </c>
      <c r="P404">
        <f t="shared" si="48"/>
        <v>3.1637802375105275E-4</v>
      </c>
    </row>
    <row r="405" spans="1:16" x14ac:dyDescent="0.25">
      <c r="A405" s="2">
        <v>20.149999999999999</v>
      </c>
      <c r="B405" s="1">
        <v>6.5830000000000002</v>
      </c>
      <c r="C405">
        <v>8.5999999999999993E-2</v>
      </c>
      <c r="H405">
        <f t="shared" si="42"/>
        <v>20.149999999999999</v>
      </c>
      <c r="I405">
        <f t="shared" si="43"/>
        <v>6.5830000000000002</v>
      </c>
      <c r="J405">
        <f t="shared" si="44"/>
        <v>7.1456027333879055E-2</v>
      </c>
      <c r="K405">
        <f t="shared" si="45"/>
        <v>132.01024953563956</v>
      </c>
      <c r="L405">
        <f t="shared" si="46"/>
        <v>9.5274703111838726E-4</v>
      </c>
      <c r="O405">
        <f t="shared" si="47"/>
        <v>132.05035594594966</v>
      </c>
      <c r="P405">
        <f t="shared" si="48"/>
        <v>3.0256350025506854E-4</v>
      </c>
    </row>
    <row r="406" spans="1:16" x14ac:dyDescent="0.25">
      <c r="A406" s="2">
        <v>20.2</v>
      </c>
      <c r="B406" s="1">
        <v>6.5830000000000002</v>
      </c>
      <c r="C406">
        <v>8.6999999999999994E-2</v>
      </c>
      <c r="H406">
        <f t="shared" si="42"/>
        <v>20.2</v>
      </c>
      <c r="I406">
        <f t="shared" si="43"/>
        <v>6.5830000000000002</v>
      </c>
      <c r="J406">
        <f t="shared" si="44"/>
        <v>7.2419938071680248E-2</v>
      </c>
      <c r="K406">
        <f t="shared" si="45"/>
        <v>132.01024953563956</v>
      </c>
      <c r="L406">
        <f t="shared" si="46"/>
        <v>9.6559917428906976E-4</v>
      </c>
      <c r="O406">
        <f t="shared" si="47"/>
        <v>132.05035594594966</v>
      </c>
      <c r="P406">
        <f t="shared" si="48"/>
        <v>3.1541564342575104E-4</v>
      </c>
    </row>
    <row r="407" spans="1:16" x14ac:dyDescent="0.25">
      <c r="A407" s="2">
        <v>20.25</v>
      </c>
      <c r="B407" s="1">
        <v>6.5830000000000002</v>
      </c>
      <c r="C407">
        <v>8.5999999999999993E-2</v>
      </c>
      <c r="H407">
        <f t="shared" si="42"/>
        <v>20.25</v>
      </c>
      <c r="I407">
        <f t="shared" si="43"/>
        <v>6.5830000000000002</v>
      </c>
      <c r="J407">
        <f t="shared" si="44"/>
        <v>7.138384880948144E-2</v>
      </c>
      <c r="K407">
        <f t="shared" si="45"/>
        <v>132.01024953563956</v>
      </c>
      <c r="L407">
        <f t="shared" si="46"/>
        <v>9.5178465079308566E-4</v>
      </c>
      <c r="O407">
        <f t="shared" si="47"/>
        <v>132.05035594594966</v>
      </c>
      <c r="P407">
        <f t="shared" si="48"/>
        <v>3.0160111992976694E-4</v>
      </c>
    </row>
    <row r="408" spans="1:16" x14ac:dyDescent="0.25">
      <c r="A408" s="2">
        <v>20.3</v>
      </c>
      <c r="B408" s="1">
        <v>6.5839999999999996</v>
      </c>
      <c r="C408">
        <v>8.6999999999999994E-2</v>
      </c>
      <c r="H408">
        <f t="shared" si="42"/>
        <v>20.3</v>
      </c>
      <c r="I408">
        <f t="shared" si="43"/>
        <v>6.5839999999999996</v>
      </c>
      <c r="J408">
        <f t="shared" si="44"/>
        <v>7.234775954728262E-2</v>
      </c>
      <c r="K408">
        <f t="shared" si="45"/>
        <v>132.03030274079458</v>
      </c>
      <c r="L408">
        <f t="shared" si="46"/>
        <v>9.6463679396376805E-4</v>
      </c>
      <c r="O408">
        <f t="shared" si="47"/>
        <v>132.07040915110468</v>
      </c>
      <c r="P408">
        <f t="shared" si="48"/>
        <v>3.1445326310044932E-4</v>
      </c>
    </row>
    <row r="409" spans="1:16" x14ac:dyDescent="0.25">
      <c r="A409" s="2">
        <v>20.350000000000001</v>
      </c>
      <c r="B409" s="1">
        <v>6.5830000000000002</v>
      </c>
      <c r="C409">
        <v>8.5999999999999993E-2</v>
      </c>
      <c r="H409">
        <f t="shared" si="42"/>
        <v>20.350000000000001</v>
      </c>
      <c r="I409">
        <f t="shared" si="43"/>
        <v>6.5830000000000002</v>
      </c>
      <c r="J409">
        <f t="shared" si="44"/>
        <v>7.1311670285083811E-2</v>
      </c>
      <c r="K409">
        <f t="shared" si="45"/>
        <v>132.01024953563956</v>
      </c>
      <c r="L409">
        <f t="shared" si="46"/>
        <v>9.5082227046778395E-4</v>
      </c>
      <c r="O409">
        <f t="shared" si="47"/>
        <v>132.05035594594966</v>
      </c>
      <c r="P409">
        <f t="shared" si="48"/>
        <v>3.0063873960446523E-4</v>
      </c>
    </row>
    <row r="410" spans="1:16" x14ac:dyDescent="0.25">
      <c r="A410" s="2">
        <v>20.399999999999999</v>
      </c>
      <c r="B410" s="1">
        <v>6.6269999999999998</v>
      </c>
      <c r="C410">
        <v>8.6999999999999994E-2</v>
      </c>
      <c r="H410">
        <f t="shared" si="42"/>
        <v>20.399999999999999</v>
      </c>
      <c r="I410">
        <f t="shared" si="43"/>
        <v>6.6269999999999998</v>
      </c>
      <c r="J410">
        <f t="shared" si="44"/>
        <v>7.2275581022885005E-2</v>
      </c>
      <c r="K410">
        <f t="shared" si="45"/>
        <v>132.89259056246138</v>
      </c>
      <c r="L410">
        <f t="shared" si="46"/>
        <v>9.6367441363846655E-4</v>
      </c>
      <c r="O410">
        <f t="shared" si="47"/>
        <v>132.93269697277145</v>
      </c>
      <c r="P410">
        <f t="shared" si="48"/>
        <v>3.1349088277514783E-4</v>
      </c>
    </row>
    <row r="411" spans="1:16" x14ac:dyDescent="0.25">
      <c r="A411" s="2">
        <v>20.45</v>
      </c>
      <c r="B411" s="1">
        <v>6.6840000000000002</v>
      </c>
      <c r="C411">
        <v>8.6999999999999994E-2</v>
      </c>
      <c r="H411">
        <f t="shared" si="42"/>
        <v>20.45</v>
      </c>
      <c r="I411">
        <f t="shared" si="43"/>
        <v>6.6840000000000002</v>
      </c>
      <c r="J411">
        <f t="shared" si="44"/>
        <v>7.2239491760686197E-2</v>
      </c>
      <c r="K411">
        <f t="shared" si="45"/>
        <v>134.03562325629878</v>
      </c>
      <c r="L411">
        <f t="shared" si="46"/>
        <v>9.6319322347581575E-4</v>
      </c>
      <c r="O411">
        <f t="shared" si="47"/>
        <v>134.07572966660888</v>
      </c>
      <c r="P411">
        <f t="shared" si="48"/>
        <v>3.1300969261249703E-4</v>
      </c>
    </row>
    <row r="412" spans="1:16" x14ac:dyDescent="0.25">
      <c r="A412" s="2">
        <v>20.5</v>
      </c>
      <c r="B412" s="1">
        <v>6.7060000000000004</v>
      </c>
      <c r="C412">
        <v>8.7999999999999995E-2</v>
      </c>
      <c r="H412">
        <f t="shared" si="42"/>
        <v>20.5</v>
      </c>
      <c r="I412">
        <f t="shared" si="43"/>
        <v>6.7060000000000004</v>
      </c>
      <c r="J412">
        <f t="shared" si="44"/>
        <v>7.3203402498487377E-2</v>
      </c>
      <c r="K412">
        <f t="shared" si="45"/>
        <v>134.4767937697097</v>
      </c>
      <c r="L412">
        <f t="shared" si="46"/>
        <v>9.7604536664649814E-4</v>
      </c>
      <c r="O412">
        <f t="shared" si="47"/>
        <v>134.51690018001977</v>
      </c>
      <c r="P412">
        <f t="shared" si="48"/>
        <v>3.2586183578317942E-4</v>
      </c>
    </row>
    <row r="413" spans="1:16" x14ac:dyDescent="0.25">
      <c r="A413" s="2">
        <v>20.55</v>
      </c>
      <c r="B413" s="1">
        <v>6.7530000000000001</v>
      </c>
      <c r="C413">
        <v>8.6999999999999994E-2</v>
      </c>
      <c r="H413">
        <f t="shared" si="42"/>
        <v>20.55</v>
      </c>
      <c r="I413">
        <f t="shared" si="43"/>
        <v>6.7530000000000001</v>
      </c>
      <c r="J413">
        <f t="shared" si="44"/>
        <v>7.2167313236288569E-2</v>
      </c>
      <c r="K413">
        <f t="shared" si="45"/>
        <v>135.41929441199665</v>
      </c>
      <c r="L413">
        <f t="shared" si="46"/>
        <v>9.6223084315051404E-4</v>
      </c>
      <c r="O413">
        <f t="shared" si="47"/>
        <v>135.45940082230675</v>
      </c>
      <c r="P413">
        <f t="shared" si="48"/>
        <v>3.1204731228719532E-4</v>
      </c>
    </row>
    <row r="414" spans="1:16" x14ac:dyDescent="0.25">
      <c r="A414" s="2">
        <v>20.6</v>
      </c>
      <c r="B414" s="1">
        <v>6.7939999999999996</v>
      </c>
      <c r="C414">
        <v>8.7999999999999995E-2</v>
      </c>
      <c r="H414">
        <f t="shared" si="42"/>
        <v>20.6</v>
      </c>
      <c r="I414">
        <f t="shared" si="43"/>
        <v>6.7939999999999996</v>
      </c>
      <c r="J414">
        <f t="shared" si="44"/>
        <v>7.3131223974089762E-2</v>
      </c>
      <c r="K414">
        <f t="shared" si="45"/>
        <v>136.24147582335334</v>
      </c>
      <c r="L414">
        <f t="shared" si="46"/>
        <v>9.7508298632119665E-4</v>
      </c>
      <c r="O414">
        <f t="shared" si="47"/>
        <v>136.28158223366341</v>
      </c>
      <c r="P414">
        <f t="shared" si="48"/>
        <v>3.2489945545787792E-4</v>
      </c>
    </row>
    <row r="415" spans="1:16" x14ac:dyDescent="0.25">
      <c r="A415" s="2">
        <v>20.65</v>
      </c>
      <c r="B415" s="1">
        <v>6.8650000000000002</v>
      </c>
      <c r="C415">
        <v>8.6999999999999994E-2</v>
      </c>
      <c r="H415">
        <f t="shared" si="42"/>
        <v>20.65</v>
      </c>
      <c r="I415">
        <f t="shared" si="43"/>
        <v>6.8650000000000002</v>
      </c>
      <c r="J415">
        <f t="shared" si="44"/>
        <v>7.2095134711890954E-2</v>
      </c>
      <c r="K415">
        <f t="shared" si="45"/>
        <v>137.66525338936131</v>
      </c>
      <c r="L415">
        <f t="shared" si="46"/>
        <v>9.6126846282521255E-4</v>
      </c>
      <c r="O415">
        <f t="shared" si="47"/>
        <v>137.70535979967138</v>
      </c>
      <c r="P415">
        <f t="shared" si="48"/>
        <v>3.1108493196189383E-4</v>
      </c>
    </row>
    <row r="416" spans="1:16" x14ac:dyDescent="0.25">
      <c r="A416" s="2">
        <v>20.7</v>
      </c>
      <c r="B416" s="1">
        <v>6.9020000000000001</v>
      </c>
      <c r="C416">
        <v>8.7999999999999995E-2</v>
      </c>
      <c r="H416">
        <f t="shared" si="42"/>
        <v>20.7</v>
      </c>
      <c r="I416">
        <f t="shared" si="43"/>
        <v>6.9020000000000001</v>
      </c>
      <c r="J416">
        <f t="shared" si="44"/>
        <v>7.3059045449692134E-2</v>
      </c>
      <c r="K416">
        <f t="shared" si="45"/>
        <v>138.40722198009786</v>
      </c>
      <c r="L416">
        <f t="shared" si="46"/>
        <v>9.7412060599589493E-4</v>
      </c>
      <c r="O416">
        <f t="shared" si="47"/>
        <v>138.44732839040796</v>
      </c>
      <c r="P416">
        <f t="shared" si="48"/>
        <v>3.2393707513257621E-4</v>
      </c>
    </row>
    <row r="417" spans="1:16" x14ac:dyDescent="0.25">
      <c r="A417" s="2">
        <v>20.75</v>
      </c>
      <c r="B417" s="1">
        <v>6.95</v>
      </c>
      <c r="C417">
        <v>8.6999999999999994E-2</v>
      </c>
      <c r="H417">
        <f t="shared" si="42"/>
        <v>20.75</v>
      </c>
      <c r="I417">
        <f t="shared" si="43"/>
        <v>6.95</v>
      </c>
      <c r="J417">
        <f t="shared" si="44"/>
        <v>7.2022956187493326E-2</v>
      </c>
      <c r="K417">
        <f t="shared" si="45"/>
        <v>139.36977582753985</v>
      </c>
      <c r="L417">
        <f t="shared" si="46"/>
        <v>9.6030608249991084E-4</v>
      </c>
      <c r="O417">
        <f t="shared" si="47"/>
        <v>139.40988223784996</v>
      </c>
      <c r="P417">
        <f t="shared" si="48"/>
        <v>3.1012255163659211E-4</v>
      </c>
    </row>
    <row r="418" spans="1:16" x14ac:dyDescent="0.25">
      <c r="A418" s="2">
        <v>20.8</v>
      </c>
      <c r="B418" s="1">
        <v>6.98</v>
      </c>
      <c r="C418">
        <v>8.8999999999999996E-2</v>
      </c>
      <c r="H418">
        <f t="shared" si="42"/>
        <v>20.8</v>
      </c>
      <c r="I418">
        <f t="shared" si="43"/>
        <v>6.98</v>
      </c>
      <c r="J418">
        <f t="shared" si="44"/>
        <v>7.398686692529452E-2</v>
      </c>
      <c r="K418">
        <f t="shared" si="45"/>
        <v>139.9713719821911</v>
      </c>
      <c r="L418">
        <f t="shared" si="46"/>
        <v>9.8649155900392685E-4</v>
      </c>
      <c r="O418">
        <f t="shared" si="47"/>
        <v>140.0114783925012</v>
      </c>
      <c r="P418">
        <f t="shared" si="48"/>
        <v>3.3630802814060812E-4</v>
      </c>
    </row>
    <row r="419" spans="1:16" x14ac:dyDescent="0.25">
      <c r="A419" s="2">
        <v>20.85</v>
      </c>
      <c r="B419" s="1">
        <v>6.9960000000000004</v>
      </c>
      <c r="C419">
        <v>8.7999999999999995E-2</v>
      </c>
      <c r="H419">
        <f t="shared" si="42"/>
        <v>20.85</v>
      </c>
      <c r="I419">
        <f t="shared" si="43"/>
        <v>6.9960000000000004</v>
      </c>
      <c r="J419">
        <f t="shared" si="44"/>
        <v>7.2950777663095698E-2</v>
      </c>
      <c r="K419">
        <f t="shared" si="45"/>
        <v>140.29222326467178</v>
      </c>
      <c r="L419">
        <f t="shared" si="46"/>
        <v>9.7267703550794242E-4</v>
      </c>
      <c r="O419">
        <f t="shared" si="47"/>
        <v>140.33232967498185</v>
      </c>
      <c r="P419">
        <f t="shared" si="48"/>
        <v>3.224935046446237E-4</v>
      </c>
    </row>
    <row r="420" spans="1:16" x14ac:dyDescent="0.25">
      <c r="A420" s="2">
        <v>20.9</v>
      </c>
      <c r="B420" s="1">
        <v>7.0019999999999998</v>
      </c>
      <c r="C420">
        <v>8.8999999999999996E-2</v>
      </c>
      <c r="H420">
        <f t="shared" si="42"/>
        <v>20.9</v>
      </c>
      <c r="I420">
        <f t="shared" si="43"/>
        <v>7.0019999999999998</v>
      </c>
      <c r="J420">
        <f t="shared" si="44"/>
        <v>7.3914688400896891E-2</v>
      </c>
      <c r="K420">
        <f t="shared" si="45"/>
        <v>140.41254249560203</v>
      </c>
      <c r="L420">
        <f t="shared" si="46"/>
        <v>9.8552917867862503E-4</v>
      </c>
      <c r="O420">
        <f t="shared" si="47"/>
        <v>140.4526489059121</v>
      </c>
      <c r="P420">
        <f t="shared" si="48"/>
        <v>3.353456478153063E-4</v>
      </c>
    </row>
    <row r="421" spans="1:16" x14ac:dyDescent="0.25">
      <c r="A421" s="2">
        <v>20.95</v>
      </c>
      <c r="B421" s="1">
        <v>7.0039999999999996</v>
      </c>
      <c r="C421">
        <v>8.7999999999999995E-2</v>
      </c>
      <c r="H421">
        <f t="shared" si="42"/>
        <v>20.95</v>
      </c>
      <c r="I421">
        <f t="shared" si="43"/>
        <v>7.0039999999999996</v>
      </c>
      <c r="J421">
        <f t="shared" si="44"/>
        <v>7.2878599138698083E-2</v>
      </c>
      <c r="K421">
        <f t="shared" si="45"/>
        <v>140.4526489059121</v>
      </c>
      <c r="L421">
        <f t="shared" si="46"/>
        <v>9.7171465518264093E-4</v>
      </c>
      <c r="O421">
        <f t="shared" si="47"/>
        <v>140.4927553162222</v>
      </c>
      <c r="P421">
        <f t="shared" si="48"/>
        <v>3.2153112431932221E-4</v>
      </c>
    </row>
    <row r="422" spans="1:16" x14ac:dyDescent="0.25">
      <c r="A422" s="2">
        <v>21</v>
      </c>
      <c r="B422" s="1">
        <v>7.0019999999999998</v>
      </c>
      <c r="C422">
        <v>8.8999999999999996E-2</v>
      </c>
      <c r="H422">
        <f t="shared" si="42"/>
        <v>21</v>
      </c>
      <c r="I422">
        <f t="shared" si="43"/>
        <v>7.0019999999999998</v>
      </c>
      <c r="J422">
        <f t="shared" si="44"/>
        <v>7.3842509876499263E-2</v>
      </c>
      <c r="K422">
        <f t="shared" si="45"/>
        <v>140.41254249560203</v>
      </c>
      <c r="L422">
        <f t="shared" si="46"/>
        <v>9.8456679835332321E-4</v>
      </c>
      <c r="O422">
        <f t="shared" si="47"/>
        <v>140.4526489059121</v>
      </c>
      <c r="P422">
        <f t="shared" si="48"/>
        <v>3.3438326749000448E-4</v>
      </c>
    </row>
    <row r="423" spans="1:16" x14ac:dyDescent="0.25">
      <c r="A423" s="2">
        <v>21.05</v>
      </c>
      <c r="B423" s="1">
        <v>7.0019999999999998</v>
      </c>
      <c r="C423">
        <v>8.7999999999999995E-2</v>
      </c>
      <c r="H423">
        <f t="shared" si="42"/>
        <v>21.05</v>
      </c>
      <c r="I423">
        <f t="shared" si="43"/>
        <v>7.0019999999999998</v>
      </c>
      <c r="J423">
        <f t="shared" si="44"/>
        <v>7.2806420614300454E-2</v>
      </c>
      <c r="K423">
        <f t="shared" si="45"/>
        <v>140.41254249560203</v>
      </c>
      <c r="L423">
        <f t="shared" si="46"/>
        <v>9.7075227485733922E-4</v>
      </c>
      <c r="O423">
        <f t="shared" si="47"/>
        <v>140.4526489059121</v>
      </c>
      <c r="P423">
        <f t="shared" si="48"/>
        <v>3.205687439940205E-4</v>
      </c>
    </row>
    <row r="424" spans="1:16" x14ac:dyDescent="0.25">
      <c r="A424" s="2">
        <v>21.1</v>
      </c>
      <c r="B424" s="1">
        <v>7.0060000000000002</v>
      </c>
      <c r="C424">
        <v>8.8999999999999996E-2</v>
      </c>
      <c r="H424">
        <f t="shared" si="42"/>
        <v>21.1</v>
      </c>
      <c r="I424">
        <f t="shared" si="43"/>
        <v>7.0060000000000002</v>
      </c>
      <c r="J424">
        <f t="shared" si="44"/>
        <v>7.3770331352101648E-2</v>
      </c>
      <c r="K424">
        <f t="shared" si="45"/>
        <v>140.4927553162222</v>
      </c>
      <c r="L424">
        <f t="shared" si="46"/>
        <v>9.8360441802802182E-4</v>
      </c>
      <c r="O424">
        <f t="shared" si="47"/>
        <v>140.5328617265323</v>
      </c>
      <c r="P424">
        <f t="shared" si="48"/>
        <v>3.334208871647031E-4</v>
      </c>
    </row>
    <row r="425" spans="1:16" x14ac:dyDescent="0.25">
      <c r="A425" s="2">
        <v>21.15</v>
      </c>
      <c r="B425" s="1">
        <v>7.0090000000000003</v>
      </c>
      <c r="C425">
        <v>8.7999999999999995E-2</v>
      </c>
      <c r="H425">
        <f t="shared" si="42"/>
        <v>21.15</v>
      </c>
      <c r="I425">
        <f t="shared" si="43"/>
        <v>7.0090000000000003</v>
      </c>
      <c r="J425">
        <f t="shared" si="44"/>
        <v>7.273424208990284E-2</v>
      </c>
      <c r="K425">
        <f t="shared" si="45"/>
        <v>140.55291493168733</v>
      </c>
      <c r="L425">
        <f t="shared" si="46"/>
        <v>9.6978989453203773E-4</v>
      </c>
      <c r="O425">
        <f t="shared" si="47"/>
        <v>140.59302134199743</v>
      </c>
      <c r="P425">
        <f t="shared" si="48"/>
        <v>3.19606363668719E-4</v>
      </c>
    </row>
    <row r="426" spans="1:16" x14ac:dyDescent="0.25">
      <c r="A426" s="2">
        <v>21.2</v>
      </c>
      <c r="B426" s="1">
        <v>7.01</v>
      </c>
      <c r="C426">
        <v>8.8999999999999996E-2</v>
      </c>
      <c r="H426">
        <f t="shared" si="42"/>
        <v>21.2</v>
      </c>
      <c r="I426">
        <f t="shared" si="43"/>
        <v>7.01</v>
      </c>
      <c r="J426">
        <f t="shared" si="44"/>
        <v>7.3698152827704033E-2</v>
      </c>
      <c r="K426">
        <f t="shared" si="45"/>
        <v>140.57296813684235</v>
      </c>
      <c r="L426">
        <f t="shared" si="46"/>
        <v>9.8264203770272022E-4</v>
      </c>
      <c r="O426">
        <f t="shared" si="47"/>
        <v>140.61307454715245</v>
      </c>
      <c r="P426">
        <f t="shared" si="48"/>
        <v>3.324585068394015E-4</v>
      </c>
    </row>
    <row r="427" spans="1:16" x14ac:dyDescent="0.25">
      <c r="A427" s="2">
        <v>21.25</v>
      </c>
      <c r="B427" s="1">
        <v>7.0110000000000001</v>
      </c>
      <c r="C427">
        <v>8.7999999999999995E-2</v>
      </c>
      <c r="H427">
        <f t="shared" si="42"/>
        <v>21.25</v>
      </c>
      <c r="I427">
        <f t="shared" si="43"/>
        <v>7.0110000000000001</v>
      </c>
      <c r="J427">
        <f t="shared" si="44"/>
        <v>7.2662063565505211E-2</v>
      </c>
      <c r="K427">
        <f t="shared" si="45"/>
        <v>140.5930213419974</v>
      </c>
      <c r="L427">
        <f t="shared" si="46"/>
        <v>9.6882751420673591E-4</v>
      </c>
      <c r="O427">
        <f t="shared" si="47"/>
        <v>140.63312775230747</v>
      </c>
      <c r="P427">
        <f t="shared" si="48"/>
        <v>3.1864398334341718E-4</v>
      </c>
    </row>
    <row r="428" spans="1:16" x14ac:dyDescent="0.25">
      <c r="A428" s="2">
        <v>21.3</v>
      </c>
      <c r="B428" s="1">
        <v>7.0110000000000001</v>
      </c>
      <c r="C428">
        <v>8.8999999999999996E-2</v>
      </c>
      <c r="H428">
        <f t="shared" si="42"/>
        <v>21.3</v>
      </c>
      <c r="I428">
        <f t="shared" si="43"/>
        <v>7.0110000000000001</v>
      </c>
      <c r="J428">
        <f t="shared" si="44"/>
        <v>7.3625974303306405E-2</v>
      </c>
      <c r="K428">
        <f t="shared" si="45"/>
        <v>140.5930213419974</v>
      </c>
      <c r="L428">
        <f t="shared" si="46"/>
        <v>9.8167965737741862E-4</v>
      </c>
      <c r="O428">
        <f t="shared" si="47"/>
        <v>140.63312775230747</v>
      </c>
      <c r="P428">
        <f t="shared" si="48"/>
        <v>3.3149612651409989E-4</v>
      </c>
    </row>
    <row r="429" spans="1:16" x14ac:dyDescent="0.25">
      <c r="A429" s="2">
        <v>21.35</v>
      </c>
      <c r="B429" s="1">
        <v>7.0119999999999996</v>
      </c>
      <c r="C429">
        <v>8.7999999999999995E-2</v>
      </c>
      <c r="H429">
        <f t="shared" si="42"/>
        <v>21.35</v>
      </c>
      <c r="I429">
        <f t="shared" si="43"/>
        <v>7.0119999999999996</v>
      </c>
      <c r="J429">
        <f t="shared" si="44"/>
        <v>7.2589885041107582E-2</v>
      </c>
      <c r="K429">
        <f t="shared" si="45"/>
        <v>140.61307454715242</v>
      </c>
      <c r="L429">
        <f t="shared" si="46"/>
        <v>9.678651338814342E-4</v>
      </c>
      <c r="O429">
        <f t="shared" si="47"/>
        <v>140.6531809574625</v>
      </c>
      <c r="P429">
        <f t="shared" si="48"/>
        <v>3.1768160301811547E-4</v>
      </c>
    </row>
    <row r="430" spans="1:16" x14ac:dyDescent="0.25">
      <c r="A430" s="2">
        <v>21.4</v>
      </c>
      <c r="B430" s="1">
        <v>7.0119999999999996</v>
      </c>
      <c r="C430">
        <v>8.8999999999999996E-2</v>
      </c>
      <c r="H430">
        <f t="shared" si="42"/>
        <v>21.4</v>
      </c>
      <c r="I430">
        <f t="shared" si="43"/>
        <v>7.0119999999999996</v>
      </c>
      <c r="J430">
        <f t="shared" si="44"/>
        <v>7.3553795778908776E-2</v>
      </c>
      <c r="K430">
        <f t="shared" si="45"/>
        <v>140.61307454715242</v>
      </c>
      <c r="L430">
        <f t="shared" si="46"/>
        <v>9.807172770521168E-4</v>
      </c>
      <c r="O430">
        <f t="shared" si="47"/>
        <v>140.6531809574625</v>
      </c>
      <c r="P430">
        <f t="shared" si="48"/>
        <v>3.3053374618879808E-4</v>
      </c>
    </row>
    <row r="431" spans="1:16" x14ac:dyDescent="0.25">
      <c r="A431" s="2">
        <v>21.45</v>
      </c>
      <c r="B431" s="1">
        <v>7.0119999999999996</v>
      </c>
      <c r="C431">
        <v>8.7999999999999995E-2</v>
      </c>
      <c r="H431">
        <f t="shared" si="42"/>
        <v>21.45</v>
      </c>
      <c r="I431">
        <f t="shared" si="43"/>
        <v>7.0119999999999996</v>
      </c>
      <c r="J431">
        <f t="shared" si="44"/>
        <v>7.2517706516709968E-2</v>
      </c>
      <c r="K431">
        <f t="shared" si="45"/>
        <v>140.61307454715242</v>
      </c>
      <c r="L431">
        <f t="shared" si="46"/>
        <v>9.669027535561327E-4</v>
      </c>
      <c r="O431">
        <f t="shared" si="47"/>
        <v>140.6531809574625</v>
      </c>
      <c r="P431">
        <f t="shared" si="48"/>
        <v>3.1671922269281398E-4</v>
      </c>
    </row>
    <row r="432" spans="1:16" x14ac:dyDescent="0.25">
      <c r="A432" s="2">
        <v>21.5</v>
      </c>
      <c r="B432" s="1">
        <v>7.0119999999999996</v>
      </c>
      <c r="C432">
        <v>8.8999999999999996E-2</v>
      </c>
      <c r="H432">
        <f t="shared" si="42"/>
        <v>21.5</v>
      </c>
      <c r="I432">
        <f t="shared" si="43"/>
        <v>7.0119999999999996</v>
      </c>
      <c r="J432">
        <f t="shared" si="44"/>
        <v>7.3481617254511161E-2</v>
      </c>
      <c r="K432">
        <f t="shared" si="45"/>
        <v>140.61307454715242</v>
      </c>
      <c r="L432">
        <f t="shared" si="46"/>
        <v>9.797548967268152E-4</v>
      </c>
      <c r="O432">
        <f t="shared" si="47"/>
        <v>140.6531809574625</v>
      </c>
      <c r="P432">
        <f t="shared" si="48"/>
        <v>3.2957136586349647E-4</v>
      </c>
    </row>
    <row r="433" spans="1:16" x14ac:dyDescent="0.25">
      <c r="A433" s="2">
        <v>21.55</v>
      </c>
      <c r="B433" s="1">
        <v>7.0110000000000001</v>
      </c>
      <c r="C433">
        <v>8.7999999999999995E-2</v>
      </c>
      <c r="H433">
        <f t="shared" si="42"/>
        <v>21.55</v>
      </c>
      <c r="I433">
        <f t="shared" si="43"/>
        <v>7.0110000000000001</v>
      </c>
      <c r="J433">
        <f t="shared" si="44"/>
        <v>7.2445527992312339E-2</v>
      </c>
      <c r="K433">
        <f t="shared" si="45"/>
        <v>140.5930213419974</v>
      </c>
      <c r="L433">
        <f t="shared" si="46"/>
        <v>9.6594037323083099E-4</v>
      </c>
      <c r="O433">
        <f t="shared" si="47"/>
        <v>140.63312775230747</v>
      </c>
      <c r="P433">
        <f t="shared" si="48"/>
        <v>3.1575684236751227E-4</v>
      </c>
    </row>
    <row r="434" spans="1:16" x14ac:dyDescent="0.25">
      <c r="A434" s="2">
        <v>21.6</v>
      </c>
      <c r="B434" s="1">
        <v>6.92</v>
      </c>
      <c r="C434">
        <v>8.8999999999999996E-2</v>
      </c>
      <c r="H434">
        <f t="shared" si="42"/>
        <v>21.6</v>
      </c>
      <c r="I434">
        <f t="shared" si="43"/>
        <v>6.92</v>
      </c>
      <c r="J434">
        <f t="shared" si="44"/>
        <v>7.3409438730113533E-2</v>
      </c>
      <c r="K434">
        <f t="shared" si="45"/>
        <v>138.76817967288861</v>
      </c>
      <c r="L434">
        <f t="shared" si="46"/>
        <v>9.7879251640151359E-4</v>
      </c>
      <c r="O434">
        <f t="shared" si="47"/>
        <v>138.80828608319871</v>
      </c>
      <c r="P434">
        <f t="shared" si="48"/>
        <v>3.2860898553819487E-4</v>
      </c>
    </row>
    <row r="435" spans="1:16" x14ac:dyDescent="0.25">
      <c r="A435" s="2">
        <v>21.65</v>
      </c>
      <c r="B435" s="1">
        <v>6.77</v>
      </c>
      <c r="C435">
        <v>8.7999999999999995E-2</v>
      </c>
      <c r="H435">
        <f t="shared" si="42"/>
        <v>21.65</v>
      </c>
      <c r="I435">
        <f t="shared" si="43"/>
        <v>6.77</v>
      </c>
      <c r="J435">
        <f t="shared" si="44"/>
        <v>7.2373349467914724E-2</v>
      </c>
      <c r="K435">
        <f t="shared" si="45"/>
        <v>135.76019889963234</v>
      </c>
      <c r="L435">
        <f t="shared" si="46"/>
        <v>9.649779929055295E-4</v>
      </c>
      <c r="O435">
        <f t="shared" si="47"/>
        <v>135.80030530994242</v>
      </c>
      <c r="P435">
        <f t="shared" si="48"/>
        <v>3.1479446204221077E-4</v>
      </c>
    </row>
    <row r="436" spans="1:16" x14ac:dyDescent="0.25">
      <c r="A436" s="2">
        <v>21.7</v>
      </c>
      <c r="B436" s="1">
        <v>6.6609999999999996</v>
      </c>
      <c r="C436">
        <v>8.7999999999999995E-2</v>
      </c>
      <c r="H436">
        <f t="shared" si="42"/>
        <v>21.7</v>
      </c>
      <c r="I436">
        <f t="shared" si="43"/>
        <v>6.6609999999999996</v>
      </c>
      <c r="J436">
        <f t="shared" si="44"/>
        <v>7.2337260205715917E-2</v>
      </c>
      <c r="K436">
        <f t="shared" si="45"/>
        <v>133.5743995377328</v>
      </c>
      <c r="L436">
        <f t="shared" si="46"/>
        <v>9.644968027428787E-4</v>
      </c>
      <c r="O436">
        <f t="shared" si="47"/>
        <v>133.6145059480429</v>
      </c>
      <c r="P436">
        <f t="shared" si="48"/>
        <v>3.1431327187955997E-4</v>
      </c>
    </row>
    <row r="437" spans="1:16" x14ac:dyDescent="0.25">
      <c r="A437" s="2">
        <v>21.75</v>
      </c>
      <c r="B437" s="1">
        <v>6.6059999999999999</v>
      </c>
      <c r="C437">
        <v>8.6999999999999994E-2</v>
      </c>
      <c r="H437">
        <f t="shared" si="42"/>
        <v>21.75</v>
      </c>
      <c r="I437">
        <f t="shared" si="43"/>
        <v>6.6059999999999999</v>
      </c>
      <c r="J437">
        <f t="shared" si="44"/>
        <v>7.1301170943517095E-2</v>
      </c>
      <c r="K437">
        <f t="shared" si="45"/>
        <v>132.47147325420551</v>
      </c>
      <c r="L437">
        <f t="shared" si="46"/>
        <v>9.5068227924689438E-4</v>
      </c>
      <c r="O437">
        <f t="shared" si="47"/>
        <v>132.51157966451558</v>
      </c>
      <c r="P437">
        <f t="shared" si="48"/>
        <v>3.0049874838357566E-4</v>
      </c>
    </row>
    <row r="438" spans="1:16" x14ac:dyDescent="0.25">
      <c r="A438" s="2">
        <v>21.8</v>
      </c>
      <c r="B438" s="1">
        <v>6.6059999999999999</v>
      </c>
      <c r="C438">
        <v>8.7999999999999995E-2</v>
      </c>
      <c r="H438">
        <f t="shared" si="42"/>
        <v>21.8</v>
      </c>
      <c r="I438">
        <f t="shared" si="43"/>
        <v>6.6059999999999999</v>
      </c>
      <c r="J438">
        <f t="shared" si="44"/>
        <v>7.2265081681318288E-2</v>
      </c>
      <c r="K438">
        <f t="shared" si="45"/>
        <v>132.47147325420551</v>
      </c>
      <c r="L438">
        <f t="shared" si="46"/>
        <v>9.6353442241757699E-4</v>
      </c>
      <c r="O438">
        <f t="shared" si="47"/>
        <v>132.51157966451558</v>
      </c>
      <c r="P438">
        <f t="shared" si="48"/>
        <v>3.1335089155425826E-4</v>
      </c>
    </row>
    <row r="439" spans="1:16" x14ac:dyDescent="0.25">
      <c r="A439" s="2">
        <v>21.85</v>
      </c>
      <c r="B439" s="1">
        <v>6.6059999999999999</v>
      </c>
      <c r="C439">
        <v>8.6999999999999994E-2</v>
      </c>
      <c r="H439">
        <f t="shared" si="42"/>
        <v>21.85</v>
      </c>
      <c r="I439">
        <f t="shared" si="43"/>
        <v>6.6059999999999999</v>
      </c>
      <c r="J439">
        <f t="shared" si="44"/>
        <v>7.122899241911948E-2</v>
      </c>
      <c r="K439">
        <f t="shared" si="45"/>
        <v>132.47147325420551</v>
      </c>
      <c r="L439">
        <f t="shared" si="46"/>
        <v>9.4971989892159289E-4</v>
      </c>
      <c r="O439">
        <f t="shared" si="47"/>
        <v>132.51157966451558</v>
      </c>
      <c r="P439">
        <f t="shared" si="48"/>
        <v>2.9953636805827417E-4</v>
      </c>
    </row>
    <row r="440" spans="1:16" x14ac:dyDescent="0.25">
      <c r="A440" s="2">
        <v>21.9</v>
      </c>
      <c r="B440" s="1">
        <v>6.609</v>
      </c>
      <c r="C440">
        <v>8.7999999999999995E-2</v>
      </c>
      <c r="H440">
        <f t="shared" si="42"/>
        <v>21.9</v>
      </c>
      <c r="I440">
        <f t="shared" si="43"/>
        <v>6.609</v>
      </c>
      <c r="J440">
        <f t="shared" si="44"/>
        <v>7.2192903156920674E-2</v>
      </c>
      <c r="K440">
        <f t="shared" si="45"/>
        <v>132.53163286967063</v>
      </c>
      <c r="L440">
        <f t="shared" si="46"/>
        <v>9.6257204209227549E-4</v>
      </c>
      <c r="O440">
        <f t="shared" si="47"/>
        <v>132.5717392799807</v>
      </c>
      <c r="P440">
        <f t="shared" si="48"/>
        <v>3.1238851122895677E-4</v>
      </c>
    </row>
    <row r="441" spans="1:16" x14ac:dyDescent="0.25">
      <c r="A441" s="2">
        <v>21.95</v>
      </c>
      <c r="B441" s="1">
        <v>6.6230000000000002</v>
      </c>
      <c r="C441">
        <v>8.7999999999999995E-2</v>
      </c>
      <c r="H441">
        <f t="shared" si="42"/>
        <v>21.95</v>
      </c>
      <c r="I441">
        <f t="shared" si="43"/>
        <v>6.6230000000000002</v>
      </c>
      <c r="J441">
        <f t="shared" si="44"/>
        <v>7.2156813894721852E-2</v>
      </c>
      <c r="K441">
        <f t="shared" si="45"/>
        <v>132.81237774184123</v>
      </c>
      <c r="L441">
        <f t="shared" si="46"/>
        <v>9.6209085192962447E-4</v>
      </c>
      <c r="O441">
        <f t="shared" si="47"/>
        <v>132.85248415215131</v>
      </c>
      <c r="P441">
        <f t="shared" si="48"/>
        <v>3.1190732106630575E-4</v>
      </c>
    </row>
    <row r="442" spans="1:16" x14ac:dyDescent="0.25">
      <c r="A442" s="2">
        <v>22</v>
      </c>
      <c r="B442" s="1">
        <v>6.6230000000000002</v>
      </c>
      <c r="C442">
        <v>8.8999999999999996E-2</v>
      </c>
      <c r="H442">
        <f t="shared" si="42"/>
        <v>22</v>
      </c>
      <c r="I442">
        <f t="shared" si="43"/>
        <v>6.6230000000000002</v>
      </c>
      <c r="J442">
        <f t="shared" si="44"/>
        <v>7.3120724632523046E-2</v>
      </c>
      <c r="K442">
        <f t="shared" si="45"/>
        <v>132.81237774184123</v>
      </c>
      <c r="L442">
        <f t="shared" si="46"/>
        <v>9.7494299510030708E-4</v>
      </c>
      <c r="O442">
        <f t="shared" si="47"/>
        <v>132.85248415215131</v>
      </c>
      <c r="P442">
        <f t="shared" si="48"/>
        <v>3.2475946423698835E-4</v>
      </c>
    </row>
    <row r="443" spans="1:16" x14ac:dyDescent="0.25">
      <c r="A443" s="2">
        <v>22.05</v>
      </c>
      <c r="B443" s="1">
        <v>6.6230000000000002</v>
      </c>
      <c r="C443">
        <v>8.6999999999999994E-2</v>
      </c>
      <c r="H443">
        <f t="shared" si="42"/>
        <v>22.05</v>
      </c>
      <c r="I443">
        <f t="shared" si="43"/>
        <v>6.6230000000000002</v>
      </c>
      <c r="J443">
        <f t="shared" si="44"/>
        <v>7.1084635370324223E-2</v>
      </c>
      <c r="K443">
        <f t="shared" si="45"/>
        <v>132.81237774184123</v>
      </c>
      <c r="L443">
        <f t="shared" si="46"/>
        <v>9.4779513827098947E-4</v>
      </c>
      <c r="O443">
        <f t="shared" si="47"/>
        <v>132.85248415215131</v>
      </c>
      <c r="P443">
        <f t="shared" si="48"/>
        <v>2.9761160740767074E-4</v>
      </c>
    </row>
    <row r="444" spans="1:16" x14ac:dyDescent="0.25">
      <c r="A444" s="2">
        <v>22.1</v>
      </c>
      <c r="B444" s="1">
        <v>6.6159999999999997</v>
      </c>
      <c r="C444">
        <v>8.7999999999999995E-2</v>
      </c>
      <c r="H444">
        <f t="shared" si="42"/>
        <v>22.1</v>
      </c>
      <c r="I444">
        <f t="shared" si="43"/>
        <v>6.6159999999999997</v>
      </c>
      <c r="J444">
        <f t="shared" si="44"/>
        <v>7.2048546108125416E-2</v>
      </c>
      <c r="K444">
        <f t="shared" si="45"/>
        <v>132.67200530575593</v>
      </c>
      <c r="L444">
        <f t="shared" si="46"/>
        <v>9.6064728144167207E-4</v>
      </c>
      <c r="O444">
        <f t="shared" si="47"/>
        <v>132.71211171606603</v>
      </c>
      <c r="P444">
        <f t="shared" si="48"/>
        <v>3.1046375057835335E-4</v>
      </c>
    </row>
    <row r="445" spans="1:16" x14ac:dyDescent="0.25">
      <c r="A445" s="2">
        <v>22.15</v>
      </c>
      <c r="B445" s="1">
        <v>6.5990000000000002</v>
      </c>
      <c r="C445">
        <v>8.7999999999999995E-2</v>
      </c>
      <c r="H445">
        <f t="shared" si="42"/>
        <v>22.15</v>
      </c>
      <c r="I445">
        <f t="shared" si="43"/>
        <v>6.5990000000000002</v>
      </c>
      <c r="J445">
        <f t="shared" si="44"/>
        <v>7.2012456845926609E-2</v>
      </c>
      <c r="K445">
        <f t="shared" si="45"/>
        <v>132.33110081812023</v>
      </c>
      <c r="L445">
        <f t="shared" si="46"/>
        <v>9.6016609127902127E-4</v>
      </c>
      <c r="O445">
        <f t="shared" si="47"/>
        <v>132.37120722843031</v>
      </c>
      <c r="P445">
        <f t="shared" si="48"/>
        <v>3.0998256041570255E-4</v>
      </c>
    </row>
    <row r="446" spans="1:16" x14ac:dyDescent="0.25">
      <c r="A446" s="2">
        <v>22.2</v>
      </c>
      <c r="B446" s="1">
        <v>6.548</v>
      </c>
      <c r="C446">
        <v>8.8999999999999996E-2</v>
      </c>
      <c r="H446">
        <f t="shared" si="42"/>
        <v>22.2</v>
      </c>
      <c r="I446">
        <f t="shared" si="43"/>
        <v>6.548</v>
      </c>
      <c r="J446">
        <f t="shared" si="44"/>
        <v>7.2976367583727803E-2</v>
      </c>
      <c r="K446">
        <f t="shared" si="45"/>
        <v>131.30838735521309</v>
      </c>
      <c r="L446">
        <f t="shared" si="46"/>
        <v>9.7301823444970387E-4</v>
      </c>
      <c r="O446">
        <f t="shared" si="47"/>
        <v>131.34849376552319</v>
      </c>
      <c r="P446">
        <f t="shared" si="48"/>
        <v>3.2283470358638515E-4</v>
      </c>
    </row>
    <row r="447" spans="1:16" x14ac:dyDescent="0.25">
      <c r="A447" s="2">
        <v>22.25</v>
      </c>
      <c r="B447" s="1">
        <v>6.4660000000000002</v>
      </c>
      <c r="C447">
        <v>8.6999999999999994E-2</v>
      </c>
      <c r="H447">
        <f t="shared" si="42"/>
        <v>22.25</v>
      </c>
      <c r="I447">
        <f t="shared" si="43"/>
        <v>6.4660000000000002</v>
      </c>
      <c r="J447">
        <f t="shared" si="44"/>
        <v>7.0940278321528993E-2</v>
      </c>
      <c r="K447">
        <f t="shared" si="45"/>
        <v>129.66402453249967</v>
      </c>
      <c r="L447">
        <f t="shared" si="46"/>
        <v>9.4587037762038637E-4</v>
      </c>
      <c r="O447">
        <f t="shared" si="47"/>
        <v>129.70413094280974</v>
      </c>
      <c r="P447">
        <f t="shared" si="48"/>
        <v>2.9568684675706765E-4</v>
      </c>
    </row>
    <row r="448" spans="1:16" x14ac:dyDescent="0.25">
      <c r="A448" s="2">
        <v>22.3</v>
      </c>
      <c r="B448" s="1">
        <v>6.3920000000000003</v>
      </c>
      <c r="C448">
        <v>8.7999999999999995E-2</v>
      </c>
      <c r="H448">
        <f t="shared" si="42"/>
        <v>22.3</v>
      </c>
      <c r="I448">
        <f t="shared" si="43"/>
        <v>6.3920000000000003</v>
      </c>
      <c r="J448">
        <f t="shared" si="44"/>
        <v>7.1904189059330173E-2</v>
      </c>
      <c r="K448">
        <f t="shared" si="45"/>
        <v>128.1800873510266</v>
      </c>
      <c r="L448">
        <f t="shared" si="46"/>
        <v>9.5872252079106876E-4</v>
      </c>
      <c r="O448">
        <f t="shared" si="47"/>
        <v>128.2201937613367</v>
      </c>
      <c r="P448">
        <f t="shared" si="48"/>
        <v>3.0853898992775004E-4</v>
      </c>
    </row>
    <row r="449" spans="1:16" x14ac:dyDescent="0.25">
      <c r="A449" s="2">
        <v>22.35</v>
      </c>
      <c r="B449" s="1">
        <v>6.3259999999999996</v>
      </c>
      <c r="C449">
        <v>8.6999999999999994E-2</v>
      </c>
      <c r="H449">
        <f t="shared" si="42"/>
        <v>22.35</v>
      </c>
      <c r="I449">
        <f t="shared" si="43"/>
        <v>6.3259999999999996</v>
      </c>
      <c r="J449">
        <f t="shared" si="44"/>
        <v>7.0868099797131365E-2</v>
      </c>
      <c r="K449">
        <f t="shared" si="45"/>
        <v>126.85657581079383</v>
      </c>
      <c r="L449">
        <f t="shared" si="46"/>
        <v>9.4490799729508466E-4</v>
      </c>
      <c r="O449">
        <f t="shared" si="47"/>
        <v>126.89668222110392</v>
      </c>
      <c r="P449">
        <f t="shared" si="48"/>
        <v>2.9472446643176594E-4</v>
      </c>
    </row>
    <row r="450" spans="1:16" x14ac:dyDescent="0.25">
      <c r="A450" s="2">
        <v>22.4</v>
      </c>
      <c r="B450" s="1">
        <v>6.2729999999999997</v>
      </c>
      <c r="C450">
        <v>8.7999999999999995E-2</v>
      </c>
      <c r="H450">
        <f t="shared" si="42"/>
        <v>22.4</v>
      </c>
      <c r="I450">
        <f t="shared" si="43"/>
        <v>6.2729999999999997</v>
      </c>
      <c r="J450">
        <f t="shared" si="44"/>
        <v>7.1832010534932558E-2</v>
      </c>
      <c r="K450">
        <f t="shared" si="45"/>
        <v>125.79375593757662</v>
      </c>
      <c r="L450">
        <f t="shared" si="46"/>
        <v>9.5776014046576726E-4</v>
      </c>
      <c r="O450">
        <f t="shared" si="47"/>
        <v>125.83386234788671</v>
      </c>
      <c r="P450">
        <f t="shared" si="48"/>
        <v>3.0757660960244854E-4</v>
      </c>
    </row>
    <row r="451" spans="1:16" x14ac:dyDescent="0.25">
      <c r="A451" s="2">
        <v>22.45</v>
      </c>
      <c r="B451" s="1">
        <v>6.27</v>
      </c>
      <c r="C451">
        <v>8.6999999999999994E-2</v>
      </c>
      <c r="H451">
        <f t="shared" ref="H451:H514" si="49">A451</f>
        <v>22.45</v>
      </c>
      <c r="I451">
        <f t="shared" ref="I451:I514" si="50">B451</f>
        <v>6.27</v>
      </c>
      <c r="J451">
        <f t="shared" ref="J451:J514" si="51">C451-E$12*A451</f>
        <v>7.0795921272733736E-2</v>
      </c>
      <c r="K451">
        <f t="shared" ref="K451:K514" si="52">F$24*I451</f>
        <v>125.73359632211148</v>
      </c>
      <c r="L451">
        <f t="shared" ref="L451:L514" si="53">F$25*J451</f>
        <v>9.4394561696978295E-4</v>
      </c>
      <c r="O451">
        <f t="shared" ref="O451:O514" si="54">K451-N$12</f>
        <v>125.77370273242157</v>
      </c>
      <c r="P451">
        <f t="shared" ref="P451:P514" si="55">L451-N$15</f>
        <v>2.9376208610646423E-4</v>
      </c>
    </row>
    <row r="452" spans="1:16" x14ac:dyDescent="0.25">
      <c r="A452" s="2">
        <v>22.5</v>
      </c>
      <c r="B452" s="1">
        <v>6.2709999999999999</v>
      </c>
      <c r="C452">
        <v>8.7999999999999995E-2</v>
      </c>
      <c r="H452">
        <f t="shared" si="49"/>
        <v>22.5</v>
      </c>
      <c r="I452">
        <f t="shared" si="50"/>
        <v>6.2709999999999999</v>
      </c>
      <c r="J452">
        <f t="shared" si="51"/>
        <v>7.175983201053493E-2</v>
      </c>
      <c r="K452">
        <f t="shared" si="52"/>
        <v>125.75364952726653</v>
      </c>
      <c r="L452">
        <f t="shared" si="53"/>
        <v>9.5679776014046555E-4</v>
      </c>
      <c r="O452">
        <f t="shared" si="54"/>
        <v>125.79375593757662</v>
      </c>
      <c r="P452">
        <f t="shared" si="55"/>
        <v>3.0661422927714683E-4</v>
      </c>
    </row>
    <row r="453" spans="1:16" x14ac:dyDescent="0.25">
      <c r="A453" s="2">
        <v>22.55</v>
      </c>
      <c r="B453" s="1">
        <v>6.2709999999999999</v>
      </c>
      <c r="C453">
        <v>8.6999999999999994E-2</v>
      </c>
      <c r="H453">
        <f t="shared" si="49"/>
        <v>22.55</v>
      </c>
      <c r="I453">
        <f t="shared" si="50"/>
        <v>6.2709999999999999</v>
      </c>
      <c r="J453">
        <f t="shared" si="51"/>
        <v>7.0723742748336121E-2</v>
      </c>
      <c r="K453">
        <f t="shared" si="52"/>
        <v>125.75364952726653</v>
      </c>
      <c r="L453">
        <f t="shared" si="53"/>
        <v>9.4298323664448146E-4</v>
      </c>
      <c r="O453">
        <f t="shared" si="54"/>
        <v>125.79375593757662</v>
      </c>
      <c r="P453">
        <f t="shared" si="55"/>
        <v>2.9279970578116273E-4</v>
      </c>
    </row>
    <row r="454" spans="1:16" x14ac:dyDescent="0.25">
      <c r="A454" s="2">
        <v>22.6</v>
      </c>
      <c r="B454" s="1">
        <v>6.2709999999999999</v>
      </c>
      <c r="C454">
        <v>8.7999999999999995E-2</v>
      </c>
      <c r="H454">
        <f t="shared" si="49"/>
        <v>22.6</v>
      </c>
      <c r="I454">
        <f t="shared" si="50"/>
        <v>6.2709999999999999</v>
      </c>
      <c r="J454">
        <f t="shared" si="51"/>
        <v>7.1687653486137315E-2</v>
      </c>
      <c r="K454">
        <f t="shared" si="52"/>
        <v>125.75364952726653</v>
      </c>
      <c r="L454">
        <f t="shared" si="53"/>
        <v>9.5583537981516406E-4</v>
      </c>
      <c r="O454">
        <f t="shared" si="54"/>
        <v>125.79375593757662</v>
      </c>
      <c r="P454">
        <f t="shared" si="55"/>
        <v>3.0565184895184534E-4</v>
      </c>
    </row>
    <row r="455" spans="1:16" x14ac:dyDescent="0.25">
      <c r="A455" s="2">
        <v>22.65</v>
      </c>
      <c r="B455" s="1">
        <v>6.27</v>
      </c>
      <c r="C455">
        <v>8.6999999999999994E-2</v>
      </c>
      <c r="H455">
        <f t="shared" si="49"/>
        <v>22.65</v>
      </c>
      <c r="I455">
        <f t="shared" si="50"/>
        <v>6.27</v>
      </c>
      <c r="J455">
        <f t="shared" si="51"/>
        <v>7.0651564223938507E-2</v>
      </c>
      <c r="K455">
        <f t="shared" si="52"/>
        <v>125.73359632211148</v>
      </c>
      <c r="L455">
        <f t="shared" si="53"/>
        <v>9.4202085631917985E-4</v>
      </c>
      <c r="O455">
        <f t="shared" si="54"/>
        <v>125.77370273242157</v>
      </c>
      <c r="P455">
        <f t="shared" si="55"/>
        <v>2.9183732545586113E-4</v>
      </c>
    </row>
    <row r="456" spans="1:16" x14ac:dyDescent="0.25">
      <c r="A456" s="2">
        <v>22.7</v>
      </c>
      <c r="B456" s="1">
        <v>6.2569999999999997</v>
      </c>
      <c r="C456">
        <v>8.6999999999999994E-2</v>
      </c>
      <c r="H456">
        <f t="shared" si="49"/>
        <v>22.7</v>
      </c>
      <c r="I456">
        <f t="shared" si="50"/>
        <v>6.2569999999999997</v>
      </c>
      <c r="J456">
        <f t="shared" si="51"/>
        <v>7.0615474961739685E-2</v>
      </c>
      <c r="K456">
        <f t="shared" si="52"/>
        <v>125.47290465509595</v>
      </c>
      <c r="L456">
        <f t="shared" si="53"/>
        <v>9.4153966615652895E-4</v>
      </c>
      <c r="O456">
        <f t="shared" si="54"/>
        <v>125.51301106540603</v>
      </c>
      <c r="P456">
        <f t="shared" si="55"/>
        <v>2.9135613529321022E-4</v>
      </c>
    </row>
    <row r="457" spans="1:16" x14ac:dyDescent="0.25">
      <c r="A457" s="2">
        <v>22.75</v>
      </c>
      <c r="B457" s="1">
        <v>6.1950000000000003</v>
      </c>
      <c r="C457">
        <v>8.6999999999999994E-2</v>
      </c>
      <c r="H457">
        <f t="shared" si="49"/>
        <v>22.75</v>
      </c>
      <c r="I457">
        <f t="shared" si="50"/>
        <v>6.1950000000000003</v>
      </c>
      <c r="J457">
        <f t="shared" si="51"/>
        <v>7.0579385699540878E-2</v>
      </c>
      <c r="K457">
        <f t="shared" si="52"/>
        <v>124.22960593548338</v>
      </c>
      <c r="L457">
        <f t="shared" si="53"/>
        <v>9.4105847599387814E-4</v>
      </c>
      <c r="O457">
        <f t="shared" si="54"/>
        <v>124.26971234579347</v>
      </c>
      <c r="P457">
        <f t="shared" si="55"/>
        <v>2.9087494513055942E-4</v>
      </c>
    </row>
    <row r="458" spans="1:16" x14ac:dyDescent="0.25">
      <c r="A458" s="2">
        <v>22.8</v>
      </c>
      <c r="B458" s="1">
        <v>6.1550000000000002</v>
      </c>
      <c r="C458">
        <v>8.6999999999999994E-2</v>
      </c>
      <c r="H458">
        <f t="shared" si="49"/>
        <v>22.8</v>
      </c>
      <c r="I458">
        <f t="shared" si="50"/>
        <v>6.1550000000000002</v>
      </c>
      <c r="J458">
        <f t="shared" si="51"/>
        <v>7.0543296437342057E-2</v>
      </c>
      <c r="K458">
        <f t="shared" si="52"/>
        <v>123.4274777292817</v>
      </c>
      <c r="L458">
        <f t="shared" si="53"/>
        <v>9.4057728583122723E-4</v>
      </c>
      <c r="O458">
        <f t="shared" si="54"/>
        <v>123.46758413959179</v>
      </c>
      <c r="P458">
        <f t="shared" si="55"/>
        <v>2.9039375496790851E-4</v>
      </c>
    </row>
    <row r="459" spans="1:16" x14ac:dyDescent="0.25">
      <c r="A459" s="2">
        <v>22.85</v>
      </c>
      <c r="B459" s="1">
        <v>6.1079999999999997</v>
      </c>
      <c r="C459">
        <v>8.5999999999999993E-2</v>
      </c>
      <c r="H459">
        <f t="shared" si="49"/>
        <v>22.85</v>
      </c>
      <c r="I459">
        <f t="shared" si="50"/>
        <v>6.1079999999999997</v>
      </c>
      <c r="J459">
        <f t="shared" si="51"/>
        <v>6.9507207175143249E-2</v>
      </c>
      <c r="K459">
        <f t="shared" si="52"/>
        <v>122.48497708699473</v>
      </c>
      <c r="L459">
        <f t="shared" si="53"/>
        <v>9.2676276233524314E-4</v>
      </c>
      <c r="O459">
        <f t="shared" si="54"/>
        <v>122.52508349730482</v>
      </c>
      <c r="P459">
        <f t="shared" si="55"/>
        <v>2.7657923147192441E-4</v>
      </c>
    </row>
    <row r="460" spans="1:16" x14ac:dyDescent="0.25">
      <c r="A460" s="2">
        <v>22.9</v>
      </c>
      <c r="B460" s="1">
        <v>6.0430000000000001</v>
      </c>
      <c r="C460">
        <v>8.6999999999999994E-2</v>
      </c>
      <c r="H460">
        <f t="shared" si="49"/>
        <v>22.9</v>
      </c>
      <c r="I460">
        <f t="shared" si="50"/>
        <v>6.0430000000000001</v>
      </c>
      <c r="J460">
        <f t="shared" si="51"/>
        <v>7.0471117912944442E-2</v>
      </c>
      <c r="K460">
        <f t="shared" si="52"/>
        <v>121.18151875191703</v>
      </c>
      <c r="L460">
        <f t="shared" si="53"/>
        <v>9.3961490550592574E-4</v>
      </c>
      <c r="O460">
        <f t="shared" si="54"/>
        <v>121.22162516222711</v>
      </c>
      <c r="P460">
        <f t="shared" si="55"/>
        <v>2.8943137464260702E-4</v>
      </c>
    </row>
    <row r="461" spans="1:16" x14ac:dyDescent="0.25">
      <c r="A461" s="2">
        <v>22.95</v>
      </c>
      <c r="B461" s="1">
        <v>5.9059999999999997</v>
      </c>
      <c r="C461">
        <v>8.5999999999999993E-2</v>
      </c>
      <c r="H461">
        <f t="shared" si="49"/>
        <v>22.95</v>
      </c>
      <c r="I461">
        <f t="shared" si="50"/>
        <v>5.9059999999999997</v>
      </c>
      <c r="J461">
        <f t="shared" si="51"/>
        <v>6.9435028650745634E-2</v>
      </c>
      <c r="K461">
        <f t="shared" si="52"/>
        <v>118.43422964567631</v>
      </c>
      <c r="L461">
        <f t="shared" si="53"/>
        <v>9.2580038200994164E-4</v>
      </c>
      <c r="O461">
        <f t="shared" si="54"/>
        <v>118.4743360559864</v>
      </c>
      <c r="P461">
        <f t="shared" si="55"/>
        <v>2.7561685114662292E-4</v>
      </c>
    </row>
    <row r="462" spans="1:16" x14ac:dyDescent="0.25">
      <c r="A462" s="2">
        <v>23</v>
      </c>
      <c r="B462" s="1">
        <v>5.8559999999999999</v>
      </c>
      <c r="C462">
        <v>8.5999999999999993E-2</v>
      </c>
      <c r="H462">
        <f t="shared" si="49"/>
        <v>23</v>
      </c>
      <c r="I462">
        <f t="shared" si="50"/>
        <v>5.8559999999999999</v>
      </c>
      <c r="J462">
        <f t="shared" si="51"/>
        <v>6.9398939388546813E-2</v>
      </c>
      <c r="K462">
        <f t="shared" si="52"/>
        <v>117.43156938792423</v>
      </c>
      <c r="L462">
        <f t="shared" si="53"/>
        <v>9.2531919184729063E-4</v>
      </c>
      <c r="O462">
        <f t="shared" si="54"/>
        <v>117.47167579823432</v>
      </c>
      <c r="P462">
        <f t="shared" si="55"/>
        <v>2.751356609839719E-4</v>
      </c>
    </row>
    <row r="463" spans="1:16" x14ac:dyDescent="0.25">
      <c r="A463" s="2">
        <v>23.05</v>
      </c>
      <c r="B463" s="1">
        <v>5.8559999999999999</v>
      </c>
      <c r="C463">
        <v>8.5999999999999993E-2</v>
      </c>
      <c r="H463">
        <f t="shared" si="49"/>
        <v>23.05</v>
      </c>
      <c r="I463">
        <f t="shared" si="50"/>
        <v>5.8559999999999999</v>
      </c>
      <c r="J463">
        <f t="shared" si="51"/>
        <v>6.9362850126348005E-2</v>
      </c>
      <c r="K463">
        <f t="shared" si="52"/>
        <v>117.43156938792423</v>
      </c>
      <c r="L463">
        <f t="shared" si="53"/>
        <v>9.2483800168463993E-4</v>
      </c>
      <c r="O463">
        <f t="shared" si="54"/>
        <v>117.47167579823432</v>
      </c>
      <c r="P463">
        <f t="shared" si="55"/>
        <v>2.7465447082132121E-4</v>
      </c>
    </row>
    <row r="464" spans="1:16" x14ac:dyDescent="0.25">
      <c r="A464" s="2">
        <v>23.1</v>
      </c>
      <c r="B464" s="1">
        <v>5.8559999999999999</v>
      </c>
      <c r="C464">
        <v>8.6999999999999994E-2</v>
      </c>
      <c r="H464">
        <f t="shared" si="49"/>
        <v>23.1</v>
      </c>
      <c r="I464">
        <f t="shared" si="50"/>
        <v>5.8559999999999999</v>
      </c>
      <c r="J464">
        <f t="shared" si="51"/>
        <v>7.0326760864149199E-2</v>
      </c>
      <c r="K464">
        <f t="shared" si="52"/>
        <v>117.43156938792423</v>
      </c>
      <c r="L464">
        <f t="shared" si="53"/>
        <v>9.3769014485532243E-4</v>
      </c>
      <c r="O464">
        <f t="shared" si="54"/>
        <v>117.47167579823432</v>
      </c>
      <c r="P464">
        <f t="shared" si="55"/>
        <v>2.8750661399200371E-4</v>
      </c>
    </row>
    <row r="465" spans="1:16" x14ac:dyDescent="0.25">
      <c r="A465" s="2">
        <v>23.15</v>
      </c>
      <c r="B465" s="1">
        <v>5.8559999999999999</v>
      </c>
      <c r="C465">
        <v>8.5999999999999993E-2</v>
      </c>
      <c r="H465">
        <f t="shared" si="49"/>
        <v>23.15</v>
      </c>
      <c r="I465">
        <f t="shared" si="50"/>
        <v>5.8559999999999999</v>
      </c>
      <c r="J465">
        <f t="shared" si="51"/>
        <v>6.9290671601950377E-2</v>
      </c>
      <c r="K465">
        <f t="shared" si="52"/>
        <v>117.43156938792423</v>
      </c>
      <c r="L465">
        <f t="shared" si="53"/>
        <v>9.2387562135933822E-4</v>
      </c>
      <c r="O465">
        <f t="shared" si="54"/>
        <v>117.47167579823432</v>
      </c>
      <c r="P465">
        <f t="shared" si="55"/>
        <v>2.736920904960195E-4</v>
      </c>
    </row>
    <row r="466" spans="1:16" x14ac:dyDescent="0.25">
      <c r="A466" s="2">
        <v>23.2</v>
      </c>
      <c r="B466" s="1">
        <v>5.8559999999999999</v>
      </c>
      <c r="C466">
        <v>8.6999999999999994E-2</v>
      </c>
      <c r="H466">
        <f t="shared" si="49"/>
        <v>23.2</v>
      </c>
      <c r="I466">
        <f t="shared" si="50"/>
        <v>5.8559999999999999</v>
      </c>
      <c r="J466">
        <f t="shared" si="51"/>
        <v>7.025458233975157E-2</v>
      </c>
      <c r="K466">
        <f t="shared" si="52"/>
        <v>117.43156938792423</v>
      </c>
      <c r="L466">
        <f t="shared" si="53"/>
        <v>9.3672776453002072E-4</v>
      </c>
      <c r="O466">
        <f t="shared" si="54"/>
        <v>117.47167579823432</v>
      </c>
      <c r="P466">
        <f t="shared" si="55"/>
        <v>2.8654423366670199E-4</v>
      </c>
    </row>
    <row r="467" spans="1:16" x14ac:dyDescent="0.25">
      <c r="A467" s="2">
        <v>23.25</v>
      </c>
      <c r="B467" s="1">
        <v>5.8559999999999999</v>
      </c>
      <c r="C467">
        <v>8.5999999999999993E-2</v>
      </c>
      <c r="H467">
        <f t="shared" si="49"/>
        <v>23.25</v>
      </c>
      <c r="I467">
        <f t="shared" si="50"/>
        <v>5.8559999999999999</v>
      </c>
      <c r="J467">
        <f t="shared" si="51"/>
        <v>6.9218493077552762E-2</v>
      </c>
      <c r="K467">
        <f t="shared" si="52"/>
        <v>117.43156938792423</v>
      </c>
      <c r="L467">
        <f t="shared" si="53"/>
        <v>9.2291324103403662E-4</v>
      </c>
      <c r="O467">
        <f t="shared" si="54"/>
        <v>117.47167579823432</v>
      </c>
      <c r="P467">
        <f t="shared" si="55"/>
        <v>2.727297101707179E-4</v>
      </c>
    </row>
    <row r="468" spans="1:16" x14ac:dyDescent="0.25">
      <c r="A468" s="2">
        <v>23.3</v>
      </c>
      <c r="B468" s="1">
        <v>5.8540000000000001</v>
      </c>
      <c r="C468">
        <v>8.5999999999999993E-2</v>
      </c>
      <c r="H468">
        <f t="shared" si="49"/>
        <v>23.3</v>
      </c>
      <c r="I468">
        <f t="shared" si="50"/>
        <v>5.8540000000000001</v>
      </c>
      <c r="J468">
        <f t="shared" si="51"/>
        <v>6.9182403815353954E-2</v>
      </c>
      <c r="K468">
        <f t="shared" si="52"/>
        <v>117.39146297761415</v>
      </c>
      <c r="L468">
        <f t="shared" si="53"/>
        <v>9.2243205087138593E-4</v>
      </c>
      <c r="O468">
        <f t="shared" si="54"/>
        <v>117.43156938792424</v>
      </c>
      <c r="P468">
        <f t="shared" si="55"/>
        <v>2.722485200080672E-4</v>
      </c>
    </row>
    <row r="469" spans="1:16" x14ac:dyDescent="0.25">
      <c r="A469" s="2">
        <v>23.35</v>
      </c>
      <c r="B469" s="1">
        <v>5.8140000000000001</v>
      </c>
      <c r="C469">
        <v>8.5999999999999993E-2</v>
      </c>
      <c r="H469">
        <f t="shared" si="49"/>
        <v>23.35</v>
      </c>
      <c r="I469">
        <f t="shared" si="50"/>
        <v>5.8140000000000001</v>
      </c>
      <c r="J469">
        <f t="shared" si="51"/>
        <v>6.9146314553155133E-2</v>
      </c>
      <c r="K469">
        <f t="shared" si="52"/>
        <v>116.58933477141248</v>
      </c>
      <c r="L469">
        <f t="shared" si="53"/>
        <v>9.2195086070873491E-4</v>
      </c>
      <c r="O469">
        <f t="shared" si="54"/>
        <v>116.62944118172257</v>
      </c>
      <c r="P469">
        <f t="shared" si="55"/>
        <v>2.7176732984541619E-4</v>
      </c>
    </row>
    <row r="470" spans="1:16" x14ac:dyDescent="0.25">
      <c r="A470" s="2">
        <v>23.4</v>
      </c>
      <c r="B470" s="1">
        <v>5.7409999999999997</v>
      </c>
      <c r="C470">
        <v>8.5999999999999993E-2</v>
      </c>
      <c r="H470">
        <f t="shared" si="49"/>
        <v>23.4</v>
      </c>
      <c r="I470">
        <f t="shared" si="50"/>
        <v>5.7409999999999997</v>
      </c>
      <c r="J470">
        <f t="shared" si="51"/>
        <v>6.9110225290956326E-2</v>
      </c>
      <c r="K470">
        <f t="shared" si="52"/>
        <v>115.12545079509442</v>
      </c>
      <c r="L470">
        <f t="shared" si="53"/>
        <v>9.2146967054608422E-4</v>
      </c>
      <c r="O470">
        <f t="shared" si="54"/>
        <v>115.16555720540451</v>
      </c>
      <c r="P470">
        <f t="shared" si="55"/>
        <v>2.7128613968276549E-4</v>
      </c>
    </row>
    <row r="471" spans="1:16" x14ac:dyDescent="0.25">
      <c r="A471" s="2">
        <v>23.45</v>
      </c>
      <c r="B471" s="1">
        <v>5.67</v>
      </c>
      <c r="C471">
        <v>8.5000000000000006E-2</v>
      </c>
      <c r="H471">
        <f t="shared" si="49"/>
        <v>23.45</v>
      </c>
      <c r="I471">
        <f t="shared" si="50"/>
        <v>5.67</v>
      </c>
      <c r="J471">
        <f t="shared" si="51"/>
        <v>6.8074136028757531E-2</v>
      </c>
      <c r="K471">
        <f t="shared" si="52"/>
        <v>113.70167322908647</v>
      </c>
      <c r="L471">
        <f t="shared" si="53"/>
        <v>9.0765514705010023E-4</v>
      </c>
      <c r="O471">
        <f t="shared" si="54"/>
        <v>113.74177963939655</v>
      </c>
      <c r="P471">
        <f t="shared" si="55"/>
        <v>2.5747161618678151E-4</v>
      </c>
    </row>
    <row r="472" spans="1:16" x14ac:dyDescent="0.25">
      <c r="A472" s="2">
        <v>23.5</v>
      </c>
      <c r="B472" s="1">
        <v>5.6020000000000003</v>
      </c>
      <c r="C472">
        <v>8.5999999999999993E-2</v>
      </c>
      <c r="H472">
        <f t="shared" si="49"/>
        <v>23.5</v>
      </c>
      <c r="I472">
        <f t="shared" si="50"/>
        <v>5.6020000000000003</v>
      </c>
      <c r="J472">
        <f t="shared" si="51"/>
        <v>6.9038046766558697E-2</v>
      </c>
      <c r="K472">
        <f t="shared" si="52"/>
        <v>112.33805527854365</v>
      </c>
      <c r="L472">
        <f t="shared" si="53"/>
        <v>9.205072902207824E-4</v>
      </c>
      <c r="O472">
        <f t="shared" si="54"/>
        <v>112.37816168885374</v>
      </c>
      <c r="P472">
        <f t="shared" si="55"/>
        <v>2.7032375935746368E-4</v>
      </c>
    </row>
    <row r="473" spans="1:16" x14ac:dyDescent="0.25">
      <c r="A473" s="2">
        <v>23.55</v>
      </c>
      <c r="B473" s="1">
        <v>5.4729999999999999</v>
      </c>
      <c r="C473">
        <v>8.4000000000000005E-2</v>
      </c>
      <c r="H473">
        <f t="shared" si="49"/>
        <v>23.55</v>
      </c>
      <c r="I473">
        <f t="shared" si="50"/>
        <v>5.4729999999999999</v>
      </c>
      <c r="J473">
        <f t="shared" si="51"/>
        <v>6.7001957504359902E-2</v>
      </c>
      <c r="K473">
        <f t="shared" si="52"/>
        <v>109.75119181354326</v>
      </c>
      <c r="L473">
        <f t="shared" si="53"/>
        <v>8.9335943339146522E-4</v>
      </c>
      <c r="O473">
        <f t="shared" si="54"/>
        <v>109.79129822385335</v>
      </c>
      <c r="P473">
        <f t="shared" si="55"/>
        <v>2.431759025281465E-4</v>
      </c>
    </row>
    <row r="474" spans="1:16" x14ac:dyDescent="0.25">
      <c r="A474" s="2">
        <v>23.6</v>
      </c>
      <c r="B474" s="1">
        <v>5.3369999999999997</v>
      </c>
      <c r="C474">
        <v>8.5000000000000006E-2</v>
      </c>
      <c r="H474">
        <f t="shared" si="49"/>
        <v>23.6</v>
      </c>
      <c r="I474">
        <f t="shared" si="50"/>
        <v>5.3369999999999997</v>
      </c>
      <c r="J474">
        <f t="shared" si="51"/>
        <v>6.7965868242161095E-2</v>
      </c>
      <c r="K474">
        <f t="shared" si="52"/>
        <v>107.02395591245758</v>
      </c>
      <c r="L474">
        <f t="shared" si="53"/>
        <v>9.0621157656214772E-4</v>
      </c>
      <c r="O474">
        <f t="shared" si="54"/>
        <v>107.06406232276767</v>
      </c>
      <c r="P474">
        <f t="shared" si="55"/>
        <v>2.5602804569882899E-4</v>
      </c>
    </row>
    <row r="475" spans="1:16" x14ac:dyDescent="0.25">
      <c r="A475" s="2">
        <v>23.65</v>
      </c>
      <c r="B475" s="1">
        <v>5.2839999999999998</v>
      </c>
      <c r="C475">
        <v>8.4000000000000005E-2</v>
      </c>
      <c r="H475">
        <f t="shared" si="49"/>
        <v>23.65</v>
      </c>
      <c r="I475">
        <f t="shared" si="50"/>
        <v>5.2839999999999998</v>
      </c>
      <c r="J475">
        <f t="shared" si="51"/>
        <v>6.6929778979962287E-2</v>
      </c>
      <c r="K475">
        <f t="shared" si="52"/>
        <v>105.96113603924037</v>
      </c>
      <c r="L475">
        <f t="shared" si="53"/>
        <v>8.9239705306616362E-4</v>
      </c>
      <c r="O475">
        <f t="shared" si="54"/>
        <v>106.00124244955046</v>
      </c>
      <c r="P475">
        <f t="shared" si="55"/>
        <v>2.422135222028449E-4</v>
      </c>
    </row>
    <row r="476" spans="1:16" x14ac:dyDescent="0.25">
      <c r="A476" s="2">
        <v>23.7</v>
      </c>
      <c r="B476" s="1">
        <v>5.282</v>
      </c>
      <c r="C476">
        <v>8.5000000000000006E-2</v>
      </c>
      <c r="H476">
        <f t="shared" si="49"/>
        <v>23.7</v>
      </c>
      <c r="I476">
        <f t="shared" si="50"/>
        <v>5.282</v>
      </c>
      <c r="J476">
        <f t="shared" si="51"/>
        <v>6.7893689717763467E-2</v>
      </c>
      <c r="K476">
        <f t="shared" si="52"/>
        <v>105.92102962893028</v>
      </c>
      <c r="L476">
        <f t="shared" si="53"/>
        <v>9.0524919623684601E-4</v>
      </c>
      <c r="O476">
        <f t="shared" si="54"/>
        <v>105.96113603924037</v>
      </c>
      <c r="P476">
        <f t="shared" si="55"/>
        <v>2.5506566537352728E-4</v>
      </c>
    </row>
    <row r="477" spans="1:16" x14ac:dyDescent="0.25">
      <c r="A477" s="2">
        <v>23.75</v>
      </c>
      <c r="B477" s="1">
        <v>5.282</v>
      </c>
      <c r="C477">
        <v>8.4000000000000005E-2</v>
      </c>
      <c r="H477">
        <f t="shared" si="49"/>
        <v>23.75</v>
      </c>
      <c r="I477">
        <f t="shared" si="50"/>
        <v>5.282</v>
      </c>
      <c r="J477">
        <f t="shared" si="51"/>
        <v>6.6857600455564659E-2</v>
      </c>
      <c r="K477">
        <f t="shared" si="52"/>
        <v>105.92102962893028</v>
      </c>
      <c r="L477">
        <f t="shared" si="53"/>
        <v>8.9143467274086191E-4</v>
      </c>
      <c r="O477">
        <f t="shared" si="54"/>
        <v>105.96113603924037</v>
      </c>
      <c r="P477">
        <f t="shared" si="55"/>
        <v>2.4125114187754319E-4</v>
      </c>
    </row>
    <row r="478" spans="1:16" x14ac:dyDescent="0.25">
      <c r="A478" s="2">
        <v>23.8</v>
      </c>
      <c r="B478" s="1">
        <v>5.282</v>
      </c>
      <c r="C478">
        <v>8.5000000000000006E-2</v>
      </c>
      <c r="H478">
        <f t="shared" si="49"/>
        <v>23.8</v>
      </c>
      <c r="I478">
        <f t="shared" si="50"/>
        <v>5.282</v>
      </c>
      <c r="J478">
        <f t="shared" si="51"/>
        <v>6.7821511193365852E-2</v>
      </c>
      <c r="K478">
        <f t="shared" si="52"/>
        <v>105.92102962893028</v>
      </c>
      <c r="L478">
        <f t="shared" si="53"/>
        <v>9.0428681591154451E-4</v>
      </c>
      <c r="O478">
        <f t="shared" si="54"/>
        <v>105.96113603924037</v>
      </c>
      <c r="P478">
        <f t="shared" si="55"/>
        <v>2.5410328504822579E-4</v>
      </c>
    </row>
    <row r="479" spans="1:16" x14ac:dyDescent="0.25">
      <c r="A479" s="2">
        <v>23.85</v>
      </c>
      <c r="B479" s="1">
        <v>5.2809999999999997</v>
      </c>
      <c r="C479">
        <v>8.4000000000000005E-2</v>
      </c>
      <c r="H479">
        <f t="shared" si="49"/>
        <v>23.85</v>
      </c>
      <c r="I479">
        <f t="shared" si="50"/>
        <v>5.2809999999999997</v>
      </c>
      <c r="J479">
        <f t="shared" si="51"/>
        <v>6.6785421931167044E-2</v>
      </c>
      <c r="K479">
        <f t="shared" si="52"/>
        <v>105.90097642377525</v>
      </c>
      <c r="L479">
        <f t="shared" si="53"/>
        <v>8.9047229241556042E-4</v>
      </c>
      <c r="O479">
        <f t="shared" si="54"/>
        <v>105.94108283408534</v>
      </c>
      <c r="P479">
        <f t="shared" si="55"/>
        <v>2.4028876155224169E-4</v>
      </c>
    </row>
    <row r="480" spans="1:16" x14ac:dyDescent="0.25">
      <c r="A480" s="2">
        <v>23.9</v>
      </c>
      <c r="B480" s="1">
        <v>5.2809999999999997</v>
      </c>
      <c r="C480">
        <v>8.5000000000000006E-2</v>
      </c>
      <c r="H480">
        <f t="shared" si="49"/>
        <v>23.9</v>
      </c>
      <c r="I480">
        <f t="shared" si="50"/>
        <v>5.2809999999999997</v>
      </c>
      <c r="J480">
        <f t="shared" si="51"/>
        <v>6.7749332668968237E-2</v>
      </c>
      <c r="K480">
        <f t="shared" si="52"/>
        <v>105.90097642377525</v>
      </c>
      <c r="L480">
        <f t="shared" si="53"/>
        <v>9.0332443558624302E-4</v>
      </c>
      <c r="O480">
        <f t="shared" si="54"/>
        <v>105.94108283408534</v>
      </c>
      <c r="P480">
        <f t="shared" si="55"/>
        <v>2.531409047229243E-4</v>
      </c>
    </row>
    <row r="481" spans="1:16" x14ac:dyDescent="0.25">
      <c r="A481" s="2">
        <v>23.95</v>
      </c>
      <c r="B481" s="1">
        <v>5.2809999999999997</v>
      </c>
      <c r="C481">
        <v>8.4000000000000005E-2</v>
      </c>
      <c r="H481">
        <f t="shared" si="49"/>
        <v>23.95</v>
      </c>
      <c r="I481">
        <f t="shared" si="50"/>
        <v>5.2809999999999997</v>
      </c>
      <c r="J481">
        <f t="shared" si="51"/>
        <v>6.6713243406769415E-2</v>
      </c>
      <c r="K481">
        <f t="shared" si="52"/>
        <v>105.90097642377525</v>
      </c>
      <c r="L481">
        <f t="shared" si="53"/>
        <v>8.895099120902587E-4</v>
      </c>
      <c r="O481">
        <f t="shared" si="54"/>
        <v>105.94108283408534</v>
      </c>
      <c r="P481">
        <f t="shared" si="55"/>
        <v>2.3932638122693998E-4</v>
      </c>
    </row>
    <row r="482" spans="1:16" x14ac:dyDescent="0.25">
      <c r="A482" s="2">
        <v>24</v>
      </c>
      <c r="B482" s="1">
        <v>5.2809999999999997</v>
      </c>
      <c r="C482">
        <v>8.5000000000000006E-2</v>
      </c>
      <c r="H482">
        <f t="shared" si="49"/>
        <v>24</v>
      </c>
      <c r="I482">
        <f t="shared" si="50"/>
        <v>5.2809999999999997</v>
      </c>
      <c r="J482">
        <f t="shared" si="51"/>
        <v>6.7677154144570609E-2</v>
      </c>
      <c r="K482">
        <f t="shared" si="52"/>
        <v>105.90097642377525</v>
      </c>
      <c r="L482">
        <f t="shared" si="53"/>
        <v>9.0236205526094131E-4</v>
      </c>
      <c r="O482">
        <f t="shared" si="54"/>
        <v>105.94108283408534</v>
      </c>
      <c r="P482">
        <f t="shared" si="55"/>
        <v>2.5217852439762259E-4</v>
      </c>
    </row>
    <row r="483" spans="1:16" x14ac:dyDescent="0.25">
      <c r="A483" s="2">
        <v>24.05</v>
      </c>
      <c r="B483" s="1">
        <v>5.2560000000000002</v>
      </c>
      <c r="C483">
        <v>8.4000000000000005E-2</v>
      </c>
      <c r="H483">
        <f t="shared" si="49"/>
        <v>24.05</v>
      </c>
      <c r="I483">
        <f t="shared" si="50"/>
        <v>5.2560000000000002</v>
      </c>
      <c r="J483">
        <f t="shared" si="51"/>
        <v>6.6641064882371787E-2</v>
      </c>
      <c r="K483">
        <f t="shared" si="52"/>
        <v>105.39964629489921</v>
      </c>
      <c r="L483">
        <f t="shared" si="53"/>
        <v>8.8854753176495699E-4</v>
      </c>
      <c r="O483">
        <f t="shared" si="54"/>
        <v>105.4397527052093</v>
      </c>
      <c r="P483">
        <f t="shared" si="55"/>
        <v>2.3836400090163827E-4</v>
      </c>
    </row>
    <row r="484" spans="1:16" x14ac:dyDescent="0.25">
      <c r="A484" s="2">
        <v>24.1</v>
      </c>
      <c r="B484" s="1">
        <v>5.194</v>
      </c>
      <c r="C484">
        <v>8.5000000000000006E-2</v>
      </c>
      <c r="H484">
        <f t="shared" si="49"/>
        <v>24.1</v>
      </c>
      <c r="I484">
        <f t="shared" si="50"/>
        <v>5.194</v>
      </c>
      <c r="J484">
        <f t="shared" si="51"/>
        <v>6.760497562017298E-2</v>
      </c>
      <c r="K484">
        <f t="shared" si="52"/>
        <v>104.15634757528662</v>
      </c>
      <c r="L484">
        <f t="shared" si="53"/>
        <v>9.013996749356396E-4</v>
      </c>
      <c r="O484">
        <f t="shared" si="54"/>
        <v>104.1964539855967</v>
      </c>
      <c r="P484">
        <f t="shared" si="55"/>
        <v>2.5121614407232087E-4</v>
      </c>
    </row>
    <row r="485" spans="1:16" x14ac:dyDescent="0.25">
      <c r="A485" s="2">
        <v>24.15</v>
      </c>
      <c r="B485" s="1">
        <v>5.1429999999999998</v>
      </c>
      <c r="C485">
        <v>8.4000000000000005E-2</v>
      </c>
      <c r="H485">
        <f t="shared" si="49"/>
        <v>24.15</v>
      </c>
      <c r="I485">
        <f t="shared" si="50"/>
        <v>5.1429999999999998</v>
      </c>
      <c r="J485">
        <f t="shared" si="51"/>
        <v>6.6568886357974172E-2</v>
      </c>
      <c r="K485">
        <f t="shared" si="52"/>
        <v>103.13363411237948</v>
      </c>
      <c r="L485">
        <f t="shared" si="53"/>
        <v>8.875851514396555E-4</v>
      </c>
      <c r="O485">
        <f t="shared" si="54"/>
        <v>103.17374052268957</v>
      </c>
      <c r="P485">
        <f t="shared" si="55"/>
        <v>2.3740162057633678E-4</v>
      </c>
    </row>
    <row r="486" spans="1:16" x14ac:dyDescent="0.25">
      <c r="A486" s="2">
        <v>24.2</v>
      </c>
      <c r="B486" s="1">
        <v>5.077</v>
      </c>
      <c r="C486">
        <v>8.4000000000000005E-2</v>
      </c>
      <c r="H486">
        <f t="shared" si="49"/>
        <v>24.2</v>
      </c>
      <c r="I486">
        <f t="shared" si="50"/>
        <v>5.077</v>
      </c>
      <c r="J486">
        <f t="shared" si="51"/>
        <v>6.6532797095775364E-2</v>
      </c>
      <c r="K486">
        <f t="shared" si="52"/>
        <v>101.81012257214674</v>
      </c>
      <c r="L486">
        <f t="shared" si="53"/>
        <v>8.871039612770047E-4</v>
      </c>
      <c r="O486">
        <f t="shared" si="54"/>
        <v>101.85022898245683</v>
      </c>
      <c r="P486">
        <f t="shared" si="55"/>
        <v>2.3692043041368598E-4</v>
      </c>
    </row>
    <row r="487" spans="1:16" x14ac:dyDescent="0.25">
      <c r="A487" s="2">
        <v>24.25</v>
      </c>
      <c r="B487" s="1">
        <v>4.9390000000000001</v>
      </c>
      <c r="C487">
        <v>8.3000000000000004E-2</v>
      </c>
      <c r="H487">
        <f t="shared" si="49"/>
        <v>24.25</v>
      </c>
      <c r="I487">
        <f t="shared" si="50"/>
        <v>4.9390000000000001</v>
      </c>
      <c r="J487">
        <f t="shared" si="51"/>
        <v>6.5496707833576542E-2</v>
      </c>
      <c r="K487">
        <f t="shared" si="52"/>
        <v>99.042780260750988</v>
      </c>
      <c r="L487">
        <f t="shared" si="53"/>
        <v>8.7328943778102039E-4</v>
      </c>
      <c r="O487">
        <f t="shared" si="54"/>
        <v>99.082886671061075</v>
      </c>
      <c r="P487">
        <f t="shared" si="55"/>
        <v>2.2310590691770166E-4</v>
      </c>
    </row>
    <row r="488" spans="1:16" x14ac:dyDescent="0.25">
      <c r="A488" s="2">
        <v>24.3</v>
      </c>
      <c r="B488" s="1">
        <v>4.8220000000000001</v>
      </c>
      <c r="C488">
        <v>8.4000000000000005E-2</v>
      </c>
      <c r="H488">
        <f t="shared" si="49"/>
        <v>24.3</v>
      </c>
      <c r="I488">
        <f t="shared" si="50"/>
        <v>4.8220000000000001</v>
      </c>
      <c r="J488">
        <f t="shared" si="51"/>
        <v>6.6460618571377736E-2</v>
      </c>
      <c r="K488">
        <f t="shared" si="52"/>
        <v>96.696555257611109</v>
      </c>
      <c r="L488">
        <f t="shared" si="53"/>
        <v>8.8614158095170299E-4</v>
      </c>
      <c r="O488">
        <f t="shared" si="54"/>
        <v>96.736661667921197</v>
      </c>
      <c r="P488">
        <f t="shared" si="55"/>
        <v>2.3595805008838427E-4</v>
      </c>
    </row>
    <row r="489" spans="1:16" x14ac:dyDescent="0.25">
      <c r="A489" s="2">
        <v>24.35</v>
      </c>
      <c r="B489" s="1">
        <v>4.7590000000000003</v>
      </c>
      <c r="C489">
        <v>8.3000000000000004E-2</v>
      </c>
      <c r="H489">
        <f t="shared" si="49"/>
        <v>24.35</v>
      </c>
      <c r="I489">
        <f t="shared" si="50"/>
        <v>4.7590000000000003</v>
      </c>
      <c r="J489">
        <f t="shared" si="51"/>
        <v>6.5424529309178928E-2</v>
      </c>
      <c r="K489">
        <f t="shared" si="52"/>
        <v>95.43320333284349</v>
      </c>
      <c r="L489">
        <f t="shared" si="53"/>
        <v>8.7232705745571889E-4</v>
      </c>
      <c r="O489">
        <f t="shared" si="54"/>
        <v>95.473309743153578</v>
      </c>
      <c r="P489">
        <f t="shared" si="55"/>
        <v>2.2214352659240017E-4</v>
      </c>
    </row>
    <row r="490" spans="1:16" x14ac:dyDescent="0.25">
      <c r="A490" s="2">
        <v>24.4</v>
      </c>
      <c r="B490" s="1">
        <v>4.7450000000000001</v>
      </c>
      <c r="C490">
        <v>8.4000000000000005E-2</v>
      </c>
      <c r="H490">
        <f t="shared" si="49"/>
        <v>24.4</v>
      </c>
      <c r="I490">
        <f t="shared" si="50"/>
        <v>4.7450000000000001</v>
      </c>
      <c r="J490">
        <f t="shared" si="51"/>
        <v>6.6388440046980107E-2</v>
      </c>
      <c r="K490">
        <f t="shared" si="52"/>
        <v>95.152458460672889</v>
      </c>
      <c r="L490">
        <f t="shared" si="53"/>
        <v>8.8517920062640128E-4</v>
      </c>
      <c r="O490">
        <f t="shared" si="54"/>
        <v>95.192564870982977</v>
      </c>
      <c r="P490">
        <f t="shared" si="55"/>
        <v>2.3499566976308256E-4</v>
      </c>
    </row>
    <row r="491" spans="1:16" x14ac:dyDescent="0.25">
      <c r="A491" s="2">
        <v>24.45</v>
      </c>
      <c r="B491" s="1">
        <v>4.7450000000000001</v>
      </c>
      <c r="C491">
        <v>8.3000000000000004E-2</v>
      </c>
      <c r="H491">
        <f t="shared" si="49"/>
        <v>24.45</v>
      </c>
      <c r="I491">
        <f t="shared" si="50"/>
        <v>4.7450000000000001</v>
      </c>
      <c r="J491">
        <f t="shared" si="51"/>
        <v>6.5352350784781299E-2</v>
      </c>
      <c r="K491">
        <f t="shared" si="52"/>
        <v>95.152458460672889</v>
      </c>
      <c r="L491">
        <f t="shared" si="53"/>
        <v>8.7136467713041718E-4</v>
      </c>
      <c r="O491">
        <f t="shared" si="54"/>
        <v>95.192564870982977</v>
      </c>
      <c r="P491">
        <f t="shared" si="55"/>
        <v>2.2118114626709846E-4</v>
      </c>
    </row>
    <row r="492" spans="1:16" x14ac:dyDescent="0.25">
      <c r="A492" s="2">
        <v>24.5</v>
      </c>
      <c r="B492" s="1">
        <v>4.7450000000000001</v>
      </c>
      <c r="C492">
        <v>8.4000000000000005E-2</v>
      </c>
      <c r="H492">
        <f t="shared" si="49"/>
        <v>24.5</v>
      </c>
      <c r="I492">
        <f t="shared" si="50"/>
        <v>4.7450000000000001</v>
      </c>
      <c r="J492">
        <f t="shared" si="51"/>
        <v>6.6316261522582493E-2</v>
      </c>
      <c r="K492">
        <f t="shared" si="52"/>
        <v>95.152458460672889</v>
      </c>
      <c r="L492">
        <f t="shared" si="53"/>
        <v>8.8421682030109968E-4</v>
      </c>
      <c r="O492">
        <f t="shared" si="54"/>
        <v>95.192564870982977</v>
      </c>
      <c r="P492">
        <f t="shared" si="55"/>
        <v>2.3403328943778095E-4</v>
      </c>
    </row>
    <row r="493" spans="1:16" x14ac:dyDescent="0.25">
      <c r="A493" s="2">
        <v>24.55</v>
      </c>
      <c r="B493" s="1">
        <v>4.7450000000000001</v>
      </c>
      <c r="C493">
        <v>8.3000000000000004E-2</v>
      </c>
      <c r="H493">
        <f t="shared" si="49"/>
        <v>24.55</v>
      </c>
      <c r="I493">
        <f t="shared" si="50"/>
        <v>4.7450000000000001</v>
      </c>
      <c r="J493">
        <f t="shared" si="51"/>
        <v>6.5280172260383684E-2</v>
      </c>
      <c r="K493">
        <f t="shared" si="52"/>
        <v>95.152458460672889</v>
      </c>
      <c r="L493">
        <f t="shared" si="53"/>
        <v>8.7040229680511558E-4</v>
      </c>
      <c r="O493">
        <f t="shared" si="54"/>
        <v>95.192564870982977</v>
      </c>
      <c r="P493">
        <f t="shared" si="55"/>
        <v>2.2021876594179686E-4</v>
      </c>
    </row>
    <row r="494" spans="1:16" x14ac:dyDescent="0.25">
      <c r="A494" s="2">
        <v>24.6</v>
      </c>
      <c r="B494" s="1">
        <v>4.742</v>
      </c>
      <c r="C494">
        <v>8.4000000000000005E-2</v>
      </c>
      <c r="H494">
        <f t="shared" si="49"/>
        <v>24.6</v>
      </c>
      <c r="I494">
        <f t="shared" si="50"/>
        <v>4.742</v>
      </c>
      <c r="J494">
        <f t="shared" si="51"/>
        <v>6.6244082998184864E-2</v>
      </c>
      <c r="K494">
        <f t="shared" si="52"/>
        <v>95.092298845207765</v>
      </c>
      <c r="L494">
        <f t="shared" si="53"/>
        <v>8.8325443997579797E-4</v>
      </c>
      <c r="O494">
        <f t="shared" si="54"/>
        <v>95.132405255517853</v>
      </c>
      <c r="P494">
        <f t="shared" si="55"/>
        <v>2.3307090911247924E-4</v>
      </c>
    </row>
    <row r="495" spans="1:16" x14ac:dyDescent="0.25">
      <c r="A495" s="2">
        <v>24.65</v>
      </c>
      <c r="B495" s="1">
        <v>4.7359999999999998</v>
      </c>
      <c r="C495">
        <v>8.3000000000000004E-2</v>
      </c>
      <c r="H495">
        <f t="shared" si="49"/>
        <v>24.65</v>
      </c>
      <c r="I495">
        <f t="shared" si="50"/>
        <v>4.7359999999999998</v>
      </c>
      <c r="J495">
        <f t="shared" si="51"/>
        <v>6.5207993735986056E-2</v>
      </c>
      <c r="K495">
        <f t="shared" si="52"/>
        <v>94.971979614277515</v>
      </c>
      <c r="L495">
        <f t="shared" si="53"/>
        <v>8.6943991647981387E-4</v>
      </c>
      <c r="O495">
        <f t="shared" si="54"/>
        <v>95.012086024587603</v>
      </c>
      <c r="P495">
        <f t="shared" si="55"/>
        <v>2.1925638561649515E-4</v>
      </c>
    </row>
    <row r="496" spans="1:16" x14ac:dyDescent="0.25">
      <c r="A496" s="2">
        <v>24.7</v>
      </c>
      <c r="B496" s="1">
        <v>4.6859999999999999</v>
      </c>
      <c r="C496">
        <v>8.4000000000000005E-2</v>
      </c>
      <c r="H496">
        <f t="shared" si="49"/>
        <v>24.7</v>
      </c>
      <c r="I496">
        <f t="shared" si="50"/>
        <v>4.6859999999999999</v>
      </c>
      <c r="J496">
        <f t="shared" si="51"/>
        <v>6.6171904473787249E-2</v>
      </c>
      <c r="K496">
        <f t="shared" si="52"/>
        <v>93.969319356525432</v>
      </c>
      <c r="L496">
        <f t="shared" si="53"/>
        <v>8.8229205965049647E-4</v>
      </c>
      <c r="O496">
        <f t="shared" si="54"/>
        <v>94.00942576683552</v>
      </c>
      <c r="P496">
        <f t="shared" si="55"/>
        <v>2.3210852878717775E-4</v>
      </c>
    </row>
    <row r="497" spans="1:16" x14ac:dyDescent="0.25">
      <c r="A497" s="2">
        <v>24.75</v>
      </c>
      <c r="B497" s="1">
        <v>4.633</v>
      </c>
      <c r="C497">
        <v>8.3000000000000004E-2</v>
      </c>
      <c r="H497">
        <f t="shared" si="49"/>
        <v>24.75</v>
      </c>
      <c r="I497">
        <f t="shared" si="50"/>
        <v>4.633</v>
      </c>
      <c r="J497">
        <f t="shared" si="51"/>
        <v>6.5135815211588427E-2</v>
      </c>
      <c r="K497">
        <f t="shared" si="52"/>
        <v>92.906499483308224</v>
      </c>
      <c r="L497">
        <f t="shared" si="53"/>
        <v>8.6847753615451216E-4</v>
      </c>
      <c r="O497">
        <f t="shared" si="54"/>
        <v>92.946605893618312</v>
      </c>
      <c r="P497">
        <f t="shared" si="55"/>
        <v>2.1829400529119343E-4</v>
      </c>
    </row>
    <row r="498" spans="1:16" x14ac:dyDescent="0.25">
      <c r="A498" s="2">
        <v>24.8</v>
      </c>
      <c r="B498" s="1">
        <v>4.5949999999999998</v>
      </c>
      <c r="C498">
        <v>8.4000000000000005E-2</v>
      </c>
      <c r="H498">
        <f t="shared" si="49"/>
        <v>24.8</v>
      </c>
      <c r="I498">
        <f t="shared" si="50"/>
        <v>4.5949999999999998</v>
      </c>
      <c r="J498">
        <f t="shared" si="51"/>
        <v>6.6099725949389621E-2</v>
      </c>
      <c r="K498">
        <f t="shared" si="52"/>
        <v>92.144477687416639</v>
      </c>
      <c r="L498">
        <f t="shared" si="53"/>
        <v>8.8132967932519476E-4</v>
      </c>
      <c r="O498">
        <f t="shared" si="54"/>
        <v>92.184584097726727</v>
      </c>
      <c r="P498">
        <f t="shared" si="55"/>
        <v>2.3114614846187604E-4</v>
      </c>
    </row>
    <row r="499" spans="1:16" x14ac:dyDescent="0.25">
      <c r="A499" s="2">
        <v>24.85</v>
      </c>
      <c r="B499" s="1">
        <v>4.5</v>
      </c>
      <c r="C499">
        <v>8.2000000000000003E-2</v>
      </c>
      <c r="H499">
        <f t="shared" si="49"/>
        <v>24.85</v>
      </c>
      <c r="I499">
        <f t="shared" si="50"/>
        <v>4.5</v>
      </c>
      <c r="J499">
        <f t="shared" si="51"/>
        <v>6.4063636687190811E-2</v>
      </c>
      <c r="K499">
        <f t="shared" si="52"/>
        <v>90.239423197687671</v>
      </c>
      <c r="L499">
        <f t="shared" si="53"/>
        <v>8.5418182249587737E-4</v>
      </c>
      <c r="O499">
        <f t="shared" si="54"/>
        <v>90.279529607997759</v>
      </c>
      <c r="P499">
        <f t="shared" si="55"/>
        <v>2.0399829163255865E-4</v>
      </c>
    </row>
    <row r="500" spans="1:16" x14ac:dyDescent="0.25">
      <c r="A500" s="2">
        <v>24.9</v>
      </c>
      <c r="B500" s="1">
        <v>4.3869999999999996</v>
      </c>
      <c r="C500">
        <v>8.3000000000000004E-2</v>
      </c>
      <c r="H500">
        <f t="shared" si="49"/>
        <v>24.9</v>
      </c>
      <c r="I500">
        <f t="shared" si="50"/>
        <v>4.3869999999999996</v>
      </c>
      <c r="J500">
        <f t="shared" si="51"/>
        <v>6.5027547424992005E-2</v>
      </c>
      <c r="K500">
        <f t="shared" si="52"/>
        <v>87.973411015167954</v>
      </c>
      <c r="L500">
        <f t="shared" si="53"/>
        <v>8.6703396566655986E-4</v>
      </c>
      <c r="O500">
        <f t="shared" si="54"/>
        <v>88.013517425478042</v>
      </c>
      <c r="P500">
        <f t="shared" si="55"/>
        <v>2.1685043480324114E-4</v>
      </c>
    </row>
    <row r="501" spans="1:16" x14ac:dyDescent="0.25">
      <c r="A501" s="2">
        <v>24.95</v>
      </c>
      <c r="B501" s="1">
        <v>4.266</v>
      </c>
      <c r="C501">
        <v>8.2000000000000003E-2</v>
      </c>
      <c r="H501">
        <f t="shared" si="49"/>
        <v>24.95</v>
      </c>
      <c r="I501">
        <f t="shared" si="50"/>
        <v>4.266</v>
      </c>
      <c r="J501">
        <f t="shared" si="51"/>
        <v>6.3991458162793197E-2</v>
      </c>
      <c r="K501">
        <f t="shared" si="52"/>
        <v>85.546973191407915</v>
      </c>
      <c r="L501">
        <f t="shared" si="53"/>
        <v>8.5321944217057577E-4</v>
      </c>
      <c r="O501">
        <f t="shared" si="54"/>
        <v>85.587079601718003</v>
      </c>
      <c r="P501">
        <f t="shared" si="55"/>
        <v>2.0303591130725704E-4</v>
      </c>
    </row>
    <row r="502" spans="1:16" x14ac:dyDescent="0.25">
      <c r="A502" s="2">
        <v>25</v>
      </c>
      <c r="B502" s="1">
        <v>4.234</v>
      </c>
      <c r="C502">
        <v>8.2000000000000003E-2</v>
      </c>
      <c r="H502">
        <f t="shared" si="49"/>
        <v>25</v>
      </c>
      <c r="I502">
        <f t="shared" si="50"/>
        <v>4.234</v>
      </c>
      <c r="J502">
        <f t="shared" si="51"/>
        <v>6.3955368900594375E-2</v>
      </c>
      <c r="K502">
        <f t="shared" si="52"/>
        <v>84.90527062644658</v>
      </c>
      <c r="L502">
        <f t="shared" si="53"/>
        <v>8.5273825200792486E-4</v>
      </c>
      <c r="O502">
        <f t="shared" si="54"/>
        <v>84.945377036756668</v>
      </c>
      <c r="P502">
        <f t="shared" si="55"/>
        <v>2.0255472114460613E-4</v>
      </c>
    </row>
    <row r="503" spans="1:16" x14ac:dyDescent="0.25">
      <c r="A503" s="2">
        <v>25.05</v>
      </c>
      <c r="B503" s="1">
        <v>4.234</v>
      </c>
      <c r="C503">
        <v>8.2000000000000003E-2</v>
      </c>
      <c r="H503">
        <f t="shared" si="49"/>
        <v>25.05</v>
      </c>
      <c r="I503">
        <f t="shared" si="50"/>
        <v>4.234</v>
      </c>
      <c r="J503">
        <f t="shared" si="51"/>
        <v>6.3919279638395568E-2</v>
      </c>
      <c r="K503">
        <f t="shared" si="52"/>
        <v>84.90527062644658</v>
      </c>
      <c r="L503">
        <f t="shared" si="53"/>
        <v>8.5225706184527406E-4</v>
      </c>
      <c r="O503">
        <f t="shared" si="54"/>
        <v>84.945377036756668</v>
      </c>
      <c r="P503">
        <f t="shared" si="55"/>
        <v>2.0207353098195533E-4</v>
      </c>
    </row>
    <row r="504" spans="1:16" x14ac:dyDescent="0.25">
      <c r="A504" s="2">
        <v>25.1</v>
      </c>
      <c r="B504" s="1">
        <v>4.2329999999999997</v>
      </c>
      <c r="C504">
        <v>8.2000000000000003E-2</v>
      </c>
      <c r="H504">
        <f t="shared" si="49"/>
        <v>25.1</v>
      </c>
      <c r="I504">
        <f t="shared" si="50"/>
        <v>4.2329999999999997</v>
      </c>
      <c r="J504">
        <f t="shared" si="51"/>
        <v>6.3883190376196747E-2</v>
      </c>
      <c r="K504">
        <f t="shared" si="52"/>
        <v>84.885217421291529</v>
      </c>
      <c r="L504">
        <f t="shared" si="53"/>
        <v>8.5177587168262315E-4</v>
      </c>
      <c r="O504">
        <f t="shared" si="54"/>
        <v>84.925323831601617</v>
      </c>
      <c r="P504">
        <f t="shared" si="55"/>
        <v>2.0159234081930442E-4</v>
      </c>
    </row>
    <row r="505" spans="1:16" x14ac:dyDescent="0.25">
      <c r="A505" s="2">
        <v>25.15</v>
      </c>
      <c r="B505" s="1">
        <v>4.234</v>
      </c>
      <c r="C505">
        <v>8.2000000000000003E-2</v>
      </c>
      <c r="H505">
        <f t="shared" si="49"/>
        <v>25.15</v>
      </c>
      <c r="I505">
        <f t="shared" si="50"/>
        <v>4.234</v>
      </c>
      <c r="J505">
        <f t="shared" si="51"/>
        <v>6.3847101113997939E-2</v>
      </c>
      <c r="K505">
        <f t="shared" si="52"/>
        <v>84.90527062644658</v>
      </c>
      <c r="L505">
        <f t="shared" si="53"/>
        <v>8.5129468151997234E-4</v>
      </c>
      <c r="O505">
        <f t="shared" si="54"/>
        <v>84.945377036756668</v>
      </c>
      <c r="P505">
        <f t="shared" si="55"/>
        <v>2.0111115065665362E-4</v>
      </c>
    </row>
    <row r="506" spans="1:16" x14ac:dyDescent="0.25">
      <c r="A506" s="2">
        <v>25.2</v>
      </c>
      <c r="B506" s="1">
        <v>4.234</v>
      </c>
      <c r="C506">
        <v>8.2000000000000003E-2</v>
      </c>
      <c r="H506">
        <f t="shared" si="49"/>
        <v>25.2</v>
      </c>
      <c r="I506">
        <f t="shared" si="50"/>
        <v>4.234</v>
      </c>
      <c r="J506">
        <f t="shared" si="51"/>
        <v>6.3811011851799132E-2</v>
      </c>
      <c r="K506">
        <f t="shared" si="52"/>
        <v>84.90527062644658</v>
      </c>
      <c r="L506">
        <f t="shared" si="53"/>
        <v>8.5081349135732154E-4</v>
      </c>
      <c r="O506">
        <f t="shared" si="54"/>
        <v>84.945377036756668</v>
      </c>
      <c r="P506">
        <f t="shared" si="55"/>
        <v>2.0062996049400282E-4</v>
      </c>
    </row>
    <row r="507" spans="1:16" x14ac:dyDescent="0.25">
      <c r="A507" s="2">
        <v>25.25</v>
      </c>
      <c r="B507" s="1">
        <v>4.234</v>
      </c>
      <c r="C507">
        <v>8.2000000000000003E-2</v>
      </c>
      <c r="H507">
        <f t="shared" si="49"/>
        <v>25.25</v>
      </c>
      <c r="I507">
        <f t="shared" si="50"/>
        <v>4.234</v>
      </c>
      <c r="J507">
        <f t="shared" si="51"/>
        <v>6.3774922589600325E-2</v>
      </c>
      <c r="K507">
        <f t="shared" si="52"/>
        <v>84.90527062644658</v>
      </c>
      <c r="L507">
        <f t="shared" si="53"/>
        <v>8.5033230119467085E-4</v>
      </c>
      <c r="O507">
        <f t="shared" si="54"/>
        <v>84.945377036756668</v>
      </c>
      <c r="P507">
        <f t="shared" si="55"/>
        <v>2.0014877033135213E-4</v>
      </c>
    </row>
    <row r="508" spans="1:16" x14ac:dyDescent="0.25">
      <c r="A508" s="2">
        <v>25.3</v>
      </c>
      <c r="B508" s="1">
        <v>4.22</v>
      </c>
      <c r="C508">
        <v>8.2000000000000003E-2</v>
      </c>
      <c r="H508">
        <f t="shared" si="49"/>
        <v>25.3</v>
      </c>
      <c r="I508">
        <f t="shared" si="50"/>
        <v>4.22</v>
      </c>
      <c r="J508">
        <f t="shared" si="51"/>
        <v>6.3738833327401517E-2</v>
      </c>
      <c r="K508">
        <f t="shared" si="52"/>
        <v>84.624525754275993</v>
      </c>
      <c r="L508">
        <f t="shared" si="53"/>
        <v>8.4985111103202005E-4</v>
      </c>
      <c r="O508">
        <f t="shared" si="54"/>
        <v>84.664632164586081</v>
      </c>
      <c r="P508">
        <f t="shared" si="55"/>
        <v>1.9966758016870133E-4</v>
      </c>
    </row>
    <row r="509" spans="1:16" x14ac:dyDescent="0.25">
      <c r="A509" s="2">
        <v>25.35</v>
      </c>
      <c r="B509" s="1">
        <v>4.1529999999999996</v>
      </c>
      <c r="C509">
        <v>8.1000000000000003E-2</v>
      </c>
      <c r="H509">
        <f t="shared" si="49"/>
        <v>25.35</v>
      </c>
      <c r="I509">
        <f t="shared" si="50"/>
        <v>4.1529999999999996</v>
      </c>
      <c r="J509">
        <f t="shared" si="51"/>
        <v>6.2702744065202695E-2</v>
      </c>
      <c r="K509">
        <f t="shared" si="52"/>
        <v>83.280961008888198</v>
      </c>
      <c r="L509">
        <f t="shared" si="53"/>
        <v>8.3603658753603574E-4</v>
      </c>
      <c r="O509">
        <f t="shared" si="54"/>
        <v>83.321067419198286</v>
      </c>
      <c r="P509">
        <f t="shared" si="55"/>
        <v>1.8585305667271701E-4</v>
      </c>
    </row>
    <row r="510" spans="1:16" x14ac:dyDescent="0.25">
      <c r="A510" s="2">
        <v>25.4</v>
      </c>
      <c r="B510" s="1">
        <v>4.08</v>
      </c>
      <c r="C510">
        <v>8.2000000000000003E-2</v>
      </c>
      <c r="H510">
        <f t="shared" si="49"/>
        <v>25.4</v>
      </c>
      <c r="I510">
        <f t="shared" si="50"/>
        <v>4.08</v>
      </c>
      <c r="J510">
        <f t="shared" si="51"/>
        <v>6.3666654803003889E-2</v>
      </c>
      <c r="K510">
        <f t="shared" si="52"/>
        <v>81.817077032570168</v>
      </c>
      <c r="L510">
        <f t="shared" si="53"/>
        <v>8.4888873070671834E-4</v>
      </c>
      <c r="O510">
        <f t="shared" si="54"/>
        <v>81.857183442880256</v>
      </c>
      <c r="P510">
        <f t="shared" si="55"/>
        <v>1.9870519984339962E-4</v>
      </c>
    </row>
    <row r="511" spans="1:16" x14ac:dyDescent="0.25">
      <c r="A511" s="2">
        <v>25.45</v>
      </c>
      <c r="B511" s="1">
        <v>4.0010000000000003</v>
      </c>
      <c r="C511">
        <v>8.1000000000000003E-2</v>
      </c>
      <c r="H511">
        <f t="shared" si="49"/>
        <v>25.45</v>
      </c>
      <c r="I511">
        <f t="shared" si="50"/>
        <v>4.0010000000000003</v>
      </c>
      <c r="J511">
        <f t="shared" si="51"/>
        <v>6.263056554080508E-2</v>
      </c>
      <c r="K511">
        <f t="shared" si="52"/>
        <v>80.232873825321875</v>
      </c>
      <c r="L511">
        <f t="shared" si="53"/>
        <v>8.3507420721073424E-4</v>
      </c>
      <c r="O511">
        <f t="shared" si="54"/>
        <v>80.272980235631962</v>
      </c>
      <c r="P511">
        <f t="shared" si="55"/>
        <v>1.8489067634741552E-4</v>
      </c>
    </row>
    <row r="512" spans="1:16" x14ac:dyDescent="0.25">
      <c r="A512" s="2">
        <v>25.5</v>
      </c>
      <c r="B512" s="1">
        <v>3.9460000000000002</v>
      </c>
      <c r="C512">
        <v>8.2000000000000003E-2</v>
      </c>
      <c r="H512">
        <f t="shared" si="49"/>
        <v>25.5</v>
      </c>
      <c r="I512">
        <f t="shared" si="50"/>
        <v>3.9460000000000002</v>
      </c>
      <c r="J512">
        <f t="shared" si="51"/>
        <v>6.359447627860626E-2</v>
      </c>
      <c r="K512">
        <f t="shared" si="52"/>
        <v>79.129947541794579</v>
      </c>
      <c r="L512">
        <f t="shared" si="53"/>
        <v>8.4792635038141663E-4</v>
      </c>
      <c r="O512">
        <f t="shared" si="54"/>
        <v>79.170053952104666</v>
      </c>
      <c r="P512">
        <f t="shared" si="55"/>
        <v>1.9774281951809791E-4</v>
      </c>
    </row>
    <row r="513" spans="1:16" x14ac:dyDescent="0.25">
      <c r="A513" s="2">
        <v>25.55</v>
      </c>
      <c r="B513" s="1">
        <v>3.8460000000000001</v>
      </c>
      <c r="C513">
        <v>8.1000000000000003E-2</v>
      </c>
      <c r="H513">
        <f t="shared" si="49"/>
        <v>25.55</v>
      </c>
      <c r="I513">
        <f t="shared" si="50"/>
        <v>3.8460000000000001</v>
      </c>
      <c r="J513">
        <f t="shared" si="51"/>
        <v>6.2558387016407452E-2</v>
      </c>
      <c r="K513">
        <f t="shared" si="52"/>
        <v>77.124627026290398</v>
      </c>
      <c r="L513">
        <f t="shared" si="53"/>
        <v>8.3411182688543253E-4</v>
      </c>
      <c r="O513">
        <f t="shared" si="54"/>
        <v>77.164733436600486</v>
      </c>
      <c r="P513">
        <f t="shared" si="55"/>
        <v>1.8392829602211381E-4</v>
      </c>
    </row>
    <row r="514" spans="1:16" x14ac:dyDescent="0.25">
      <c r="A514" s="2">
        <v>25.6</v>
      </c>
      <c r="B514" s="1">
        <v>3.75</v>
      </c>
      <c r="C514">
        <v>8.1000000000000003E-2</v>
      </c>
      <c r="H514">
        <f t="shared" si="49"/>
        <v>25.6</v>
      </c>
      <c r="I514">
        <f t="shared" si="50"/>
        <v>3.75</v>
      </c>
      <c r="J514">
        <f t="shared" si="51"/>
        <v>6.2522297754208644E-2</v>
      </c>
      <c r="K514">
        <f t="shared" si="52"/>
        <v>75.199519331406393</v>
      </c>
      <c r="L514">
        <f t="shared" si="53"/>
        <v>8.3363063672278173E-4</v>
      </c>
      <c r="O514">
        <f t="shared" si="54"/>
        <v>75.23962574171648</v>
      </c>
      <c r="P514">
        <f t="shared" si="55"/>
        <v>1.8344710585946301E-4</v>
      </c>
    </row>
    <row r="515" spans="1:16" x14ac:dyDescent="0.25">
      <c r="A515" s="2">
        <v>25.65</v>
      </c>
      <c r="B515" s="1">
        <v>3.7069999999999999</v>
      </c>
      <c r="C515">
        <v>0.08</v>
      </c>
      <c r="H515">
        <f t="shared" ref="H515:H578" si="56">A515</f>
        <v>25.65</v>
      </c>
      <c r="I515">
        <f t="shared" ref="I515:I578" si="57">B515</f>
        <v>3.7069999999999999</v>
      </c>
      <c r="J515">
        <f t="shared" ref="J515:J578" si="58">C515-E$12*A515</f>
        <v>6.1486208492009829E-2</v>
      </c>
      <c r="K515">
        <f t="shared" ref="K515:K578" si="59">F$24*I515</f>
        <v>74.337231509739595</v>
      </c>
      <c r="L515">
        <f t="shared" ref="L515:L578" si="60">F$25*J515</f>
        <v>8.1981611322679753E-4</v>
      </c>
      <c r="O515">
        <f t="shared" ref="O515:O578" si="61">K515-N$12</f>
        <v>74.377337920049683</v>
      </c>
      <c r="P515">
        <f t="shared" ref="P515:P578" si="62">L515-N$15</f>
        <v>1.696325823634788E-4</v>
      </c>
    </row>
    <row r="516" spans="1:16" x14ac:dyDescent="0.25">
      <c r="A516" s="2">
        <v>25.7</v>
      </c>
      <c r="B516" s="1">
        <v>3.7040000000000002</v>
      </c>
      <c r="C516">
        <v>8.1000000000000003E-2</v>
      </c>
      <c r="H516">
        <f t="shared" si="56"/>
        <v>25.7</v>
      </c>
      <c r="I516">
        <f t="shared" si="57"/>
        <v>3.7040000000000002</v>
      </c>
      <c r="J516">
        <f t="shared" si="58"/>
        <v>6.2450119229811016E-2</v>
      </c>
      <c r="K516">
        <f t="shared" si="59"/>
        <v>74.277071894274485</v>
      </c>
      <c r="L516">
        <f t="shared" si="60"/>
        <v>8.3266825639748002E-4</v>
      </c>
      <c r="O516">
        <f t="shared" si="61"/>
        <v>74.317178304584573</v>
      </c>
      <c r="P516">
        <f t="shared" si="62"/>
        <v>1.824847255341613E-4</v>
      </c>
    </row>
    <row r="517" spans="1:16" x14ac:dyDescent="0.25">
      <c r="A517" s="2">
        <v>25.75</v>
      </c>
      <c r="B517" s="1">
        <v>3.7040000000000002</v>
      </c>
      <c r="C517">
        <v>0.08</v>
      </c>
      <c r="H517">
        <f t="shared" si="56"/>
        <v>25.75</v>
      </c>
      <c r="I517">
        <f t="shared" si="57"/>
        <v>3.7040000000000002</v>
      </c>
      <c r="J517">
        <f t="shared" si="58"/>
        <v>6.1414029967612208E-2</v>
      </c>
      <c r="K517">
        <f t="shared" si="59"/>
        <v>74.277071894274485</v>
      </c>
      <c r="L517">
        <f t="shared" si="60"/>
        <v>8.1885373290149592E-4</v>
      </c>
      <c r="O517">
        <f t="shared" si="61"/>
        <v>74.317178304584573</v>
      </c>
      <c r="P517">
        <f t="shared" si="62"/>
        <v>1.686702020381772E-4</v>
      </c>
    </row>
    <row r="518" spans="1:16" x14ac:dyDescent="0.25">
      <c r="A518" s="2">
        <v>25.8</v>
      </c>
      <c r="B518" s="1">
        <v>3.7040000000000002</v>
      </c>
      <c r="C518">
        <v>8.1000000000000003E-2</v>
      </c>
      <c r="H518">
        <f t="shared" si="56"/>
        <v>25.8</v>
      </c>
      <c r="I518">
        <f t="shared" si="57"/>
        <v>3.7040000000000002</v>
      </c>
      <c r="J518">
        <f t="shared" si="58"/>
        <v>6.2377940705413401E-2</v>
      </c>
      <c r="K518">
        <f t="shared" si="59"/>
        <v>74.277071894274485</v>
      </c>
      <c r="L518">
        <f t="shared" si="60"/>
        <v>8.3170587607217853E-4</v>
      </c>
      <c r="O518">
        <f t="shared" si="61"/>
        <v>74.317178304584573</v>
      </c>
      <c r="P518">
        <f t="shared" si="62"/>
        <v>1.815223452088598E-4</v>
      </c>
    </row>
    <row r="519" spans="1:16" x14ac:dyDescent="0.25">
      <c r="A519" s="2">
        <v>25.85</v>
      </c>
      <c r="B519" s="1">
        <v>3.7040000000000002</v>
      </c>
      <c r="C519">
        <v>0.08</v>
      </c>
      <c r="H519">
        <f t="shared" si="56"/>
        <v>25.85</v>
      </c>
      <c r="I519">
        <f t="shared" si="57"/>
        <v>3.7040000000000002</v>
      </c>
      <c r="J519">
        <f t="shared" si="58"/>
        <v>6.1341851443214579E-2</v>
      </c>
      <c r="K519">
        <f t="shared" si="59"/>
        <v>74.277071894274485</v>
      </c>
      <c r="L519">
        <f t="shared" si="60"/>
        <v>8.1789135257619421E-4</v>
      </c>
      <c r="O519">
        <f t="shared" si="61"/>
        <v>74.317178304584573</v>
      </c>
      <c r="P519">
        <f t="shared" si="62"/>
        <v>1.6770782171287549E-4</v>
      </c>
    </row>
    <row r="520" spans="1:16" x14ac:dyDescent="0.25">
      <c r="A520" s="2">
        <v>25.9</v>
      </c>
      <c r="B520" s="1">
        <v>3.7029999999999998</v>
      </c>
      <c r="C520">
        <v>8.1000000000000003E-2</v>
      </c>
      <c r="H520">
        <f t="shared" si="56"/>
        <v>25.9</v>
      </c>
      <c r="I520">
        <f t="shared" si="57"/>
        <v>3.7029999999999998</v>
      </c>
      <c r="J520">
        <f t="shared" si="58"/>
        <v>6.2305762181015772E-2</v>
      </c>
      <c r="K520">
        <f t="shared" si="59"/>
        <v>74.257018689119434</v>
      </c>
      <c r="L520">
        <f t="shared" si="60"/>
        <v>8.3074349574687682E-4</v>
      </c>
      <c r="O520">
        <f t="shared" si="61"/>
        <v>74.297125099429522</v>
      </c>
      <c r="P520">
        <f t="shared" si="62"/>
        <v>1.8055996488355809E-4</v>
      </c>
    </row>
    <row r="521" spans="1:16" x14ac:dyDescent="0.25">
      <c r="A521" s="2">
        <v>25.95</v>
      </c>
      <c r="B521" s="1">
        <v>3.669</v>
      </c>
      <c r="C521">
        <v>0.08</v>
      </c>
      <c r="H521">
        <f t="shared" si="56"/>
        <v>25.95</v>
      </c>
      <c r="I521">
        <f t="shared" si="57"/>
        <v>3.669</v>
      </c>
      <c r="J521">
        <f t="shared" si="58"/>
        <v>6.1269672918816964E-2</v>
      </c>
      <c r="K521">
        <f t="shared" si="59"/>
        <v>73.575209713848025</v>
      </c>
      <c r="L521">
        <f t="shared" si="60"/>
        <v>8.1692897225089272E-4</v>
      </c>
      <c r="O521">
        <f t="shared" si="61"/>
        <v>73.615316124158113</v>
      </c>
      <c r="P521">
        <f t="shared" si="62"/>
        <v>1.66745441387574E-4</v>
      </c>
    </row>
    <row r="522" spans="1:16" x14ac:dyDescent="0.25">
      <c r="A522" s="2">
        <v>26</v>
      </c>
      <c r="B522" s="1">
        <v>3.5790000000000002</v>
      </c>
      <c r="C522">
        <v>8.1000000000000003E-2</v>
      </c>
      <c r="H522">
        <f t="shared" si="56"/>
        <v>26</v>
      </c>
      <c r="I522">
        <f t="shared" si="57"/>
        <v>3.5790000000000002</v>
      </c>
      <c r="J522">
        <f t="shared" si="58"/>
        <v>6.2233583656618151E-2</v>
      </c>
      <c r="K522">
        <f t="shared" si="59"/>
        <v>71.77042124989427</v>
      </c>
      <c r="L522">
        <f t="shared" si="60"/>
        <v>8.2978111542157521E-4</v>
      </c>
      <c r="O522">
        <f t="shared" si="61"/>
        <v>71.810527660204357</v>
      </c>
      <c r="P522">
        <f t="shared" si="62"/>
        <v>1.7959758455825649E-4</v>
      </c>
    </row>
    <row r="523" spans="1:16" x14ac:dyDescent="0.25">
      <c r="A523" s="2">
        <v>26.05</v>
      </c>
      <c r="B523" s="1">
        <v>3.4940000000000002</v>
      </c>
      <c r="C523">
        <v>7.9000000000000001E-2</v>
      </c>
      <c r="H523">
        <f t="shared" si="56"/>
        <v>26.05</v>
      </c>
      <c r="I523">
        <f t="shared" si="57"/>
        <v>3.4940000000000002</v>
      </c>
      <c r="J523">
        <f t="shared" si="58"/>
        <v>6.0197494394419335E-2</v>
      </c>
      <c r="K523">
        <f t="shared" si="59"/>
        <v>70.065898811715726</v>
      </c>
      <c r="L523">
        <f t="shared" si="60"/>
        <v>8.026332585922576E-4</v>
      </c>
      <c r="O523">
        <f t="shared" si="61"/>
        <v>70.106005222025814</v>
      </c>
      <c r="P523">
        <f t="shared" si="62"/>
        <v>1.5244972772893888E-4</v>
      </c>
    </row>
    <row r="524" spans="1:16" x14ac:dyDescent="0.25">
      <c r="A524" s="2">
        <v>26.1</v>
      </c>
      <c r="B524" s="1">
        <v>3.3690000000000002</v>
      </c>
      <c r="C524">
        <v>0.08</v>
      </c>
      <c r="H524">
        <f t="shared" si="56"/>
        <v>26.1</v>
      </c>
      <c r="I524">
        <f t="shared" si="57"/>
        <v>3.3690000000000002</v>
      </c>
      <c r="J524">
        <f t="shared" si="58"/>
        <v>6.1161405132220528E-2</v>
      </c>
      <c r="K524">
        <f t="shared" si="59"/>
        <v>67.559248167335511</v>
      </c>
      <c r="L524">
        <f t="shared" si="60"/>
        <v>8.1548540176294021E-4</v>
      </c>
      <c r="O524">
        <f t="shared" si="61"/>
        <v>67.599354577645599</v>
      </c>
      <c r="P524">
        <f t="shared" si="62"/>
        <v>1.6530187089962148E-4</v>
      </c>
    </row>
    <row r="525" spans="1:16" x14ac:dyDescent="0.25">
      <c r="A525" s="2">
        <v>26.15</v>
      </c>
      <c r="B525" s="1">
        <v>3.2629999999999999</v>
      </c>
      <c r="C525">
        <v>7.9000000000000001E-2</v>
      </c>
      <c r="H525">
        <f t="shared" si="56"/>
        <v>26.15</v>
      </c>
      <c r="I525">
        <f t="shared" si="57"/>
        <v>3.2629999999999999</v>
      </c>
      <c r="J525">
        <f t="shared" si="58"/>
        <v>6.012531587002172E-2</v>
      </c>
      <c r="K525">
        <f t="shared" si="59"/>
        <v>65.433608420901081</v>
      </c>
      <c r="L525">
        <f t="shared" si="60"/>
        <v>8.0167087826695611E-4</v>
      </c>
      <c r="O525">
        <f t="shared" si="61"/>
        <v>65.473714831211169</v>
      </c>
      <c r="P525">
        <f t="shared" si="62"/>
        <v>1.5148734740363739E-4</v>
      </c>
    </row>
    <row r="526" spans="1:16" x14ac:dyDescent="0.25">
      <c r="A526" s="2">
        <v>26.2</v>
      </c>
      <c r="B526" s="1">
        <v>3.165</v>
      </c>
      <c r="C526">
        <v>7.9000000000000001E-2</v>
      </c>
      <c r="H526">
        <f t="shared" si="56"/>
        <v>26.2</v>
      </c>
      <c r="I526">
        <f t="shared" si="57"/>
        <v>3.165</v>
      </c>
      <c r="J526">
        <f t="shared" si="58"/>
        <v>6.0089226607822906E-2</v>
      </c>
      <c r="K526">
        <f t="shared" si="59"/>
        <v>63.468394315707002</v>
      </c>
      <c r="L526">
        <f t="shared" si="60"/>
        <v>8.011896881043052E-4</v>
      </c>
      <c r="O526">
        <f t="shared" si="61"/>
        <v>63.50850072601709</v>
      </c>
      <c r="P526">
        <f t="shared" si="62"/>
        <v>1.5100615724098648E-4</v>
      </c>
    </row>
    <row r="527" spans="1:16" x14ac:dyDescent="0.25">
      <c r="A527" s="2">
        <v>26.25</v>
      </c>
      <c r="B527" s="1">
        <v>3.157</v>
      </c>
      <c r="C527">
        <v>7.8E-2</v>
      </c>
      <c r="H527">
        <f t="shared" si="56"/>
        <v>26.25</v>
      </c>
      <c r="I527">
        <f t="shared" si="57"/>
        <v>3.157</v>
      </c>
      <c r="J527">
        <f t="shared" si="58"/>
        <v>5.905313734562409E-2</v>
      </c>
      <c r="K527">
        <f t="shared" si="59"/>
        <v>63.307968674466665</v>
      </c>
      <c r="L527">
        <f t="shared" si="60"/>
        <v>7.873751646083211E-4</v>
      </c>
      <c r="O527">
        <f t="shared" si="61"/>
        <v>63.348075084776752</v>
      </c>
      <c r="P527">
        <f t="shared" si="62"/>
        <v>1.3719163374500238E-4</v>
      </c>
    </row>
    <row r="528" spans="1:16" x14ac:dyDescent="0.25">
      <c r="A528" s="2">
        <v>26.3</v>
      </c>
      <c r="B528" s="1">
        <v>3.157</v>
      </c>
      <c r="C528">
        <v>7.9000000000000001E-2</v>
      </c>
      <c r="H528">
        <f t="shared" si="56"/>
        <v>26.3</v>
      </c>
      <c r="I528">
        <f t="shared" si="57"/>
        <v>3.157</v>
      </c>
      <c r="J528">
        <f t="shared" si="58"/>
        <v>6.0017048083425284E-2</v>
      </c>
      <c r="K528">
        <f t="shared" si="59"/>
        <v>63.307968674466665</v>
      </c>
      <c r="L528">
        <f t="shared" si="60"/>
        <v>8.002273077790036E-4</v>
      </c>
      <c r="O528">
        <f t="shared" si="61"/>
        <v>63.348075084776752</v>
      </c>
      <c r="P528">
        <f t="shared" si="62"/>
        <v>1.5004377691568488E-4</v>
      </c>
    </row>
    <row r="529" spans="1:16" x14ac:dyDescent="0.25">
      <c r="A529" s="2">
        <v>26.35</v>
      </c>
      <c r="B529" s="1">
        <v>3.157</v>
      </c>
      <c r="C529">
        <v>7.8E-2</v>
      </c>
      <c r="H529">
        <f t="shared" si="56"/>
        <v>26.35</v>
      </c>
      <c r="I529">
        <f t="shared" si="57"/>
        <v>3.157</v>
      </c>
      <c r="J529">
        <f t="shared" si="58"/>
        <v>5.8980958821226469E-2</v>
      </c>
      <c r="K529">
        <f t="shared" si="59"/>
        <v>63.307968674466665</v>
      </c>
      <c r="L529">
        <f t="shared" si="60"/>
        <v>7.8641278428301939E-4</v>
      </c>
      <c r="O529">
        <f t="shared" si="61"/>
        <v>63.348075084776752</v>
      </c>
      <c r="P529">
        <f t="shared" si="62"/>
        <v>1.3622925341970067E-4</v>
      </c>
    </row>
    <row r="530" spans="1:16" x14ac:dyDescent="0.25">
      <c r="A530" s="2">
        <v>26.4</v>
      </c>
      <c r="B530" s="1">
        <v>3.157</v>
      </c>
      <c r="C530">
        <v>0.08</v>
      </c>
      <c r="H530">
        <f t="shared" si="56"/>
        <v>26.4</v>
      </c>
      <c r="I530">
        <f t="shared" si="57"/>
        <v>3.157</v>
      </c>
      <c r="J530">
        <f t="shared" si="58"/>
        <v>6.0944869559027663E-2</v>
      </c>
      <c r="K530">
        <f t="shared" si="59"/>
        <v>63.307968674466665</v>
      </c>
      <c r="L530">
        <f t="shared" si="60"/>
        <v>8.125982607870354E-4</v>
      </c>
      <c r="O530">
        <f t="shared" si="61"/>
        <v>63.348075084776752</v>
      </c>
      <c r="P530">
        <f t="shared" si="62"/>
        <v>1.6241472992371668E-4</v>
      </c>
    </row>
    <row r="531" spans="1:16" x14ac:dyDescent="0.25">
      <c r="A531" s="2">
        <v>26.45</v>
      </c>
      <c r="B531" s="1">
        <v>3.1560000000000001</v>
      </c>
      <c r="C531">
        <v>7.8E-2</v>
      </c>
      <c r="H531">
        <f t="shared" si="56"/>
        <v>26.45</v>
      </c>
      <c r="I531">
        <f t="shared" si="57"/>
        <v>3.1560000000000001</v>
      </c>
      <c r="J531">
        <f t="shared" si="58"/>
        <v>5.8908780296828847E-2</v>
      </c>
      <c r="K531">
        <f t="shared" si="59"/>
        <v>63.287915469311628</v>
      </c>
      <c r="L531">
        <f t="shared" si="60"/>
        <v>7.8545040395771779E-4</v>
      </c>
      <c r="O531">
        <f t="shared" si="61"/>
        <v>63.328021879621716</v>
      </c>
      <c r="P531">
        <f t="shared" si="62"/>
        <v>1.3526687309439907E-4</v>
      </c>
    </row>
    <row r="532" spans="1:16" x14ac:dyDescent="0.25">
      <c r="A532" s="2">
        <v>26.5</v>
      </c>
      <c r="B532" s="1">
        <v>3.1560000000000001</v>
      </c>
      <c r="C532">
        <v>7.9000000000000001E-2</v>
      </c>
      <c r="H532">
        <f t="shared" si="56"/>
        <v>26.5</v>
      </c>
      <c r="I532">
        <f t="shared" si="57"/>
        <v>3.1560000000000001</v>
      </c>
      <c r="J532">
        <f t="shared" si="58"/>
        <v>5.9872691034630041E-2</v>
      </c>
      <c r="K532">
        <f t="shared" si="59"/>
        <v>63.287915469311628</v>
      </c>
      <c r="L532">
        <f t="shared" si="60"/>
        <v>7.9830254712840039E-4</v>
      </c>
      <c r="O532">
        <f t="shared" si="61"/>
        <v>63.328021879621716</v>
      </c>
      <c r="P532">
        <f t="shared" si="62"/>
        <v>1.4811901626508167E-4</v>
      </c>
    </row>
    <row r="533" spans="1:16" x14ac:dyDescent="0.25">
      <c r="A533" s="2">
        <v>26.55</v>
      </c>
      <c r="B533" s="1">
        <v>3.1280000000000001</v>
      </c>
      <c r="C533">
        <v>7.9000000000000001E-2</v>
      </c>
      <c r="H533">
        <f t="shared" si="56"/>
        <v>26.55</v>
      </c>
      <c r="I533">
        <f t="shared" si="57"/>
        <v>3.1280000000000001</v>
      </c>
      <c r="J533">
        <f t="shared" si="58"/>
        <v>5.9836601772431226E-2</v>
      </c>
      <c r="K533">
        <f t="shared" si="59"/>
        <v>62.726425724970461</v>
      </c>
      <c r="L533">
        <f t="shared" si="60"/>
        <v>7.9782135696574948E-4</v>
      </c>
      <c r="O533">
        <f t="shared" si="61"/>
        <v>62.766532135280549</v>
      </c>
      <c r="P533">
        <f t="shared" si="62"/>
        <v>1.4763782610243076E-4</v>
      </c>
    </row>
    <row r="534" spans="1:16" x14ac:dyDescent="0.25">
      <c r="A534" s="2">
        <v>26.6</v>
      </c>
      <c r="B534" s="1">
        <v>2.9980000000000002</v>
      </c>
      <c r="C534">
        <v>7.9000000000000001E-2</v>
      </c>
      <c r="H534">
        <f t="shared" si="56"/>
        <v>26.6</v>
      </c>
      <c r="I534">
        <f t="shared" si="57"/>
        <v>2.9980000000000002</v>
      </c>
      <c r="J534">
        <f t="shared" si="58"/>
        <v>5.9800512510232412E-2</v>
      </c>
      <c r="K534">
        <f t="shared" si="59"/>
        <v>60.11950905481504</v>
      </c>
      <c r="L534">
        <f t="shared" si="60"/>
        <v>7.9734016680309868E-4</v>
      </c>
      <c r="O534">
        <f t="shared" si="61"/>
        <v>60.159615465125128</v>
      </c>
      <c r="P534">
        <f t="shared" si="62"/>
        <v>1.4715663593977996E-4</v>
      </c>
    </row>
    <row r="535" spans="1:16" x14ac:dyDescent="0.25">
      <c r="A535" s="2">
        <v>26.65</v>
      </c>
      <c r="B535" s="1">
        <v>2.9009999999999998</v>
      </c>
      <c r="C535">
        <v>7.8E-2</v>
      </c>
      <c r="H535">
        <f t="shared" si="56"/>
        <v>26.65</v>
      </c>
      <c r="I535">
        <f t="shared" si="57"/>
        <v>2.9009999999999998</v>
      </c>
      <c r="J535">
        <f t="shared" si="58"/>
        <v>5.8764423248033604E-2</v>
      </c>
      <c r="K535">
        <f t="shared" si="59"/>
        <v>58.174348154775984</v>
      </c>
      <c r="L535">
        <f t="shared" si="60"/>
        <v>7.8352564330711459E-4</v>
      </c>
      <c r="O535">
        <f t="shared" si="61"/>
        <v>58.214454565086072</v>
      </c>
      <c r="P535">
        <f t="shared" si="62"/>
        <v>1.3334211244379586E-4</v>
      </c>
    </row>
    <row r="536" spans="1:16" x14ac:dyDescent="0.25">
      <c r="A536" s="2">
        <v>26.7</v>
      </c>
      <c r="B536" s="1">
        <v>2.8559999999999999</v>
      </c>
      <c r="C536">
        <v>7.9000000000000001E-2</v>
      </c>
      <c r="H536">
        <f t="shared" si="56"/>
        <v>26.7</v>
      </c>
      <c r="I536">
        <f t="shared" si="57"/>
        <v>2.8559999999999999</v>
      </c>
      <c r="J536">
        <f t="shared" si="58"/>
        <v>5.9728333985834797E-2</v>
      </c>
      <c r="K536">
        <f t="shared" si="59"/>
        <v>57.271953922799106</v>
      </c>
      <c r="L536">
        <f t="shared" si="60"/>
        <v>7.9637778647779719E-4</v>
      </c>
      <c r="O536">
        <f t="shared" si="61"/>
        <v>57.312060333109194</v>
      </c>
      <c r="P536">
        <f t="shared" si="62"/>
        <v>1.4619425561447847E-4</v>
      </c>
    </row>
    <row r="537" spans="1:16" x14ac:dyDescent="0.25">
      <c r="A537" s="2">
        <v>26.75</v>
      </c>
      <c r="B537" s="1">
        <v>2.7650000000000001</v>
      </c>
      <c r="C537">
        <v>7.8E-2</v>
      </c>
      <c r="H537">
        <f t="shared" si="56"/>
        <v>26.75</v>
      </c>
      <c r="I537">
        <f t="shared" si="57"/>
        <v>2.7650000000000001</v>
      </c>
      <c r="J537">
        <f t="shared" si="58"/>
        <v>5.8692244723635975E-2</v>
      </c>
      <c r="K537">
        <f t="shared" si="59"/>
        <v>55.447112253690321</v>
      </c>
      <c r="L537">
        <f t="shared" si="60"/>
        <v>7.8256326298181288E-4</v>
      </c>
      <c r="O537">
        <f t="shared" si="61"/>
        <v>55.487218664000409</v>
      </c>
      <c r="P537">
        <f t="shared" si="62"/>
        <v>1.3237973211849415E-4</v>
      </c>
    </row>
    <row r="538" spans="1:16" x14ac:dyDescent="0.25">
      <c r="A538" s="2">
        <v>26.8</v>
      </c>
      <c r="B538" s="1">
        <v>2.698</v>
      </c>
      <c r="C538">
        <v>7.8E-2</v>
      </c>
      <c r="H538">
        <f t="shared" si="56"/>
        <v>26.8</v>
      </c>
      <c r="I538">
        <f t="shared" si="57"/>
        <v>2.698</v>
      </c>
      <c r="J538">
        <f t="shared" si="58"/>
        <v>5.8656155461437168E-2</v>
      </c>
      <c r="K538">
        <f t="shared" si="59"/>
        <v>54.103547508302519</v>
      </c>
      <c r="L538">
        <f t="shared" si="60"/>
        <v>7.8208207281916207E-4</v>
      </c>
      <c r="O538">
        <f t="shared" si="61"/>
        <v>54.143653918612607</v>
      </c>
      <c r="P538">
        <f t="shared" si="62"/>
        <v>1.3189854195584335E-4</v>
      </c>
    </row>
    <row r="539" spans="1:16" x14ac:dyDescent="0.25">
      <c r="A539" s="2">
        <v>26.85</v>
      </c>
      <c r="B539" s="1">
        <v>2.613</v>
      </c>
      <c r="C539">
        <v>7.6999999999999999E-2</v>
      </c>
      <c r="H539">
        <f t="shared" si="56"/>
        <v>26.85</v>
      </c>
      <c r="I539">
        <f t="shared" si="57"/>
        <v>2.613</v>
      </c>
      <c r="J539">
        <f t="shared" si="58"/>
        <v>5.7620066199238359E-2</v>
      </c>
      <c r="K539">
        <f t="shared" si="59"/>
        <v>52.399025070123976</v>
      </c>
      <c r="L539">
        <f t="shared" si="60"/>
        <v>7.6826754932317798E-4</v>
      </c>
      <c r="O539">
        <f t="shared" si="61"/>
        <v>52.439131480434064</v>
      </c>
      <c r="P539">
        <f t="shared" si="62"/>
        <v>1.1808401845985925E-4</v>
      </c>
    </row>
    <row r="540" spans="1:16" x14ac:dyDescent="0.25">
      <c r="A540" s="2">
        <v>26.9</v>
      </c>
      <c r="B540" s="1">
        <v>2.6040000000000001</v>
      </c>
      <c r="C540">
        <v>7.8E-2</v>
      </c>
      <c r="H540">
        <f t="shared" si="56"/>
        <v>26.9</v>
      </c>
      <c r="I540">
        <f t="shared" si="57"/>
        <v>2.6040000000000001</v>
      </c>
      <c r="J540">
        <f t="shared" si="58"/>
        <v>5.8583976937039546E-2</v>
      </c>
      <c r="K540">
        <f t="shared" si="59"/>
        <v>52.218546223728602</v>
      </c>
      <c r="L540">
        <f t="shared" si="60"/>
        <v>7.8111969249386047E-4</v>
      </c>
      <c r="O540">
        <f t="shared" si="61"/>
        <v>52.25865263403869</v>
      </c>
      <c r="P540">
        <f t="shared" si="62"/>
        <v>1.3093616163054175E-4</v>
      </c>
    </row>
    <row r="541" spans="1:16" x14ac:dyDescent="0.25">
      <c r="A541" s="2">
        <v>26.95</v>
      </c>
      <c r="B541" s="1">
        <v>2.6040000000000001</v>
      </c>
      <c r="C541">
        <v>7.6999999999999999E-2</v>
      </c>
      <c r="H541">
        <f t="shared" si="56"/>
        <v>26.95</v>
      </c>
      <c r="I541">
        <f t="shared" si="57"/>
        <v>2.6040000000000001</v>
      </c>
      <c r="J541">
        <f t="shared" si="58"/>
        <v>5.7547887674840731E-2</v>
      </c>
      <c r="K541">
        <f t="shared" si="59"/>
        <v>52.218546223728602</v>
      </c>
      <c r="L541">
        <f t="shared" si="60"/>
        <v>7.6730516899787627E-4</v>
      </c>
      <c r="O541">
        <f t="shared" si="61"/>
        <v>52.25865263403869</v>
      </c>
      <c r="P541">
        <f t="shared" si="62"/>
        <v>1.1712163813455754E-4</v>
      </c>
    </row>
    <row r="542" spans="1:16" x14ac:dyDescent="0.25">
      <c r="A542" s="2">
        <v>27</v>
      </c>
      <c r="B542" s="1">
        <v>2.6040000000000001</v>
      </c>
      <c r="C542">
        <v>7.8E-2</v>
      </c>
      <c r="H542">
        <f t="shared" si="56"/>
        <v>27</v>
      </c>
      <c r="I542">
        <f t="shared" si="57"/>
        <v>2.6040000000000001</v>
      </c>
      <c r="J542">
        <f t="shared" si="58"/>
        <v>5.8511798412641924E-2</v>
      </c>
      <c r="K542">
        <f t="shared" si="59"/>
        <v>52.218546223728602</v>
      </c>
      <c r="L542">
        <f t="shared" si="60"/>
        <v>7.8015731216855887E-4</v>
      </c>
      <c r="O542">
        <f t="shared" si="61"/>
        <v>52.25865263403869</v>
      </c>
      <c r="P542">
        <f t="shared" si="62"/>
        <v>1.2997378130524015E-4</v>
      </c>
    </row>
    <row r="543" spans="1:16" x14ac:dyDescent="0.25">
      <c r="A543" s="2">
        <v>27.05</v>
      </c>
      <c r="B543" s="1">
        <v>2.6040000000000001</v>
      </c>
      <c r="C543">
        <v>7.6999999999999999E-2</v>
      </c>
      <c r="H543">
        <f t="shared" si="56"/>
        <v>27.05</v>
      </c>
      <c r="I543">
        <f t="shared" si="57"/>
        <v>2.6040000000000001</v>
      </c>
      <c r="J543">
        <f t="shared" si="58"/>
        <v>5.7475709150443116E-2</v>
      </c>
      <c r="K543">
        <f t="shared" si="59"/>
        <v>52.218546223728602</v>
      </c>
      <c r="L543">
        <f t="shared" si="60"/>
        <v>7.6634278867257477E-4</v>
      </c>
      <c r="O543">
        <f t="shared" si="61"/>
        <v>52.25865263403869</v>
      </c>
      <c r="P543">
        <f t="shared" si="62"/>
        <v>1.1615925780925605E-4</v>
      </c>
    </row>
    <row r="544" spans="1:16" x14ac:dyDescent="0.25">
      <c r="A544" s="2">
        <v>27.1</v>
      </c>
      <c r="B544" s="1">
        <v>2.605</v>
      </c>
      <c r="C544">
        <v>7.8E-2</v>
      </c>
      <c r="H544">
        <f t="shared" si="56"/>
        <v>27.1</v>
      </c>
      <c r="I544">
        <f t="shared" si="57"/>
        <v>2.605</v>
      </c>
      <c r="J544">
        <f t="shared" si="58"/>
        <v>5.8439619888244296E-2</v>
      </c>
      <c r="K544">
        <f t="shared" si="59"/>
        <v>52.238599428883646</v>
      </c>
      <c r="L544">
        <f t="shared" si="60"/>
        <v>7.7919493184325716E-4</v>
      </c>
      <c r="O544">
        <f t="shared" si="61"/>
        <v>52.278705839193734</v>
      </c>
      <c r="P544">
        <f t="shared" si="62"/>
        <v>1.2901140097993844E-4</v>
      </c>
    </row>
    <row r="545" spans="1:16" x14ac:dyDescent="0.25">
      <c r="A545" s="2">
        <v>27.15</v>
      </c>
      <c r="B545" s="1">
        <v>2.5960000000000001</v>
      </c>
      <c r="C545">
        <v>7.6999999999999999E-2</v>
      </c>
      <c r="H545">
        <f t="shared" si="56"/>
        <v>27.15</v>
      </c>
      <c r="I545">
        <f t="shared" si="57"/>
        <v>2.5960000000000001</v>
      </c>
      <c r="J545">
        <f t="shared" si="58"/>
        <v>5.7403530626045488E-2</v>
      </c>
      <c r="K545">
        <f t="shared" si="59"/>
        <v>52.058120582488272</v>
      </c>
      <c r="L545">
        <f t="shared" si="60"/>
        <v>7.6538040834727306E-4</v>
      </c>
      <c r="O545">
        <f t="shared" si="61"/>
        <v>52.098226992798359</v>
      </c>
      <c r="P545">
        <f t="shared" si="62"/>
        <v>1.1519687748395434E-4</v>
      </c>
    </row>
    <row r="546" spans="1:16" x14ac:dyDescent="0.25">
      <c r="A546" s="2">
        <v>27.2</v>
      </c>
      <c r="B546" s="1">
        <v>2.54</v>
      </c>
      <c r="C546">
        <v>7.8E-2</v>
      </c>
      <c r="H546">
        <f t="shared" si="56"/>
        <v>27.2</v>
      </c>
      <c r="I546">
        <f t="shared" si="57"/>
        <v>2.54</v>
      </c>
      <c r="J546">
        <f t="shared" si="58"/>
        <v>5.8367441363846681E-2</v>
      </c>
      <c r="K546">
        <f t="shared" si="59"/>
        <v>50.935141093805932</v>
      </c>
      <c r="L546">
        <f t="shared" si="60"/>
        <v>7.7823255151795556E-4</v>
      </c>
      <c r="O546">
        <f t="shared" si="61"/>
        <v>50.97524750411602</v>
      </c>
      <c r="P546">
        <f t="shared" si="62"/>
        <v>1.2804902065463683E-4</v>
      </c>
    </row>
    <row r="547" spans="1:16" x14ac:dyDescent="0.25">
      <c r="A547" s="2">
        <v>27.25</v>
      </c>
      <c r="B547" s="1">
        <v>2.4820000000000002</v>
      </c>
      <c r="C547">
        <v>7.6999999999999999E-2</v>
      </c>
      <c r="H547">
        <f t="shared" si="56"/>
        <v>27.25</v>
      </c>
      <c r="I547">
        <f t="shared" si="57"/>
        <v>2.4820000000000002</v>
      </c>
      <c r="J547">
        <f t="shared" si="58"/>
        <v>5.7331352101647866E-2</v>
      </c>
      <c r="K547">
        <f t="shared" si="59"/>
        <v>49.772055194813518</v>
      </c>
      <c r="L547">
        <f t="shared" si="60"/>
        <v>7.6441802802197135E-4</v>
      </c>
      <c r="O547">
        <f t="shared" si="61"/>
        <v>49.812161605123606</v>
      </c>
      <c r="P547">
        <f t="shared" si="62"/>
        <v>1.1423449715865263E-4</v>
      </c>
    </row>
    <row r="548" spans="1:16" x14ac:dyDescent="0.25">
      <c r="A548" s="2">
        <v>27.3</v>
      </c>
      <c r="B548" s="1">
        <v>2.4009999999999998</v>
      </c>
      <c r="C548">
        <v>7.6999999999999999E-2</v>
      </c>
      <c r="H548">
        <f t="shared" si="56"/>
        <v>27.3</v>
      </c>
      <c r="I548">
        <f t="shared" si="57"/>
        <v>2.4009999999999998</v>
      </c>
      <c r="J548">
        <f t="shared" si="58"/>
        <v>5.7295262839449052E-2</v>
      </c>
      <c r="K548">
        <f t="shared" si="59"/>
        <v>48.147745577255129</v>
      </c>
      <c r="L548">
        <f t="shared" si="60"/>
        <v>7.6393683785932055E-4</v>
      </c>
      <c r="O548">
        <f t="shared" si="61"/>
        <v>48.187851987565217</v>
      </c>
      <c r="P548">
        <f t="shared" si="62"/>
        <v>1.1375330699600183E-4</v>
      </c>
    </row>
    <row r="549" spans="1:16" x14ac:dyDescent="0.25">
      <c r="A549" s="2">
        <v>27.35</v>
      </c>
      <c r="B549" s="1">
        <v>2.331</v>
      </c>
      <c r="C549">
        <v>7.5999999999999998E-2</v>
      </c>
      <c r="H549">
        <f t="shared" si="56"/>
        <v>27.35</v>
      </c>
      <c r="I549">
        <f t="shared" si="57"/>
        <v>2.331</v>
      </c>
      <c r="J549">
        <f t="shared" si="58"/>
        <v>5.6259173577250243E-2</v>
      </c>
      <c r="K549">
        <f t="shared" si="59"/>
        <v>46.744021216402217</v>
      </c>
      <c r="L549">
        <f t="shared" si="60"/>
        <v>7.5012231436333645E-4</v>
      </c>
      <c r="O549">
        <f t="shared" si="61"/>
        <v>46.784127626712305</v>
      </c>
      <c r="P549">
        <f t="shared" si="62"/>
        <v>9.9938783500017731E-5</v>
      </c>
    </row>
    <row r="550" spans="1:16" x14ac:dyDescent="0.25">
      <c r="A550" s="2">
        <v>27.4</v>
      </c>
      <c r="B550" s="1">
        <v>2.3050000000000002</v>
      </c>
      <c r="C550">
        <v>7.6999999999999999E-2</v>
      </c>
      <c r="H550">
        <f t="shared" si="56"/>
        <v>27.4</v>
      </c>
      <c r="I550">
        <f t="shared" si="57"/>
        <v>2.3050000000000002</v>
      </c>
      <c r="J550">
        <f t="shared" si="58"/>
        <v>5.7223084315051437E-2</v>
      </c>
      <c r="K550">
        <f t="shared" si="59"/>
        <v>46.222637882371139</v>
      </c>
      <c r="L550">
        <f t="shared" si="60"/>
        <v>7.6297445753401906E-4</v>
      </c>
      <c r="O550">
        <f t="shared" si="61"/>
        <v>46.262744292681226</v>
      </c>
      <c r="P550">
        <f t="shared" si="62"/>
        <v>1.1279092667070033E-4</v>
      </c>
    </row>
    <row r="551" spans="1:16" x14ac:dyDescent="0.25">
      <c r="A551" s="2">
        <v>27.45</v>
      </c>
      <c r="B551" s="1">
        <v>2.2589999999999999</v>
      </c>
      <c r="C551">
        <v>7.5999999999999998E-2</v>
      </c>
      <c r="H551">
        <f t="shared" si="56"/>
        <v>27.45</v>
      </c>
      <c r="I551">
        <f t="shared" si="57"/>
        <v>2.2589999999999999</v>
      </c>
      <c r="J551">
        <f t="shared" si="58"/>
        <v>5.6186995052852622E-2</v>
      </c>
      <c r="K551">
        <f t="shared" si="59"/>
        <v>45.30019044523921</v>
      </c>
      <c r="L551">
        <f t="shared" si="60"/>
        <v>7.4915993403803485E-4</v>
      </c>
      <c r="O551">
        <f t="shared" si="61"/>
        <v>45.340296855549298</v>
      </c>
      <c r="P551">
        <f t="shared" si="62"/>
        <v>9.8976403174716129E-5</v>
      </c>
    </row>
    <row r="552" spans="1:16" x14ac:dyDescent="0.25">
      <c r="A552" s="2">
        <v>27.5</v>
      </c>
      <c r="B552" s="1">
        <v>2.2170000000000001</v>
      </c>
      <c r="C552">
        <v>7.6999999999999999E-2</v>
      </c>
      <c r="H552">
        <f t="shared" si="56"/>
        <v>27.5</v>
      </c>
      <c r="I552">
        <f t="shared" si="57"/>
        <v>2.2170000000000001</v>
      </c>
      <c r="J552">
        <f t="shared" si="58"/>
        <v>5.7150905790653808E-2</v>
      </c>
      <c r="K552">
        <f t="shared" si="59"/>
        <v>44.457955828727464</v>
      </c>
      <c r="L552">
        <f t="shared" si="60"/>
        <v>7.6201207720871735E-4</v>
      </c>
      <c r="O552">
        <f t="shared" si="61"/>
        <v>44.498062239037552</v>
      </c>
      <c r="P552">
        <f t="shared" si="62"/>
        <v>1.1182854634539862E-4</v>
      </c>
    </row>
    <row r="553" spans="1:16" x14ac:dyDescent="0.25">
      <c r="A553" s="2">
        <v>27.55</v>
      </c>
      <c r="B553" s="1">
        <v>2.2170000000000001</v>
      </c>
      <c r="C553">
        <v>7.5999999999999998E-2</v>
      </c>
      <c r="H553">
        <f t="shared" si="56"/>
        <v>27.55</v>
      </c>
      <c r="I553">
        <f t="shared" si="57"/>
        <v>2.2170000000000001</v>
      </c>
      <c r="J553">
        <f t="shared" si="58"/>
        <v>5.6114816528455E-2</v>
      </c>
      <c r="K553">
        <f t="shared" si="59"/>
        <v>44.457955828727464</v>
      </c>
      <c r="L553">
        <f t="shared" si="60"/>
        <v>7.4819755371273314E-4</v>
      </c>
      <c r="O553">
        <f t="shared" si="61"/>
        <v>44.498062239037552</v>
      </c>
      <c r="P553">
        <f t="shared" si="62"/>
        <v>9.8014022849414418E-5</v>
      </c>
    </row>
    <row r="554" spans="1:16" x14ac:dyDescent="0.25">
      <c r="A554" s="2">
        <v>27.6</v>
      </c>
      <c r="B554" s="1">
        <v>2.2170000000000001</v>
      </c>
      <c r="C554">
        <v>7.6999999999999999E-2</v>
      </c>
      <c r="H554">
        <f t="shared" si="56"/>
        <v>27.6</v>
      </c>
      <c r="I554">
        <f t="shared" si="57"/>
        <v>2.2170000000000001</v>
      </c>
      <c r="J554">
        <f t="shared" si="58"/>
        <v>5.7078727266256186E-2</v>
      </c>
      <c r="K554">
        <f t="shared" si="59"/>
        <v>44.457955828727464</v>
      </c>
      <c r="L554">
        <f t="shared" si="60"/>
        <v>7.6104969688341564E-4</v>
      </c>
      <c r="O554">
        <f t="shared" si="61"/>
        <v>44.498062239037552</v>
      </c>
      <c r="P554">
        <f t="shared" si="62"/>
        <v>1.1086616602009691E-4</v>
      </c>
    </row>
    <row r="555" spans="1:16" x14ac:dyDescent="0.25">
      <c r="A555" s="2">
        <v>27.65</v>
      </c>
      <c r="B555" s="1">
        <v>2.2170000000000001</v>
      </c>
      <c r="C555">
        <v>7.5999999999999998E-2</v>
      </c>
      <c r="H555">
        <f t="shared" si="56"/>
        <v>27.65</v>
      </c>
      <c r="I555">
        <f t="shared" si="57"/>
        <v>2.2170000000000001</v>
      </c>
      <c r="J555">
        <f t="shared" si="58"/>
        <v>5.6042638004057378E-2</v>
      </c>
      <c r="K555">
        <f t="shared" si="59"/>
        <v>44.457955828727464</v>
      </c>
      <c r="L555">
        <f t="shared" si="60"/>
        <v>7.4723517338743154E-4</v>
      </c>
      <c r="O555">
        <f t="shared" si="61"/>
        <v>44.498062239037552</v>
      </c>
      <c r="P555">
        <f t="shared" si="62"/>
        <v>9.7051642524112816E-5</v>
      </c>
    </row>
    <row r="556" spans="1:16" x14ac:dyDescent="0.25">
      <c r="A556" s="2">
        <v>27.7</v>
      </c>
      <c r="B556" s="1">
        <v>2.2170000000000001</v>
      </c>
      <c r="C556">
        <v>7.6999999999999999E-2</v>
      </c>
      <c r="H556">
        <f t="shared" si="56"/>
        <v>27.7</v>
      </c>
      <c r="I556">
        <f t="shared" si="57"/>
        <v>2.2170000000000001</v>
      </c>
      <c r="J556">
        <f t="shared" si="58"/>
        <v>5.7006548741858565E-2</v>
      </c>
      <c r="K556">
        <f t="shared" si="59"/>
        <v>44.457955828727464</v>
      </c>
      <c r="L556">
        <f t="shared" si="60"/>
        <v>7.6008731655811403E-4</v>
      </c>
      <c r="O556">
        <f t="shared" si="61"/>
        <v>44.498062239037552</v>
      </c>
      <c r="P556">
        <f t="shared" si="62"/>
        <v>1.0990378569479531E-4</v>
      </c>
    </row>
    <row r="557" spans="1:16" x14ac:dyDescent="0.25">
      <c r="A557" s="2">
        <v>27.75</v>
      </c>
      <c r="B557" s="1">
        <v>2.2170000000000001</v>
      </c>
      <c r="C557">
        <v>7.5999999999999998E-2</v>
      </c>
      <c r="H557">
        <f t="shared" si="56"/>
        <v>27.75</v>
      </c>
      <c r="I557">
        <f t="shared" si="57"/>
        <v>2.2170000000000001</v>
      </c>
      <c r="J557">
        <f t="shared" si="58"/>
        <v>5.5970459479659757E-2</v>
      </c>
      <c r="K557">
        <f t="shared" si="59"/>
        <v>44.457955828727464</v>
      </c>
      <c r="L557">
        <f t="shared" si="60"/>
        <v>7.4627279306212994E-4</v>
      </c>
      <c r="O557">
        <f t="shared" si="61"/>
        <v>44.498062239037552</v>
      </c>
      <c r="P557">
        <f t="shared" si="62"/>
        <v>9.6089262198811214E-5</v>
      </c>
    </row>
    <row r="558" spans="1:16" x14ac:dyDescent="0.25">
      <c r="A558" s="2">
        <v>27.8</v>
      </c>
      <c r="B558" s="1">
        <v>2.2170000000000001</v>
      </c>
      <c r="C558">
        <v>7.6999999999999999E-2</v>
      </c>
      <c r="H558">
        <f t="shared" si="56"/>
        <v>27.8</v>
      </c>
      <c r="I558">
        <f t="shared" si="57"/>
        <v>2.2170000000000001</v>
      </c>
      <c r="J558">
        <f t="shared" si="58"/>
        <v>5.6934370217460943E-2</v>
      </c>
      <c r="K558">
        <f t="shared" si="59"/>
        <v>44.457955828727464</v>
      </c>
      <c r="L558">
        <f t="shared" si="60"/>
        <v>7.5912493623281243E-4</v>
      </c>
      <c r="O558">
        <f t="shared" si="61"/>
        <v>44.498062239037552</v>
      </c>
      <c r="P558">
        <f t="shared" si="62"/>
        <v>1.0894140536949371E-4</v>
      </c>
    </row>
    <row r="559" spans="1:16" x14ac:dyDescent="0.25">
      <c r="A559" s="2">
        <v>27.85</v>
      </c>
      <c r="B559" s="1">
        <v>2.1640000000000001</v>
      </c>
      <c r="C559">
        <v>7.5999999999999998E-2</v>
      </c>
      <c r="H559">
        <f t="shared" si="56"/>
        <v>27.85</v>
      </c>
      <c r="I559">
        <f t="shared" si="57"/>
        <v>2.1640000000000001</v>
      </c>
      <c r="J559">
        <f t="shared" si="58"/>
        <v>5.5898280955262128E-2</v>
      </c>
      <c r="K559">
        <f t="shared" si="59"/>
        <v>43.395135955510256</v>
      </c>
      <c r="L559">
        <f t="shared" si="60"/>
        <v>7.4531041273682823E-4</v>
      </c>
      <c r="O559">
        <f t="shared" si="61"/>
        <v>43.435242365820343</v>
      </c>
      <c r="P559">
        <f t="shared" si="62"/>
        <v>9.5126881873509503E-5</v>
      </c>
    </row>
    <row r="560" spans="1:16" x14ac:dyDescent="0.25">
      <c r="A560" s="2">
        <v>27.9</v>
      </c>
      <c r="B560" s="1">
        <v>2.0880000000000001</v>
      </c>
      <c r="C560">
        <v>7.5999999999999998E-2</v>
      </c>
      <c r="H560">
        <f t="shared" si="56"/>
        <v>27.9</v>
      </c>
      <c r="I560">
        <f t="shared" si="57"/>
        <v>2.0880000000000001</v>
      </c>
      <c r="J560">
        <f t="shared" si="58"/>
        <v>5.5862191693063321E-2</v>
      </c>
      <c r="K560">
        <f t="shared" si="59"/>
        <v>41.871092363727087</v>
      </c>
      <c r="L560">
        <f t="shared" si="60"/>
        <v>7.4482922257417743E-4</v>
      </c>
      <c r="O560">
        <f t="shared" si="61"/>
        <v>41.911198774037175</v>
      </c>
      <c r="P560">
        <f t="shared" si="62"/>
        <v>9.4645691710858702E-5</v>
      </c>
    </row>
    <row r="561" spans="1:16" x14ac:dyDescent="0.25">
      <c r="A561" s="2">
        <v>27.95</v>
      </c>
      <c r="B561" s="1">
        <v>2.0030000000000001</v>
      </c>
      <c r="C561">
        <v>7.5999999999999998E-2</v>
      </c>
      <c r="H561">
        <f t="shared" si="56"/>
        <v>27.95</v>
      </c>
      <c r="I561">
        <f t="shared" si="57"/>
        <v>2.0030000000000001</v>
      </c>
      <c r="J561">
        <f t="shared" si="58"/>
        <v>5.5826102430864513E-2</v>
      </c>
      <c r="K561">
        <f t="shared" si="59"/>
        <v>40.166569925548536</v>
      </c>
      <c r="L561">
        <f t="shared" si="60"/>
        <v>7.4434803241152673E-4</v>
      </c>
      <c r="O561">
        <f t="shared" si="61"/>
        <v>40.206676335858624</v>
      </c>
      <c r="P561">
        <f t="shared" si="62"/>
        <v>9.416450154820801E-5</v>
      </c>
    </row>
    <row r="562" spans="1:16" x14ac:dyDescent="0.25">
      <c r="A562" s="2">
        <v>28</v>
      </c>
      <c r="B562" s="1">
        <v>1.8380000000000001</v>
      </c>
      <c r="C562">
        <v>7.5999999999999998E-2</v>
      </c>
      <c r="H562">
        <f t="shared" si="56"/>
        <v>28</v>
      </c>
      <c r="I562">
        <f t="shared" si="57"/>
        <v>1.8380000000000001</v>
      </c>
      <c r="J562">
        <f t="shared" si="58"/>
        <v>5.5790013168665699E-2</v>
      </c>
      <c r="K562">
        <f t="shared" si="59"/>
        <v>36.857791074966656</v>
      </c>
      <c r="L562">
        <f t="shared" si="60"/>
        <v>7.4386684224887582E-4</v>
      </c>
      <c r="O562">
        <f t="shared" si="61"/>
        <v>36.897897485276744</v>
      </c>
      <c r="P562">
        <f t="shared" si="62"/>
        <v>9.36833113855571E-5</v>
      </c>
    </row>
    <row r="563" spans="1:16" x14ac:dyDescent="0.25">
      <c r="A563" s="2">
        <v>28.05</v>
      </c>
      <c r="B563" s="1">
        <v>1.72</v>
      </c>
      <c r="C563">
        <v>7.4999999999999997E-2</v>
      </c>
      <c r="H563">
        <f t="shared" si="56"/>
        <v>28.05</v>
      </c>
      <c r="I563">
        <f t="shared" si="57"/>
        <v>1.72</v>
      </c>
      <c r="J563">
        <f t="shared" si="58"/>
        <v>5.4753923906466884E-2</v>
      </c>
      <c r="K563">
        <f t="shared" si="59"/>
        <v>34.491512866671734</v>
      </c>
      <c r="L563">
        <f t="shared" si="60"/>
        <v>7.3005231875289162E-4</v>
      </c>
      <c r="O563">
        <f t="shared" si="61"/>
        <v>34.531619276981822</v>
      </c>
      <c r="P563">
        <f t="shared" si="62"/>
        <v>7.9868787889572895E-5</v>
      </c>
    </row>
    <row r="564" spans="1:16" x14ac:dyDescent="0.25">
      <c r="A564" s="2">
        <v>28.1</v>
      </c>
      <c r="B564" s="1">
        <v>1.7150000000000001</v>
      </c>
      <c r="C564">
        <v>7.5999999999999998E-2</v>
      </c>
      <c r="H564">
        <f t="shared" si="56"/>
        <v>28.1</v>
      </c>
      <c r="I564">
        <f t="shared" si="57"/>
        <v>1.7150000000000001</v>
      </c>
      <c r="J564">
        <f t="shared" si="58"/>
        <v>5.5717834644268077E-2</v>
      </c>
      <c r="K564">
        <f t="shared" si="59"/>
        <v>34.391246840896528</v>
      </c>
      <c r="L564">
        <f t="shared" si="60"/>
        <v>7.4290446192357422E-4</v>
      </c>
      <c r="O564">
        <f t="shared" si="61"/>
        <v>34.431353251206616</v>
      </c>
      <c r="P564">
        <f t="shared" si="62"/>
        <v>9.2720931060255498E-5</v>
      </c>
    </row>
    <row r="565" spans="1:16" x14ac:dyDescent="0.25">
      <c r="A565" s="2">
        <v>28.15</v>
      </c>
      <c r="B565" s="1">
        <v>1.7150000000000001</v>
      </c>
      <c r="C565">
        <v>7.4999999999999997E-2</v>
      </c>
      <c r="H565">
        <f t="shared" si="56"/>
        <v>28.15</v>
      </c>
      <c r="I565">
        <f t="shared" si="57"/>
        <v>1.7150000000000001</v>
      </c>
      <c r="J565">
        <f t="shared" si="58"/>
        <v>5.4681745382069262E-2</v>
      </c>
      <c r="K565">
        <f t="shared" si="59"/>
        <v>34.391246840896528</v>
      </c>
      <c r="L565">
        <f t="shared" si="60"/>
        <v>7.2908993842759002E-4</v>
      </c>
      <c r="O565">
        <f t="shared" si="61"/>
        <v>34.431353251206616</v>
      </c>
      <c r="P565">
        <f t="shared" si="62"/>
        <v>7.8906407564271292E-5</v>
      </c>
    </row>
    <row r="566" spans="1:16" x14ac:dyDescent="0.25">
      <c r="A566" s="2">
        <v>28.2</v>
      </c>
      <c r="B566" s="1">
        <v>1.7150000000000001</v>
      </c>
      <c r="C566">
        <v>7.5999999999999998E-2</v>
      </c>
      <c r="H566">
        <f t="shared" si="56"/>
        <v>28.2</v>
      </c>
      <c r="I566">
        <f t="shared" si="57"/>
        <v>1.7150000000000001</v>
      </c>
      <c r="J566">
        <f t="shared" si="58"/>
        <v>5.5645656119870449E-2</v>
      </c>
      <c r="K566">
        <f t="shared" si="59"/>
        <v>34.391246840896528</v>
      </c>
      <c r="L566">
        <f t="shared" si="60"/>
        <v>7.4194208159827251E-4</v>
      </c>
      <c r="O566">
        <f t="shared" si="61"/>
        <v>34.431353251206616</v>
      </c>
      <c r="P566">
        <f t="shared" si="62"/>
        <v>9.1758550734953787E-5</v>
      </c>
    </row>
    <row r="567" spans="1:16" x14ac:dyDescent="0.25">
      <c r="A567" s="2">
        <v>28.25</v>
      </c>
      <c r="B567" s="1">
        <v>1.7150000000000001</v>
      </c>
      <c r="C567">
        <v>7.4999999999999997E-2</v>
      </c>
      <c r="H567">
        <f t="shared" si="56"/>
        <v>28.25</v>
      </c>
      <c r="I567">
        <f t="shared" si="57"/>
        <v>1.7150000000000001</v>
      </c>
      <c r="J567">
        <f t="shared" si="58"/>
        <v>5.460956685767164E-2</v>
      </c>
      <c r="K567">
        <f t="shared" si="59"/>
        <v>34.391246840896528</v>
      </c>
      <c r="L567">
        <f t="shared" si="60"/>
        <v>7.2812755810228841E-4</v>
      </c>
      <c r="O567">
        <f t="shared" si="61"/>
        <v>34.431353251206616</v>
      </c>
      <c r="P567">
        <f t="shared" si="62"/>
        <v>7.794402723896969E-5</v>
      </c>
    </row>
    <row r="568" spans="1:16" x14ac:dyDescent="0.25">
      <c r="A568" s="2">
        <v>28.3</v>
      </c>
      <c r="B568" s="1">
        <v>1.716</v>
      </c>
      <c r="C568">
        <v>7.5999999999999998E-2</v>
      </c>
      <c r="H568">
        <f t="shared" si="56"/>
        <v>28.3</v>
      </c>
      <c r="I568">
        <f t="shared" si="57"/>
        <v>1.716</v>
      </c>
      <c r="J568">
        <f t="shared" si="58"/>
        <v>5.5573477595472834E-2</v>
      </c>
      <c r="K568">
        <f t="shared" si="59"/>
        <v>34.411300046051565</v>
      </c>
      <c r="L568">
        <f t="shared" si="60"/>
        <v>7.4097970127297102E-4</v>
      </c>
      <c r="O568">
        <f t="shared" si="61"/>
        <v>34.451406456361653</v>
      </c>
      <c r="P568">
        <f t="shared" si="62"/>
        <v>9.0796170409652294E-5</v>
      </c>
    </row>
    <row r="569" spans="1:16" x14ac:dyDescent="0.25">
      <c r="A569" s="2">
        <v>28.35</v>
      </c>
      <c r="B569" s="1">
        <v>1.7150000000000001</v>
      </c>
      <c r="C569">
        <v>7.4999999999999997E-2</v>
      </c>
      <c r="H569">
        <f t="shared" si="56"/>
        <v>28.35</v>
      </c>
      <c r="I569">
        <f t="shared" si="57"/>
        <v>1.7150000000000001</v>
      </c>
      <c r="J569">
        <f t="shared" si="58"/>
        <v>5.4537388333274012E-2</v>
      </c>
      <c r="K569">
        <f t="shared" si="59"/>
        <v>34.391246840896528</v>
      </c>
      <c r="L569">
        <f t="shared" si="60"/>
        <v>7.271651777769867E-4</v>
      </c>
      <c r="O569">
        <f t="shared" si="61"/>
        <v>34.431353251206616</v>
      </c>
      <c r="P569">
        <f t="shared" si="62"/>
        <v>7.698164691366798E-5</v>
      </c>
    </row>
    <row r="570" spans="1:16" x14ac:dyDescent="0.25">
      <c r="A570" s="2">
        <v>28.4</v>
      </c>
      <c r="B570" s="1">
        <v>1.7150000000000001</v>
      </c>
      <c r="C570">
        <v>7.5999999999999998E-2</v>
      </c>
      <c r="H570">
        <f t="shared" si="56"/>
        <v>28.4</v>
      </c>
      <c r="I570">
        <f t="shared" si="57"/>
        <v>1.7150000000000001</v>
      </c>
      <c r="J570">
        <f t="shared" si="58"/>
        <v>5.5501299071075205E-2</v>
      </c>
      <c r="K570">
        <f t="shared" si="59"/>
        <v>34.391246840896528</v>
      </c>
      <c r="L570">
        <f t="shared" si="60"/>
        <v>7.4001732094766931E-4</v>
      </c>
      <c r="O570">
        <f t="shared" si="61"/>
        <v>34.431353251206616</v>
      </c>
      <c r="P570">
        <f t="shared" si="62"/>
        <v>8.9833790084350583E-5</v>
      </c>
    </row>
    <row r="571" spans="1:16" x14ac:dyDescent="0.25">
      <c r="A571" s="2">
        <v>28.45</v>
      </c>
      <c r="B571" s="1">
        <v>1.6990000000000001</v>
      </c>
      <c r="C571">
        <v>7.4999999999999997E-2</v>
      </c>
      <c r="H571">
        <f t="shared" si="56"/>
        <v>28.45</v>
      </c>
      <c r="I571">
        <f t="shared" si="57"/>
        <v>1.6990000000000001</v>
      </c>
      <c r="J571">
        <f t="shared" si="58"/>
        <v>5.4465209808876397E-2</v>
      </c>
      <c r="K571">
        <f t="shared" si="59"/>
        <v>34.070395558415861</v>
      </c>
      <c r="L571">
        <f t="shared" si="60"/>
        <v>7.262027974516851E-4</v>
      </c>
      <c r="O571">
        <f t="shared" si="61"/>
        <v>34.110501968725949</v>
      </c>
      <c r="P571">
        <f t="shared" si="62"/>
        <v>7.6019266588366378E-5</v>
      </c>
    </row>
    <row r="572" spans="1:16" x14ac:dyDescent="0.25">
      <c r="A572" s="2">
        <v>28.5</v>
      </c>
      <c r="B572" s="1">
        <v>1.6679999999999999</v>
      </c>
      <c r="C572">
        <v>7.5999999999999998E-2</v>
      </c>
      <c r="H572">
        <f t="shared" si="56"/>
        <v>28.5</v>
      </c>
      <c r="I572">
        <f t="shared" si="57"/>
        <v>1.6679999999999999</v>
      </c>
      <c r="J572">
        <f t="shared" si="58"/>
        <v>5.5429120546677584E-2</v>
      </c>
      <c r="K572">
        <f t="shared" si="59"/>
        <v>33.448746198609562</v>
      </c>
      <c r="L572">
        <f t="shared" si="60"/>
        <v>7.390549406223676E-4</v>
      </c>
      <c r="O572">
        <f t="shared" si="61"/>
        <v>33.48885260891965</v>
      </c>
      <c r="P572">
        <f t="shared" si="62"/>
        <v>8.8871409759048873E-5</v>
      </c>
    </row>
    <row r="573" spans="1:16" x14ac:dyDescent="0.25">
      <c r="A573" s="2">
        <v>28.55</v>
      </c>
      <c r="B573" s="1">
        <v>1.619</v>
      </c>
      <c r="C573">
        <v>7.4999999999999997E-2</v>
      </c>
      <c r="H573">
        <f t="shared" si="56"/>
        <v>28.55</v>
      </c>
      <c r="I573">
        <f t="shared" si="57"/>
        <v>1.619</v>
      </c>
      <c r="J573">
        <f t="shared" si="58"/>
        <v>5.4393031284478768E-2</v>
      </c>
      <c r="K573">
        <f t="shared" si="59"/>
        <v>32.466139146012523</v>
      </c>
      <c r="L573">
        <f t="shared" si="60"/>
        <v>7.2524041712638339E-4</v>
      </c>
      <c r="O573">
        <f t="shared" si="61"/>
        <v>32.506245556322611</v>
      </c>
      <c r="P573">
        <f t="shared" si="62"/>
        <v>7.5056886263064667E-5</v>
      </c>
    </row>
    <row r="574" spans="1:16" x14ac:dyDescent="0.25">
      <c r="A574" s="2">
        <v>28.6</v>
      </c>
      <c r="B574" s="1">
        <v>1.575</v>
      </c>
      <c r="C574">
        <v>7.5999999999999998E-2</v>
      </c>
      <c r="H574">
        <f t="shared" si="56"/>
        <v>28.6</v>
      </c>
      <c r="I574">
        <f t="shared" si="57"/>
        <v>1.575</v>
      </c>
      <c r="J574">
        <f t="shared" si="58"/>
        <v>5.5356942022279962E-2</v>
      </c>
      <c r="K574">
        <f t="shared" si="59"/>
        <v>31.583798119190686</v>
      </c>
      <c r="L574">
        <f t="shared" si="60"/>
        <v>7.3809256029706599E-4</v>
      </c>
      <c r="O574">
        <f t="shared" si="61"/>
        <v>31.623904529500773</v>
      </c>
      <c r="P574">
        <f t="shared" si="62"/>
        <v>8.790902943374727E-5</v>
      </c>
    </row>
    <row r="575" spans="1:16" x14ac:dyDescent="0.25">
      <c r="A575" s="2">
        <v>28.65</v>
      </c>
      <c r="B575" s="1">
        <v>1.4530000000000001</v>
      </c>
      <c r="C575">
        <v>7.3999999999999996E-2</v>
      </c>
      <c r="H575">
        <f t="shared" si="56"/>
        <v>28.65</v>
      </c>
      <c r="I575">
        <f t="shared" si="57"/>
        <v>1.4530000000000001</v>
      </c>
      <c r="J575">
        <f t="shared" si="58"/>
        <v>5.3320852760081153E-2</v>
      </c>
      <c r="K575">
        <f t="shared" si="59"/>
        <v>29.137307090275598</v>
      </c>
      <c r="L575">
        <f t="shared" si="60"/>
        <v>7.109447034677486E-4</v>
      </c>
      <c r="O575">
        <f t="shared" si="61"/>
        <v>29.177413500585686</v>
      </c>
      <c r="P575">
        <f t="shared" si="62"/>
        <v>6.0761172604429877E-5</v>
      </c>
    </row>
    <row r="576" spans="1:16" x14ac:dyDescent="0.25">
      <c r="A576" s="2">
        <v>28.7</v>
      </c>
      <c r="B576" s="1">
        <v>1.3939999999999999</v>
      </c>
      <c r="C576">
        <v>7.4999999999999997E-2</v>
      </c>
      <c r="H576">
        <f t="shared" si="56"/>
        <v>28.7</v>
      </c>
      <c r="I576">
        <f t="shared" si="57"/>
        <v>1.3939999999999999</v>
      </c>
      <c r="J576">
        <f t="shared" si="58"/>
        <v>5.4284763497882339E-2</v>
      </c>
      <c r="K576">
        <f t="shared" si="59"/>
        <v>27.954167986128137</v>
      </c>
      <c r="L576">
        <f t="shared" si="60"/>
        <v>7.237968466384311E-4</v>
      </c>
      <c r="O576">
        <f t="shared" si="61"/>
        <v>27.994274396438225</v>
      </c>
      <c r="P576">
        <f t="shared" si="62"/>
        <v>7.3613315775112372E-5</v>
      </c>
    </row>
    <row r="577" spans="1:16" x14ac:dyDescent="0.25">
      <c r="A577" s="2">
        <v>28.75</v>
      </c>
      <c r="B577" s="1">
        <v>1.3939999999999999</v>
      </c>
      <c r="C577">
        <v>7.3999999999999996E-2</v>
      </c>
      <c r="H577">
        <f t="shared" si="56"/>
        <v>28.75</v>
      </c>
      <c r="I577">
        <f t="shared" si="57"/>
        <v>1.3939999999999999</v>
      </c>
      <c r="J577">
        <f t="shared" si="58"/>
        <v>5.3248674235683524E-2</v>
      </c>
      <c r="K577">
        <f t="shared" si="59"/>
        <v>27.954167986128137</v>
      </c>
      <c r="L577">
        <f t="shared" si="60"/>
        <v>7.0998232314244689E-4</v>
      </c>
      <c r="O577">
        <f t="shared" si="61"/>
        <v>27.994274396438225</v>
      </c>
      <c r="P577">
        <f t="shared" si="62"/>
        <v>5.9798792279128167E-5</v>
      </c>
    </row>
    <row r="578" spans="1:16" x14ac:dyDescent="0.25">
      <c r="A578" s="2">
        <v>28.8</v>
      </c>
      <c r="B578" s="1">
        <v>1.3939999999999999</v>
      </c>
      <c r="C578">
        <v>7.4999999999999997E-2</v>
      </c>
      <c r="H578">
        <f t="shared" si="56"/>
        <v>28.8</v>
      </c>
      <c r="I578">
        <f t="shared" si="57"/>
        <v>1.3939999999999999</v>
      </c>
      <c r="J578">
        <f t="shared" si="58"/>
        <v>5.4212584973484718E-2</v>
      </c>
      <c r="K578">
        <f t="shared" si="59"/>
        <v>27.954167986128137</v>
      </c>
      <c r="L578">
        <f t="shared" si="60"/>
        <v>7.2283446631312938E-4</v>
      </c>
      <c r="O578">
        <f t="shared" si="61"/>
        <v>27.994274396438225</v>
      </c>
      <c r="P578">
        <f t="shared" si="62"/>
        <v>7.2650935449810662E-5</v>
      </c>
    </row>
    <row r="579" spans="1:16" x14ac:dyDescent="0.25">
      <c r="A579" s="2">
        <v>28.85</v>
      </c>
      <c r="B579" s="1">
        <v>1.3939999999999999</v>
      </c>
      <c r="C579">
        <v>7.3999999999999996E-2</v>
      </c>
      <c r="H579">
        <f t="shared" ref="H579:H642" si="63">A579</f>
        <v>28.85</v>
      </c>
      <c r="I579">
        <f t="shared" ref="I579:I642" si="64">B579</f>
        <v>1.3939999999999999</v>
      </c>
      <c r="J579">
        <f t="shared" ref="J579:J642" si="65">C579-E$12*A579</f>
        <v>5.3176495711285902E-2</v>
      </c>
      <c r="K579">
        <f t="shared" ref="K579:K642" si="66">F$24*I579</f>
        <v>27.954167986128137</v>
      </c>
      <c r="L579">
        <f t="shared" ref="L579:L642" si="67">F$25*J579</f>
        <v>7.0901994281714518E-4</v>
      </c>
      <c r="O579">
        <f t="shared" ref="O579:O642" si="68">K579-N$12</f>
        <v>27.994274396438225</v>
      </c>
      <c r="P579">
        <f t="shared" ref="P579:P642" si="69">L579-N$15</f>
        <v>5.8836411953826456E-5</v>
      </c>
    </row>
    <row r="580" spans="1:16" x14ac:dyDescent="0.25">
      <c r="A580" s="2">
        <v>28.9</v>
      </c>
      <c r="B580" s="1">
        <v>1.3939999999999999</v>
      </c>
      <c r="C580">
        <v>7.4999999999999997E-2</v>
      </c>
      <c r="H580">
        <f t="shared" si="63"/>
        <v>28.9</v>
      </c>
      <c r="I580">
        <f t="shared" si="64"/>
        <v>1.3939999999999999</v>
      </c>
      <c r="J580">
        <f t="shared" si="65"/>
        <v>5.4140406449087096E-2</v>
      </c>
      <c r="K580">
        <f t="shared" si="66"/>
        <v>27.954167986128137</v>
      </c>
      <c r="L580">
        <f t="shared" si="67"/>
        <v>7.2187208598782778E-4</v>
      </c>
      <c r="O580">
        <f t="shared" si="68"/>
        <v>27.994274396438225</v>
      </c>
      <c r="P580">
        <f t="shared" si="69"/>
        <v>7.1688555124509059E-5</v>
      </c>
    </row>
    <row r="581" spans="1:16" x14ac:dyDescent="0.25">
      <c r="A581" s="2">
        <v>28.95</v>
      </c>
      <c r="B581" s="1">
        <v>1.393</v>
      </c>
      <c r="C581">
        <v>7.3999999999999996E-2</v>
      </c>
      <c r="H581">
        <f t="shared" si="63"/>
        <v>28.95</v>
      </c>
      <c r="I581">
        <f t="shared" si="64"/>
        <v>1.393</v>
      </c>
      <c r="J581">
        <f t="shared" si="65"/>
        <v>5.3104317186888281E-2</v>
      </c>
      <c r="K581">
        <f t="shared" si="66"/>
        <v>27.934114780973097</v>
      </c>
      <c r="L581">
        <f t="shared" si="67"/>
        <v>7.0805756249184358E-4</v>
      </c>
      <c r="O581">
        <f t="shared" si="68"/>
        <v>27.974221191283185</v>
      </c>
      <c r="P581">
        <f t="shared" si="69"/>
        <v>5.7874031628524854E-5</v>
      </c>
    </row>
    <row r="582" spans="1:16" x14ac:dyDescent="0.25">
      <c r="A582" s="2">
        <v>29</v>
      </c>
      <c r="B582" s="1">
        <v>1.3939999999999999</v>
      </c>
      <c r="C582">
        <v>7.4999999999999997E-2</v>
      </c>
      <c r="H582">
        <f t="shared" si="63"/>
        <v>29</v>
      </c>
      <c r="I582">
        <f t="shared" si="64"/>
        <v>1.3939999999999999</v>
      </c>
      <c r="J582">
        <f t="shared" si="65"/>
        <v>5.4068227924689474E-2</v>
      </c>
      <c r="K582">
        <f t="shared" si="66"/>
        <v>27.954167986128137</v>
      </c>
      <c r="L582">
        <f t="shared" si="67"/>
        <v>7.2090970566252618E-4</v>
      </c>
      <c r="O582">
        <f t="shared" si="68"/>
        <v>27.994274396438225</v>
      </c>
      <c r="P582">
        <f t="shared" si="69"/>
        <v>7.0726174799207457E-5</v>
      </c>
    </row>
    <row r="583" spans="1:16" x14ac:dyDescent="0.25">
      <c r="A583" s="2">
        <v>29.05</v>
      </c>
      <c r="B583" s="1">
        <v>1.3959999999999999</v>
      </c>
      <c r="C583">
        <v>7.3999999999999996E-2</v>
      </c>
      <c r="H583">
        <f t="shared" si="63"/>
        <v>29.05</v>
      </c>
      <c r="I583">
        <f t="shared" si="64"/>
        <v>1.3959999999999999</v>
      </c>
      <c r="J583">
        <f t="shared" si="65"/>
        <v>5.3032138662490659E-2</v>
      </c>
      <c r="K583">
        <f t="shared" si="66"/>
        <v>27.994274396438218</v>
      </c>
      <c r="L583">
        <f t="shared" si="67"/>
        <v>7.0709518216654197E-4</v>
      </c>
      <c r="O583">
        <f t="shared" si="68"/>
        <v>28.034380806748306</v>
      </c>
      <c r="P583">
        <f t="shared" si="69"/>
        <v>5.6911651303223252E-5</v>
      </c>
    </row>
    <row r="584" spans="1:16" x14ac:dyDescent="0.25">
      <c r="A584" s="2">
        <v>29.1</v>
      </c>
      <c r="B584" s="1">
        <v>1.393</v>
      </c>
      <c r="C584">
        <v>7.4999999999999997E-2</v>
      </c>
      <c r="H584">
        <f t="shared" si="63"/>
        <v>29.1</v>
      </c>
      <c r="I584">
        <f t="shared" si="64"/>
        <v>1.393</v>
      </c>
      <c r="J584">
        <f t="shared" si="65"/>
        <v>5.3996049400291846E-2</v>
      </c>
      <c r="K584">
        <f t="shared" si="66"/>
        <v>27.934114780973097</v>
      </c>
      <c r="L584">
        <f t="shared" si="67"/>
        <v>7.1994732533722447E-4</v>
      </c>
      <c r="O584">
        <f t="shared" si="68"/>
        <v>27.974221191283185</v>
      </c>
      <c r="P584">
        <f t="shared" si="69"/>
        <v>6.9763794473905747E-5</v>
      </c>
    </row>
    <row r="585" spans="1:16" x14ac:dyDescent="0.25">
      <c r="A585" s="2">
        <v>29.15</v>
      </c>
      <c r="B585" s="1">
        <v>1.353</v>
      </c>
      <c r="C585">
        <v>7.3999999999999996E-2</v>
      </c>
      <c r="H585">
        <f t="shared" si="63"/>
        <v>29.15</v>
      </c>
      <c r="I585">
        <f t="shared" si="64"/>
        <v>1.353</v>
      </c>
      <c r="J585">
        <f t="shared" si="65"/>
        <v>5.2959960138093037E-2</v>
      </c>
      <c r="K585">
        <f t="shared" si="66"/>
        <v>27.131986574771428</v>
      </c>
      <c r="L585">
        <f t="shared" si="67"/>
        <v>7.0613280184124037E-4</v>
      </c>
      <c r="O585">
        <f t="shared" si="68"/>
        <v>27.172092985081516</v>
      </c>
      <c r="P585">
        <f t="shared" si="69"/>
        <v>5.594927097792165E-5</v>
      </c>
    </row>
    <row r="586" spans="1:16" x14ac:dyDescent="0.25">
      <c r="A586" s="2">
        <v>29.2</v>
      </c>
      <c r="B586" s="1">
        <v>1.2629999999999999</v>
      </c>
      <c r="C586">
        <v>7.4999999999999997E-2</v>
      </c>
      <c r="H586">
        <f t="shared" si="63"/>
        <v>29.2</v>
      </c>
      <c r="I586">
        <f t="shared" si="64"/>
        <v>1.2629999999999999</v>
      </c>
      <c r="J586">
        <f t="shared" si="65"/>
        <v>5.3923870875894231E-2</v>
      </c>
      <c r="K586">
        <f t="shared" si="66"/>
        <v>25.327198110817672</v>
      </c>
      <c r="L586">
        <f t="shared" si="67"/>
        <v>7.1898494501192298E-4</v>
      </c>
      <c r="O586">
        <f t="shared" si="68"/>
        <v>25.36730452112776</v>
      </c>
      <c r="P586">
        <f t="shared" si="69"/>
        <v>6.8801414148604253E-5</v>
      </c>
    </row>
    <row r="587" spans="1:16" x14ac:dyDescent="0.25">
      <c r="A587" s="2">
        <v>29.25</v>
      </c>
      <c r="B587" s="1">
        <v>1.1890000000000001</v>
      </c>
      <c r="C587">
        <v>7.3999999999999996E-2</v>
      </c>
      <c r="H587">
        <f t="shared" si="63"/>
        <v>29.25</v>
      </c>
      <c r="I587">
        <f t="shared" si="64"/>
        <v>1.1890000000000001</v>
      </c>
      <c r="J587">
        <f t="shared" si="65"/>
        <v>5.2887781613695416E-2</v>
      </c>
      <c r="K587">
        <f t="shared" si="66"/>
        <v>23.843260929344588</v>
      </c>
      <c r="L587">
        <f t="shared" si="67"/>
        <v>7.0517042151593877E-4</v>
      </c>
      <c r="O587">
        <f t="shared" si="68"/>
        <v>23.883367339654676</v>
      </c>
      <c r="P587">
        <f t="shared" si="69"/>
        <v>5.4986890652620047E-5</v>
      </c>
    </row>
    <row r="588" spans="1:16" x14ac:dyDescent="0.25">
      <c r="A588" s="2">
        <v>29.3</v>
      </c>
      <c r="B588" s="1">
        <v>1.006</v>
      </c>
      <c r="C588">
        <v>7.3999999999999996E-2</v>
      </c>
      <c r="H588">
        <f t="shared" si="63"/>
        <v>29.3</v>
      </c>
      <c r="I588">
        <f t="shared" si="64"/>
        <v>1.006</v>
      </c>
      <c r="J588">
        <f t="shared" si="65"/>
        <v>5.2851692351496601E-2</v>
      </c>
      <c r="K588">
        <f t="shared" si="66"/>
        <v>20.173524385971955</v>
      </c>
      <c r="L588">
        <f t="shared" si="67"/>
        <v>7.0468923135328786E-4</v>
      </c>
      <c r="O588">
        <f t="shared" si="68"/>
        <v>20.213630796282043</v>
      </c>
      <c r="P588">
        <f t="shared" si="69"/>
        <v>5.4505700489969138E-5</v>
      </c>
    </row>
    <row r="589" spans="1:16" x14ac:dyDescent="0.25">
      <c r="A589" s="2">
        <v>29.35</v>
      </c>
      <c r="B589" s="1">
        <v>0.92400000000000004</v>
      </c>
      <c r="C589">
        <v>7.2999999999999995E-2</v>
      </c>
      <c r="H589">
        <f t="shared" si="63"/>
        <v>29.35</v>
      </c>
      <c r="I589">
        <f t="shared" si="64"/>
        <v>0.92400000000000004</v>
      </c>
      <c r="J589">
        <f t="shared" si="65"/>
        <v>5.1815603089297793E-2</v>
      </c>
      <c r="K589">
        <f t="shared" si="66"/>
        <v>18.529161563258537</v>
      </c>
      <c r="L589">
        <f t="shared" si="67"/>
        <v>6.9087470785730376E-4</v>
      </c>
      <c r="O589">
        <f t="shared" si="68"/>
        <v>18.569267973568625</v>
      </c>
      <c r="P589">
        <f t="shared" si="69"/>
        <v>4.0691176993985041E-5</v>
      </c>
    </row>
    <row r="590" spans="1:16" x14ac:dyDescent="0.25">
      <c r="A590" s="2">
        <v>29.4</v>
      </c>
      <c r="B590" s="1">
        <v>0.92400000000000004</v>
      </c>
      <c r="C590">
        <v>7.3999999999999996E-2</v>
      </c>
      <c r="H590">
        <f t="shared" si="63"/>
        <v>29.4</v>
      </c>
      <c r="I590">
        <f t="shared" si="64"/>
        <v>0.92400000000000004</v>
      </c>
      <c r="J590">
        <f t="shared" si="65"/>
        <v>5.277951382709898E-2</v>
      </c>
      <c r="K590">
        <f t="shared" si="66"/>
        <v>18.529161563258537</v>
      </c>
      <c r="L590">
        <f t="shared" si="67"/>
        <v>7.0372685102798626E-4</v>
      </c>
      <c r="O590">
        <f t="shared" si="68"/>
        <v>18.569267973568625</v>
      </c>
      <c r="P590">
        <f t="shared" si="69"/>
        <v>5.3543320164667536E-5</v>
      </c>
    </row>
    <row r="591" spans="1:16" x14ac:dyDescent="0.25">
      <c r="A591" s="2">
        <v>29.45</v>
      </c>
      <c r="B591" s="1">
        <v>0.92300000000000004</v>
      </c>
      <c r="C591">
        <v>7.2999999999999995E-2</v>
      </c>
      <c r="H591">
        <f t="shared" si="63"/>
        <v>29.45</v>
      </c>
      <c r="I591">
        <f t="shared" si="64"/>
        <v>0.92300000000000004</v>
      </c>
      <c r="J591">
        <f t="shared" si="65"/>
        <v>5.1743424564900165E-2</v>
      </c>
      <c r="K591">
        <f t="shared" si="66"/>
        <v>18.509108358103497</v>
      </c>
      <c r="L591">
        <f t="shared" si="67"/>
        <v>6.8991232753200205E-4</v>
      </c>
      <c r="O591">
        <f t="shared" si="68"/>
        <v>18.549214768413584</v>
      </c>
      <c r="P591">
        <f t="shared" si="69"/>
        <v>3.972879666868333E-5</v>
      </c>
    </row>
    <row r="592" spans="1:16" x14ac:dyDescent="0.25">
      <c r="A592" s="2">
        <v>29.5</v>
      </c>
      <c r="B592" s="1">
        <v>0.92300000000000004</v>
      </c>
      <c r="C592">
        <v>7.3999999999999996E-2</v>
      </c>
      <c r="H592">
        <f t="shared" si="63"/>
        <v>29.5</v>
      </c>
      <c r="I592">
        <f t="shared" si="64"/>
        <v>0.92300000000000004</v>
      </c>
      <c r="J592">
        <f t="shared" si="65"/>
        <v>5.2707335302701358E-2</v>
      </c>
      <c r="K592">
        <f t="shared" si="66"/>
        <v>18.509108358103497</v>
      </c>
      <c r="L592">
        <f t="shared" si="67"/>
        <v>7.0276447070268466E-4</v>
      </c>
      <c r="O592">
        <f t="shared" si="68"/>
        <v>18.549214768413584</v>
      </c>
      <c r="P592">
        <f t="shared" si="69"/>
        <v>5.2580939839365934E-5</v>
      </c>
    </row>
    <row r="593" spans="1:16" x14ac:dyDescent="0.25">
      <c r="A593" s="2">
        <v>29.55</v>
      </c>
      <c r="B593" s="1">
        <v>0.92300000000000004</v>
      </c>
      <c r="C593">
        <v>7.2999999999999995E-2</v>
      </c>
      <c r="H593">
        <f t="shared" si="63"/>
        <v>29.55</v>
      </c>
      <c r="I593">
        <f t="shared" si="64"/>
        <v>0.92300000000000004</v>
      </c>
      <c r="J593">
        <f t="shared" si="65"/>
        <v>5.167124604050255E-2</v>
      </c>
      <c r="K593">
        <f t="shared" si="66"/>
        <v>18.509108358103497</v>
      </c>
      <c r="L593">
        <f t="shared" si="67"/>
        <v>6.8894994720670056E-4</v>
      </c>
      <c r="O593">
        <f t="shared" si="68"/>
        <v>18.549214768413584</v>
      </c>
      <c r="P593">
        <f t="shared" si="69"/>
        <v>3.8766416343381837E-5</v>
      </c>
    </row>
    <row r="594" spans="1:16" x14ac:dyDescent="0.25">
      <c r="A594" s="2">
        <v>29.6</v>
      </c>
      <c r="B594" s="1">
        <v>0.92300000000000004</v>
      </c>
      <c r="C594">
        <v>7.3999999999999996E-2</v>
      </c>
      <c r="H594">
        <f t="shared" si="63"/>
        <v>29.6</v>
      </c>
      <c r="I594">
        <f t="shared" si="64"/>
        <v>0.92300000000000004</v>
      </c>
      <c r="J594">
        <f t="shared" si="65"/>
        <v>5.2635156778303729E-2</v>
      </c>
      <c r="K594">
        <f t="shared" si="66"/>
        <v>18.509108358103497</v>
      </c>
      <c r="L594">
        <f t="shared" si="67"/>
        <v>7.0180209037738295E-4</v>
      </c>
      <c r="O594">
        <f t="shared" si="68"/>
        <v>18.549214768413584</v>
      </c>
      <c r="P594">
        <f t="shared" si="69"/>
        <v>5.1618559514064223E-5</v>
      </c>
    </row>
    <row r="595" spans="1:16" x14ac:dyDescent="0.25">
      <c r="A595" s="2">
        <v>29.65</v>
      </c>
      <c r="B595" s="1">
        <v>0.92400000000000004</v>
      </c>
      <c r="C595">
        <v>7.2999999999999995E-2</v>
      </c>
      <c r="H595">
        <f t="shared" si="63"/>
        <v>29.65</v>
      </c>
      <c r="I595">
        <f t="shared" si="64"/>
        <v>0.92400000000000004</v>
      </c>
      <c r="J595">
        <f t="shared" si="65"/>
        <v>5.1599067516104921E-2</v>
      </c>
      <c r="K595">
        <f t="shared" si="66"/>
        <v>18.529161563258537</v>
      </c>
      <c r="L595">
        <f t="shared" si="67"/>
        <v>6.8798756688139885E-4</v>
      </c>
      <c r="O595">
        <f t="shared" si="68"/>
        <v>18.569267973568625</v>
      </c>
      <c r="P595">
        <f t="shared" si="69"/>
        <v>3.7804036018080126E-5</v>
      </c>
    </row>
    <row r="596" spans="1:16" x14ac:dyDescent="0.25">
      <c r="A596" s="2">
        <v>29.7</v>
      </c>
      <c r="B596" s="1">
        <v>0.91900000000000004</v>
      </c>
      <c r="C596">
        <v>7.3999999999999996E-2</v>
      </c>
      <c r="H596">
        <f t="shared" si="63"/>
        <v>29.7</v>
      </c>
      <c r="I596">
        <f t="shared" si="64"/>
        <v>0.91900000000000004</v>
      </c>
      <c r="J596">
        <f t="shared" si="65"/>
        <v>5.2562978253906115E-2</v>
      </c>
      <c r="K596">
        <f t="shared" si="66"/>
        <v>18.428895537483328</v>
      </c>
      <c r="L596">
        <f t="shared" si="67"/>
        <v>7.0083971005208134E-4</v>
      </c>
      <c r="O596">
        <f t="shared" si="68"/>
        <v>18.469001947793416</v>
      </c>
      <c r="P596">
        <f t="shared" si="69"/>
        <v>5.0656179188762621E-5</v>
      </c>
    </row>
    <row r="597" spans="1:16" x14ac:dyDescent="0.25">
      <c r="A597" s="2">
        <v>29.75</v>
      </c>
      <c r="B597" s="1">
        <v>0.85799999999999998</v>
      </c>
      <c r="C597">
        <v>7.2999999999999995E-2</v>
      </c>
      <c r="H597">
        <f t="shared" si="63"/>
        <v>29.75</v>
      </c>
      <c r="I597">
        <f t="shared" si="64"/>
        <v>0.85799999999999998</v>
      </c>
      <c r="J597">
        <f t="shared" si="65"/>
        <v>5.1526888991707299E-2</v>
      </c>
      <c r="K597">
        <f t="shared" si="66"/>
        <v>17.205650023025783</v>
      </c>
      <c r="L597">
        <f t="shared" si="67"/>
        <v>6.8702518655609714E-4</v>
      </c>
      <c r="O597">
        <f t="shared" si="68"/>
        <v>17.24575643333587</v>
      </c>
      <c r="P597">
        <f t="shared" si="69"/>
        <v>3.6841655692778415E-5</v>
      </c>
    </row>
    <row r="598" spans="1:16" x14ac:dyDescent="0.25">
      <c r="A598" s="2">
        <v>29.8</v>
      </c>
      <c r="B598" s="1">
        <v>0.80600000000000005</v>
      </c>
      <c r="C598">
        <v>7.3999999999999996E-2</v>
      </c>
      <c r="H598">
        <f t="shared" si="63"/>
        <v>29.8</v>
      </c>
      <c r="I598">
        <f t="shared" si="64"/>
        <v>0.80600000000000005</v>
      </c>
      <c r="J598">
        <f t="shared" si="65"/>
        <v>5.2490799729508486E-2</v>
      </c>
      <c r="K598">
        <f t="shared" si="66"/>
        <v>16.162883354963615</v>
      </c>
      <c r="L598">
        <f t="shared" si="67"/>
        <v>6.9987732972677963E-4</v>
      </c>
      <c r="O598">
        <f t="shared" si="68"/>
        <v>16.202989765273703</v>
      </c>
      <c r="P598">
        <f t="shared" si="69"/>
        <v>4.969379886346091E-5</v>
      </c>
    </row>
    <row r="599" spans="1:16" x14ac:dyDescent="0.25">
      <c r="A599" s="2">
        <v>29.85</v>
      </c>
      <c r="B599" s="1">
        <v>0.77400000000000002</v>
      </c>
      <c r="C599">
        <v>7.2999999999999995E-2</v>
      </c>
      <c r="H599">
        <f t="shared" si="63"/>
        <v>29.85</v>
      </c>
      <c r="I599">
        <f t="shared" si="64"/>
        <v>0.77400000000000002</v>
      </c>
      <c r="J599">
        <f t="shared" si="65"/>
        <v>5.1454710467309678E-2</v>
      </c>
      <c r="K599">
        <f t="shared" si="66"/>
        <v>15.521180790002282</v>
      </c>
      <c r="L599">
        <f t="shared" si="67"/>
        <v>6.8606280623079554E-4</v>
      </c>
      <c r="O599">
        <f t="shared" si="68"/>
        <v>15.561287200312369</v>
      </c>
      <c r="P599">
        <f t="shared" si="69"/>
        <v>3.5879275367476813E-5</v>
      </c>
    </row>
    <row r="600" spans="1:16" x14ac:dyDescent="0.25">
      <c r="A600" s="2">
        <v>29.9</v>
      </c>
      <c r="B600" s="1">
        <v>0.73699999999999999</v>
      </c>
      <c r="C600">
        <v>7.2999999999999995E-2</v>
      </c>
      <c r="H600">
        <f t="shared" si="63"/>
        <v>29.9</v>
      </c>
      <c r="I600">
        <f t="shared" si="64"/>
        <v>0.73699999999999999</v>
      </c>
      <c r="J600">
        <f t="shared" si="65"/>
        <v>5.141862120511087E-2</v>
      </c>
      <c r="K600">
        <f t="shared" si="66"/>
        <v>14.779212199265737</v>
      </c>
      <c r="L600">
        <f t="shared" si="67"/>
        <v>6.8558161606814484E-4</v>
      </c>
      <c r="O600">
        <f t="shared" si="68"/>
        <v>14.819318609575825</v>
      </c>
      <c r="P600">
        <f t="shared" si="69"/>
        <v>3.5398085204826121E-5</v>
      </c>
    </row>
    <row r="601" spans="1:16" x14ac:dyDescent="0.25">
      <c r="A601" s="2">
        <v>29.95</v>
      </c>
      <c r="B601" s="1">
        <v>0.69699999999999995</v>
      </c>
      <c r="C601">
        <v>7.2999999999999995E-2</v>
      </c>
      <c r="H601">
        <f t="shared" si="63"/>
        <v>29.95</v>
      </c>
      <c r="I601">
        <f t="shared" si="64"/>
        <v>0.69699999999999995</v>
      </c>
      <c r="J601">
        <f t="shared" si="65"/>
        <v>5.1382531942912056E-2</v>
      </c>
      <c r="K601">
        <f t="shared" si="66"/>
        <v>13.977083993064069</v>
      </c>
      <c r="L601">
        <f t="shared" si="67"/>
        <v>6.8510042590549393E-4</v>
      </c>
      <c r="O601">
        <f t="shared" si="68"/>
        <v>14.017190403374157</v>
      </c>
      <c r="P601">
        <f t="shared" si="69"/>
        <v>3.4916895042175211E-5</v>
      </c>
    </row>
    <row r="602" spans="1:16" x14ac:dyDescent="0.25">
      <c r="A602" s="2">
        <v>30</v>
      </c>
      <c r="B602" s="1">
        <v>0.626</v>
      </c>
      <c r="C602">
        <v>7.2999999999999995E-2</v>
      </c>
      <c r="H602">
        <f t="shared" si="63"/>
        <v>30</v>
      </c>
      <c r="I602">
        <f t="shared" si="64"/>
        <v>0.626</v>
      </c>
      <c r="J602">
        <f t="shared" si="65"/>
        <v>5.1346442680713242E-2</v>
      </c>
      <c r="K602">
        <f t="shared" si="66"/>
        <v>12.553306427056109</v>
      </c>
      <c r="L602">
        <f t="shared" si="67"/>
        <v>6.8461923574284313E-4</v>
      </c>
      <c r="O602">
        <f t="shared" si="68"/>
        <v>12.593412837366197</v>
      </c>
      <c r="P602">
        <f t="shared" si="69"/>
        <v>3.443570487952441E-5</v>
      </c>
    </row>
    <row r="603" spans="1:16" x14ac:dyDescent="0.25">
      <c r="A603" s="2">
        <v>30.05</v>
      </c>
      <c r="B603" s="1">
        <v>0.54600000000000004</v>
      </c>
      <c r="C603">
        <v>7.1999999999999995E-2</v>
      </c>
      <c r="H603">
        <f t="shared" si="63"/>
        <v>30.05</v>
      </c>
      <c r="I603">
        <f t="shared" si="64"/>
        <v>0.54600000000000004</v>
      </c>
      <c r="J603">
        <f t="shared" si="65"/>
        <v>5.0310353418514434E-2</v>
      </c>
      <c r="K603">
        <f t="shared" si="66"/>
        <v>10.949050014652773</v>
      </c>
      <c r="L603">
        <f t="shared" si="67"/>
        <v>6.7080471224685904E-4</v>
      </c>
      <c r="O603">
        <f t="shared" si="68"/>
        <v>10.989156424962861</v>
      </c>
      <c r="P603">
        <f t="shared" si="69"/>
        <v>2.0621181383540313E-5</v>
      </c>
    </row>
    <row r="604" spans="1:16" x14ac:dyDescent="0.25">
      <c r="A604" s="2">
        <v>30.1</v>
      </c>
      <c r="B604" s="1">
        <v>0.51300000000000001</v>
      </c>
      <c r="C604">
        <v>7.2999999999999995E-2</v>
      </c>
      <c r="H604">
        <f t="shared" si="63"/>
        <v>30.1</v>
      </c>
      <c r="I604">
        <f t="shared" si="64"/>
        <v>0.51300000000000001</v>
      </c>
      <c r="J604">
        <f t="shared" si="65"/>
        <v>5.127426415631562E-2</v>
      </c>
      <c r="K604">
        <f t="shared" si="66"/>
        <v>10.287294244536396</v>
      </c>
      <c r="L604">
        <f t="shared" si="67"/>
        <v>6.8365685541754142E-4</v>
      </c>
      <c r="O604">
        <f t="shared" si="68"/>
        <v>10.327400654846484</v>
      </c>
      <c r="P604">
        <f t="shared" si="69"/>
        <v>3.3473324554222699E-5</v>
      </c>
    </row>
    <row r="605" spans="1:16" x14ac:dyDescent="0.25">
      <c r="A605" s="2">
        <v>30.15</v>
      </c>
      <c r="B605" s="1">
        <v>0.50700000000000001</v>
      </c>
      <c r="C605">
        <v>7.1999999999999995E-2</v>
      </c>
      <c r="H605">
        <f t="shared" si="63"/>
        <v>30.15</v>
      </c>
      <c r="I605">
        <f t="shared" si="64"/>
        <v>0.50700000000000001</v>
      </c>
      <c r="J605">
        <f t="shared" si="65"/>
        <v>5.0238174894116812E-2</v>
      </c>
      <c r="K605">
        <f t="shared" si="66"/>
        <v>10.166975013606145</v>
      </c>
      <c r="L605">
        <f t="shared" si="67"/>
        <v>6.6984233192155733E-4</v>
      </c>
      <c r="O605">
        <f t="shared" si="68"/>
        <v>10.207081423916232</v>
      </c>
      <c r="P605">
        <f t="shared" si="69"/>
        <v>1.9658801058238602E-5</v>
      </c>
    </row>
    <row r="606" spans="1:16" x14ac:dyDescent="0.25">
      <c r="A606" s="2">
        <v>30.2</v>
      </c>
      <c r="B606" s="1">
        <v>0.50700000000000001</v>
      </c>
      <c r="C606">
        <v>7.2999999999999995E-2</v>
      </c>
      <c r="H606">
        <f t="shared" si="63"/>
        <v>30.2</v>
      </c>
      <c r="I606">
        <f t="shared" si="64"/>
        <v>0.50700000000000001</v>
      </c>
      <c r="J606">
        <f t="shared" si="65"/>
        <v>5.1202085631917998E-2</v>
      </c>
      <c r="K606">
        <f t="shared" si="66"/>
        <v>10.166975013606145</v>
      </c>
      <c r="L606">
        <f t="shared" si="67"/>
        <v>6.8269447509223982E-4</v>
      </c>
      <c r="O606">
        <f t="shared" si="68"/>
        <v>10.207081423916232</v>
      </c>
      <c r="P606">
        <f t="shared" si="69"/>
        <v>3.2510944228921097E-5</v>
      </c>
    </row>
    <row r="607" spans="1:16" x14ac:dyDescent="0.25">
      <c r="A607" s="2">
        <v>30.25</v>
      </c>
      <c r="B607" s="1">
        <v>0.50700000000000001</v>
      </c>
      <c r="C607">
        <v>7.1999999999999995E-2</v>
      </c>
      <c r="H607">
        <f t="shared" si="63"/>
        <v>30.25</v>
      </c>
      <c r="I607">
        <f t="shared" si="64"/>
        <v>0.50700000000000001</v>
      </c>
      <c r="J607">
        <f t="shared" si="65"/>
        <v>5.016599636971919E-2</v>
      </c>
      <c r="K607">
        <f t="shared" si="66"/>
        <v>10.166975013606145</v>
      </c>
      <c r="L607">
        <f t="shared" si="67"/>
        <v>6.6887995159625572E-4</v>
      </c>
      <c r="O607">
        <f t="shared" si="68"/>
        <v>10.207081423916232</v>
      </c>
      <c r="P607">
        <f t="shared" si="69"/>
        <v>1.8696420732937E-5</v>
      </c>
    </row>
    <row r="608" spans="1:16" x14ac:dyDescent="0.25">
      <c r="A608" s="2">
        <v>30.3</v>
      </c>
      <c r="B608" s="1">
        <v>0.50800000000000001</v>
      </c>
      <c r="C608">
        <v>7.2999999999999995E-2</v>
      </c>
      <c r="H608">
        <f t="shared" si="63"/>
        <v>30.3</v>
      </c>
      <c r="I608">
        <f t="shared" si="64"/>
        <v>0.50800000000000001</v>
      </c>
      <c r="J608">
        <f t="shared" si="65"/>
        <v>5.1129907107520377E-2</v>
      </c>
      <c r="K608">
        <f t="shared" si="66"/>
        <v>10.187028218761187</v>
      </c>
      <c r="L608">
        <f t="shared" si="67"/>
        <v>6.8173209476693822E-4</v>
      </c>
      <c r="O608">
        <f t="shared" si="68"/>
        <v>10.227134629071275</v>
      </c>
      <c r="P608">
        <f t="shared" si="69"/>
        <v>3.1548563903619495E-5</v>
      </c>
    </row>
    <row r="609" spans="1:16" x14ac:dyDescent="0.25">
      <c r="A609" s="2">
        <v>30.35</v>
      </c>
      <c r="B609" s="1">
        <v>0.497</v>
      </c>
      <c r="C609">
        <v>7.1999999999999995E-2</v>
      </c>
      <c r="H609">
        <f t="shared" si="63"/>
        <v>30.35</v>
      </c>
      <c r="I609">
        <f t="shared" si="64"/>
        <v>0.497</v>
      </c>
      <c r="J609">
        <f t="shared" si="65"/>
        <v>5.0093817845321562E-2</v>
      </c>
      <c r="K609">
        <f t="shared" si="66"/>
        <v>9.9664429620557282</v>
      </c>
      <c r="L609">
        <f t="shared" si="67"/>
        <v>6.6791757127095401E-4</v>
      </c>
      <c r="O609">
        <f t="shared" si="68"/>
        <v>10.006549372365816</v>
      </c>
      <c r="P609">
        <f t="shared" si="69"/>
        <v>1.773404040763529E-5</v>
      </c>
    </row>
    <row r="610" spans="1:16" x14ac:dyDescent="0.25">
      <c r="A610" s="2">
        <v>30.4</v>
      </c>
      <c r="B610" s="1">
        <v>0.45400000000000001</v>
      </c>
      <c r="C610">
        <v>7.2999999999999995E-2</v>
      </c>
      <c r="H610">
        <f t="shared" si="63"/>
        <v>30.4</v>
      </c>
      <c r="I610">
        <f t="shared" si="64"/>
        <v>0.45400000000000001</v>
      </c>
      <c r="J610">
        <f t="shared" si="65"/>
        <v>5.1057728583122755E-2</v>
      </c>
      <c r="K610">
        <f t="shared" si="66"/>
        <v>9.1041551403889347</v>
      </c>
      <c r="L610">
        <f t="shared" si="67"/>
        <v>6.8076971444163662E-4</v>
      </c>
      <c r="O610">
        <f t="shared" si="68"/>
        <v>9.1442615506990226</v>
      </c>
      <c r="P610">
        <f t="shared" si="69"/>
        <v>3.0586183578317893E-5</v>
      </c>
    </row>
    <row r="611" spans="1:16" x14ac:dyDescent="0.25">
      <c r="A611" s="2">
        <v>30.45</v>
      </c>
      <c r="B611" s="1">
        <v>0.38200000000000001</v>
      </c>
      <c r="C611">
        <v>7.1999999999999995E-2</v>
      </c>
      <c r="H611">
        <f t="shared" si="63"/>
        <v>30.45</v>
      </c>
      <c r="I611">
        <f t="shared" si="64"/>
        <v>0.38200000000000001</v>
      </c>
      <c r="J611">
        <f t="shared" si="65"/>
        <v>5.0021639320923947E-2</v>
      </c>
      <c r="K611">
        <f t="shared" si="66"/>
        <v>7.6603243692259317</v>
      </c>
      <c r="L611">
        <f t="shared" si="67"/>
        <v>6.6695519094565252E-4</v>
      </c>
      <c r="O611">
        <f t="shared" si="68"/>
        <v>7.7004307795360196</v>
      </c>
      <c r="P611">
        <f t="shared" si="69"/>
        <v>1.6771660082333796E-5</v>
      </c>
    </row>
    <row r="612" spans="1:16" x14ac:dyDescent="0.25">
      <c r="A612" s="2">
        <v>30.5</v>
      </c>
      <c r="B612" s="1">
        <v>0.34200000000000003</v>
      </c>
      <c r="C612">
        <v>7.1999999999999995E-2</v>
      </c>
      <c r="H612">
        <f t="shared" si="63"/>
        <v>30.5</v>
      </c>
      <c r="I612">
        <f t="shared" si="64"/>
        <v>0.34200000000000003</v>
      </c>
      <c r="J612">
        <f t="shared" si="65"/>
        <v>4.9985550058725133E-2</v>
      </c>
      <c r="K612">
        <f t="shared" si="66"/>
        <v>6.8581961630242638</v>
      </c>
      <c r="L612">
        <f t="shared" si="67"/>
        <v>6.6647400078300161E-4</v>
      </c>
      <c r="O612">
        <f t="shared" si="68"/>
        <v>6.8983025733343517</v>
      </c>
      <c r="P612">
        <f t="shared" si="69"/>
        <v>1.6290469919682886E-5</v>
      </c>
    </row>
    <row r="613" spans="1:16" x14ac:dyDescent="0.25">
      <c r="A613" s="2">
        <v>30.55</v>
      </c>
      <c r="B613" s="1">
        <v>0.28599999999999998</v>
      </c>
      <c r="C613">
        <v>7.1999999999999995E-2</v>
      </c>
      <c r="H613">
        <f t="shared" si="63"/>
        <v>30.55</v>
      </c>
      <c r="I613">
        <f t="shared" si="64"/>
        <v>0.28599999999999998</v>
      </c>
      <c r="J613">
        <f t="shared" si="65"/>
        <v>4.9949460796526318E-2</v>
      </c>
      <c r="K613">
        <f t="shared" si="66"/>
        <v>5.7352166743419275</v>
      </c>
      <c r="L613">
        <f t="shared" si="67"/>
        <v>6.6599281062035081E-4</v>
      </c>
      <c r="O613">
        <f t="shared" si="68"/>
        <v>5.7753230846520154</v>
      </c>
      <c r="P613">
        <f t="shared" si="69"/>
        <v>1.5809279757032085E-5</v>
      </c>
    </row>
    <row r="614" spans="1:16" x14ac:dyDescent="0.25">
      <c r="A614" s="2">
        <v>30.6</v>
      </c>
      <c r="B614" s="1">
        <v>0.20499999999999999</v>
      </c>
      <c r="C614">
        <v>7.1999999999999995E-2</v>
      </c>
      <c r="H614">
        <f t="shared" si="63"/>
        <v>30.6</v>
      </c>
      <c r="I614">
        <f t="shared" si="64"/>
        <v>0.20499999999999999</v>
      </c>
      <c r="J614">
        <f t="shared" si="65"/>
        <v>4.9913371534327511E-2</v>
      </c>
      <c r="K614">
        <f t="shared" si="66"/>
        <v>4.1109070567835495</v>
      </c>
      <c r="L614">
        <f t="shared" si="67"/>
        <v>6.6551162045770001E-4</v>
      </c>
      <c r="O614">
        <f t="shared" si="68"/>
        <v>4.1510134670936374</v>
      </c>
      <c r="P614">
        <f t="shared" si="69"/>
        <v>1.5328089594381284E-5</v>
      </c>
    </row>
    <row r="615" spans="1:16" x14ac:dyDescent="0.25">
      <c r="A615" s="2">
        <v>30.65</v>
      </c>
      <c r="B615" s="1">
        <v>0.113</v>
      </c>
      <c r="C615">
        <v>7.0999999999999994E-2</v>
      </c>
      <c r="H615">
        <f t="shared" si="63"/>
        <v>30.65</v>
      </c>
      <c r="I615">
        <f t="shared" si="64"/>
        <v>0.113</v>
      </c>
      <c r="J615">
        <f t="shared" si="65"/>
        <v>4.8877282272128703E-2</v>
      </c>
      <c r="K615">
        <f t="shared" si="66"/>
        <v>2.266012182519713</v>
      </c>
      <c r="L615">
        <f t="shared" si="67"/>
        <v>6.5169709696171591E-4</v>
      </c>
      <c r="O615">
        <f t="shared" si="68"/>
        <v>2.3061185928298009</v>
      </c>
      <c r="P615">
        <f t="shared" si="69"/>
        <v>1.5135660983971871E-6</v>
      </c>
    </row>
    <row r="616" spans="1:16" x14ac:dyDescent="0.25">
      <c r="A616" s="2">
        <v>30.7</v>
      </c>
      <c r="B616" s="1">
        <v>2.9000000000000001E-2</v>
      </c>
      <c r="C616">
        <v>7.0999999999999994E-2</v>
      </c>
      <c r="H616">
        <f t="shared" si="63"/>
        <v>30.7</v>
      </c>
      <c r="I616">
        <f t="shared" si="64"/>
        <v>2.9000000000000001E-2</v>
      </c>
      <c r="J616">
        <f t="shared" si="65"/>
        <v>4.8841193009929881E-2</v>
      </c>
      <c r="K616">
        <f t="shared" si="66"/>
        <v>0.58154294949620955</v>
      </c>
      <c r="L616">
        <f t="shared" si="67"/>
        <v>6.51215906799065E-4</v>
      </c>
      <c r="O616">
        <f t="shared" si="68"/>
        <v>0.62164935980629743</v>
      </c>
      <c r="P616">
        <f t="shared" si="69"/>
        <v>1.0323759357462776E-6</v>
      </c>
    </row>
    <row r="617" spans="1:16" x14ac:dyDescent="0.25">
      <c r="A617" s="2">
        <v>30.75</v>
      </c>
      <c r="B617" s="1">
        <v>6.0000000000000001E-3</v>
      </c>
      <c r="C617">
        <v>7.0999999999999994E-2</v>
      </c>
      <c r="H617">
        <f t="shared" si="63"/>
        <v>30.75</v>
      </c>
      <c r="I617">
        <f t="shared" si="64"/>
        <v>6.0000000000000001E-3</v>
      </c>
      <c r="J617">
        <f t="shared" si="65"/>
        <v>4.8805103747731074E-2</v>
      </c>
      <c r="K617">
        <f t="shared" si="66"/>
        <v>0.12031923093025024</v>
      </c>
      <c r="L617">
        <f t="shared" si="67"/>
        <v>6.507347166364142E-4</v>
      </c>
      <c r="O617">
        <f t="shared" si="68"/>
        <v>0.16042564124033812</v>
      </c>
      <c r="P617">
        <f t="shared" si="69"/>
        <v>5.5118577309547657E-7</v>
      </c>
    </row>
    <row r="618" spans="1:16" x14ac:dyDescent="0.25">
      <c r="A618" s="2">
        <v>30.8</v>
      </c>
      <c r="B618" s="1">
        <v>5.1940000000000005E-4</v>
      </c>
      <c r="C618">
        <v>7.0999999999999994E-2</v>
      </c>
      <c r="H618">
        <f t="shared" si="63"/>
        <v>30.8</v>
      </c>
      <c r="I618">
        <f t="shared" si="64"/>
        <v>5.1940000000000005E-4</v>
      </c>
      <c r="J618">
        <f t="shared" si="65"/>
        <v>4.8769014485532267E-2</v>
      </c>
      <c r="K618">
        <f t="shared" si="66"/>
        <v>1.0415634757528663E-2</v>
      </c>
      <c r="L618">
        <f t="shared" si="67"/>
        <v>6.502535264737634E-4</v>
      </c>
      <c r="O618">
        <f t="shared" si="68"/>
        <v>5.0522045067616546E-2</v>
      </c>
      <c r="P618">
        <f t="shared" si="69"/>
        <v>6.9995610444675491E-8</v>
      </c>
    </row>
    <row r="619" spans="1:16" x14ac:dyDescent="0.25">
      <c r="A619" s="2">
        <v>30.85</v>
      </c>
      <c r="B619" s="1">
        <v>1.031E-4</v>
      </c>
      <c r="C619">
        <v>7.0999999999999994E-2</v>
      </c>
      <c r="H619">
        <f t="shared" si="63"/>
        <v>30.85</v>
      </c>
      <c r="I619">
        <f t="shared" si="64"/>
        <v>1.031E-4</v>
      </c>
      <c r="J619">
        <f t="shared" si="65"/>
        <v>4.8732925223333445E-2</v>
      </c>
      <c r="K619">
        <f t="shared" si="66"/>
        <v>2.0674854514848E-3</v>
      </c>
      <c r="L619">
        <f t="shared" si="67"/>
        <v>6.4977233631111249E-4</v>
      </c>
      <c r="O619">
        <f t="shared" si="68"/>
        <v>4.2173895761572683E-2</v>
      </c>
      <c r="P619">
        <f t="shared" si="69"/>
        <v>-4.1119455220623401E-7</v>
      </c>
    </row>
    <row r="620" spans="1:16" x14ac:dyDescent="0.25">
      <c r="A620" s="2">
        <v>30.9</v>
      </c>
      <c r="B620" s="1">
        <v>-4.7179999999999998E-4</v>
      </c>
      <c r="C620">
        <v>7.0999999999999994E-2</v>
      </c>
      <c r="H620">
        <f t="shared" si="63"/>
        <v>30.9</v>
      </c>
      <c r="I620">
        <f t="shared" si="64"/>
        <v>-4.7179999999999998E-4</v>
      </c>
      <c r="J620">
        <f t="shared" si="65"/>
        <v>4.8696835961134638E-2</v>
      </c>
      <c r="K620">
        <f t="shared" si="66"/>
        <v>-9.4611021921486762E-3</v>
      </c>
      <c r="L620">
        <f t="shared" si="67"/>
        <v>6.4929114614846169E-4</v>
      </c>
      <c r="O620">
        <f t="shared" si="68"/>
        <v>3.0645308117939203E-2</v>
      </c>
      <c r="P620">
        <f t="shared" si="69"/>
        <v>-8.9238471485703508E-7</v>
      </c>
    </row>
    <row r="621" spans="1:16" x14ac:dyDescent="0.25">
      <c r="A621" s="2">
        <v>30.95</v>
      </c>
      <c r="B621" s="1">
        <v>-7.025E-4</v>
      </c>
      <c r="C621">
        <v>7.0999999999999994E-2</v>
      </c>
      <c r="H621">
        <f t="shared" si="63"/>
        <v>30.95</v>
      </c>
      <c r="I621">
        <f t="shared" si="64"/>
        <v>-7.025E-4</v>
      </c>
      <c r="J621">
        <f t="shared" si="65"/>
        <v>4.8660746698935831E-2</v>
      </c>
      <c r="K621">
        <f t="shared" si="66"/>
        <v>-1.4087376621416799E-2</v>
      </c>
      <c r="L621">
        <f t="shared" si="67"/>
        <v>6.48809955985811E-4</v>
      </c>
      <c r="O621">
        <f t="shared" si="68"/>
        <v>2.6019033688671082E-2</v>
      </c>
      <c r="P621">
        <f t="shared" si="69"/>
        <v>-1.3735748775077277E-6</v>
      </c>
    </row>
    <row r="622" spans="1:16" x14ac:dyDescent="0.25">
      <c r="A622" s="2">
        <v>31</v>
      </c>
      <c r="B622" s="1">
        <v>-6.2810000000000003E-4</v>
      </c>
      <c r="C622">
        <v>7.0999999999999994E-2</v>
      </c>
      <c r="H622">
        <f t="shared" si="63"/>
        <v>31</v>
      </c>
      <c r="I622">
        <f t="shared" si="64"/>
        <v>-6.2810000000000003E-4</v>
      </c>
      <c r="J622">
        <f t="shared" si="65"/>
        <v>4.8624657436737016E-2</v>
      </c>
      <c r="K622">
        <f t="shared" si="66"/>
        <v>-1.2595418157881696E-2</v>
      </c>
      <c r="L622">
        <f t="shared" si="67"/>
        <v>6.4832876582316009E-4</v>
      </c>
      <c r="O622">
        <f t="shared" si="68"/>
        <v>2.7510992152206183E-2</v>
      </c>
      <c r="P622">
        <f t="shared" si="69"/>
        <v>-1.8547650401586372E-6</v>
      </c>
    </row>
    <row r="623" spans="1:16" x14ac:dyDescent="0.25">
      <c r="A623" s="2">
        <v>31.05</v>
      </c>
      <c r="B623" s="1">
        <v>-4.8650000000000001E-4</v>
      </c>
      <c r="C623">
        <v>7.0999999999999994E-2</v>
      </c>
      <c r="H623">
        <f t="shared" si="63"/>
        <v>31.05</v>
      </c>
      <c r="I623">
        <f t="shared" si="64"/>
        <v>-4.8650000000000001E-4</v>
      </c>
      <c r="J623">
        <f t="shared" si="65"/>
        <v>4.8588568174538202E-2</v>
      </c>
      <c r="K623">
        <f t="shared" si="66"/>
        <v>-9.7558843079277903E-3</v>
      </c>
      <c r="L623">
        <f t="shared" si="67"/>
        <v>6.4784757566050928E-4</v>
      </c>
      <c r="O623">
        <f t="shared" si="68"/>
        <v>3.0350526002160091E-2</v>
      </c>
      <c r="P623">
        <f t="shared" si="69"/>
        <v>-2.3359552028094383E-6</v>
      </c>
    </row>
    <row r="624" spans="1:16" x14ac:dyDescent="0.25">
      <c r="A624" s="2">
        <v>31.1</v>
      </c>
      <c r="B624" s="1">
        <v>-3.2899999999999997E-4</v>
      </c>
      <c r="C624">
        <v>7.1999999999999995E-2</v>
      </c>
      <c r="H624">
        <f t="shared" si="63"/>
        <v>31.1</v>
      </c>
      <c r="I624">
        <f t="shared" si="64"/>
        <v>-3.2899999999999997E-4</v>
      </c>
      <c r="J624">
        <f t="shared" si="65"/>
        <v>4.9552478912339396E-2</v>
      </c>
      <c r="K624">
        <f t="shared" si="66"/>
        <v>-6.5975044960087208E-3</v>
      </c>
      <c r="L624">
        <f t="shared" si="67"/>
        <v>6.6069971883119178E-4</v>
      </c>
      <c r="O624">
        <f t="shared" si="68"/>
        <v>3.3508905814079157E-2</v>
      </c>
      <c r="P624">
        <f t="shared" si="69"/>
        <v>1.0516187967873057E-5</v>
      </c>
    </row>
    <row r="625" spans="1:16" x14ac:dyDescent="0.25">
      <c r="A625" s="2">
        <v>31.15</v>
      </c>
      <c r="B625" s="1">
        <v>-5.0719999999999997E-4</v>
      </c>
      <c r="C625">
        <v>7.0999999999999994E-2</v>
      </c>
      <c r="H625">
        <f t="shared" si="63"/>
        <v>31.15</v>
      </c>
      <c r="I625">
        <f t="shared" si="64"/>
        <v>-5.0719999999999997E-4</v>
      </c>
      <c r="J625">
        <f t="shared" si="65"/>
        <v>4.8516389650140587E-2</v>
      </c>
      <c r="K625">
        <f t="shared" si="66"/>
        <v>-1.0170985654637152E-2</v>
      </c>
      <c r="L625">
        <f t="shared" si="67"/>
        <v>6.4688519533520768E-4</v>
      </c>
      <c r="O625">
        <f t="shared" si="68"/>
        <v>2.9935424655450731E-2</v>
      </c>
      <c r="P625">
        <f t="shared" si="69"/>
        <v>-3.2983355281110405E-6</v>
      </c>
    </row>
    <row r="626" spans="1:16" x14ac:dyDescent="0.25">
      <c r="A626" s="2">
        <v>31.2</v>
      </c>
      <c r="B626" s="1">
        <v>4.0000000000000001E-3</v>
      </c>
      <c r="C626">
        <v>7.1999999999999995E-2</v>
      </c>
      <c r="H626">
        <f t="shared" si="63"/>
        <v>31.2</v>
      </c>
      <c r="I626">
        <f t="shared" si="64"/>
        <v>4.0000000000000001E-3</v>
      </c>
      <c r="J626">
        <f t="shared" si="65"/>
        <v>4.9480300387941774E-2</v>
      </c>
      <c r="K626">
        <f t="shared" si="66"/>
        <v>8.0212820620166825E-2</v>
      </c>
      <c r="L626">
        <f t="shared" si="67"/>
        <v>6.5973733850589018E-4</v>
      </c>
      <c r="O626">
        <f t="shared" si="68"/>
        <v>0.12031923093025471</v>
      </c>
      <c r="P626">
        <f t="shared" si="69"/>
        <v>9.5538076425714545E-6</v>
      </c>
    </row>
    <row r="627" spans="1:16" x14ac:dyDescent="0.25">
      <c r="A627" s="2">
        <v>31.25</v>
      </c>
      <c r="B627" s="1">
        <v>3.0000000000000001E-3</v>
      </c>
      <c r="C627">
        <v>7.0999999999999994E-2</v>
      </c>
      <c r="H627">
        <f t="shared" si="63"/>
        <v>31.25</v>
      </c>
      <c r="I627">
        <f t="shared" si="64"/>
        <v>3.0000000000000001E-3</v>
      </c>
      <c r="J627">
        <f t="shared" si="65"/>
        <v>4.8444211125742959E-2</v>
      </c>
      <c r="K627">
        <f t="shared" si="66"/>
        <v>6.0159615465125119E-2</v>
      </c>
      <c r="L627">
        <f t="shared" si="67"/>
        <v>6.4592281500990597E-4</v>
      </c>
      <c r="O627">
        <f t="shared" si="68"/>
        <v>0.100266025775213</v>
      </c>
      <c r="P627">
        <f t="shared" si="69"/>
        <v>-4.260715853412751E-6</v>
      </c>
    </row>
    <row r="628" spans="1:16" x14ac:dyDescent="0.25">
      <c r="A628" s="2">
        <v>31.3</v>
      </c>
      <c r="B628" s="1">
        <v>4.0000000000000001E-3</v>
      </c>
      <c r="C628">
        <v>7.1999999999999995E-2</v>
      </c>
      <c r="H628">
        <f t="shared" si="63"/>
        <v>31.3</v>
      </c>
      <c r="I628">
        <f t="shared" si="64"/>
        <v>4.0000000000000001E-3</v>
      </c>
      <c r="J628">
        <f t="shared" si="65"/>
        <v>4.9408121863544152E-2</v>
      </c>
      <c r="K628">
        <f t="shared" si="66"/>
        <v>8.0212820620166825E-2</v>
      </c>
      <c r="L628">
        <f t="shared" si="67"/>
        <v>6.5877495818058858E-4</v>
      </c>
      <c r="O628">
        <f t="shared" si="68"/>
        <v>0.12031923093025471</v>
      </c>
      <c r="P628">
        <f t="shared" si="69"/>
        <v>8.5914273172698523E-6</v>
      </c>
    </row>
    <row r="629" spans="1:16" x14ac:dyDescent="0.25">
      <c r="A629" s="2">
        <v>31.35</v>
      </c>
      <c r="B629" s="1">
        <v>-6.0000000000000001E-3</v>
      </c>
      <c r="C629">
        <v>7.0999999999999994E-2</v>
      </c>
      <c r="H629">
        <f t="shared" si="63"/>
        <v>31.35</v>
      </c>
      <c r="I629">
        <f t="shared" si="64"/>
        <v>-6.0000000000000001E-3</v>
      </c>
      <c r="J629">
        <f t="shared" si="65"/>
        <v>4.8372032601345337E-2</v>
      </c>
      <c r="K629">
        <f t="shared" si="66"/>
        <v>-0.12031923093025024</v>
      </c>
      <c r="L629">
        <f t="shared" si="67"/>
        <v>6.4496043468460437E-4</v>
      </c>
      <c r="O629">
        <f t="shared" si="68"/>
        <v>-8.0212820620162356E-2</v>
      </c>
      <c r="P629">
        <f t="shared" si="69"/>
        <v>-5.2230961787143532E-6</v>
      </c>
    </row>
    <row r="630" spans="1:16" x14ac:dyDescent="0.25">
      <c r="A630" s="2">
        <v>31.4</v>
      </c>
      <c r="B630" s="1">
        <v>-9.5000000000000001E-2</v>
      </c>
      <c r="C630">
        <v>7.1999999999999995E-2</v>
      </c>
      <c r="H630">
        <f t="shared" si="63"/>
        <v>31.4</v>
      </c>
      <c r="I630">
        <f t="shared" si="64"/>
        <v>-9.5000000000000001E-2</v>
      </c>
      <c r="J630">
        <f t="shared" si="65"/>
        <v>4.933594333914653E-2</v>
      </c>
      <c r="K630">
        <f t="shared" si="66"/>
        <v>-1.9050544897289621</v>
      </c>
      <c r="L630">
        <f t="shared" si="67"/>
        <v>6.5781257785528697E-4</v>
      </c>
      <c r="O630">
        <f t="shared" si="68"/>
        <v>-1.8649480794188742</v>
      </c>
      <c r="P630">
        <f t="shared" si="69"/>
        <v>7.6290469919682502E-6</v>
      </c>
    </row>
    <row r="631" spans="1:16" x14ac:dyDescent="0.25">
      <c r="A631" s="2">
        <v>31.45</v>
      </c>
      <c r="B631" s="1">
        <v>-0.222</v>
      </c>
      <c r="C631">
        <v>7.0000000000000007E-2</v>
      </c>
      <c r="H631">
        <f t="shared" si="63"/>
        <v>31.45</v>
      </c>
      <c r="I631">
        <f t="shared" si="64"/>
        <v>-0.222</v>
      </c>
      <c r="J631">
        <f t="shared" si="65"/>
        <v>4.7299854076947728E-2</v>
      </c>
      <c r="K631">
        <f t="shared" si="66"/>
        <v>-4.4518115444192592</v>
      </c>
      <c r="L631">
        <f t="shared" si="67"/>
        <v>6.3066472102596958E-4</v>
      </c>
      <c r="O631">
        <f t="shared" si="68"/>
        <v>-4.4117051341091713</v>
      </c>
      <c r="P631">
        <f t="shared" si="69"/>
        <v>-1.9518809837349143E-5</v>
      </c>
    </row>
    <row r="632" spans="1:16" x14ac:dyDescent="0.25">
      <c r="A632" s="2">
        <v>31.5</v>
      </c>
      <c r="B632" s="1">
        <v>-0.28399999999999997</v>
      </c>
      <c r="C632">
        <v>7.0999999999999994E-2</v>
      </c>
      <c r="H632">
        <f t="shared" si="63"/>
        <v>31.5</v>
      </c>
      <c r="I632">
        <f t="shared" si="64"/>
        <v>-0.28399999999999997</v>
      </c>
      <c r="J632">
        <f t="shared" si="65"/>
        <v>4.8263764814748908E-2</v>
      </c>
      <c r="K632">
        <f t="shared" si="66"/>
        <v>-5.6951102640318441</v>
      </c>
      <c r="L632">
        <f t="shared" si="67"/>
        <v>6.4351686419665197E-4</v>
      </c>
      <c r="O632">
        <f t="shared" si="68"/>
        <v>-5.6550038537217562</v>
      </c>
      <c r="P632">
        <f t="shared" si="69"/>
        <v>-6.6666666666667564E-6</v>
      </c>
    </row>
    <row r="633" spans="1:16" x14ac:dyDescent="0.25">
      <c r="A633" s="2">
        <v>31.55</v>
      </c>
      <c r="B633" s="1">
        <v>-0.36399999999999999</v>
      </c>
      <c r="C633">
        <v>7.0000000000000007E-2</v>
      </c>
      <c r="H633">
        <f t="shared" si="63"/>
        <v>31.55</v>
      </c>
      <c r="I633">
        <f t="shared" si="64"/>
        <v>-0.36399999999999999</v>
      </c>
      <c r="J633">
        <f t="shared" si="65"/>
        <v>4.7227675552550107E-2</v>
      </c>
      <c r="K633">
        <f t="shared" si="66"/>
        <v>-7.2993666764351808</v>
      </c>
      <c r="L633">
        <f t="shared" si="67"/>
        <v>6.2970234070066798E-4</v>
      </c>
      <c r="O633">
        <f t="shared" si="68"/>
        <v>-7.2592602661250929</v>
      </c>
      <c r="P633">
        <f t="shared" si="69"/>
        <v>-2.0481190162650745E-5</v>
      </c>
    </row>
    <row r="634" spans="1:16" x14ac:dyDescent="0.25">
      <c r="A634" s="2">
        <v>31.6</v>
      </c>
      <c r="B634" s="1">
        <v>-0.41399999999999998</v>
      </c>
      <c r="C634">
        <v>7.0999999999999994E-2</v>
      </c>
      <c r="H634">
        <f t="shared" si="63"/>
        <v>31.6</v>
      </c>
      <c r="I634">
        <f t="shared" si="64"/>
        <v>-0.41399999999999998</v>
      </c>
      <c r="J634">
        <f t="shared" si="65"/>
        <v>4.8191586290351279E-2</v>
      </c>
      <c r="K634">
        <f t="shared" si="66"/>
        <v>-8.3020269341872659</v>
      </c>
      <c r="L634">
        <f t="shared" si="67"/>
        <v>6.4255448387135026E-4</v>
      </c>
      <c r="O634">
        <f t="shared" si="68"/>
        <v>-8.261920523877178</v>
      </c>
      <c r="P634">
        <f t="shared" si="69"/>
        <v>-7.629046991968467E-6</v>
      </c>
    </row>
    <row r="635" spans="1:16" x14ac:dyDescent="0.25">
      <c r="A635" s="2">
        <v>31.65</v>
      </c>
      <c r="B635" s="1">
        <v>-0.41299999999999998</v>
      </c>
      <c r="C635">
        <v>7.0000000000000007E-2</v>
      </c>
      <c r="H635">
        <f t="shared" si="63"/>
        <v>31.65</v>
      </c>
      <c r="I635">
        <f t="shared" si="64"/>
        <v>-0.41299999999999998</v>
      </c>
      <c r="J635">
        <f t="shared" si="65"/>
        <v>4.7155497028152485E-2</v>
      </c>
      <c r="K635">
        <f t="shared" si="66"/>
        <v>-8.2819737290322237</v>
      </c>
      <c r="L635">
        <f t="shared" si="67"/>
        <v>6.2873996037536638E-4</v>
      </c>
      <c r="O635">
        <f t="shared" si="68"/>
        <v>-8.2418673187221358</v>
      </c>
      <c r="P635">
        <f t="shared" si="69"/>
        <v>-2.1443570487952347E-5</v>
      </c>
    </row>
    <row r="636" spans="1:16" x14ac:dyDescent="0.25">
      <c r="A636" s="2">
        <v>31.7</v>
      </c>
      <c r="B636" s="1">
        <v>-0.41199999999999998</v>
      </c>
      <c r="C636">
        <v>7.0999999999999994E-2</v>
      </c>
      <c r="H636">
        <f t="shared" si="63"/>
        <v>31.7</v>
      </c>
      <c r="I636">
        <f t="shared" si="64"/>
        <v>-0.41199999999999998</v>
      </c>
      <c r="J636">
        <f t="shared" si="65"/>
        <v>4.8119407765953665E-2</v>
      </c>
      <c r="K636">
        <f t="shared" si="66"/>
        <v>-8.2619205238771816</v>
      </c>
      <c r="L636">
        <f t="shared" si="67"/>
        <v>6.4159210354604876E-4</v>
      </c>
      <c r="O636">
        <f t="shared" si="68"/>
        <v>-8.2218141135670937</v>
      </c>
      <c r="P636">
        <f t="shared" si="69"/>
        <v>-8.5914273172699607E-6</v>
      </c>
    </row>
    <row r="637" spans="1:16" x14ac:dyDescent="0.25">
      <c r="A637" s="2">
        <v>31.75</v>
      </c>
      <c r="B637" s="1">
        <v>-0.41199999999999998</v>
      </c>
      <c r="C637">
        <v>7.0000000000000007E-2</v>
      </c>
      <c r="H637">
        <f t="shared" si="63"/>
        <v>31.75</v>
      </c>
      <c r="I637">
        <f t="shared" si="64"/>
        <v>-0.41199999999999998</v>
      </c>
      <c r="J637">
        <f t="shared" si="65"/>
        <v>4.7083318503754863E-2</v>
      </c>
      <c r="K637">
        <f t="shared" si="66"/>
        <v>-8.2619205238771816</v>
      </c>
      <c r="L637">
        <f t="shared" si="67"/>
        <v>6.2777758005006477E-4</v>
      </c>
      <c r="O637">
        <f t="shared" si="68"/>
        <v>-8.2218141135670937</v>
      </c>
      <c r="P637">
        <f t="shared" si="69"/>
        <v>-2.2405950813253949E-5</v>
      </c>
    </row>
    <row r="638" spans="1:16" x14ac:dyDescent="0.25">
      <c r="A638" s="2">
        <v>31.8</v>
      </c>
      <c r="B638" s="1">
        <v>-0.41199999999999998</v>
      </c>
      <c r="C638">
        <v>7.0999999999999994E-2</v>
      </c>
      <c r="H638">
        <f t="shared" si="63"/>
        <v>31.8</v>
      </c>
      <c r="I638">
        <f t="shared" si="64"/>
        <v>-0.41199999999999998</v>
      </c>
      <c r="J638">
        <f t="shared" si="65"/>
        <v>4.8047229241556036E-2</v>
      </c>
      <c r="K638">
        <f t="shared" si="66"/>
        <v>-8.2619205238771816</v>
      </c>
      <c r="L638">
        <f t="shared" si="67"/>
        <v>6.4062972322074705E-4</v>
      </c>
      <c r="O638">
        <f t="shared" si="68"/>
        <v>-8.2218141135670937</v>
      </c>
      <c r="P638">
        <f t="shared" si="69"/>
        <v>-9.5538076425716713E-6</v>
      </c>
    </row>
    <row r="639" spans="1:16" x14ac:dyDescent="0.25">
      <c r="A639" s="2">
        <v>31.85</v>
      </c>
      <c r="B639" s="1">
        <v>-0.41199999999999998</v>
      </c>
      <c r="C639">
        <v>7.0000000000000007E-2</v>
      </c>
      <c r="H639">
        <f t="shared" si="63"/>
        <v>31.85</v>
      </c>
      <c r="I639">
        <f t="shared" si="64"/>
        <v>-0.41199999999999998</v>
      </c>
      <c r="J639">
        <f t="shared" si="65"/>
        <v>4.7011139979357242E-2</v>
      </c>
      <c r="K639">
        <f t="shared" si="66"/>
        <v>-8.2619205238771816</v>
      </c>
      <c r="L639">
        <f t="shared" si="67"/>
        <v>6.2681519972476306E-4</v>
      </c>
      <c r="O639">
        <f t="shared" si="68"/>
        <v>-8.2218141135670937</v>
      </c>
      <c r="P639">
        <f t="shared" si="69"/>
        <v>-2.336833113855566E-5</v>
      </c>
    </row>
    <row r="640" spans="1:16" x14ac:dyDescent="0.25">
      <c r="A640" s="2">
        <v>31.9</v>
      </c>
      <c r="B640" s="1">
        <v>-0.433</v>
      </c>
      <c r="C640">
        <v>7.0999999999999994E-2</v>
      </c>
      <c r="H640">
        <f t="shared" si="63"/>
        <v>31.9</v>
      </c>
      <c r="I640">
        <f t="shared" si="64"/>
        <v>-0.433</v>
      </c>
      <c r="J640">
        <f t="shared" si="65"/>
        <v>4.7975050717158421E-2</v>
      </c>
      <c r="K640">
        <f t="shared" si="66"/>
        <v>-8.6830378321330581</v>
      </c>
      <c r="L640">
        <f t="shared" si="67"/>
        <v>6.3966734289544545E-4</v>
      </c>
      <c r="O640">
        <f t="shared" si="68"/>
        <v>-8.6429314218229703</v>
      </c>
      <c r="P640">
        <f t="shared" si="69"/>
        <v>-1.0516187967873273E-5</v>
      </c>
    </row>
    <row r="641" spans="1:16" x14ac:dyDescent="0.25">
      <c r="A641" s="2">
        <v>31.95</v>
      </c>
      <c r="B641" s="1">
        <v>-0.5</v>
      </c>
      <c r="C641">
        <v>7.0000000000000007E-2</v>
      </c>
      <c r="H641">
        <f t="shared" si="63"/>
        <v>31.95</v>
      </c>
      <c r="I641">
        <f t="shared" si="64"/>
        <v>-0.5</v>
      </c>
      <c r="J641">
        <f t="shared" si="65"/>
        <v>4.6938961454959613E-2</v>
      </c>
      <c r="K641">
        <f t="shared" si="66"/>
        <v>-10.026602577520853</v>
      </c>
      <c r="L641">
        <f t="shared" si="67"/>
        <v>6.2585281939946135E-4</v>
      </c>
      <c r="O641">
        <f t="shared" si="68"/>
        <v>-9.9864961672107651</v>
      </c>
      <c r="P641">
        <f t="shared" si="69"/>
        <v>-2.4330711463857371E-5</v>
      </c>
    </row>
    <row r="642" spans="1:16" x14ac:dyDescent="0.25">
      <c r="A642" s="2">
        <v>32</v>
      </c>
      <c r="B642" s="1">
        <v>-0.56999999999999995</v>
      </c>
      <c r="C642">
        <v>7.0999999999999994E-2</v>
      </c>
      <c r="H642">
        <f t="shared" si="63"/>
        <v>32</v>
      </c>
      <c r="I642">
        <f t="shared" si="64"/>
        <v>-0.56999999999999995</v>
      </c>
      <c r="J642">
        <f t="shared" si="65"/>
        <v>4.7902872192760793E-2</v>
      </c>
      <c r="K642">
        <f t="shared" si="66"/>
        <v>-11.430326938373771</v>
      </c>
      <c r="L642">
        <f t="shared" si="67"/>
        <v>6.3870496257014374E-4</v>
      </c>
      <c r="O642">
        <f t="shared" si="68"/>
        <v>-11.390220528063683</v>
      </c>
      <c r="P642">
        <f t="shared" si="69"/>
        <v>-1.1478568293174984E-5</v>
      </c>
    </row>
    <row r="643" spans="1:16" x14ac:dyDescent="0.25">
      <c r="A643" s="2">
        <v>32.049999999999997</v>
      </c>
      <c r="B643" s="1">
        <v>-0.64700000000000002</v>
      </c>
      <c r="C643">
        <v>7.0000000000000007E-2</v>
      </c>
      <c r="H643">
        <f t="shared" ref="H643:H706" si="70">A643</f>
        <v>32.049999999999997</v>
      </c>
      <c r="I643">
        <f t="shared" ref="I643:I706" si="71">B643</f>
        <v>-0.64700000000000002</v>
      </c>
      <c r="J643">
        <f t="shared" ref="J643:J706" si="72">C643-E$12*A643</f>
        <v>4.6866782930561998E-2</v>
      </c>
      <c r="K643">
        <f t="shared" ref="K643:K706" si="73">F$24*I643</f>
        <v>-12.974423735311984</v>
      </c>
      <c r="L643">
        <f t="shared" ref="L643:L706" si="74">F$25*J643</f>
        <v>6.2489043907415986E-4</v>
      </c>
      <c r="O643">
        <f t="shared" ref="O643:O706" si="75">K643-N$12</f>
        <v>-12.934317325001896</v>
      </c>
      <c r="P643">
        <f t="shared" ref="P643:P706" si="76">L643-N$15</f>
        <v>-2.5293091789158864E-5</v>
      </c>
    </row>
    <row r="644" spans="1:16" x14ac:dyDescent="0.25">
      <c r="A644" s="2">
        <v>32.1</v>
      </c>
      <c r="B644" s="1">
        <v>-0.70299999999999996</v>
      </c>
      <c r="C644">
        <v>7.0000000000000007E-2</v>
      </c>
      <c r="H644">
        <f t="shared" si="70"/>
        <v>32.1</v>
      </c>
      <c r="I644">
        <f t="shared" si="71"/>
        <v>-0.70299999999999996</v>
      </c>
      <c r="J644">
        <f t="shared" si="72"/>
        <v>4.6830693668363177E-2</v>
      </c>
      <c r="K644">
        <f t="shared" si="73"/>
        <v>-14.097403223994318</v>
      </c>
      <c r="L644">
        <f t="shared" si="74"/>
        <v>6.2440924891150895E-4</v>
      </c>
      <c r="O644">
        <f t="shared" si="75"/>
        <v>-14.05729681368423</v>
      </c>
      <c r="P644">
        <f t="shared" si="76"/>
        <v>-2.5774281951809774E-5</v>
      </c>
    </row>
    <row r="645" spans="1:16" x14ac:dyDescent="0.25">
      <c r="A645" s="2">
        <v>32.15</v>
      </c>
      <c r="B645" s="1">
        <v>-0.751</v>
      </c>
      <c r="C645">
        <v>6.9000000000000006E-2</v>
      </c>
      <c r="H645">
        <f t="shared" si="70"/>
        <v>32.15</v>
      </c>
      <c r="I645">
        <f t="shared" si="71"/>
        <v>-0.751</v>
      </c>
      <c r="J645">
        <f t="shared" si="72"/>
        <v>4.5794604406164369E-2</v>
      </c>
      <c r="K645">
        <f t="shared" si="73"/>
        <v>-15.059957071436321</v>
      </c>
      <c r="L645">
        <f t="shared" si="74"/>
        <v>6.1059472541552474E-4</v>
      </c>
      <c r="O645">
        <f t="shared" si="75"/>
        <v>-15.019850661126233</v>
      </c>
      <c r="P645">
        <f t="shared" si="76"/>
        <v>-3.9588805447793979E-5</v>
      </c>
    </row>
    <row r="646" spans="1:16" x14ac:dyDescent="0.25">
      <c r="A646" s="2">
        <v>32.200000000000003</v>
      </c>
      <c r="B646" s="1">
        <v>-0.79700000000000004</v>
      </c>
      <c r="C646">
        <v>7.0000000000000007E-2</v>
      </c>
      <c r="H646">
        <f t="shared" si="70"/>
        <v>32.200000000000003</v>
      </c>
      <c r="I646">
        <f t="shared" si="71"/>
        <v>-0.79700000000000004</v>
      </c>
      <c r="J646">
        <f t="shared" si="72"/>
        <v>4.6758515143965562E-2</v>
      </c>
      <c r="K646">
        <f t="shared" si="73"/>
        <v>-15.982404508568241</v>
      </c>
      <c r="L646">
        <f t="shared" si="74"/>
        <v>6.2344686858620735E-4</v>
      </c>
      <c r="O646">
        <f t="shared" si="75"/>
        <v>-15.942298098258153</v>
      </c>
      <c r="P646">
        <f t="shared" si="76"/>
        <v>-2.6736662277111376E-5</v>
      </c>
    </row>
    <row r="647" spans="1:16" x14ac:dyDescent="0.25">
      <c r="A647" s="2">
        <v>32.25</v>
      </c>
      <c r="B647" s="1">
        <v>-0.84599999999999997</v>
      </c>
      <c r="C647">
        <v>6.9000000000000006E-2</v>
      </c>
      <c r="H647">
        <f t="shared" si="70"/>
        <v>32.25</v>
      </c>
      <c r="I647">
        <f t="shared" si="71"/>
        <v>-0.84599999999999997</v>
      </c>
      <c r="J647">
        <f t="shared" si="72"/>
        <v>4.5722425881766747E-2</v>
      </c>
      <c r="K647">
        <f t="shared" si="73"/>
        <v>-16.965011561165284</v>
      </c>
      <c r="L647">
        <f t="shared" si="74"/>
        <v>6.0963234509022314E-4</v>
      </c>
      <c r="O647">
        <f t="shared" si="75"/>
        <v>-16.924905150855196</v>
      </c>
      <c r="P647">
        <f t="shared" si="76"/>
        <v>-4.0551185773095581E-5</v>
      </c>
    </row>
    <row r="648" spans="1:16" x14ac:dyDescent="0.25">
      <c r="A648" s="2">
        <v>32.299999999999997</v>
      </c>
      <c r="B648" s="1">
        <v>-0.85399999999999998</v>
      </c>
      <c r="C648">
        <v>7.0000000000000007E-2</v>
      </c>
      <c r="H648">
        <f t="shared" si="70"/>
        <v>32.299999999999997</v>
      </c>
      <c r="I648">
        <f t="shared" si="71"/>
        <v>-0.85399999999999998</v>
      </c>
      <c r="J648">
        <f t="shared" si="72"/>
        <v>4.6686336619567941E-2</v>
      </c>
      <c r="K648">
        <f t="shared" si="73"/>
        <v>-17.125437202405617</v>
      </c>
      <c r="L648">
        <f t="shared" si="74"/>
        <v>6.2248448826090574E-4</v>
      </c>
      <c r="O648">
        <f t="shared" si="75"/>
        <v>-17.08533079209553</v>
      </c>
      <c r="P648">
        <f t="shared" si="76"/>
        <v>-2.7699042602412978E-5</v>
      </c>
    </row>
    <row r="649" spans="1:16" x14ac:dyDescent="0.25">
      <c r="A649" s="2">
        <v>32.35</v>
      </c>
      <c r="B649" s="1">
        <v>-0.85099999999999998</v>
      </c>
      <c r="C649">
        <v>6.9000000000000006E-2</v>
      </c>
      <c r="H649">
        <f t="shared" si="70"/>
        <v>32.35</v>
      </c>
      <c r="I649">
        <f t="shared" si="71"/>
        <v>-0.85099999999999998</v>
      </c>
      <c r="J649">
        <f t="shared" si="72"/>
        <v>4.5650247357369125E-2</v>
      </c>
      <c r="K649">
        <f t="shared" si="73"/>
        <v>-17.065277586940493</v>
      </c>
      <c r="L649">
        <f t="shared" si="74"/>
        <v>6.0866996476492154E-4</v>
      </c>
      <c r="O649">
        <f t="shared" si="75"/>
        <v>-17.025171176630405</v>
      </c>
      <c r="P649">
        <f t="shared" si="76"/>
        <v>-4.1513566098397184E-5</v>
      </c>
    </row>
    <row r="650" spans="1:16" x14ac:dyDescent="0.25">
      <c r="A650" s="2">
        <v>32.4</v>
      </c>
      <c r="B650" s="1">
        <v>-0.85099999999999998</v>
      </c>
      <c r="C650">
        <v>6.9000000000000006E-2</v>
      </c>
      <c r="H650">
        <f t="shared" si="70"/>
        <v>32.4</v>
      </c>
      <c r="I650">
        <f t="shared" si="71"/>
        <v>-0.85099999999999998</v>
      </c>
      <c r="J650">
        <f t="shared" si="72"/>
        <v>4.5614158095170318E-2</v>
      </c>
      <c r="K650">
        <f t="shared" si="73"/>
        <v>-17.065277586940493</v>
      </c>
      <c r="L650">
        <f t="shared" si="74"/>
        <v>6.0818877460227074E-4</v>
      </c>
      <c r="O650">
        <f t="shared" si="75"/>
        <v>-17.025171176630405</v>
      </c>
      <c r="P650">
        <f t="shared" si="76"/>
        <v>-4.1994756261047985E-5</v>
      </c>
    </row>
    <row r="651" spans="1:16" x14ac:dyDescent="0.25">
      <c r="A651" s="2">
        <v>32.450000000000003</v>
      </c>
      <c r="B651" s="1">
        <v>-0.85099999999999998</v>
      </c>
      <c r="C651">
        <v>6.9000000000000006E-2</v>
      </c>
      <c r="H651">
        <f t="shared" si="70"/>
        <v>32.450000000000003</v>
      </c>
      <c r="I651">
        <f t="shared" si="71"/>
        <v>-0.85099999999999998</v>
      </c>
      <c r="J651">
        <f t="shared" si="72"/>
        <v>4.5578068832971497E-2</v>
      </c>
      <c r="K651">
        <f t="shared" si="73"/>
        <v>-17.065277586940493</v>
      </c>
      <c r="L651">
        <f t="shared" si="74"/>
        <v>6.0770758443961983E-4</v>
      </c>
      <c r="O651">
        <f t="shared" si="75"/>
        <v>-17.025171176630405</v>
      </c>
      <c r="P651">
        <f t="shared" si="76"/>
        <v>-4.2475946423698894E-5</v>
      </c>
    </row>
    <row r="652" spans="1:16" x14ac:dyDescent="0.25">
      <c r="A652" s="2">
        <v>32.5</v>
      </c>
      <c r="B652" s="1">
        <v>-0.85099999999999998</v>
      </c>
      <c r="C652">
        <v>7.0000000000000007E-2</v>
      </c>
      <c r="H652">
        <f t="shared" si="70"/>
        <v>32.5</v>
      </c>
      <c r="I652">
        <f t="shared" si="71"/>
        <v>-0.85099999999999998</v>
      </c>
      <c r="J652">
        <f t="shared" si="72"/>
        <v>4.654197957077269E-2</v>
      </c>
      <c r="K652">
        <f t="shared" si="73"/>
        <v>-17.065277586940493</v>
      </c>
      <c r="L652">
        <f t="shared" si="74"/>
        <v>6.2055972761030243E-4</v>
      </c>
      <c r="O652">
        <f t="shared" si="75"/>
        <v>-17.025171176630405</v>
      </c>
      <c r="P652">
        <f t="shared" si="76"/>
        <v>-2.9623803253016291E-5</v>
      </c>
    </row>
    <row r="653" spans="1:16" x14ac:dyDescent="0.25">
      <c r="A653" s="2">
        <v>32.549999999999997</v>
      </c>
      <c r="B653" s="1">
        <v>-0.85199999999999998</v>
      </c>
      <c r="C653">
        <v>6.9000000000000006E-2</v>
      </c>
      <c r="H653">
        <f t="shared" si="70"/>
        <v>32.549999999999997</v>
      </c>
      <c r="I653">
        <f t="shared" si="71"/>
        <v>-0.85199999999999998</v>
      </c>
      <c r="J653">
        <f t="shared" si="72"/>
        <v>4.5505890308573882E-2</v>
      </c>
      <c r="K653">
        <f t="shared" si="73"/>
        <v>-17.085330792095533</v>
      </c>
      <c r="L653">
        <f t="shared" si="74"/>
        <v>6.0674520411431833E-4</v>
      </c>
      <c r="O653">
        <f t="shared" si="75"/>
        <v>-17.045224381785445</v>
      </c>
      <c r="P653">
        <f t="shared" si="76"/>
        <v>-4.3438326749000388E-5</v>
      </c>
    </row>
    <row r="654" spans="1:16" x14ac:dyDescent="0.25">
      <c r="A654" s="2">
        <v>32.6</v>
      </c>
      <c r="B654" s="1">
        <v>-0.873</v>
      </c>
      <c r="C654">
        <v>7.0000000000000007E-2</v>
      </c>
      <c r="H654">
        <f t="shared" si="70"/>
        <v>32.6</v>
      </c>
      <c r="I654">
        <f t="shared" si="71"/>
        <v>-0.873</v>
      </c>
      <c r="J654">
        <f t="shared" si="72"/>
        <v>4.6469801046375069E-2</v>
      </c>
      <c r="K654">
        <f t="shared" si="73"/>
        <v>-17.50644810035141</v>
      </c>
      <c r="L654">
        <f t="shared" si="74"/>
        <v>6.1959734728500083E-4</v>
      </c>
      <c r="O654">
        <f t="shared" si="75"/>
        <v>-17.466341690041322</v>
      </c>
      <c r="P654">
        <f t="shared" si="76"/>
        <v>-3.0586183578317893E-5</v>
      </c>
    </row>
    <row r="655" spans="1:16" x14ac:dyDescent="0.25">
      <c r="A655" s="2">
        <v>32.65</v>
      </c>
      <c r="B655" s="1">
        <v>-0.95099999999999996</v>
      </c>
      <c r="C655">
        <v>6.9000000000000006E-2</v>
      </c>
      <c r="H655">
        <f t="shared" si="70"/>
        <v>32.65</v>
      </c>
      <c r="I655">
        <f t="shared" si="71"/>
        <v>-0.95099999999999996</v>
      </c>
      <c r="J655">
        <f t="shared" si="72"/>
        <v>4.543371178417626E-2</v>
      </c>
      <c r="K655">
        <f t="shared" si="73"/>
        <v>-19.070598102444663</v>
      </c>
      <c r="L655">
        <f t="shared" si="74"/>
        <v>6.0578282378901673E-4</v>
      </c>
      <c r="O655">
        <f t="shared" si="75"/>
        <v>-19.030491692134575</v>
      </c>
      <c r="P655">
        <f t="shared" si="76"/>
        <v>-4.440070707430199E-5</v>
      </c>
    </row>
    <row r="656" spans="1:16" x14ac:dyDescent="0.25">
      <c r="A656" s="2">
        <v>32.700000000000003</v>
      </c>
      <c r="B656" s="1">
        <v>-1.0069999999999999</v>
      </c>
      <c r="C656">
        <v>6.9000000000000006E-2</v>
      </c>
      <c r="H656">
        <f t="shared" si="70"/>
        <v>32.700000000000003</v>
      </c>
      <c r="I656">
        <f t="shared" si="71"/>
        <v>-1.0069999999999999</v>
      </c>
      <c r="J656">
        <f t="shared" si="72"/>
        <v>4.5397622521977446E-2</v>
      </c>
      <c r="K656">
        <f t="shared" si="73"/>
        <v>-20.193577591126996</v>
      </c>
      <c r="L656">
        <f t="shared" si="74"/>
        <v>6.0530163362636582E-4</v>
      </c>
      <c r="O656">
        <f t="shared" si="75"/>
        <v>-20.153471180816908</v>
      </c>
      <c r="P656">
        <f t="shared" si="76"/>
        <v>-4.48818972369529E-5</v>
      </c>
    </row>
    <row r="657" spans="1:16" x14ac:dyDescent="0.25">
      <c r="A657" s="2">
        <v>32.75</v>
      </c>
      <c r="B657" s="1">
        <v>-1.153</v>
      </c>
      <c r="C657">
        <v>6.9000000000000006E-2</v>
      </c>
      <c r="H657">
        <f t="shared" si="70"/>
        <v>32.75</v>
      </c>
      <c r="I657">
        <f t="shared" si="71"/>
        <v>-1.153</v>
      </c>
      <c r="J657">
        <f t="shared" si="72"/>
        <v>4.5361533259778639E-2</v>
      </c>
      <c r="K657">
        <f t="shared" si="73"/>
        <v>-23.121345543763088</v>
      </c>
      <c r="L657">
        <f t="shared" si="74"/>
        <v>6.0482044346371502E-4</v>
      </c>
      <c r="O657">
        <f t="shared" si="75"/>
        <v>-23.081239133453</v>
      </c>
      <c r="P657">
        <f t="shared" si="76"/>
        <v>-4.5363087399603701E-5</v>
      </c>
    </row>
    <row r="658" spans="1:16" x14ac:dyDescent="0.25">
      <c r="A658" s="2">
        <v>32.799999999999997</v>
      </c>
      <c r="B658" s="1">
        <v>-1.196</v>
      </c>
      <c r="C658">
        <v>6.9000000000000006E-2</v>
      </c>
      <c r="H658">
        <f t="shared" si="70"/>
        <v>32.799999999999997</v>
      </c>
      <c r="I658">
        <f t="shared" si="71"/>
        <v>-1.196</v>
      </c>
      <c r="J658">
        <f t="shared" si="72"/>
        <v>4.5325443997579831E-2</v>
      </c>
      <c r="K658">
        <f t="shared" si="73"/>
        <v>-23.983633365429878</v>
      </c>
      <c r="L658">
        <f t="shared" si="74"/>
        <v>6.0433925330106433E-4</v>
      </c>
      <c r="O658">
        <f t="shared" si="75"/>
        <v>-23.94352695511979</v>
      </c>
      <c r="P658">
        <f t="shared" si="76"/>
        <v>-4.5844277562254393E-5</v>
      </c>
    </row>
    <row r="659" spans="1:16" x14ac:dyDescent="0.25">
      <c r="A659" s="2">
        <v>32.85</v>
      </c>
      <c r="B659" s="1">
        <v>-1.204</v>
      </c>
      <c r="C659">
        <v>6.8000000000000005E-2</v>
      </c>
      <c r="H659">
        <f t="shared" si="70"/>
        <v>32.85</v>
      </c>
      <c r="I659">
        <f t="shared" si="71"/>
        <v>-1.204</v>
      </c>
      <c r="J659">
        <f t="shared" si="72"/>
        <v>4.4289354735381009E-2</v>
      </c>
      <c r="K659">
        <f t="shared" si="73"/>
        <v>-24.144059006670211</v>
      </c>
      <c r="L659">
        <f t="shared" si="74"/>
        <v>5.9052472980508002E-4</v>
      </c>
      <c r="O659">
        <f t="shared" si="75"/>
        <v>-24.103952596360124</v>
      </c>
      <c r="P659">
        <f t="shared" si="76"/>
        <v>-5.9658801058238707E-5</v>
      </c>
    </row>
    <row r="660" spans="1:16" x14ac:dyDescent="0.25">
      <c r="A660" s="2">
        <v>32.9</v>
      </c>
      <c r="B660" s="1">
        <v>-1.214</v>
      </c>
      <c r="C660">
        <v>6.9000000000000006E-2</v>
      </c>
      <c r="H660">
        <f t="shared" si="70"/>
        <v>32.9</v>
      </c>
      <c r="I660">
        <f t="shared" si="71"/>
        <v>-1.214</v>
      </c>
      <c r="J660">
        <f t="shared" si="72"/>
        <v>4.5253265473182203E-2</v>
      </c>
      <c r="K660">
        <f t="shared" si="73"/>
        <v>-24.34459105822063</v>
      </c>
      <c r="L660">
        <f t="shared" si="74"/>
        <v>6.0337687297576262E-4</v>
      </c>
      <c r="O660">
        <f t="shared" si="75"/>
        <v>-24.304484647910542</v>
      </c>
      <c r="P660">
        <f t="shared" si="76"/>
        <v>-4.6806657887556104E-5</v>
      </c>
    </row>
    <row r="661" spans="1:16" x14ac:dyDescent="0.25">
      <c r="A661" s="2">
        <v>32.950000000000003</v>
      </c>
      <c r="B661" s="1">
        <v>-1.216</v>
      </c>
      <c r="C661">
        <v>6.8000000000000005E-2</v>
      </c>
      <c r="H661">
        <f t="shared" si="70"/>
        <v>32.950000000000003</v>
      </c>
      <c r="I661">
        <f t="shared" si="71"/>
        <v>-1.216</v>
      </c>
      <c r="J661">
        <f t="shared" si="72"/>
        <v>4.4217176210983387E-2</v>
      </c>
      <c r="K661">
        <f t="shared" si="73"/>
        <v>-24.384697468530714</v>
      </c>
      <c r="L661">
        <f t="shared" si="74"/>
        <v>5.8956234947977841E-4</v>
      </c>
      <c r="O661">
        <f t="shared" si="75"/>
        <v>-24.344591058220626</v>
      </c>
      <c r="P661">
        <f t="shared" si="76"/>
        <v>-6.0621181383540309E-5</v>
      </c>
    </row>
    <row r="662" spans="1:16" x14ac:dyDescent="0.25">
      <c r="A662" s="2">
        <v>33</v>
      </c>
      <c r="B662" s="1">
        <v>-1.216</v>
      </c>
      <c r="C662">
        <v>6.8000000000000005E-2</v>
      </c>
      <c r="H662">
        <f t="shared" si="70"/>
        <v>33</v>
      </c>
      <c r="I662">
        <f t="shared" si="71"/>
        <v>-1.216</v>
      </c>
      <c r="J662">
        <f t="shared" si="72"/>
        <v>4.418108694878458E-2</v>
      </c>
      <c r="K662">
        <f t="shared" si="73"/>
        <v>-24.384697468530714</v>
      </c>
      <c r="L662">
        <f t="shared" si="74"/>
        <v>5.8908115931712761E-4</v>
      </c>
      <c r="O662">
        <f t="shared" si="75"/>
        <v>-24.344591058220626</v>
      </c>
      <c r="P662">
        <f t="shared" si="76"/>
        <v>-6.1102371546191111E-5</v>
      </c>
    </row>
    <row r="663" spans="1:16" x14ac:dyDescent="0.25">
      <c r="A663" s="2">
        <v>33.049999999999997</v>
      </c>
      <c r="B663" s="1">
        <v>-1.216</v>
      </c>
      <c r="C663">
        <v>6.8000000000000005E-2</v>
      </c>
      <c r="H663">
        <f t="shared" si="70"/>
        <v>33.049999999999997</v>
      </c>
      <c r="I663">
        <f t="shared" si="71"/>
        <v>-1.216</v>
      </c>
      <c r="J663">
        <f t="shared" si="72"/>
        <v>4.4144997686585766E-2</v>
      </c>
      <c r="K663">
        <f t="shared" si="73"/>
        <v>-24.384697468530714</v>
      </c>
      <c r="L663">
        <f t="shared" si="74"/>
        <v>5.8859996915447681E-4</v>
      </c>
      <c r="O663">
        <f t="shared" si="75"/>
        <v>-24.344591058220626</v>
      </c>
      <c r="P663">
        <f t="shared" si="76"/>
        <v>-6.1583561708841912E-5</v>
      </c>
    </row>
    <row r="664" spans="1:16" x14ac:dyDescent="0.25">
      <c r="A664" s="2">
        <v>33.1</v>
      </c>
      <c r="B664" s="1">
        <v>-1.216</v>
      </c>
      <c r="C664">
        <v>6.9000000000000006E-2</v>
      </c>
      <c r="H664">
        <f t="shared" si="70"/>
        <v>33.1</v>
      </c>
      <c r="I664">
        <f t="shared" si="71"/>
        <v>-1.216</v>
      </c>
      <c r="J664">
        <f t="shared" si="72"/>
        <v>4.5108908424386959E-2</v>
      </c>
      <c r="K664">
        <f t="shared" si="73"/>
        <v>-24.384697468530714</v>
      </c>
      <c r="L664">
        <f t="shared" si="74"/>
        <v>6.0145211232515931E-4</v>
      </c>
      <c r="O664">
        <f t="shared" si="75"/>
        <v>-24.344591058220626</v>
      </c>
      <c r="P664">
        <f t="shared" si="76"/>
        <v>-4.8731418538159417E-5</v>
      </c>
    </row>
    <row r="665" spans="1:16" x14ac:dyDescent="0.25">
      <c r="A665" s="2">
        <v>33.15</v>
      </c>
      <c r="B665" s="1">
        <v>-1.216</v>
      </c>
      <c r="C665">
        <v>6.8000000000000005E-2</v>
      </c>
      <c r="H665">
        <f t="shared" si="70"/>
        <v>33.15</v>
      </c>
      <c r="I665">
        <f t="shared" si="71"/>
        <v>-1.216</v>
      </c>
      <c r="J665">
        <f t="shared" si="72"/>
        <v>4.4072819162188151E-2</v>
      </c>
      <c r="K665">
        <f t="shared" si="73"/>
        <v>-24.384697468530714</v>
      </c>
      <c r="L665">
        <f t="shared" si="74"/>
        <v>5.8763758882917521E-4</v>
      </c>
      <c r="O665">
        <f t="shared" si="75"/>
        <v>-24.344591058220626</v>
      </c>
      <c r="P665">
        <f t="shared" si="76"/>
        <v>-6.2545942034143514E-5</v>
      </c>
    </row>
    <row r="666" spans="1:16" x14ac:dyDescent="0.25">
      <c r="A666" s="2">
        <v>33.200000000000003</v>
      </c>
      <c r="B666" s="1">
        <v>-1.2410000000000001</v>
      </c>
      <c r="C666">
        <v>6.9000000000000006E-2</v>
      </c>
      <c r="H666">
        <f t="shared" si="70"/>
        <v>33.200000000000003</v>
      </c>
      <c r="I666">
        <f t="shared" si="71"/>
        <v>-1.2410000000000001</v>
      </c>
      <c r="J666">
        <f t="shared" si="72"/>
        <v>4.5036729899989331E-2</v>
      </c>
      <c r="K666">
        <f t="shared" si="73"/>
        <v>-24.886027597406759</v>
      </c>
      <c r="L666">
        <f t="shared" si="74"/>
        <v>6.004897319998576E-4</v>
      </c>
      <c r="O666">
        <f t="shared" si="75"/>
        <v>-24.845921187096671</v>
      </c>
      <c r="P666">
        <f t="shared" si="76"/>
        <v>-4.9693798863461127E-5</v>
      </c>
    </row>
    <row r="667" spans="1:16" x14ac:dyDescent="0.25">
      <c r="A667" s="2">
        <v>33.25</v>
      </c>
      <c r="B667" s="1">
        <v>-1.294</v>
      </c>
      <c r="C667">
        <v>6.8000000000000005E-2</v>
      </c>
      <c r="H667">
        <f t="shared" si="70"/>
        <v>33.25</v>
      </c>
      <c r="I667">
        <f t="shared" si="71"/>
        <v>-1.294</v>
      </c>
      <c r="J667">
        <f t="shared" si="72"/>
        <v>4.4000640637790522E-2</v>
      </c>
      <c r="K667">
        <f t="shared" si="73"/>
        <v>-25.948847470623967</v>
      </c>
      <c r="L667">
        <f t="shared" si="74"/>
        <v>5.866752085038735E-4</v>
      </c>
      <c r="O667">
        <f t="shared" si="75"/>
        <v>-25.908741060313879</v>
      </c>
      <c r="P667">
        <f t="shared" si="76"/>
        <v>-6.3508322359445224E-5</v>
      </c>
    </row>
    <row r="668" spans="1:16" x14ac:dyDescent="0.25">
      <c r="A668" s="2">
        <v>33.299999999999997</v>
      </c>
      <c r="B668" s="1">
        <v>-1.3420000000000001</v>
      </c>
      <c r="C668">
        <v>6.9000000000000006E-2</v>
      </c>
      <c r="H668">
        <f t="shared" si="70"/>
        <v>33.299999999999997</v>
      </c>
      <c r="I668">
        <f t="shared" si="71"/>
        <v>-1.3420000000000001</v>
      </c>
      <c r="J668">
        <f t="shared" si="72"/>
        <v>4.4964551375591716E-2</v>
      </c>
      <c r="K668">
        <f t="shared" si="73"/>
        <v>-26.91140131806597</v>
      </c>
      <c r="L668">
        <f t="shared" si="74"/>
        <v>5.995273516745561E-4</v>
      </c>
      <c r="O668">
        <f t="shared" si="75"/>
        <v>-26.871294907755882</v>
      </c>
      <c r="P668">
        <f t="shared" si="76"/>
        <v>-5.0656179188762621E-5</v>
      </c>
    </row>
    <row r="669" spans="1:16" x14ac:dyDescent="0.25">
      <c r="A669" s="2">
        <v>33.35</v>
      </c>
      <c r="B669" s="1">
        <v>-1.4059999999999999</v>
      </c>
      <c r="C669">
        <v>6.8000000000000005E-2</v>
      </c>
      <c r="H669">
        <f t="shared" si="70"/>
        <v>33.35</v>
      </c>
      <c r="I669">
        <f t="shared" si="71"/>
        <v>-1.4059999999999999</v>
      </c>
      <c r="J669">
        <f t="shared" si="72"/>
        <v>4.3928462113392894E-2</v>
      </c>
      <c r="K669">
        <f t="shared" si="73"/>
        <v>-28.194806447988636</v>
      </c>
      <c r="L669">
        <f t="shared" si="74"/>
        <v>5.8571282817857179E-4</v>
      </c>
      <c r="O669">
        <f t="shared" si="75"/>
        <v>-28.154700037678548</v>
      </c>
      <c r="P669">
        <f t="shared" si="76"/>
        <v>-6.4470702684746935E-5</v>
      </c>
    </row>
    <row r="670" spans="1:16" x14ac:dyDescent="0.25">
      <c r="A670" s="2">
        <v>33.4</v>
      </c>
      <c r="B670" s="1">
        <v>-1.4970000000000001</v>
      </c>
      <c r="C670">
        <v>6.8000000000000005E-2</v>
      </c>
      <c r="H670">
        <f t="shared" si="70"/>
        <v>33.4</v>
      </c>
      <c r="I670">
        <f t="shared" si="71"/>
        <v>-1.4970000000000001</v>
      </c>
      <c r="J670">
        <f t="shared" si="72"/>
        <v>4.3892372851194086E-2</v>
      </c>
      <c r="K670">
        <f t="shared" si="73"/>
        <v>-30.019648117097436</v>
      </c>
      <c r="L670">
        <f t="shared" si="74"/>
        <v>5.8523163801592099E-4</v>
      </c>
      <c r="O670">
        <f t="shared" si="75"/>
        <v>-29.979541706787348</v>
      </c>
      <c r="P670">
        <f t="shared" si="76"/>
        <v>-6.4951892847397736E-5</v>
      </c>
    </row>
    <row r="671" spans="1:16" x14ac:dyDescent="0.25">
      <c r="A671" s="2">
        <v>33.450000000000003</v>
      </c>
      <c r="B671" s="1">
        <v>-1.5669999999999999</v>
      </c>
      <c r="C671">
        <v>6.7000000000000004E-2</v>
      </c>
      <c r="H671">
        <f t="shared" si="70"/>
        <v>33.450000000000003</v>
      </c>
      <c r="I671">
        <f t="shared" si="71"/>
        <v>-1.5669999999999999</v>
      </c>
      <c r="J671">
        <f t="shared" si="72"/>
        <v>4.2856283588995278E-2</v>
      </c>
      <c r="K671">
        <f t="shared" si="73"/>
        <v>-31.423372477950352</v>
      </c>
      <c r="L671">
        <f t="shared" si="74"/>
        <v>5.7141711451993689E-4</v>
      </c>
      <c r="O671">
        <f t="shared" si="75"/>
        <v>-31.383266067640264</v>
      </c>
      <c r="P671">
        <f t="shared" si="76"/>
        <v>-7.8766416343381833E-5</v>
      </c>
    </row>
    <row r="672" spans="1:16" x14ac:dyDescent="0.25">
      <c r="A672" s="2">
        <v>33.5</v>
      </c>
      <c r="B672" s="1">
        <v>-1.609</v>
      </c>
      <c r="C672">
        <v>6.8000000000000005E-2</v>
      </c>
      <c r="H672">
        <f t="shared" si="70"/>
        <v>33.5</v>
      </c>
      <c r="I672">
        <f t="shared" si="71"/>
        <v>-1.609</v>
      </c>
      <c r="J672">
        <f t="shared" si="72"/>
        <v>4.3820194326796465E-2</v>
      </c>
      <c r="K672">
        <f t="shared" si="73"/>
        <v>-32.265607094462105</v>
      </c>
      <c r="L672">
        <f t="shared" si="74"/>
        <v>5.8426925769061938E-4</v>
      </c>
      <c r="O672">
        <f t="shared" si="75"/>
        <v>-32.225500684152017</v>
      </c>
      <c r="P672">
        <f t="shared" si="76"/>
        <v>-6.5914273172699338E-5</v>
      </c>
    </row>
    <row r="673" spans="1:16" x14ac:dyDescent="0.25">
      <c r="A673" s="2">
        <v>33.549999999999997</v>
      </c>
      <c r="B673" s="1">
        <v>-1.615</v>
      </c>
      <c r="C673">
        <v>6.7000000000000004E-2</v>
      </c>
      <c r="H673">
        <f t="shared" si="70"/>
        <v>33.549999999999997</v>
      </c>
      <c r="I673">
        <f t="shared" si="71"/>
        <v>-1.615</v>
      </c>
      <c r="J673">
        <f t="shared" si="72"/>
        <v>4.2784105064597656E-2</v>
      </c>
      <c r="K673">
        <f t="shared" si="73"/>
        <v>-32.385926325392354</v>
      </c>
      <c r="L673">
        <f t="shared" si="74"/>
        <v>5.7045473419463529E-4</v>
      </c>
      <c r="O673">
        <f t="shared" si="75"/>
        <v>-32.345819915082267</v>
      </c>
      <c r="P673">
        <f t="shared" si="76"/>
        <v>-7.9728796668683435E-5</v>
      </c>
    </row>
    <row r="674" spans="1:16" x14ac:dyDescent="0.25">
      <c r="A674" s="2">
        <v>33.6</v>
      </c>
      <c r="B674" s="1">
        <v>-1.613</v>
      </c>
      <c r="C674">
        <v>6.8000000000000005E-2</v>
      </c>
      <c r="H674">
        <f t="shared" si="70"/>
        <v>33.6</v>
      </c>
      <c r="I674">
        <f t="shared" si="71"/>
        <v>-1.613</v>
      </c>
      <c r="J674">
        <f t="shared" si="72"/>
        <v>4.3748015802398843E-2</v>
      </c>
      <c r="K674">
        <f t="shared" si="73"/>
        <v>-32.345819915082274</v>
      </c>
      <c r="L674">
        <f t="shared" si="74"/>
        <v>5.8330687736531778E-4</v>
      </c>
      <c r="O674">
        <f t="shared" si="75"/>
        <v>-32.305713504772186</v>
      </c>
      <c r="P674">
        <f t="shared" si="76"/>
        <v>-6.687665349800094E-5</v>
      </c>
    </row>
    <row r="675" spans="1:16" x14ac:dyDescent="0.25">
      <c r="A675" s="2">
        <v>33.65</v>
      </c>
      <c r="B675" s="1">
        <v>-1.613</v>
      </c>
      <c r="C675">
        <v>6.7000000000000004E-2</v>
      </c>
      <c r="H675">
        <f t="shared" si="70"/>
        <v>33.65</v>
      </c>
      <c r="I675">
        <f t="shared" si="71"/>
        <v>-1.613</v>
      </c>
      <c r="J675">
        <f t="shared" si="72"/>
        <v>4.2711926540200035E-2</v>
      </c>
      <c r="K675">
        <f t="shared" si="73"/>
        <v>-32.345819915082274</v>
      </c>
      <c r="L675">
        <f t="shared" si="74"/>
        <v>5.6949235386933369E-4</v>
      </c>
      <c r="O675">
        <f t="shared" si="75"/>
        <v>-32.305713504772186</v>
      </c>
      <c r="P675">
        <f t="shared" si="76"/>
        <v>-8.0691176993985037E-5</v>
      </c>
    </row>
    <row r="676" spans="1:16" x14ac:dyDescent="0.25">
      <c r="A676" s="2">
        <v>33.700000000000003</v>
      </c>
      <c r="B676" s="1">
        <v>-1.613</v>
      </c>
      <c r="C676">
        <v>6.8000000000000005E-2</v>
      </c>
      <c r="H676">
        <f t="shared" si="70"/>
        <v>33.700000000000003</v>
      </c>
      <c r="I676">
        <f t="shared" si="71"/>
        <v>-1.613</v>
      </c>
      <c r="J676">
        <f t="shared" si="72"/>
        <v>4.3675837278001214E-2</v>
      </c>
      <c r="K676">
        <f t="shared" si="73"/>
        <v>-32.345819915082274</v>
      </c>
      <c r="L676">
        <f t="shared" si="74"/>
        <v>5.8234449704001607E-4</v>
      </c>
      <c r="O676">
        <f t="shared" si="75"/>
        <v>-32.305713504772186</v>
      </c>
      <c r="P676">
        <f t="shared" si="76"/>
        <v>-6.7839033823302651E-5</v>
      </c>
    </row>
    <row r="677" spans="1:16" x14ac:dyDescent="0.25">
      <c r="A677" s="2">
        <v>33.75</v>
      </c>
      <c r="B677" s="1">
        <v>-1.613</v>
      </c>
      <c r="C677">
        <v>6.7000000000000004E-2</v>
      </c>
      <c r="H677">
        <f t="shared" si="70"/>
        <v>33.75</v>
      </c>
      <c r="I677">
        <f t="shared" si="71"/>
        <v>-1.613</v>
      </c>
      <c r="J677">
        <f t="shared" si="72"/>
        <v>4.2639748015802406E-2</v>
      </c>
      <c r="K677">
        <f t="shared" si="73"/>
        <v>-32.345819915082274</v>
      </c>
      <c r="L677">
        <f t="shared" si="74"/>
        <v>5.6852997354403197E-4</v>
      </c>
      <c r="O677">
        <f t="shared" si="75"/>
        <v>-32.305713504772186</v>
      </c>
      <c r="P677">
        <f t="shared" si="76"/>
        <v>-8.1653557319286748E-5</v>
      </c>
    </row>
    <row r="678" spans="1:16" x14ac:dyDescent="0.25">
      <c r="A678" s="2">
        <v>33.799999999999997</v>
      </c>
      <c r="B678" s="1">
        <v>-1.613</v>
      </c>
      <c r="C678">
        <v>6.8000000000000005E-2</v>
      </c>
      <c r="H678">
        <f t="shared" si="70"/>
        <v>33.799999999999997</v>
      </c>
      <c r="I678">
        <f t="shared" si="71"/>
        <v>-1.613</v>
      </c>
      <c r="J678">
        <f t="shared" si="72"/>
        <v>4.36036587536036E-2</v>
      </c>
      <c r="K678">
        <f t="shared" si="73"/>
        <v>-32.345819915082274</v>
      </c>
      <c r="L678">
        <f t="shared" si="74"/>
        <v>5.8138211671471458E-4</v>
      </c>
      <c r="O678">
        <f t="shared" si="75"/>
        <v>-32.305713504772186</v>
      </c>
      <c r="P678">
        <f t="shared" si="76"/>
        <v>-6.8801414148604145E-5</v>
      </c>
    </row>
    <row r="679" spans="1:16" x14ac:dyDescent="0.25">
      <c r="A679" s="2">
        <v>33.85</v>
      </c>
      <c r="B679" s="1">
        <v>-1.647</v>
      </c>
      <c r="C679">
        <v>6.7000000000000004E-2</v>
      </c>
      <c r="H679">
        <f t="shared" si="70"/>
        <v>33.85</v>
      </c>
      <c r="I679">
        <f t="shared" si="71"/>
        <v>-1.647</v>
      </c>
      <c r="J679">
        <f t="shared" si="72"/>
        <v>4.2567569491404784E-2</v>
      </c>
      <c r="K679">
        <f t="shared" si="73"/>
        <v>-33.027628890353689</v>
      </c>
      <c r="L679">
        <f t="shared" si="74"/>
        <v>5.6756759321873037E-4</v>
      </c>
      <c r="O679">
        <f t="shared" si="75"/>
        <v>-32.987522480043602</v>
      </c>
      <c r="P679">
        <f t="shared" si="76"/>
        <v>-8.261593764458835E-5</v>
      </c>
    </row>
    <row r="680" spans="1:16" x14ac:dyDescent="0.25">
      <c r="A680" s="2">
        <v>33.9</v>
      </c>
      <c r="B680" s="1">
        <v>-1.7210000000000001</v>
      </c>
      <c r="C680">
        <v>6.8000000000000005E-2</v>
      </c>
      <c r="H680">
        <f t="shared" si="70"/>
        <v>33.9</v>
      </c>
      <c r="I680">
        <f t="shared" si="71"/>
        <v>-1.7210000000000001</v>
      </c>
      <c r="J680">
        <f t="shared" si="72"/>
        <v>4.3531480229205978E-2</v>
      </c>
      <c r="K680">
        <f t="shared" si="73"/>
        <v>-34.511566071826778</v>
      </c>
      <c r="L680">
        <f t="shared" si="74"/>
        <v>5.8041973638941298E-4</v>
      </c>
      <c r="O680">
        <f t="shared" si="75"/>
        <v>-34.47145966151669</v>
      </c>
      <c r="P680">
        <f t="shared" si="76"/>
        <v>-6.9763794473905747E-5</v>
      </c>
    </row>
    <row r="681" spans="1:16" x14ac:dyDescent="0.25">
      <c r="A681" s="2">
        <v>33.950000000000003</v>
      </c>
      <c r="B681" s="1">
        <v>-1.786</v>
      </c>
      <c r="C681">
        <v>6.7000000000000004E-2</v>
      </c>
      <c r="H681">
        <f t="shared" si="70"/>
        <v>33.950000000000003</v>
      </c>
      <c r="I681">
        <f t="shared" si="71"/>
        <v>-1.786</v>
      </c>
      <c r="J681">
        <f t="shared" si="72"/>
        <v>4.2495390967007163E-2</v>
      </c>
      <c r="K681">
        <f t="shared" si="73"/>
        <v>-35.815024406904485</v>
      </c>
      <c r="L681">
        <f t="shared" si="74"/>
        <v>5.6660521289342877E-4</v>
      </c>
      <c r="O681">
        <f t="shared" si="75"/>
        <v>-35.774917996594397</v>
      </c>
      <c r="P681">
        <f t="shared" si="76"/>
        <v>-8.3578317969889952E-5</v>
      </c>
    </row>
    <row r="682" spans="1:16" x14ac:dyDescent="0.25">
      <c r="A682" s="2">
        <v>34</v>
      </c>
      <c r="B682" s="1">
        <v>-1.855</v>
      </c>
      <c r="C682">
        <v>6.7000000000000004E-2</v>
      </c>
      <c r="H682">
        <f t="shared" si="70"/>
        <v>34</v>
      </c>
      <c r="I682">
        <f t="shared" si="71"/>
        <v>-1.855</v>
      </c>
      <c r="J682">
        <f t="shared" si="72"/>
        <v>4.2459301704808355E-2</v>
      </c>
      <c r="K682">
        <f t="shared" si="73"/>
        <v>-37.198695562602367</v>
      </c>
      <c r="L682">
        <f t="shared" si="74"/>
        <v>5.6612402273077797E-4</v>
      </c>
      <c r="O682">
        <f t="shared" si="75"/>
        <v>-37.158589152292279</v>
      </c>
      <c r="P682">
        <f t="shared" si="76"/>
        <v>-8.4059508132540753E-5</v>
      </c>
    </row>
    <row r="683" spans="1:16" x14ac:dyDescent="0.25">
      <c r="A683" s="2">
        <v>34.049999999999997</v>
      </c>
      <c r="B683" s="1">
        <v>-1.9610000000000001</v>
      </c>
      <c r="C683">
        <v>6.7000000000000004E-2</v>
      </c>
      <c r="H683">
        <f t="shared" si="70"/>
        <v>34.049999999999997</v>
      </c>
      <c r="I683">
        <f t="shared" si="71"/>
        <v>-1.9610000000000001</v>
      </c>
      <c r="J683">
        <f t="shared" si="72"/>
        <v>4.2423212442609548E-2</v>
      </c>
      <c r="K683">
        <f t="shared" si="73"/>
        <v>-39.324335309036783</v>
      </c>
      <c r="L683">
        <f t="shared" si="74"/>
        <v>5.6564283256812717E-4</v>
      </c>
      <c r="O683">
        <f t="shared" si="75"/>
        <v>-39.284228898726695</v>
      </c>
      <c r="P683">
        <f t="shared" si="76"/>
        <v>-8.4540698295191554E-5</v>
      </c>
    </row>
    <row r="684" spans="1:16" x14ac:dyDescent="0.25">
      <c r="A684" s="2">
        <v>34.1</v>
      </c>
      <c r="B684" s="1">
        <v>-2.0489999999999999</v>
      </c>
      <c r="C684">
        <v>6.7000000000000004E-2</v>
      </c>
      <c r="H684">
        <f t="shared" si="70"/>
        <v>34.1</v>
      </c>
      <c r="I684">
        <f t="shared" si="71"/>
        <v>-2.0489999999999999</v>
      </c>
      <c r="J684">
        <f t="shared" si="72"/>
        <v>4.2387123180410727E-2</v>
      </c>
      <c r="K684">
        <f t="shared" si="73"/>
        <v>-41.089017362680451</v>
      </c>
      <c r="L684">
        <f t="shared" si="74"/>
        <v>5.6516164240547626E-4</v>
      </c>
      <c r="O684">
        <f t="shared" si="75"/>
        <v>-41.048910952370363</v>
      </c>
      <c r="P684">
        <f t="shared" si="76"/>
        <v>-8.5021888457842464E-5</v>
      </c>
    </row>
    <row r="685" spans="1:16" x14ac:dyDescent="0.25">
      <c r="A685" s="2">
        <v>34.15</v>
      </c>
      <c r="B685" s="1">
        <v>-2.0920000000000001</v>
      </c>
      <c r="C685">
        <v>6.6000000000000003E-2</v>
      </c>
      <c r="H685">
        <f t="shared" si="70"/>
        <v>34.15</v>
      </c>
      <c r="I685">
        <f t="shared" si="71"/>
        <v>-2.0920000000000001</v>
      </c>
      <c r="J685">
        <f t="shared" si="72"/>
        <v>4.1351033918211919E-2</v>
      </c>
      <c r="K685">
        <f t="shared" si="73"/>
        <v>-41.951305184347248</v>
      </c>
      <c r="L685">
        <f t="shared" si="74"/>
        <v>5.5134711890949216E-4</v>
      </c>
      <c r="O685">
        <f t="shared" si="75"/>
        <v>-41.91119877403716</v>
      </c>
      <c r="P685">
        <f t="shared" si="76"/>
        <v>-9.8836411953826561E-5</v>
      </c>
    </row>
    <row r="686" spans="1:16" x14ac:dyDescent="0.25">
      <c r="A686" s="2">
        <v>34.200000000000003</v>
      </c>
      <c r="B686" s="1">
        <v>-2.1579999999999999</v>
      </c>
      <c r="C686">
        <v>6.7000000000000004E-2</v>
      </c>
      <c r="H686">
        <f t="shared" si="70"/>
        <v>34.200000000000003</v>
      </c>
      <c r="I686">
        <f t="shared" si="71"/>
        <v>-2.1579999999999999</v>
      </c>
      <c r="J686">
        <f t="shared" si="72"/>
        <v>4.2314944656013105E-2</v>
      </c>
      <c r="K686">
        <f t="shared" si="73"/>
        <v>-43.274816724579999</v>
      </c>
      <c r="L686">
        <f t="shared" si="74"/>
        <v>5.6419926208017466E-4</v>
      </c>
      <c r="O686">
        <f t="shared" si="75"/>
        <v>-43.234710314269911</v>
      </c>
      <c r="P686">
        <f t="shared" si="76"/>
        <v>-8.5984268783144066E-5</v>
      </c>
    </row>
    <row r="687" spans="1:16" x14ac:dyDescent="0.25">
      <c r="A687" s="2">
        <v>34.25</v>
      </c>
      <c r="B687" s="1">
        <v>-2.1720000000000002</v>
      </c>
      <c r="C687">
        <v>6.6000000000000003E-2</v>
      </c>
      <c r="H687">
        <f t="shared" si="70"/>
        <v>34.25</v>
      </c>
      <c r="I687">
        <f t="shared" si="71"/>
        <v>-2.1720000000000002</v>
      </c>
      <c r="J687">
        <f t="shared" si="72"/>
        <v>4.1278855393814297E-2</v>
      </c>
      <c r="K687">
        <f t="shared" si="73"/>
        <v>-43.555561596750586</v>
      </c>
      <c r="L687">
        <f t="shared" si="74"/>
        <v>5.5038473858419056E-4</v>
      </c>
      <c r="O687">
        <f t="shared" si="75"/>
        <v>-43.515455186440498</v>
      </c>
      <c r="P687">
        <f t="shared" si="76"/>
        <v>-9.9798792279128163E-5</v>
      </c>
    </row>
    <row r="688" spans="1:16" x14ac:dyDescent="0.25">
      <c r="A688" s="2">
        <v>34.299999999999997</v>
      </c>
      <c r="B688" s="1">
        <v>-2.1709999999999998</v>
      </c>
      <c r="C688">
        <v>6.6000000000000003E-2</v>
      </c>
      <c r="H688">
        <f t="shared" si="70"/>
        <v>34.299999999999997</v>
      </c>
      <c r="I688">
        <f t="shared" si="71"/>
        <v>-2.1709999999999998</v>
      </c>
      <c r="J688">
        <f t="shared" si="72"/>
        <v>4.1242766131615483E-2</v>
      </c>
      <c r="K688">
        <f t="shared" si="73"/>
        <v>-43.535508391595542</v>
      </c>
      <c r="L688">
        <f t="shared" si="74"/>
        <v>5.4990354842153965E-4</v>
      </c>
      <c r="O688">
        <f t="shared" si="75"/>
        <v>-43.495401981285454</v>
      </c>
      <c r="P688">
        <f t="shared" si="76"/>
        <v>-1.0027998244177907E-4</v>
      </c>
    </row>
    <row r="689" spans="1:16" x14ac:dyDescent="0.25">
      <c r="A689" s="2">
        <v>34.35</v>
      </c>
      <c r="B689" s="1">
        <v>-2.1709999999999998</v>
      </c>
      <c r="C689">
        <v>6.6000000000000003E-2</v>
      </c>
      <c r="H689">
        <f t="shared" si="70"/>
        <v>34.35</v>
      </c>
      <c r="I689">
        <f t="shared" si="71"/>
        <v>-2.1709999999999998</v>
      </c>
      <c r="J689">
        <f t="shared" si="72"/>
        <v>4.1206676869416675E-2</v>
      </c>
      <c r="K689">
        <f t="shared" si="73"/>
        <v>-43.535508391595542</v>
      </c>
      <c r="L689">
        <f t="shared" si="74"/>
        <v>5.4942235825888885E-4</v>
      </c>
      <c r="O689">
        <f t="shared" si="75"/>
        <v>-43.495401981285454</v>
      </c>
      <c r="P689">
        <f t="shared" si="76"/>
        <v>-1.0076117260442987E-4</v>
      </c>
    </row>
    <row r="690" spans="1:16" x14ac:dyDescent="0.25">
      <c r="A690" s="2">
        <v>34.4</v>
      </c>
      <c r="B690" s="1">
        <v>-2.1720000000000002</v>
      </c>
      <c r="C690">
        <v>6.6000000000000003E-2</v>
      </c>
      <c r="H690">
        <f t="shared" si="70"/>
        <v>34.4</v>
      </c>
      <c r="I690">
        <f t="shared" si="71"/>
        <v>-2.1720000000000002</v>
      </c>
      <c r="J690">
        <f t="shared" si="72"/>
        <v>4.1170587607217868E-2</v>
      </c>
      <c r="K690">
        <f t="shared" si="73"/>
        <v>-43.555561596750586</v>
      </c>
      <c r="L690">
        <f t="shared" si="74"/>
        <v>5.4894116809623816E-4</v>
      </c>
      <c r="O690">
        <f t="shared" si="75"/>
        <v>-43.515455186440498</v>
      </c>
      <c r="P690">
        <f t="shared" si="76"/>
        <v>-1.0124236276708057E-4</v>
      </c>
    </row>
    <row r="691" spans="1:16" x14ac:dyDescent="0.25">
      <c r="A691" s="2">
        <v>34.450000000000003</v>
      </c>
      <c r="B691" s="1">
        <v>-2.1760000000000002</v>
      </c>
      <c r="C691">
        <v>6.6000000000000003E-2</v>
      </c>
      <c r="H691">
        <f t="shared" si="70"/>
        <v>34.450000000000003</v>
      </c>
      <c r="I691">
        <f t="shared" si="71"/>
        <v>-2.1760000000000002</v>
      </c>
      <c r="J691">
        <f t="shared" si="72"/>
        <v>4.1134498345019047E-2</v>
      </c>
      <c r="K691">
        <f t="shared" si="73"/>
        <v>-43.635774417370754</v>
      </c>
      <c r="L691">
        <f t="shared" si="74"/>
        <v>5.4845997793358714E-4</v>
      </c>
      <c r="O691">
        <f t="shared" si="75"/>
        <v>-43.595668007060667</v>
      </c>
      <c r="P691">
        <f t="shared" si="76"/>
        <v>-1.0172355292973158E-4</v>
      </c>
    </row>
    <row r="692" spans="1:16" x14ac:dyDescent="0.25">
      <c r="A692" s="2">
        <v>34.5</v>
      </c>
      <c r="B692" s="1">
        <v>-2.258</v>
      </c>
      <c r="C692">
        <v>6.6000000000000003E-2</v>
      </c>
      <c r="H692">
        <f t="shared" si="70"/>
        <v>34.5</v>
      </c>
      <c r="I692">
        <f t="shared" si="71"/>
        <v>-2.258</v>
      </c>
      <c r="J692">
        <f t="shared" si="72"/>
        <v>4.1098409082820239E-2</v>
      </c>
      <c r="K692">
        <f t="shared" si="73"/>
        <v>-45.280137240084173</v>
      </c>
      <c r="L692">
        <f t="shared" si="74"/>
        <v>5.4797878777093645E-4</v>
      </c>
      <c r="O692">
        <f t="shared" si="75"/>
        <v>-45.240030829774085</v>
      </c>
      <c r="P692">
        <f t="shared" si="76"/>
        <v>-1.0220474309238228E-4</v>
      </c>
    </row>
    <row r="693" spans="1:16" x14ac:dyDescent="0.25">
      <c r="A693" s="2">
        <v>34.549999999999997</v>
      </c>
      <c r="B693" s="1">
        <v>-2.3959999999999999</v>
      </c>
      <c r="C693">
        <v>6.5000000000000002E-2</v>
      </c>
      <c r="H693">
        <f t="shared" si="70"/>
        <v>34.549999999999997</v>
      </c>
      <c r="I693">
        <f t="shared" si="71"/>
        <v>-2.3959999999999999</v>
      </c>
      <c r="J693">
        <f t="shared" si="72"/>
        <v>4.0062319820621431E-2</v>
      </c>
      <c r="K693">
        <f t="shared" si="73"/>
        <v>-48.047479551479924</v>
      </c>
      <c r="L693">
        <f t="shared" si="74"/>
        <v>5.3416426427495235E-4</v>
      </c>
      <c r="O693">
        <f t="shared" si="75"/>
        <v>-48.007373141169836</v>
      </c>
      <c r="P693">
        <f t="shared" si="76"/>
        <v>-1.1601926658836637E-4</v>
      </c>
    </row>
    <row r="694" spans="1:16" x14ac:dyDescent="0.25">
      <c r="A694" s="2">
        <v>34.6</v>
      </c>
      <c r="B694" s="1">
        <v>-2.5880000000000001</v>
      </c>
      <c r="C694">
        <v>6.5000000000000002E-2</v>
      </c>
      <c r="H694">
        <f t="shared" si="70"/>
        <v>34.6</v>
      </c>
      <c r="I694">
        <f t="shared" si="71"/>
        <v>-2.5880000000000001</v>
      </c>
      <c r="J694">
        <f t="shared" si="72"/>
        <v>4.0026230558422617E-2</v>
      </c>
      <c r="K694">
        <f t="shared" si="73"/>
        <v>-51.897694941247934</v>
      </c>
      <c r="L694">
        <f t="shared" si="74"/>
        <v>5.3368307411230144E-4</v>
      </c>
      <c r="O694">
        <f t="shared" si="75"/>
        <v>-51.857588530937846</v>
      </c>
      <c r="P694">
        <f t="shared" si="76"/>
        <v>-1.1650045675101728E-4</v>
      </c>
    </row>
    <row r="695" spans="1:16" x14ac:dyDescent="0.25">
      <c r="A695" s="2">
        <v>34.65</v>
      </c>
      <c r="B695" s="1">
        <v>-2.6419999999999999</v>
      </c>
      <c r="C695">
        <v>6.4000000000000001E-2</v>
      </c>
      <c r="H695">
        <f t="shared" si="70"/>
        <v>34.65</v>
      </c>
      <c r="I695">
        <f t="shared" si="71"/>
        <v>-2.6419999999999999</v>
      </c>
      <c r="J695">
        <f t="shared" si="72"/>
        <v>3.8990141296223801E-2</v>
      </c>
      <c r="K695">
        <f t="shared" si="73"/>
        <v>-52.980568019620186</v>
      </c>
      <c r="L695">
        <f t="shared" si="74"/>
        <v>5.1986855061631723E-4</v>
      </c>
      <c r="O695">
        <f t="shared" si="75"/>
        <v>-52.940461609310098</v>
      </c>
      <c r="P695">
        <f t="shared" si="76"/>
        <v>-1.3031498024700149E-4</v>
      </c>
    </row>
    <row r="696" spans="1:16" x14ac:dyDescent="0.25">
      <c r="A696" s="2">
        <v>34.700000000000003</v>
      </c>
      <c r="B696" s="1">
        <v>-2.6720000000000002</v>
      </c>
      <c r="C696">
        <v>6.5000000000000002E-2</v>
      </c>
      <c r="H696">
        <f t="shared" si="70"/>
        <v>34.700000000000003</v>
      </c>
      <c r="I696">
        <f t="shared" si="71"/>
        <v>-2.6720000000000002</v>
      </c>
      <c r="J696">
        <f t="shared" si="72"/>
        <v>3.9954052034024995E-2</v>
      </c>
      <c r="K696">
        <f t="shared" si="73"/>
        <v>-53.582164174271441</v>
      </c>
      <c r="L696">
        <f t="shared" si="74"/>
        <v>5.3272069378699984E-4</v>
      </c>
      <c r="O696">
        <f t="shared" si="75"/>
        <v>-53.542057763961353</v>
      </c>
      <c r="P696">
        <f t="shared" si="76"/>
        <v>-1.1746283707631889E-4</v>
      </c>
    </row>
    <row r="697" spans="1:16" x14ac:dyDescent="0.25">
      <c r="A697" s="2">
        <v>34.75</v>
      </c>
      <c r="B697" s="1">
        <v>-2.6970000000000001</v>
      </c>
      <c r="C697">
        <v>6.4000000000000001E-2</v>
      </c>
      <c r="H697">
        <f t="shared" si="70"/>
        <v>34.75</v>
      </c>
      <c r="I697">
        <f t="shared" si="71"/>
        <v>-2.6970000000000001</v>
      </c>
      <c r="J697">
        <f t="shared" si="72"/>
        <v>3.891796277182618E-2</v>
      </c>
      <c r="K697">
        <f t="shared" si="73"/>
        <v>-54.083494303147482</v>
      </c>
      <c r="L697">
        <f t="shared" si="74"/>
        <v>5.1890617029101563E-4</v>
      </c>
      <c r="O697">
        <f t="shared" si="75"/>
        <v>-54.043387892837394</v>
      </c>
      <c r="P697">
        <f t="shared" si="76"/>
        <v>-1.3127736057230309E-4</v>
      </c>
    </row>
    <row r="698" spans="1:16" x14ac:dyDescent="0.25">
      <c r="A698" s="2">
        <v>34.799999999999997</v>
      </c>
      <c r="B698" s="1">
        <v>-2.7120000000000002</v>
      </c>
      <c r="C698">
        <v>6.5000000000000002E-2</v>
      </c>
      <c r="H698">
        <f t="shared" si="70"/>
        <v>34.799999999999997</v>
      </c>
      <c r="I698">
        <f t="shared" si="71"/>
        <v>-2.7120000000000002</v>
      </c>
      <c r="J698">
        <f t="shared" si="72"/>
        <v>3.9881873509627373E-2</v>
      </c>
      <c r="K698">
        <f t="shared" si="73"/>
        <v>-54.384292380473113</v>
      </c>
      <c r="L698">
        <f t="shared" si="74"/>
        <v>5.3175831346169824E-4</v>
      </c>
      <c r="O698">
        <f t="shared" si="75"/>
        <v>-54.344185970163025</v>
      </c>
      <c r="P698">
        <f t="shared" si="76"/>
        <v>-1.1842521740162049E-4</v>
      </c>
    </row>
    <row r="699" spans="1:16" x14ac:dyDescent="0.25">
      <c r="A699" s="2">
        <v>34.85</v>
      </c>
      <c r="B699" s="1">
        <v>-2.7120000000000002</v>
      </c>
      <c r="C699">
        <v>6.4000000000000001E-2</v>
      </c>
      <c r="H699">
        <f t="shared" si="70"/>
        <v>34.85</v>
      </c>
      <c r="I699">
        <f t="shared" si="71"/>
        <v>-2.7120000000000002</v>
      </c>
      <c r="J699">
        <f t="shared" si="72"/>
        <v>3.8845784247428558E-2</v>
      </c>
      <c r="K699">
        <f t="shared" si="73"/>
        <v>-54.384292380473113</v>
      </c>
      <c r="L699">
        <f t="shared" si="74"/>
        <v>5.1794378996571403E-4</v>
      </c>
      <c r="O699">
        <f t="shared" si="75"/>
        <v>-54.344185970163025</v>
      </c>
      <c r="P699">
        <f t="shared" si="76"/>
        <v>-1.3223974089760469E-4</v>
      </c>
    </row>
    <row r="700" spans="1:16" x14ac:dyDescent="0.25">
      <c r="A700" s="2">
        <v>34.9</v>
      </c>
      <c r="B700" s="1">
        <v>-2.7120000000000002</v>
      </c>
      <c r="C700">
        <v>6.5000000000000002E-2</v>
      </c>
      <c r="H700">
        <f t="shared" si="70"/>
        <v>34.9</v>
      </c>
      <c r="I700">
        <f t="shared" si="71"/>
        <v>-2.7120000000000002</v>
      </c>
      <c r="J700">
        <f t="shared" si="72"/>
        <v>3.9809694985229752E-2</v>
      </c>
      <c r="K700">
        <f t="shared" si="73"/>
        <v>-54.384292380473113</v>
      </c>
      <c r="L700">
        <f t="shared" si="74"/>
        <v>5.3079593313639663E-4</v>
      </c>
      <c r="O700">
        <f t="shared" si="75"/>
        <v>-54.344185970163025</v>
      </c>
      <c r="P700">
        <f t="shared" si="76"/>
        <v>-1.1938759772692209E-4</v>
      </c>
    </row>
    <row r="701" spans="1:16" x14ac:dyDescent="0.25">
      <c r="A701" s="2">
        <v>34.950000000000003</v>
      </c>
      <c r="B701" s="1">
        <v>-2.7120000000000002</v>
      </c>
      <c r="C701">
        <v>6.4000000000000001E-2</v>
      </c>
      <c r="H701">
        <f t="shared" si="70"/>
        <v>34.950000000000003</v>
      </c>
      <c r="I701">
        <f t="shared" si="71"/>
        <v>-2.7120000000000002</v>
      </c>
      <c r="J701">
        <f t="shared" si="72"/>
        <v>3.8773605723030929E-2</v>
      </c>
      <c r="K701">
        <f t="shared" si="73"/>
        <v>-54.384292380473113</v>
      </c>
      <c r="L701">
        <f t="shared" si="74"/>
        <v>5.1698140964041232E-4</v>
      </c>
      <c r="O701">
        <f t="shared" si="75"/>
        <v>-54.344185970163025</v>
      </c>
      <c r="P701">
        <f t="shared" si="76"/>
        <v>-1.332021212229064E-4</v>
      </c>
    </row>
    <row r="702" spans="1:16" x14ac:dyDescent="0.25">
      <c r="A702" s="2">
        <v>35</v>
      </c>
      <c r="B702" s="1">
        <v>-2.7120000000000002</v>
      </c>
      <c r="C702">
        <v>6.5000000000000002E-2</v>
      </c>
      <c r="H702">
        <f t="shared" si="70"/>
        <v>35</v>
      </c>
      <c r="I702">
        <f t="shared" si="71"/>
        <v>-2.7120000000000002</v>
      </c>
      <c r="J702">
        <f t="shared" si="72"/>
        <v>3.9737516460832123E-2</v>
      </c>
      <c r="K702">
        <f t="shared" si="73"/>
        <v>-54.384292380473113</v>
      </c>
      <c r="L702">
        <f t="shared" si="74"/>
        <v>5.2983355281109492E-4</v>
      </c>
      <c r="O702">
        <f t="shared" si="75"/>
        <v>-54.344185970163025</v>
      </c>
      <c r="P702">
        <f t="shared" si="76"/>
        <v>-1.203499780522238E-4</v>
      </c>
    </row>
    <row r="703" spans="1:16" x14ac:dyDescent="0.25">
      <c r="A703" s="2">
        <v>35.049999999999997</v>
      </c>
      <c r="B703" s="1">
        <v>-2.7229999999999999</v>
      </c>
      <c r="C703">
        <v>6.4000000000000001E-2</v>
      </c>
      <c r="H703">
        <f t="shared" si="70"/>
        <v>35.049999999999997</v>
      </c>
      <c r="I703">
        <f t="shared" si="71"/>
        <v>-2.7229999999999999</v>
      </c>
      <c r="J703">
        <f t="shared" si="72"/>
        <v>3.8701427198633315E-2</v>
      </c>
      <c r="K703">
        <f t="shared" si="73"/>
        <v>-54.604877637178561</v>
      </c>
      <c r="L703">
        <f t="shared" si="74"/>
        <v>5.1601902931511072E-4</v>
      </c>
      <c r="O703">
        <f t="shared" si="75"/>
        <v>-54.564771226868473</v>
      </c>
      <c r="P703">
        <f t="shared" si="76"/>
        <v>-1.3416450154820801E-4</v>
      </c>
    </row>
    <row r="704" spans="1:16" x14ac:dyDescent="0.25">
      <c r="A704" s="2">
        <v>35.1</v>
      </c>
      <c r="B704" s="1">
        <v>-2.8380000000000001</v>
      </c>
      <c r="C704">
        <v>6.5000000000000002E-2</v>
      </c>
      <c r="H704">
        <f t="shared" si="70"/>
        <v>35.1</v>
      </c>
      <c r="I704">
        <f t="shared" si="71"/>
        <v>-2.8380000000000001</v>
      </c>
      <c r="J704">
        <f t="shared" si="72"/>
        <v>3.9665337936434501E-2</v>
      </c>
      <c r="K704">
        <f t="shared" si="73"/>
        <v>-56.910996230008365</v>
      </c>
      <c r="L704">
        <f t="shared" si="74"/>
        <v>5.2887117248579321E-4</v>
      </c>
      <c r="O704">
        <f t="shared" si="75"/>
        <v>-56.870889819698277</v>
      </c>
      <c r="P704">
        <f t="shared" si="76"/>
        <v>-1.2131235837752551E-4</v>
      </c>
    </row>
    <row r="705" spans="1:16" x14ac:dyDescent="0.25">
      <c r="A705" s="2">
        <v>35.15</v>
      </c>
      <c r="B705" s="1">
        <v>-2.9740000000000002</v>
      </c>
      <c r="C705">
        <v>6.4000000000000001E-2</v>
      </c>
      <c r="H705">
        <f t="shared" si="70"/>
        <v>35.15</v>
      </c>
      <c r="I705">
        <f t="shared" si="71"/>
        <v>-2.9740000000000002</v>
      </c>
      <c r="J705">
        <f t="shared" si="72"/>
        <v>3.8629248674235693E-2</v>
      </c>
      <c r="K705">
        <f t="shared" si="73"/>
        <v>-59.638232131094036</v>
      </c>
      <c r="L705">
        <f t="shared" si="74"/>
        <v>5.1505664898980911E-4</v>
      </c>
      <c r="O705">
        <f t="shared" si="75"/>
        <v>-59.598125720783948</v>
      </c>
      <c r="P705">
        <f t="shared" si="76"/>
        <v>-1.3512688187350961E-4</v>
      </c>
    </row>
    <row r="706" spans="1:16" x14ac:dyDescent="0.25">
      <c r="A706" s="2">
        <v>35.200000000000003</v>
      </c>
      <c r="B706" s="1">
        <v>-3.0529999999999999</v>
      </c>
      <c r="C706">
        <v>6.4000000000000001E-2</v>
      </c>
      <c r="H706">
        <f t="shared" si="70"/>
        <v>35.200000000000003</v>
      </c>
      <c r="I706">
        <f t="shared" si="71"/>
        <v>-3.0529999999999999</v>
      </c>
      <c r="J706">
        <f t="shared" si="72"/>
        <v>3.8593159412036879E-2</v>
      </c>
      <c r="K706">
        <f t="shared" si="73"/>
        <v>-61.222435338342329</v>
      </c>
      <c r="L706">
        <f t="shared" si="74"/>
        <v>5.1457545882715831E-4</v>
      </c>
      <c r="O706">
        <f t="shared" si="75"/>
        <v>-61.182328928032241</v>
      </c>
      <c r="P706">
        <f t="shared" si="76"/>
        <v>-1.3560807203616041E-4</v>
      </c>
    </row>
    <row r="707" spans="1:16" x14ac:dyDescent="0.25">
      <c r="A707" s="2">
        <v>35.25</v>
      </c>
      <c r="B707" s="1">
        <v>-3.1160000000000001</v>
      </c>
      <c r="C707">
        <v>6.3E-2</v>
      </c>
      <c r="H707">
        <f t="shared" ref="H707:H770" si="77">A707</f>
        <v>35.25</v>
      </c>
      <c r="I707">
        <f t="shared" ref="I707:I770" si="78">B707</f>
        <v>-3.1160000000000001</v>
      </c>
      <c r="J707">
        <f t="shared" ref="J707:J770" si="79">C707-E$12*A707</f>
        <v>3.755707014983807E-2</v>
      </c>
      <c r="K707">
        <f t="shared" ref="K707:K770" si="80">F$24*I707</f>
        <v>-62.485787263109955</v>
      </c>
      <c r="L707">
        <f t="shared" ref="L707:L770" si="81">F$25*J707</f>
        <v>5.0076093533117422E-4</v>
      </c>
      <c r="O707">
        <f t="shared" ref="O707:O770" si="82">K707-N$12</f>
        <v>-62.445680852799867</v>
      </c>
      <c r="P707">
        <f t="shared" ref="P707:P770" si="83">L707-N$15</f>
        <v>-1.4942259553214451E-4</v>
      </c>
    </row>
    <row r="708" spans="1:16" x14ac:dyDescent="0.25">
      <c r="A708" s="2">
        <v>35.299999999999997</v>
      </c>
      <c r="B708" s="1">
        <v>-3.2160000000000002</v>
      </c>
      <c r="C708">
        <v>6.3E-2</v>
      </c>
      <c r="H708">
        <f t="shared" si="77"/>
        <v>35.299999999999997</v>
      </c>
      <c r="I708">
        <f t="shared" si="78"/>
        <v>-3.2160000000000002</v>
      </c>
      <c r="J708">
        <f t="shared" si="79"/>
        <v>3.7520980887639263E-2</v>
      </c>
      <c r="K708">
        <f t="shared" si="80"/>
        <v>-64.491107778614136</v>
      </c>
      <c r="L708">
        <f t="shared" si="81"/>
        <v>5.0027974516852342E-4</v>
      </c>
      <c r="O708">
        <f t="shared" si="82"/>
        <v>-64.451001368304048</v>
      </c>
      <c r="P708">
        <f t="shared" si="83"/>
        <v>-1.4990378569479531E-4</v>
      </c>
    </row>
    <row r="709" spans="1:16" x14ac:dyDescent="0.25">
      <c r="A709" s="2">
        <v>35.35</v>
      </c>
      <c r="B709" s="1">
        <v>-3.282</v>
      </c>
      <c r="C709">
        <v>6.3E-2</v>
      </c>
      <c r="H709">
        <f t="shared" si="77"/>
        <v>35.35</v>
      </c>
      <c r="I709">
        <f t="shared" si="78"/>
        <v>-3.282</v>
      </c>
      <c r="J709">
        <f t="shared" si="79"/>
        <v>3.7484891625440442E-2</v>
      </c>
      <c r="K709">
        <f t="shared" si="80"/>
        <v>-65.81461931884688</v>
      </c>
      <c r="L709">
        <f t="shared" si="81"/>
        <v>4.9979855500587251E-4</v>
      </c>
      <c r="O709">
        <f t="shared" si="82"/>
        <v>-65.774512908536792</v>
      </c>
      <c r="P709">
        <f t="shared" si="83"/>
        <v>-1.5038497585744622E-4</v>
      </c>
    </row>
    <row r="710" spans="1:16" x14ac:dyDescent="0.25">
      <c r="A710" s="2">
        <v>35.4</v>
      </c>
      <c r="B710" s="1">
        <v>-3.2869999999999999</v>
      </c>
      <c r="C710">
        <v>6.3E-2</v>
      </c>
      <c r="H710">
        <f t="shared" si="77"/>
        <v>35.4</v>
      </c>
      <c r="I710">
        <f t="shared" si="78"/>
        <v>-3.2869999999999999</v>
      </c>
      <c r="J710">
        <f t="shared" si="79"/>
        <v>3.7448802363241634E-2</v>
      </c>
      <c r="K710">
        <f t="shared" si="80"/>
        <v>-65.914885344622093</v>
      </c>
      <c r="L710">
        <f t="shared" si="81"/>
        <v>4.993173648432217E-4</v>
      </c>
      <c r="O710">
        <f t="shared" si="82"/>
        <v>-65.874778934312005</v>
      </c>
      <c r="P710">
        <f t="shared" si="83"/>
        <v>-1.5086616602009702E-4</v>
      </c>
    </row>
    <row r="711" spans="1:16" x14ac:dyDescent="0.25">
      <c r="A711" s="2">
        <v>35.450000000000003</v>
      </c>
      <c r="B711" s="1">
        <v>-3.286</v>
      </c>
      <c r="C711">
        <v>6.3E-2</v>
      </c>
      <c r="H711">
        <f t="shared" si="77"/>
        <v>35.450000000000003</v>
      </c>
      <c r="I711">
        <f t="shared" si="78"/>
        <v>-3.286</v>
      </c>
      <c r="J711">
        <f t="shared" si="79"/>
        <v>3.741271310104282E-2</v>
      </c>
      <c r="K711">
        <f t="shared" si="80"/>
        <v>-65.894832139467042</v>
      </c>
      <c r="L711">
        <f t="shared" si="81"/>
        <v>4.988361746805708E-4</v>
      </c>
      <c r="O711">
        <f t="shared" si="82"/>
        <v>-65.854725729156954</v>
      </c>
      <c r="P711">
        <f t="shared" si="83"/>
        <v>-1.5134735618274793E-4</v>
      </c>
    </row>
    <row r="712" spans="1:16" x14ac:dyDescent="0.25">
      <c r="A712" s="2">
        <v>35.5</v>
      </c>
      <c r="B712" s="1">
        <v>-3.286</v>
      </c>
      <c r="C712">
        <v>6.3E-2</v>
      </c>
      <c r="H712">
        <f t="shared" si="77"/>
        <v>35.5</v>
      </c>
      <c r="I712">
        <f t="shared" si="78"/>
        <v>-3.286</v>
      </c>
      <c r="J712">
        <f t="shared" si="79"/>
        <v>3.7376623838844013E-2</v>
      </c>
      <c r="K712">
        <f t="shared" si="80"/>
        <v>-65.894832139467042</v>
      </c>
      <c r="L712">
        <f t="shared" si="81"/>
        <v>4.983549845179201E-4</v>
      </c>
      <c r="O712">
        <f t="shared" si="82"/>
        <v>-65.854725729156954</v>
      </c>
      <c r="P712">
        <f t="shared" si="83"/>
        <v>-1.5182854634539862E-4</v>
      </c>
    </row>
    <row r="713" spans="1:16" x14ac:dyDescent="0.25">
      <c r="A713" s="2">
        <v>35.549999999999997</v>
      </c>
      <c r="B713" s="1">
        <v>-3.286</v>
      </c>
      <c r="C713">
        <v>6.3E-2</v>
      </c>
      <c r="H713">
        <f t="shared" si="77"/>
        <v>35.549999999999997</v>
      </c>
      <c r="I713">
        <f t="shared" si="78"/>
        <v>-3.286</v>
      </c>
      <c r="J713">
        <f t="shared" si="79"/>
        <v>3.7340534576645198E-2</v>
      </c>
      <c r="K713">
        <f t="shared" si="80"/>
        <v>-65.894832139467042</v>
      </c>
      <c r="L713">
        <f t="shared" si="81"/>
        <v>4.9787379435526919E-4</v>
      </c>
      <c r="O713">
        <f t="shared" si="82"/>
        <v>-65.854725729156954</v>
      </c>
      <c r="P713">
        <f t="shared" si="83"/>
        <v>-1.5230973650804953E-4</v>
      </c>
    </row>
    <row r="714" spans="1:16" x14ac:dyDescent="0.25">
      <c r="A714" s="2">
        <v>35.6</v>
      </c>
      <c r="B714" s="1">
        <v>-3.286</v>
      </c>
      <c r="C714">
        <v>6.4000000000000001E-2</v>
      </c>
      <c r="H714">
        <f t="shared" si="77"/>
        <v>35.6</v>
      </c>
      <c r="I714">
        <f t="shared" si="78"/>
        <v>-3.286</v>
      </c>
      <c r="J714">
        <f t="shared" si="79"/>
        <v>3.8304445314446392E-2</v>
      </c>
      <c r="K714">
        <f t="shared" si="80"/>
        <v>-65.894832139467042</v>
      </c>
      <c r="L714">
        <f t="shared" si="81"/>
        <v>5.107259375259518E-4</v>
      </c>
      <c r="O714">
        <f t="shared" si="82"/>
        <v>-65.854725729156954</v>
      </c>
      <c r="P714">
        <f t="shared" si="83"/>
        <v>-1.3945759333736693E-4</v>
      </c>
    </row>
    <row r="715" spans="1:16" x14ac:dyDescent="0.25">
      <c r="A715" s="2">
        <v>35.65</v>
      </c>
      <c r="B715" s="1">
        <v>-3.294</v>
      </c>
      <c r="C715">
        <v>6.3E-2</v>
      </c>
      <c r="H715">
        <f t="shared" si="77"/>
        <v>35.65</v>
      </c>
      <c r="I715">
        <f t="shared" si="78"/>
        <v>-3.294</v>
      </c>
      <c r="J715">
        <f t="shared" si="79"/>
        <v>3.7268356052247584E-2</v>
      </c>
      <c r="K715">
        <f t="shared" si="80"/>
        <v>-66.055257780707379</v>
      </c>
      <c r="L715">
        <f t="shared" si="81"/>
        <v>4.969114140299677E-4</v>
      </c>
      <c r="O715">
        <f t="shared" si="82"/>
        <v>-66.015151370397291</v>
      </c>
      <c r="P715">
        <f t="shared" si="83"/>
        <v>-1.5327211683335102E-4</v>
      </c>
    </row>
    <row r="716" spans="1:16" x14ac:dyDescent="0.25">
      <c r="A716" s="2">
        <v>35.700000000000003</v>
      </c>
      <c r="B716" s="1">
        <v>-3.41</v>
      </c>
      <c r="C716">
        <v>6.3E-2</v>
      </c>
      <c r="H716">
        <f t="shared" si="77"/>
        <v>35.700000000000003</v>
      </c>
      <c r="I716">
        <f t="shared" si="78"/>
        <v>-3.41</v>
      </c>
      <c r="J716">
        <f t="shared" si="79"/>
        <v>3.7232266790048762E-2</v>
      </c>
      <c r="K716">
        <f t="shared" si="80"/>
        <v>-68.38142957869222</v>
      </c>
      <c r="L716">
        <f t="shared" si="81"/>
        <v>4.9643022386731679E-4</v>
      </c>
      <c r="O716">
        <f t="shared" si="82"/>
        <v>-68.341323168382132</v>
      </c>
      <c r="P716">
        <f t="shared" si="83"/>
        <v>-1.5375330699600193E-4</v>
      </c>
    </row>
    <row r="717" spans="1:16" x14ac:dyDescent="0.25">
      <c r="A717" s="2">
        <v>35.75</v>
      </c>
      <c r="B717" s="1">
        <v>-3.5219999999999998</v>
      </c>
      <c r="C717">
        <v>6.2E-2</v>
      </c>
      <c r="H717">
        <f t="shared" si="77"/>
        <v>35.75</v>
      </c>
      <c r="I717">
        <f t="shared" si="78"/>
        <v>-3.5219999999999998</v>
      </c>
      <c r="J717">
        <f t="shared" si="79"/>
        <v>3.6196177527849954E-2</v>
      </c>
      <c r="K717">
        <f t="shared" si="80"/>
        <v>-70.627388556056886</v>
      </c>
      <c r="L717">
        <f t="shared" si="81"/>
        <v>4.8261570037133264E-4</v>
      </c>
      <c r="O717">
        <f t="shared" si="82"/>
        <v>-70.587282145746798</v>
      </c>
      <c r="P717">
        <f t="shared" si="83"/>
        <v>-1.6756783049198608E-4</v>
      </c>
    </row>
    <row r="718" spans="1:16" x14ac:dyDescent="0.25">
      <c r="A718" s="2">
        <v>35.799999999999997</v>
      </c>
      <c r="B718" s="1">
        <v>-3.5960000000000001</v>
      </c>
      <c r="C718">
        <v>6.2E-2</v>
      </c>
      <c r="H718">
        <f t="shared" si="77"/>
        <v>35.799999999999997</v>
      </c>
      <c r="I718">
        <f t="shared" si="78"/>
        <v>-3.5960000000000001</v>
      </c>
      <c r="J718">
        <f t="shared" si="79"/>
        <v>3.6160088265651147E-2</v>
      </c>
      <c r="K718">
        <f t="shared" si="80"/>
        <v>-72.111325737529981</v>
      </c>
      <c r="L718">
        <f t="shared" si="81"/>
        <v>4.8213451020868184E-4</v>
      </c>
      <c r="O718">
        <f t="shared" si="82"/>
        <v>-72.071219327219893</v>
      </c>
      <c r="P718">
        <f t="shared" si="83"/>
        <v>-1.6804902065463689E-4</v>
      </c>
    </row>
    <row r="719" spans="1:16" x14ac:dyDescent="0.25">
      <c r="A719" s="2">
        <v>35.85</v>
      </c>
      <c r="B719" s="1">
        <v>-3.6349999999999998</v>
      </c>
      <c r="C719">
        <v>6.2E-2</v>
      </c>
      <c r="H719">
        <f t="shared" si="77"/>
        <v>35.85</v>
      </c>
      <c r="I719">
        <f t="shared" si="78"/>
        <v>-3.6349999999999998</v>
      </c>
      <c r="J719">
        <f t="shared" si="79"/>
        <v>3.6123999003452333E-2</v>
      </c>
      <c r="K719">
        <f t="shared" si="80"/>
        <v>-72.893400738576602</v>
      </c>
      <c r="L719">
        <f t="shared" si="81"/>
        <v>4.8165332004603098E-4</v>
      </c>
      <c r="O719">
        <f t="shared" si="82"/>
        <v>-72.853294328266514</v>
      </c>
      <c r="P719">
        <f t="shared" si="83"/>
        <v>-1.6853021081728774E-4</v>
      </c>
    </row>
    <row r="720" spans="1:16" x14ac:dyDescent="0.25">
      <c r="A720" s="2">
        <v>35.9</v>
      </c>
      <c r="B720" s="1">
        <v>-3.698</v>
      </c>
      <c r="C720">
        <v>6.2E-2</v>
      </c>
      <c r="H720">
        <f t="shared" si="77"/>
        <v>35.9</v>
      </c>
      <c r="I720">
        <f t="shared" si="78"/>
        <v>-3.698</v>
      </c>
      <c r="J720">
        <f t="shared" si="79"/>
        <v>3.6087909741253518E-2</v>
      </c>
      <c r="K720">
        <f t="shared" si="80"/>
        <v>-74.156752663344221</v>
      </c>
      <c r="L720">
        <f t="shared" si="81"/>
        <v>4.8117212988338013E-4</v>
      </c>
      <c r="O720">
        <f t="shared" si="82"/>
        <v>-74.116646253034133</v>
      </c>
      <c r="P720">
        <f t="shared" si="83"/>
        <v>-1.690114009799386E-4</v>
      </c>
    </row>
    <row r="721" spans="1:16" x14ac:dyDescent="0.25">
      <c r="A721" s="2">
        <v>35.950000000000003</v>
      </c>
      <c r="B721" s="1">
        <v>-3.7149999999999999</v>
      </c>
      <c r="C721">
        <v>6.2E-2</v>
      </c>
      <c r="H721">
        <f t="shared" si="77"/>
        <v>35.950000000000003</v>
      </c>
      <c r="I721">
        <f t="shared" si="78"/>
        <v>-3.7149999999999999</v>
      </c>
      <c r="J721">
        <f t="shared" si="79"/>
        <v>3.6051820479054711E-2</v>
      </c>
      <c r="K721">
        <f t="shared" si="80"/>
        <v>-74.497657150979933</v>
      </c>
      <c r="L721">
        <f t="shared" si="81"/>
        <v>4.8069093972072938E-4</v>
      </c>
      <c r="O721">
        <f t="shared" si="82"/>
        <v>-74.457550740669845</v>
      </c>
      <c r="P721">
        <f t="shared" si="83"/>
        <v>-1.6949259114258934E-4</v>
      </c>
    </row>
    <row r="722" spans="1:16" x14ac:dyDescent="0.25">
      <c r="A722" s="2">
        <v>36</v>
      </c>
      <c r="B722" s="1">
        <v>-3.7149999999999999</v>
      </c>
      <c r="C722">
        <v>6.2E-2</v>
      </c>
      <c r="H722">
        <f t="shared" si="77"/>
        <v>36</v>
      </c>
      <c r="I722">
        <f t="shared" si="78"/>
        <v>-3.7149999999999999</v>
      </c>
      <c r="J722">
        <f t="shared" si="79"/>
        <v>3.6015731216855897E-2</v>
      </c>
      <c r="K722">
        <f t="shared" si="80"/>
        <v>-74.497657150979933</v>
      </c>
      <c r="L722">
        <f t="shared" si="81"/>
        <v>4.8020974955807852E-4</v>
      </c>
      <c r="O722">
        <f t="shared" si="82"/>
        <v>-74.457550740669845</v>
      </c>
      <c r="P722">
        <f t="shared" si="83"/>
        <v>-1.699737813052402E-4</v>
      </c>
    </row>
    <row r="723" spans="1:16" x14ac:dyDescent="0.25">
      <c r="A723" s="2">
        <v>36.049999999999997</v>
      </c>
      <c r="B723" s="1">
        <v>-3.7160000000000002</v>
      </c>
      <c r="C723">
        <v>6.2E-2</v>
      </c>
      <c r="H723">
        <f t="shared" si="77"/>
        <v>36.049999999999997</v>
      </c>
      <c r="I723">
        <f t="shared" si="78"/>
        <v>-3.7160000000000002</v>
      </c>
      <c r="J723">
        <f t="shared" si="79"/>
        <v>3.5979641954657089E-2</v>
      </c>
      <c r="K723">
        <f t="shared" si="80"/>
        <v>-74.517710356134984</v>
      </c>
      <c r="L723">
        <f t="shared" si="81"/>
        <v>4.7972855939542778E-4</v>
      </c>
      <c r="O723">
        <f t="shared" si="82"/>
        <v>-74.477603945824896</v>
      </c>
      <c r="P723">
        <f t="shared" si="83"/>
        <v>-1.7045497146789095E-4</v>
      </c>
    </row>
    <row r="724" spans="1:16" x14ac:dyDescent="0.25">
      <c r="A724" s="2">
        <v>36.1</v>
      </c>
      <c r="B724" s="1">
        <v>-3.7149999999999999</v>
      </c>
      <c r="C724">
        <v>6.2E-2</v>
      </c>
      <c r="H724">
        <f t="shared" si="77"/>
        <v>36.1</v>
      </c>
      <c r="I724">
        <f t="shared" si="78"/>
        <v>-3.7149999999999999</v>
      </c>
      <c r="J724">
        <f t="shared" si="79"/>
        <v>3.5943552692458275E-2</v>
      </c>
      <c r="K724">
        <f t="shared" si="80"/>
        <v>-74.497657150979933</v>
      </c>
      <c r="L724">
        <f t="shared" si="81"/>
        <v>4.7924736923277692E-4</v>
      </c>
      <c r="O724">
        <f t="shared" si="82"/>
        <v>-74.457550740669845</v>
      </c>
      <c r="P724">
        <f t="shared" si="83"/>
        <v>-1.709361616305418E-4</v>
      </c>
    </row>
    <row r="725" spans="1:16" x14ac:dyDescent="0.25">
      <c r="A725" s="2">
        <v>36.15</v>
      </c>
      <c r="B725" s="1">
        <v>-3.7149999999999999</v>
      </c>
      <c r="C725">
        <v>6.2E-2</v>
      </c>
      <c r="H725">
        <f t="shared" si="77"/>
        <v>36.15</v>
      </c>
      <c r="I725">
        <f t="shared" si="78"/>
        <v>-3.7149999999999999</v>
      </c>
      <c r="J725">
        <f t="shared" si="79"/>
        <v>3.5907463430259468E-2</v>
      </c>
      <c r="K725">
        <f t="shared" si="80"/>
        <v>-74.497657150979933</v>
      </c>
      <c r="L725">
        <f t="shared" si="81"/>
        <v>4.7876617907012612E-4</v>
      </c>
      <c r="O725">
        <f t="shared" si="82"/>
        <v>-74.457550740669845</v>
      </c>
      <c r="P725">
        <f t="shared" si="83"/>
        <v>-1.714173517931926E-4</v>
      </c>
    </row>
    <row r="726" spans="1:16" x14ac:dyDescent="0.25">
      <c r="A726" s="2">
        <v>36.200000000000003</v>
      </c>
      <c r="B726" s="1">
        <v>-3.7149999999999999</v>
      </c>
      <c r="C726">
        <v>6.2E-2</v>
      </c>
      <c r="H726">
        <f t="shared" si="77"/>
        <v>36.200000000000003</v>
      </c>
      <c r="I726">
        <f t="shared" si="78"/>
        <v>-3.7149999999999999</v>
      </c>
      <c r="J726">
        <f t="shared" si="79"/>
        <v>3.5871374168060646E-2</v>
      </c>
      <c r="K726">
        <f t="shared" si="80"/>
        <v>-74.497657150979933</v>
      </c>
      <c r="L726">
        <f t="shared" si="81"/>
        <v>4.7828498890747521E-4</v>
      </c>
      <c r="O726">
        <f t="shared" si="82"/>
        <v>-74.457550740669845</v>
      </c>
      <c r="P726">
        <f t="shared" si="83"/>
        <v>-1.7189854195584351E-4</v>
      </c>
    </row>
    <row r="727" spans="1:16" x14ac:dyDescent="0.25">
      <c r="A727" s="2">
        <v>36.25</v>
      </c>
      <c r="B727" s="1">
        <v>-3.7160000000000002</v>
      </c>
      <c r="C727">
        <v>6.2E-2</v>
      </c>
      <c r="H727">
        <f t="shared" si="77"/>
        <v>36.25</v>
      </c>
      <c r="I727">
        <f t="shared" si="78"/>
        <v>-3.7160000000000002</v>
      </c>
      <c r="J727">
        <f t="shared" si="79"/>
        <v>3.5835284905861839E-2</v>
      </c>
      <c r="K727">
        <f t="shared" si="80"/>
        <v>-74.517710356134984</v>
      </c>
      <c r="L727">
        <f t="shared" si="81"/>
        <v>4.7780379874482441E-4</v>
      </c>
      <c r="O727">
        <f t="shared" si="82"/>
        <v>-74.477603945824896</v>
      </c>
      <c r="P727">
        <f t="shared" si="83"/>
        <v>-1.7237973211849431E-4</v>
      </c>
    </row>
    <row r="728" spans="1:16" x14ac:dyDescent="0.25">
      <c r="A728" s="2">
        <v>36.299999999999997</v>
      </c>
      <c r="B728" s="1">
        <v>-3.7160000000000002</v>
      </c>
      <c r="C728">
        <v>6.2E-2</v>
      </c>
      <c r="H728">
        <f t="shared" si="77"/>
        <v>36.299999999999997</v>
      </c>
      <c r="I728">
        <f t="shared" si="78"/>
        <v>-3.7160000000000002</v>
      </c>
      <c r="J728">
        <f t="shared" si="79"/>
        <v>3.5799195643663032E-2</v>
      </c>
      <c r="K728">
        <f t="shared" si="80"/>
        <v>-74.517710356134984</v>
      </c>
      <c r="L728">
        <f t="shared" si="81"/>
        <v>4.7732260858217366E-4</v>
      </c>
      <c r="O728">
        <f t="shared" si="82"/>
        <v>-74.477603945824896</v>
      </c>
      <c r="P728">
        <f t="shared" si="83"/>
        <v>-1.7286092228114506E-4</v>
      </c>
    </row>
    <row r="729" spans="1:16" x14ac:dyDescent="0.25">
      <c r="A729" s="2">
        <v>36.35</v>
      </c>
      <c r="B729" s="1">
        <v>-3.79</v>
      </c>
      <c r="C729">
        <v>6.2E-2</v>
      </c>
      <c r="H729">
        <f t="shared" si="77"/>
        <v>36.35</v>
      </c>
      <c r="I729">
        <f t="shared" si="78"/>
        <v>-3.79</v>
      </c>
      <c r="J729">
        <f t="shared" si="79"/>
        <v>3.5763106381464217E-2</v>
      </c>
      <c r="K729">
        <f t="shared" si="80"/>
        <v>-76.001647537608065</v>
      </c>
      <c r="L729">
        <f t="shared" si="81"/>
        <v>4.7684141841952281E-4</v>
      </c>
      <c r="O729">
        <f t="shared" si="82"/>
        <v>-75.961541127297977</v>
      </c>
      <c r="P729">
        <f t="shared" si="83"/>
        <v>-1.7334211244379591E-4</v>
      </c>
    </row>
    <row r="730" spans="1:16" x14ac:dyDescent="0.25">
      <c r="A730" s="2">
        <v>36.4</v>
      </c>
      <c r="B730" s="1">
        <v>-3.8639999999999999</v>
      </c>
      <c r="C730">
        <v>6.2E-2</v>
      </c>
      <c r="H730">
        <f t="shared" si="77"/>
        <v>36.4</v>
      </c>
      <c r="I730">
        <f t="shared" si="78"/>
        <v>-3.8639999999999999</v>
      </c>
      <c r="J730">
        <f t="shared" si="79"/>
        <v>3.572701711926541E-2</v>
      </c>
      <c r="K730">
        <f t="shared" si="80"/>
        <v>-77.485584719081146</v>
      </c>
      <c r="L730">
        <f t="shared" si="81"/>
        <v>4.7636022825687206E-4</v>
      </c>
      <c r="O730">
        <f t="shared" si="82"/>
        <v>-77.445478308771058</v>
      </c>
      <c r="P730">
        <f t="shared" si="83"/>
        <v>-1.7382330260644666E-4</v>
      </c>
    </row>
    <row r="731" spans="1:16" x14ac:dyDescent="0.25">
      <c r="A731" s="2">
        <v>36.450000000000003</v>
      </c>
      <c r="B731" s="1">
        <v>-3.9710000000000001</v>
      </c>
      <c r="C731">
        <v>6.0999999999999999E-2</v>
      </c>
      <c r="H731">
        <f t="shared" si="77"/>
        <v>36.450000000000003</v>
      </c>
      <c r="I731">
        <f t="shared" si="78"/>
        <v>-3.9710000000000001</v>
      </c>
      <c r="J731">
        <f t="shared" si="79"/>
        <v>3.4690927857066595E-2</v>
      </c>
      <c r="K731">
        <f t="shared" si="80"/>
        <v>-79.631277670670613</v>
      </c>
      <c r="L731">
        <f t="shared" si="81"/>
        <v>4.6254570476088786E-4</v>
      </c>
      <c r="O731">
        <f t="shared" si="82"/>
        <v>-79.591171260360525</v>
      </c>
      <c r="P731">
        <f t="shared" si="83"/>
        <v>-1.8763782610243087E-4</v>
      </c>
    </row>
    <row r="732" spans="1:16" x14ac:dyDescent="0.25">
      <c r="A732" s="2">
        <v>36.5</v>
      </c>
      <c r="B732" s="1">
        <v>-4.0970000000000004</v>
      </c>
      <c r="C732">
        <v>6.0999999999999999E-2</v>
      </c>
      <c r="H732">
        <f t="shared" si="77"/>
        <v>36.5</v>
      </c>
      <c r="I732">
        <f t="shared" si="78"/>
        <v>-4.0970000000000004</v>
      </c>
      <c r="J732">
        <f t="shared" si="79"/>
        <v>3.4654838594867787E-2</v>
      </c>
      <c r="K732">
        <f t="shared" si="80"/>
        <v>-82.15798152020588</v>
      </c>
      <c r="L732">
        <f t="shared" si="81"/>
        <v>4.6206451459823706E-4</v>
      </c>
      <c r="O732">
        <f t="shared" si="82"/>
        <v>-82.117875109895792</v>
      </c>
      <c r="P732">
        <f t="shared" si="83"/>
        <v>-1.8811901626508167E-4</v>
      </c>
    </row>
    <row r="733" spans="1:16" x14ac:dyDescent="0.25">
      <c r="A733" s="2">
        <v>36.549999999999997</v>
      </c>
      <c r="B733" s="1">
        <v>-4.13</v>
      </c>
      <c r="C733">
        <v>6.0999999999999999E-2</v>
      </c>
      <c r="H733">
        <f t="shared" si="77"/>
        <v>36.549999999999997</v>
      </c>
      <c r="I733">
        <f t="shared" si="78"/>
        <v>-4.13</v>
      </c>
      <c r="J733">
        <f t="shared" si="79"/>
        <v>3.461874933266898E-2</v>
      </c>
      <c r="K733">
        <f t="shared" si="80"/>
        <v>-82.819737290322237</v>
      </c>
      <c r="L733">
        <f t="shared" si="81"/>
        <v>4.6158332443558631E-4</v>
      </c>
      <c r="O733">
        <f t="shared" si="82"/>
        <v>-82.779630880012149</v>
      </c>
      <c r="P733">
        <f t="shared" si="83"/>
        <v>-1.8860020642773241E-4</v>
      </c>
    </row>
    <row r="734" spans="1:16" x14ac:dyDescent="0.25">
      <c r="A734" s="2">
        <v>36.6</v>
      </c>
      <c r="B734" s="1">
        <v>-4.1310000000000002</v>
      </c>
      <c r="C734">
        <v>6.0999999999999999E-2</v>
      </c>
      <c r="H734">
        <f t="shared" si="77"/>
        <v>36.6</v>
      </c>
      <c r="I734">
        <f t="shared" si="78"/>
        <v>-4.1310000000000002</v>
      </c>
      <c r="J734">
        <f t="shared" si="79"/>
        <v>3.4582660070470159E-2</v>
      </c>
      <c r="K734">
        <f t="shared" si="80"/>
        <v>-82.839790495477288</v>
      </c>
      <c r="L734">
        <f t="shared" si="81"/>
        <v>4.6110213427293534E-4</v>
      </c>
      <c r="O734">
        <f t="shared" si="82"/>
        <v>-82.7996840851672</v>
      </c>
      <c r="P734">
        <f t="shared" si="83"/>
        <v>-1.8908139659038338E-4</v>
      </c>
    </row>
    <row r="735" spans="1:16" x14ac:dyDescent="0.25">
      <c r="A735" s="2">
        <v>36.65</v>
      </c>
      <c r="B735" s="1">
        <v>-4.1310000000000002</v>
      </c>
      <c r="C735">
        <v>6.0999999999999999E-2</v>
      </c>
      <c r="H735">
        <f t="shared" si="77"/>
        <v>36.65</v>
      </c>
      <c r="I735">
        <f t="shared" si="78"/>
        <v>-4.1310000000000002</v>
      </c>
      <c r="J735">
        <f t="shared" si="79"/>
        <v>3.4546570808271351E-2</v>
      </c>
      <c r="K735">
        <f t="shared" si="80"/>
        <v>-82.839790495477288</v>
      </c>
      <c r="L735">
        <f t="shared" si="81"/>
        <v>4.606209441102846E-4</v>
      </c>
      <c r="O735">
        <f t="shared" si="82"/>
        <v>-82.7996840851672</v>
      </c>
      <c r="P735">
        <f t="shared" si="83"/>
        <v>-1.8956258675303413E-4</v>
      </c>
    </row>
    <row r="736" spans="1:16" x14ac:dyDescent="0.25">
      <c r="A736" s="2">
        <v>36.700000000000003</v>
      </c>
      <c r="B736" s="1">
        <v>-4.1310000000000002</v>
      </c>
      <c r="C736">
        <v>6.0999999999999999E-2</v>
      </c>
      <c r="H736">
        <f t="shared" si="77"/>
        <v>36.700000000000003</v>
      </c>
      <c r="I736">
        <f t="shared" si="78"/>
        <v>-4.1310000000000002</v>
      </c>
      <c r="J736">
        <f t="shared" si="79"/>
        <v>3.4510481546072537E-2</v>
      </c>
      <c r="K736">
        <f t="shared" si="80"/>
        <v>-82.839790495477288</v>
      </c>
      <c r="L736">
        <f t="shared" si="81"/>
        <v>4.6013975394763374E-4</v>
      </c>
      <c r="O736">
        <f t="shared" si="82"/>
        <v>-82.7996840851672</v>
      </c>
      <c r="P736">
        <f t="shared" si="83"/>
        <v>-1.9004377691568498E-4</v>
      </c>
    </row>
    <row r="737" spans="1:16" x14ac:dyDescent="0.25">
      <c r="A737" s="2">
        <v>36.75</v>
      </c>
      <c r="B737" s="1">
        <v>-4.1310000000000002</v>
      </c>
      <c r="C737">
        <v>6.0999999999999999E-2</v>
      </c>
      <c r="H737">
        <f t="shared" si="77"/>
        <v>36.75</v>
      </c>
      <c r="I737">
        <f t="shared" si="78"/>
        <v>-4.1310000000000002</v>
      </c>
      <c r="J737">
        <f t="shared" si="79"/>
        <v>3.447439228387373E-2</v>
      </c>
      <c r="K737">
        <f t="shared" si="80"/>
        <v>-82.839790495477288</v>
      </c>
      <c r="L737">
        <f t="shared" si="81"/>
        <v>4.59658563784983E-4</v>
      </c>
      <c r="O737">
        <f t="shared" si="82"/>
        <v>-82.7996840851672</v>
      </c>
      <c r="P737">
        <f t="shared" si="83"/>
        <v>-1.9052496707833573E-4</v>
      </c>
    </row>
    <row r="738" spans="1:16" x14ac:dyDescent="0.25">
      <c r="A738" s="2">
        <v>36.799999999999997</v>
      </c>
      <c r="B738" s="1">
        <v>-4.1319999999999997</v>
      </c>
      <c r="C738">
        <v>6.0999999999999999E-2</v>
      </c>
      <c r="H738">
        <f t="shared" si="77"/>
        <v>36.799999999999997</v>
      </c>
      <c r="I738">
        <f t="shared" si="78"/>
        <v>-4.1319999999999997</v>
      </c>
      <c r="J738">
        <f t="shared" si="79"/>
        <v>3.4438303021674915E-2</v>
      </c>
      <c r="K738">
        <f t="shared" si="80"/>
        <v>-82.859843700632325</v>
      </c>
      <c r="L738">
        <f t="shared" si="81"/>
        <v>4.5917737362233214E-4</v>
      </c>
      <c r="O738">
        <f t="shared" si="82"/>
        <v>-82.819737290322237</v>
      </c>
      <c r="P738">
        <f t="shared" si="83"/>
        <v>-1.9100615724098658E-4</v>
      </c>
    </row>
    <row r="739" spans="1:16" x14ac:dyDescent="0.25">
      <c r="A739" s="2">
        <v>36.85</v>
      </c>
      <c r="B739" s="1">
        <v>-4.1369999999999996</v>
      </c>
      <c r="C739">
        <v>6.0999999999999999E-2</v>
      </c>
      <c r="H739">
        <f t="shared" si="77"/>
        <v>36.85</v>
      </c>
      <c r="I739">
        <f t="shared" si="78"/>
        <v>-4.1369999999999996</v>
      </c>
      <c r="J739">
        <f t="shared" si="79"/>
        <v>3.4402213759476108E-2</v>
      </c>
      <c r="K739">
        <f t="shared" si="80"/>
        <v>-82.960109726407524</v>
      </c>
      <c r="L739">
        <f t="shared" si="81"/>
        <v>4.5869618345968134E-4</v>
      </c>
      <c r="O739">
        <f t="shared" si="82"/>
        <v>-82.920003316097436</v>
      </c>
      <c r="P739">
        <f t="shared" si="83"/>
        <v>-1.9148734740363738E-4</v>
      </c>
    </row>
    <row r="740" spans="1:16" x14ac:dyDescent="0.25">
      <c r="A740" s="2">
        <v>36.9</v>
      </c>
      <c r="B740" s="1">
        <v>-4.2030000000000003</v>
      </c>
      <c r="C740">
        <v>6.0999999999999999E-2</v>
      </c>
      <c r="H740">
        <f t="shared" si="77"/>
        <v>36.9</v>
      </c>
      <c r="I740">
        <f t="shared" si="78"/>
        <v>-4.2030000000000003</v>
      </c>
      <c r="J740">
        <f t="shared" si="79"/>
        <v>3.4366124497277301E-2</v>
      </c>
      <c r="K740">
        <f t="shared" si="80"/>
        <v>-84.283621266640296</v>
      </c>
      <c r="L740">
        <f t="shared" si="81"/>
        <v>4.5821499329703059E-4</v>
      </c>
      <c r="O740">
        <f t="shared" si="82"/>
        <v>-84.243514856330208</v>
      </c>
      <c r="P740">
        <f t="shared" si="83"/>
        <v>-1.9196853756628813E-4</v>
      </c>
    </row>
    <row r="741" spans="1:16" x14ac:dyDescent="0.25">
      <c r="A741" s="2">
        <v>36.950000000000003</v>
      </c>
      <c r="B741" s="1">
        <v>-4.2350000000000003</v>
      </c>
      <c r="C741">
        <v>6.0999999999999999E-2</v>
      </c>
      <c r="H741">
        <f t="shared" si="77"/>
        <v>36.950000000000003</v>
      </c>
      <c r="I741">
        <f t="shared" si="78"/>
        <v>-4.2350000000000003</v>
      </c>
      <c r="J741">
        <f t="shared" si="79"/>
        <v>3.4330035235078479E-2</v>
      </c>
      <c r="K741">
        <f t="shared" si="80"/>
        <v>-84.925323831601631</v>
      </c>
      <c r="L741">
        <f t="shared" si="81"/>
        <v>4.5773380313437963E-4</v>
      </c>
      <c r="O741">
        <f t="shared" si="82"/>
        <v>-84.885217421291543</v>
      </c>
      <c r="P741">
        <f t="shared" si="83"/>
        <v>-1.9244972772893909E-4</v>
      </c>
    </row>
    <row r="742" spans="1:16" x14ac:dyDescent="0.25">
      <c r="A742" s="2">
        <v>37</v>
      </c>
      <c r="B742" s="1">
        <v>-4.2770000000000001</v>
      </c>
      <c r="C742">
        <v>6.0999999999999999E-2</v>
      </c>
      <c r="H742">
        <f t="shared" si="77"/>
        <v>37</v>
      </c>
      <c r="I742">
        <f t="shared" si="78"/>
        <v>-4.2770000000000001</v>
      </c>
      <c r="J742">
        <f t="shared" si="79"/>
        <v>3.4293945972879672E-2</v>
      </c>
      <c r="K742">
        <f t="shared" si="80"/>
        <v>-85.767558448113377</v>
      </c>
      <c r="L742">
        <f t="shared" si="81"/>
        <v>4.5725261297172888E-4</v>
      </c>
      <c r="O742">
        <f t="shared" si="82"/>
        <v>-85.727452037803289</v>
      </c>
      <c r="P742">
        <f t="shared" si="83"/>
        <v>-1.9293091789158984E-4</v>
      </c>
    </row>
    <row r="743" spans="1:16" x14ac:dyDescent="0.25">
      <c r="A743" s="2">
        <v>37.049999999999997</v>
      </c>
      <c r="B743" s="1">
        <v>-4.4329999999999998</v>
      </c>
      <c r="C743">
        <v>0.06</v>
      </c>
      <c r="H743">
        <f t="shared" si="77"/>
        <v>37.049999999999997</v>
      </c>
      <c r="I743">
        <f t="shared" si="78"/>
        <v>-4.4329999999999998</v>
      </c>
      <c r="J743">
        <f t="shared" si="79"/>
        <v>3.3257856710680864E-2</v>
      </c>
      <c r="K743">
        <f t="shared" si="80"/>
        <v>-88.895858452299876</v>
      </c>
      <c r="L743">
        <f t="shared" si="81"/>
        <v>4.4343808947574478E-4</v>
      </c>
      <c r="O743">
        <f t="shared" si="82"/>
        <v>-88.855752041989788</v>
      </c>
      <c r="P743">
        <f t="shared" si="83"/>
        <v>-2.0674544138757394E-4</v>
      </c>
    </row>
    <row r="744" spans="1:16" x14ac:dyDescent="0.25">
      <c r="A744" s="2">
        <v>37.1</v>
      </c>
      <c r="B744" s="1">
        <v>-4.468</v>
      </c>
      <c r="C744">
        <v>0.06</v>
      </c>
      <c r="H744">
        <f t="shared" si="77"/>
        <v>37.1</v>
      </c>
      <c r="I744">
        <f t="shared" si="78"/>
        <v>-4.468</v>
      </c>
      <c r="J744">
        <f t="shared" si="79"/>
        <v>3.3221767448482049E-2</v>
      </c>
      <c r="K744">
        <f t="shared" si="80"/>
        <v>-89.597720632726336</v>
      </c>
      <c r="L744">
        <f t="shared" si="81"/>
        <v>4.4295689931309393E-4</v>
      </c>
      <c r="O744">
        <f t="shared" si="82"/>
        <v>-89.557614222416248</v>
      </c>
      <c r="P744">
        <f t="shared" si="83"/>
        <v>-2.0722663155022479E-4</v>
      </c>
    </row>
    <row r="745" spans="1:16" x14ac:dyDescent="0.25">
      <c r="A745" s="2">
        <v>37.15</v>
      </c>
      <c r="B745" s="1">
        <v>-4.5010000000000003</v>
      </c>
      <c r="C745">
        <v>0.06</v>
      </c>
      <c r="H745">
        <f t="shared" si="77"/>
        <v>37.15</v>
      </c>
      <c r="I745">
        <f t="shared" si="78"/>
        <v>-4.5010000000000003</v>
      </c>
      <c r="J745">
        <f t="shared" si="79"/>
        <v>3.3185678186283235E-2</v>
      </c>
      <c r="K745">
        <f t="shared" si="80"/>
        <v>-90.259476402842722</v>
      </c>
      <c r="L745">
        <f t="shared" si="81"/>
        <v>4.4247570915044307E-4</v>
      </c>
      <c r="O745">
        <f t="shared" si="82"/>
        <v>-90.219369992532634</v>
      </c>
      <c r="P745">
        <f t="shared" si="83"/>
        <v>-2.0770782171287565E-4</v>
      </c>
    </row>
    <row r="746" spans="1:16" x14ac:dyDescent="0.25">
      <c r="A746" s="2">
        <v>37.200000000000003</v>
      </c>
      <c r="B746" s="1">
        <v>-4.5259999999999998</v>
      </c>
      <c r="C746">
        <v>0.06</v>
      </c>
      <c r="H746">
        <f t="shared" si="77"/>
        <v>37.200000000000003</v>
      </c>
      <c r="I746">
        <f t="shared" si="78"/>
        <v>-4.5259999999999998</v>
      </c>
      <c r="J746">
        <f t="shared" si="79"/>
        <v>3.3149588924084428E-2</v>
      </c>
      <c r="K746">
        <f t="shared" si="80"/>
        <v>-90.760806531718757</v>
      </c>
      <c r="L746">
        <f t="shared" si="81"/>
        <v>4.4199451898779227E-4</v>
      </c>
      <c r="O746">
        <f t="shared" si="82"/>
        <v>-90.720700121408669</v>
      </c>
      <c r="P746">
        <f t="shared" si="83"/>
        <v>-2.0818901187552645E-4</v>
      </c>
    </row>
    <row r="747" spans="1:16" x14ac:dyDescent="0.25">
      <c r="A747" s="2">
        <v>37.25</v>
      </c>
      <c r="B747" s="1">
        <v>-4.5259999999999998</v>
      </c>
      <c r="C747">
        <v>0.06</v>
      </c>
      <c r="H747">
        <f t="shared" si="77"/>
        <v>37.25</v>
      </c>
      <c r="I747">
        <f t="shared" si="78"/>
        <v>-4.5259999999999998</v>
      </c>
      <c r="J747">
        <f t="shared" si="79"/>
        <v>3.311349966188562E-2</v>
      </c>
      <c r="K747">
        <f t="shared" si="80"/>
        <v>-90.760806531718757</v>
      </c>
      <c r="L747">
        <f t="shared" si="81"/>
        <v>4.4151332882514153E-4</v>
      </c>
      <c r="O747">
        <f t="shared" si="82"/>
        <v>-90.720700121408669</v>
      </c>
      <c r="P747">
        <f t="shared" si="83"/>
        <v>-2.086702020381772E-4</v>
      </c>
    </row>
    <row r="748" spans="1:16" x14ac:dyDescent="0.25">
      <c r="A748" s="2">
        <v>37.299999999999997</v>
      </c>
      <c r="B748" s="1">
        <v>-4.5259999999999998</v>
      </c>
      <c r="C748">
        <v>0.06</v>
      </c>
      <c r="H748">
        <f t="shared" si="77"/>
        <v>37.299999999999997</v>
      </c>
      <c r="I748">
        <f t="shared" si="78"/>
        <v>-4.5259999999999998</v>
      </c>
      <c r="J748">
        <f t="shared" si="79"/>
        <v>3.3077410399686806E-2</v>
      </c>
      <c r="K748">
        <f t="shared" si="80"/>
        <v>-90.760806531718757</v>
      </c>
      <c r="L748">
        <f t="shared" si="81"/>
        <v>4.4103213866249067E-4</v>
      </c>
      <c r="O748">
        <f t="shared" si="82"/>
        <v>-90.720700121408669</v>
      </c>
      <c r="P748">
        <f t="shared" si="83"/>
        <v>-2.0915139220082805E-4</v>
      </c>
    </row>
    <row r="749" spans="1:16" x14ac:dyDescent="0.25">
      <c r="A749" s="2">
        <v>37.35</v>
      </c>
      <c r="B749" s="1">
        <v>-4.5259999999999998</v>
      </c>
      <c r="C749">
        <v>0.06</v>
      </c>
      <c r="H749">
        <f t="shared" si="77"/>
        <v>37.35</v>
      </c>
      <c r="I749">
        <f t="shared" si="78"/>
        <v>-4.5259999999999998</v>
      </c>
      <c r="J749">
        <f t="shared" si="79"/>
        <v>3.3041321137487992E-2</v>
      </c>
      <c r="K749">
        <f t="shared" si="80"/>
        <v>-90.760806531718757</v>
      </c>
      <c r="L749">
        <f t="shared" si="81"/>
        <v>4.4055094849983982E-4</v>
      </c>
      <c r="O749">
        <f t="shared" si="82"/>
        <v>-90.720700121408669</v>
      </c>
      <c r="P749">
        <f t="shared" si="83"/>
        <v>-2.0963258236347891E-4</v>
      </c>
    </row>
    <row r="750" spans="1:16" x14ac:dyDescent="0.25">
      <c r="A750" s="2">
        <v>37.4</v>
      </c>
      <c r="B750" s="1">
        <v>-4.5259999999999998</v>
      </c>
      <c r="C750">
        <v>0.06</v>
      </c>
      <c r="H750">
        <f t="shared" si="77"/>
        <v>37.4</v>
      </c>
      <c r="I750">
        <f t="shared" si="78"/>
        <v>-4.5259999999999998</v>
      </c>
      <c r="J750">
        <f t="shared" si="79"/>
        <v>3.3005231875289184E-2</v>
      </c>
      <c r="K750">
        <f t="shared" si="80"/>
        <v>-90.760806531718757</v>
      </c>
      <c r="L750">
        <f t="shared" si="81"/>
        <v>4.4006975833718901E-4</v>
      </c>
      <c r="O750">
        <f t="shared" si="82"/>
        <v>-90.720700121408669</v>
      </c>
      <c r="P750">
        <f t="shared" si="83"/>
        <v>-2.1011377252612971E-4</v>
      </c>
    </row>
    <row r="751" spans="1:16" x14ac:dyDescent="0.25">
      <c r="A751" s="2">
        <v>37.450000000000003</v>
      </c>
      <c r="B751" s="1">
        <v>-4.53</v>
      </c>
      <c r="C751">
        <v>0.06</v>
      </c>
      <c r="H751">
        <f t="shared" si="77"/>
        <v>37.450000000000003</v>
      </c>
      <c r="I751">
        <f t="shared" si="78"/>
        <v>-4.53</v>
      </c>
      <c r="J751">
        <f t="shared" si="79"/>
        <v>3.2969142613090363E-2</v>
      </c>
      <c r="K751">
        <f t="shared" si="80"/>
        <v>-90.841019352338932</v>
      </c>
      <c r="L751">
        <f t="shared" si="81"/>
        <v>4.3958856817453811E-4</v>
      </c>
      <c r="O751">
        <f t="shared" si="82"/>
        <v>-90.800912942028845</v>
      </c>
      <c r="P751">
        <f t="shared" si="83"/>
        <v>-2.1059496268878062E-4</v>
      </c>
    </row>
    <row r="752" spans="1:16" x14ac:dyDescent="0.25">
      <c r="A752" s="2">
        <v>37.5</v>
      </c>
      <c r="B752" s="1">
        <v>-4.5990000000000002</v>
      </c>
      <c r="C752">
        <v>0.06</v>
      </c>
      <c r="H752">
        <f t="shared" si="77"/>
        <v>37.5</v>
      </c>
      <c r="I752">
        <f t="shared" si="78"/>
        <v>-4.5990000000000002</v>
      </c>
      <c r="J752">
        <f t="shared" si="79"/>
        <v>3.2933053350891556E-2</v>
      </c>
      <c r="K752">
        <f t="shared" si="80"/>
        <v>-92.224690508036815</v>
      </c>
      <c r="L752">
        <f t="shared" si="81"/>
        <v>4.391073780118873E-4</v>
      </c>
      <c r="O752">
        <f t="shared" si="82"/>
        <v>-92.184584097726727</v>
      </c>
      <c r="P752">
        <f t="shared" si="83"/>
        <v>-2.1107615285143142E-4</v>
      </c>
    </row>
    <row r="753" spans="1:16" x14ac:dyDescent="0.25">
      <c r="A753" s="2">
        <v>37.549999999999997</v>
      </c>
      <c r="B753" s="1">
        <v>-4.6840000000000002</v>
      </c>
      <c r="C753">
        <v>5.8999999999999997E-2</v>
      </c>
      <c r="H753">
        <f t="shared" si="77"/>
        <v>37.549999999999997</v>
      </c>
      <c r="I753">
        <f t="shared" si="78"/>
        <v>-4.6840000000000002</v>
      </c>
      <c r="J753">
        <f t="shared" si="79"/>
        <v>3.1896964088692747E-2</v>
      </c>
      <c r="K753">
        <f t="shared" si="80"/>
        <v>-93.929212946215358</v>
      </c>
      <c r="L753">
        <f t="shared" si="81"/>
        <v>4.2529285451590321E-4</v>
      </c>
      <c r="O753">
        <f t="shared" si="82"/>
        <v>-93.88910653590527</v>
      </c>
      <c r="P753">
        <f t="shared" si="83"/>
        <v>-2.2489067634741552E-4</v>
      </c>
    </row>
    <row r="754" spans="1:16" x14ac:dyDescent="0.25">
      <c r="A754" s="2">
        <v>37.6</v>
      </c>
      <c r="B754" s="1">
        <v>-4.766</v>
      </c>
      <c r="C754">
        <v>5.8999999999999997E-2</v>
      </c>
      <c r="H754">
        <f t="shared" si="77"/>
        <v>37.6</v>
      </c>
      <c r="I754">
        <f t="shared" si="78"/>
        <v>-4.766</v>
      </c>
      <c r="J754">
        <f t="shared" si="79"/>
        <v>3.1860874826493933E-2</v>
      </c>
      <c r="K754">
        <f t="shared" si="80"/>
        <v>-95.573575768928777</v>
      </c>
      <c r="L754">
        <f t="shared" si="81"/>
        <v>4.2481166435325235E-4</v>
      </c>
      <c r="O754">
        <f t="shared" si="82"/>
        <v>-95.533469358618689</v>
      </c>
      <c r="P754">
        <f t="shared" si="83"/>
        <v>-2.2537186651006637E-4</v>
      </c>
    </row>
    <row r="755" spans="1:16" x14ac:dyDescent="0.25">
      <c r="A755" s="2">
        <v>37.65</v>
      </c>
      <c r="B755" s="1">
        <v>-4.8689999999999998</v>
      </c>
      <c r="C755">
        <v>5.8999999999999997E-2</v>
      </c>
      <c r="H755">
        <f t="shared" si="77"/>
        <v>37.65</v>
      </c>
      <c r="I755">
        <f t="shared" si="78"/>
        <v>-4.8689999999999998</v>
      </c>
      <c r="J755">
        <f t="shared" si="79"/>
        <v>3.1824785564295126E-2</v>
      </c>
      <c r="K755">
        <f t="shared" si="80"/>
        <v>-97.639055899898068</v>
      </c>
      <c r="L755">
        <f t="shared" si="81"/>
        <v>4.243304741906016E-4</v>
      </c>
      <c r="O755">
        <f t="shared" si="82"/>
        <v>-97.59894948958798</v>
      </c>
      <c r="P755">
        <f t="shared" si="83"/>
        <v>-2.2585305667271712E-4</v>
      </c>
    </row>
    <row r="756" spans="1:16" x14ac:dyDescent="0.25">
      <c r="A756" s="2">
        <v>37.700000000000003</v>
      </c>
      <c r="B756" s="1">
        <v>-4.9359999999999999</v>
      </c>
      <c r="C756">
        <v>5.8999999999999997E-2</v>
      </c>
      <c r="H756">
        <f t="shared" si="77"/>
        <v>37.700000000000003</v>
      </c>
      <c r="I756">
        <f t="shared" si="78"/>
        <v>-4.9359999999999999</v>
      </c>
      <c r="J756">
        <f t="shared" si="79"/>
        <v>3.1788696302096311E-2</v>
      </c>
      <c r="K756">
        <f t="shared" si="80"/>
        <v>-98.982620645285863</v>
      </c>
      <c r="L756">
        <f t="shared" si="81"/>
        <v>4.2384928402795075E-4</v>
      </c>
      <c r="O756">
        <f t="shared" si="82"/>
        <v>-98.942514234975775</v>
      </c>
      <c r="P756">
        <f t="shared" si="83"/>
        <v>-2.2633424683536797E-4</v>
      </c>
    </row>
    <row r="757" spans="1:16" x14ac:dyDescent="0.25">
      <c r="A757" s="2">
        <v>37.75</v>
      </c>
      <c r="B757" s="1">
        <v>-4.9429999999999996</v>
      </c>
      <c r="C757">
        <v>5.8999999999999997E-2</v>
      </c>
      <c r="H757">
        <f t="shared" si="77"/>
        <v>37.75</v>
      </c>
      <c r="I757">
        <f t="shared" si="78"/>
        <v>-4.9429999999999996</v>
      </c>
      <c r="J757">
        <f t="shared" si="79"/>
        <v>3.1752607039897504E-2</v>
      </c>
      <c r="K757">
        <f t="shared" si="80"/>
        <v>-99.122993081371149</v>
      </c>
      <c r="L757">
        <f t="shared" si="81"/>
        <v>4.2336809386529995E-4</v>
      </c>
      <c r="O757">
        <f t="shared" si="82"/>
        <v>-99.082886671061061</v>
      </c>
      <c r="P757">
        <f t="shared" si="83"/>
        <v>-2.2681543699801877E-4</v>
      </c>
    </row>
    <row r="758" spans="1:16" x14ac:dyDescent="0.25">
      <c r="A758" s="2">
        <v>37.799999999999997</v>
      </c>
      <c r="B758" s="1">
        <v>-4.9429999999999996</v>
      </c>
      <c r="C758">
        <v>5.8999999999999997E-2</v>
      </c>
      <c r="H758">
        <f t="shared" si="77"/>
        <v>37.799999999999997</v>
      </c>
      <c r="I758">
        <f t="shared" si="78"/>
        <v>-4.9429999999999996</v>
      </c>
      <c r="J758">
        <f t="shared" si="79"/>
        <v>3.1716517777698697E-2</v>
      </c>
      <c r="K758">
        <f t="shared" si="80"/>
        <v>-99.122993081371149</v>
      </c>
      <c r="L758">
        <f t="shared" si="81"/>
        <v>4.228869037026492E-4</v>
      </c>
      <c r="O758">
        <f t="shared" si="82"/>
        <v>-99.082886671061061</v>
      </c>
      <c r="P758">
        <f t="shared" si="83"/>
        <v>-2.2729662716066952E-4</v>
      </c>
    </row>
    <row r="759" spans="1:16" x14ac:dyDescent="0.25">
      <c r="A759" s="2">
        <v>37.85</v>
      </c>
      <c r="B759" s="1">
        <v>-4.9429999999999996</v>
      </c>
      <c r="C759">
        <v>5.8999999999999997E-2</v>
      </c>
      <c r="H759">
        <f t="shared" si="77"/>
        <v>37.85</v>
      </c>
      <c r="I759">
        <f t="shared" si="78"/>
        <v>-4.9429999999999996</v>
      </c>
      <c r="J759">
        <f t="shared" si="79"/>
        <v>3.1680428515499875E-2</v>
      </c>
      <c r="K759">
        <f t="shared" si="80"/>
        <v>-99.122993081371149</v>
      </c>
      <c r="L759">
        <f t="shared" si="81"/>
        <v>4.2240571353999824E-4</v>
      </c>
      <c r="O759">
        <f t="shared" si="82"/>
        <v>-99.082886671061061</v>
      </c>
      <c r="P759">
        <f t="shared" si="83"/>
        <v>-2.2777781732332049E-4</v>
      </c>
    </row>
    <row r="760" spans="1:16" x14ac:dyDescent="0.25">
      <c r="A760" s="2">
        <v>37.9</v>
      </c>
      <c r="B760" s="1">
        <v>-4.9429999999999996</v>
      </c>
      <c r="C760">
        <v>5.8999999999999997E-2</v>
      </c>
      <c r="H760">
        <f t="shared" si="77"/>
        <v>37.9</v>
      </c>
      <c r="I760">
        <f t="shared" si="78"/>
        <v>-4.9429999999999996</v>
      </c>
      <c r="J760">
        <f t="shared" si="79"/>
        <v>3.1644339253301068E-2</v>
      </c>
      <c r="K760">
        <f t="shared" si="80"/>
        <v>-99.122993081371149</v>
      </c>
      <c r="L760">
        <f t="shared" si="81"/>
        <v>4.2192452337734749E-4</v>
      </c>
      <c r="O760">
        <f t="shared" si="82"/>
        <v>-99.082886671061061</v>
      </c>
      <c r="P760">
        <f t="shared" si="83"/>
        <v>-2.2825900748597123E-4</v>
      </c>
    </row>
    <row r="761" spans="1:16" x14ac:dyDescent="0.25">
      <c r="A761" s="2">
        <v>37.950000000000003</v>
      </c>
      <c r="B761" s="1">
        <v>-4.9429999999999996</v>
      </c>
      <c r="C761">
        <v>5.8999999999999997E-2</v>
      </c>
      <c r="H761">
        <f t="shared" si="77"/>
        <v>37.950000000000003</v>
      </c>
      <c r="I761">
        <f t="shared" si="78"/>
        <v>-4.9429999999999996</v>
      </c>
      <c r="J761">
        <f t="shared" si="79"/>
        <v>3.1608249991102254E-2</v>
      </c>
      <c r="K761">
        <f t="shared" si="80"/>
        <v>-99.122993081371149</v>
      </c>
      <c r="L761">
        <f t="shared" si="81"/>
        <v>4.2144333321469664E-4</v>
      </c>
      <c r="O761">
        <f t="shared" si="82"/>
        <v>-99.082886671061061</v>
      </c>
      <c r="P761">
        <f t="shared" si="83"/>
        <v>-2.2874019764862209E-4</v>
      </c>
    </row>
    <row r="762" spans="1:16" x14ac:dyDescent="0.25">
      <c r="A762" s="2">
        <v>38</v>
      </c>
      <c r="B762" s="1">
        <v>-4.944</v>
      </c>
      <c r="C762">
        <v>5.8999999999999997E-2</v>
      </c>
      <c r="H762">
        <f t="shared" si="77"/>
        <v>38</v>
      </c>
      <c r="I762">
        <f t="shared" si="78"/>
        <v>-4.944</v>
      </c>
      <c r="J762">
        <f t="shared" si="79"/>
        <v>3.1572160728903446E-2</v>
      </c>
      <c r="K762">
        <f t="shared" si="80"/>
        <v>-99.143046286526186</v>
      </c>
      <c r="L762">
        <f t="shared" si="81"/>
        <v>4.2096214305204589E-4</v>
      </c>
      <c r="O762">
        <f t="shared" si="82"/>
        <v>-99.102939876216098</v>
      </c>
      <c r="P762">
        <f t="shared" si="83"/>
        <v>-2.2922138781127283E-4</v>
      </c>
    </row>
    <row r="763" spans="1:16" x14ac:dyDescent="0.25">
      <c r="A763" s="2">
        <v>38.049999999999997</v>
      </c>
      <c r="B763" s="1">
        <v>-5.0179999999999998</v>
      </c>
      <c r="C763">
        <v>5.8999999999999997E-2</v>
      </c>
      <c r="H763">
        <f t="shared" si="77"/>
        <v>38.049999999999997</v>
      </c>
      <c r="I763">
        <f t="shared" si="78"/>
        <v>-5.0179999999999998</v>
      </c>
      <c r="J763">
        <f t="shared" si="79"/>
        <v>3.1536071466704632E-2</v>
      </c>
      <c r="K763">
        <f t="shared" si="80"/>
        <v>-100.62698346799928</v>
      </c>
      <c r="L763">
        <f t="shared" si="81"/>
        <v>4.2048095288939503E-4</v>
      </c>
      <c r="O763">
        <f t="shared" si="82"/>
        <v>-100.58687705768919</v>
      </c>
      <c r="P763">
        <f t="shared" si="83"/>
        <v>-2.2970257797392369E-4</v>
      </c>
    </row>
    <row r="764" spans="1:16" x14ac:dyDescent="0.25">
      <c r="A764" s="2">
        <v>38.1</v>
      </c>
      <c r="B764" s="1">
        <v>-5.1440000000000001</v>
      </c>
      <c r="C764">
        <v>5.8999999999999997E-2</v>
      </c>
      <c r="H764">
        <f t="shared" si="77"/>
        <v>38.1</v>
      </c>
      <c r="I764">
        <f t="shared" si="78"/>
        <v>-5.1440000000000001</v>
      </c>
      <c r="J764">
        <f t="shared" si="79"/>
        <v>3.1499982204505825E-2</v>
      </c>
      <c r="K764">
        <f t="shared" si="80"/>
        <v>-103.15368731753453</v>
      </c>
      <c r="L764">
        <f t="shared" si="81"/>
        <v>4.1999976272674423E-4</v>
      </c>
      <c r="O764">
        <f t="shared" si="82"/>
        <v>-103.11358090722445</v>
      </c>
      <c r="P764">
        <f t="shared" si="83"/>
        <v>-2.3018376813657449E-4</v>
      </c>
    </row>
    <row r="765" spans="1:16" x14ac:dyDescent="0.25">
      <c r="A765" s="2">
        <v>38.15</v>
      </c>
      <c r="B765" s="1">
        <v>-5.1879999999999997</v>
      </c>
      <c r="C765">
        <v>5.8000000000000003E-2</v>
      </c>
      <c r="H765">
        <f t="shared" si="77"/>
        <v>38.15</v>
      </c>
      <c r="I765">
        <f t="shared" si="78"/>
        <v>-5.1879999999999997</v>
      </c>
      <c r="J765">
        <f t="shared" si="79"/>
        <v>3.046389294230702E-2</v>
      </c>
      <c r="K765">
        <f t="shared" si="80"/>
        <v>-104.03602834435637</v>
      </c>
      <c r="L765">
        <f t="shared" si="81"/>
        <v>4.0618523923076019E-4</v>
      </c>
      <c r="O765">
        <f t="shared" si="82"/>
        <v>-103.99592193404628</v>
      </c>
      <c r="P765">
        <f t="shared" si="83"/>
        <v>-2.4399829163255853E-4</v>
      </c>
    </row>
    <row r="766" spans="1:16" x14ac:dyDescent="0.25">
      <c r="A766" s="2">
        <v>38.200000000000003</v>
      </c>
      <c r="B766" s="1">
        <v>-5.2640000000000002</v>
      </c>
      <c r="C766">
        <v>5.8000000000000003E-2</v>
      </c>
      <c r="H766">
        <f t="shared" si="77"/>
        <v>38.200000000000003</v>
      </c>
      <c r="I766">
        <f t="shared" si="78"/>
        <v>-5.2640000000000002</v>
      </c>
      <c r="J766">
        <f t="shared" si="79"/>
        <v>3.0427803680108206E-2</v>
      </c>
      <c r="K766">
        <f t="shared" si="80"/>
        <v>-105.56007193613955</v>
      </c>
      <c r="L766">
        <f t="shared" si="81"/>
        <v>4.0570404906810933E-4</v>
      </c>
      <c r="O766">
        <f t="shared" si="82"/>
        <v>-105.51996552582946</v>
      </c>
      <c r="P766">
        <f t="shared" si="83"/>
        <v>-2.4447948179520939E-4</v>
      </c>
    </row>
    <row r="767" spans="1:16" x14ac:dyDescent="0.25">
      <c r="A767" s="2">
        <v>38.25</v>
      </c>
      <c r="B767" s="1">
        <v>-5.3550000000000004</v>
      </c>
      <c r="C767">
        <v>5.8000000000000003E-2</v>
      </c>
      <c r="H767">
        <f t="shared" si="77"/>
        <v>38.25</v>
      </c>
      <c r="I767">
        <f t="shared" si="78"/>
        <v>-5.3550000000000004</v>
      </c>
      <c r="J767">
        <f t="shared" si="79"/>
        <v>3.0391714417909395E-2</v>
      </c>
      <c r="K767">
        <f t="shared" si="80"/>
        <v>-107.38491360524834</v>
      </c>
      <c r="L767">
        <f t="shared" si="81"/>
        <v>4.0522285890545853E-4</v>
      </c>
      <c r="O767">
        <f t="shared" si="82"/>
        <v>-107.34480719493826</v>
      </c>
      <c r="P767">
        <f t="shared" si="83"/>
        <v>-2.4496067195786019E-4</v>
      </c>
    </row>
    <row r="768" spans="1:16" x14ac:dyDescent="0.25">
      <c r="A768" s="2">
        <v>38.299999999999997</v>
      </c>
      <c r="B768" s="1">
        <v>-5.4210000000000003</v>
      </c>
      <c r="C768">
        <v>5.8000000000000003E-2</v>
      </c>
      <c r="H768">
        <f t="shared" si="77"/>
        <v>38.299999999999997</v>
      </c>
      <c r="I768">
        <f t="shared" si="78"/>
        <v>-5.4210000000000003</v>
      </c>
      <c r="J768">
        <f t="shared" si="79"/>
        <v>3.0355625155710587E-2</v>
      </c>
      <c r="K768">
        <f t="shared" si="80"/>
        <v>-108.70842514548109</v>
      </c>
      <c r="L768">
        <f t="shared" si="81"/>
        <v>4.0474166874280773E-4</v>
      </c>
      <c r="O768">
        <f t="shared" si="82"/>
        <v>-108.668318735171</v>
      </c>
      <c r="P768">
        <f t="shared" si="83"/>
        <v>-2.4544186212051099E-4</v>
      </c>
    </row>
    <row r="769" spans="1:16" x14ac:dyDescent="0.25">
      <c r="A769" s="2">
        <v>38.35</v>
      </c>
      <c r="B769" s="1">
        <v>-5.4219999999999997</v>
      </c>
      <c r="C769">
        <v>5.8000000000000003E-2</v>
      </c>
      <c r="H769">
        <f t="shared" si="77"/>
        <v>38.35</v>
      </c>
      <c r="I769">
        <f t="shared" si="78"/>
        <v>-5.4219999999999997</v>
      </c>
      <c r="J769">
        <f t="shared" si="79"/>
        <v>3.0319535893511773E-2</v>
      </c>
      <c r="K769">
        <f t="shared" si="80"/>
        <v>-108.72847835063612</v>
      </c>
      <c r="L769">
        <f t="shared" si="81"/>
        <v>4.0426047858015688E-4</v>
      </c>
      <c r="O769">
        <f t="shared" si="82"/>
        <v>-108.68837194032604</v>
      </c>
      <c r="P769">
        <f t="shared" si="83"/>
        <v>-2.4592305228316185E-4</v>
      </c>
    </row>
    <row r="770" spans="1:16" x14ac:dyDescent="0.25">
      <c r="A770" s="2">
        <v>38.4</v>
      </c>
      <c r="B770" s="1">
        <v>-5.4219999999999997</v>
      </c>
      <c r="C770">
        <v>5.8000000000000003E-2</v>
      </c>
      <c r="H770">
        <f t="shared" si="77"/>
        <v>38.4</v>
      </c>
      <c r="I770">
        <f t="shared" si="78"/>
        <v>-5.4219999999999997</v>
      </c>
      <c r="J770">
        <f t="shared" si="79"/>
        <v>3.0283446631312962E-2</v>
      </c>
      <c r="K770">
        <f t="shared" si="80"/>
        <v>-108.72847835063612</v>
      </c>
      <c r="L770">
        <f t="shared" si="81"/>
        <v>4.0377928841750608E-4</v>
      </c>
      <c r="O770">
        <f t="shared" si="82"/>
        <v>-108.68837194032604</v>
      </c>
      <c r="P770">
        <f t="shared" si="83"/>
        <v>-2.4640424244581265E-4</v>
      </c>
    </row>
    <row r="771" spans="1:16" x14ac:dyDescent="0.25">
      <c r="A771" s="2">
        <v>38.450000000000003</v>
      </c>
      <c r="B771" s="1">
        <v>-5.4219999999999997</v>
      </c>
      <c r="C771">
        <v>5.8000000000000003E-2</v>
      </c>
      <c r="H771">
        <f t="shared" ref="H771:H834" si="84">A771</f>
        <v>38.450000000000003</v>
      </c>
      <c r="I771">
        <f t="shared" ref="I771:I834" si="85">B771</f>
        <v>-5.4219999999999997</v>
      </c>
      <c r="J771">
        <f t="shared" ref="J771:J834" si="86">C771-E$12*A771</f>
        <v>3.0247357369114148E-2</v>
      </c>
      <c r="K771">
        <f t="shared" ref="K771:K834" si="87">F$24*I771</f>
        <v>-108.72847835063612</v>
      </c>
      <c r="L771">
        <f t="shared" ref="L771:L834" si="88">F$25*J771</f>
        <v>4.0329809825485522E-4</v>
      </c>
      <c r="O771">
        <f t="shared" ref="O771:O834" si="89">K771-N$12</f>
        <v>-108.68837194032604</v>
      </c>
      <c r="P771">
        <f t="shared" ref="P771:P834" si="90">L771-N$15</f>
        <v>-2.468854326084635E-4</v>
      </c>
    </row>
    <row r="772" spans="1:16" x14ac:dyDescent="0.25">
      <c r="A772" s="2">
        <v>38.5</v>
      </c>
      <c r="B772" s="1">
        <v>-5.4219999999999997</v>
      </c>
      <c r="C772">
        <v>5.8000000000000003E-2</v>
      </c>
      <c r="H772">
        <f t="shared" si="84"/>
        <v>38.5</v>
      </c>
      <c r="I772">
        <f t="shared" si="85"/>
        <v>-5.4219999999999997</v>
      </c>
      <c r="J772">
        <f t="shared" si="86"/>
        <v>3.0211268106915341E-2</v>
      </c>
      <c r="K772">
        <f t="shared" si="87"/>
        <v>-108.72847835063612</v>
      </c>
      <c r="L772">
        <f t="shared" si="88"/>
        <v>4.0281690809220447E-4</v>
      </c>
      <c r="O772">
        <f t="shared" si="89"/>
        <v>-108.68837194032604</v>
      </c>
      <c r="P772">
        <f t="shared" si="90"/>
        <v>-2.4736662277111425E-4</v>
      </c>
    </row>
    <row r="773" spans="1:16" x14ac:dyDescent="0.25">
      <c r="A773" s="2">
        <v>38.549999999999997</v>
      </c>
      <c r="B773" s="1">
        <v>-5.4219999999999997</v>
      </c>
      <c r="C773">
        <v>5.7000000000000002E-2</v>
      </c>
      <c r="H773">
        <f t="shared" si="84"/>
        <v>38.549999999999997</v>
      </c>
      <c r="I773">
        <f t="shared" si="85"/>
        <v>-5.4219999999999997</v>
      </c>
      <c r="J773">
        <f t="shared" si="86"/>
        <v>2.9175178844716529E-2</v>
      </c>
      <c r="K773">
        <f t="shared" si="87"/>
        <v>-108.72847835063612</v>
      </c>
      <c r="L773">
        <f t="shared" si="88"/>
        <v>3.8900238459622032E-4</v>
      </c>
      <c r="O773">
        <f t="shared" si="89"/>
        <v>-108.68837194032604</v>
      </c>
      <c r="P773">
        <f t="shared" si="90"/>
        <v>-2.611811462670984E-4</v>
      </c>
    </row>
    <row r="774" spans="1:16" x14ac:dyDescent="0.25">
      <c r="A774" s="2">
        <v>38.6</v>
      </c>
      <c r="B774" s="1">
        <v>-5.4279999999999999</v>
      </c>
      <c r="C774">
        <v>5.8000000000000003E-2</v>
      </c>
      <c r="H774">
        <f t="shared" si="84"/>
        <v>38.6</v>
      </c>
      <c r="I774">
        <f t="shared" si="85"/>
        <v>-5.4279999999999999</v>
      </c>
      <c r="J774">
        <f t="shared" si="86"/>
        <v>3.0139089582517715E-2</v>
      </c>
      <c r="K774">
        <f t="shared" si="87"/>
        <v>-108.84879758156637</v>
      </c>
      <c r="L774">
        <f t="shared" si="88"/>
        <v>4.0185452776690282E-4</v>
      </c>
      <c r="O774">
        <f t="shared" si="89"/>
        <v>-108.80869117125629</v>
      </c>
      <c r="P774">
        <f t="shared" si="90"/>
        <v>-2.4832900309641591E-4</v>
      </c>
    </row>
    <row r="775" spans="1:16" x14ac:dyDescent="0.25">
      <c r="A775" s="2">
        <v>38.65</v>
      </c>
      <c r="B775" s="1">
        <v>-5.532</v>
      </c>
      <c r="C775">
        <v>5.7000000000000002E-2</v>
      </c>
      <c r="H775">
        <f t="shared" si="84"/>
        <v>38.65</v>
      </c>
      <c r="I775">
        <f t="shared" si="85"/>
        <v>-5.532</v>
      </c>
      <c r="J775">
        <f t="shared" si="86"/>
        <v>2.9103000320318907E-2</v>
      </c>
      <c r="K775">
        <f t="shared" si="87"/>
        <v>-110.93433091769072</v>
      </c>
      <c r="L775">
        <f t="shared" si="88"/>
        <v>3.8804000427091867E-4</v>
      </c>
      <c r="O775">
        <f t="shared" si="89"/>
        <v>-110.89422450738063</v>
      </c>
      <c r="P775">
        <f t="shared" si="90"/>
        <v>-2.6214352659240006E-4</v>
      </c>
    </row>
    <row r="776" spans="1:16" x14ac:dyDescent="0.25">
      <c r="A776" s="2">
        <v>38.700000000000003</v>
      </c>
      <c r="B776" s="1">
        <v>-5.6029999999999998</v>
      </c>
      <c r="C776">
        <v>5.7000000000000002E-2</v>
      </c>
      <c r="H776">
        <f t="shared" si="84"/>
        <v>38.700000000000003</v>
      </c>
      <c r="I776">
        <f t="shared" si="85"/>
        <v>-5.6029999999999998</v>
      </c>
      <c r="J776">
        <f t="shared" si="86"/>
        <v>2.9066911058120089E-2</v>
      </c>
      <c r="K776">
        <f t="shared" si="87"/>
        <v>-112.35810848369867</v>
      </c>
      <c r="L776">
        <f t="shared" si="88"/>
        <v>3.8755881410826776E-4</v>
      </c>
      <c r="O776">
        <f t="shared" si="89"/>
        <v>-112.31800207338858</v>
      </c>
      <c r="P776">
        <f t="shared" si="90"/>
        <v>-2.6262471675505097E-4</v>
      </c>
    </row>
    <row r="777" spans="1:16" x14ac:dyDescent="0.25">
      <c r="A777" s="2">
        <v>38.75</v>
      </c>
      <c r="B777" s="1">
        <v>-5.6429999999999998</v>
      </c>
      <c r="C777">
        <v>5.7000000000000002E-2</v>
      </c>
      <c r="H777">
        <f t="shared" si="84"/>
        <v>38.75</v>
      </c>
      <c r="I777">
        <f t="shared" si="85"/>
        <v>-5.6429999999999998</v>
      </c>
      <c r="J777">
        <f t="shared" si="86"/>
        <v>2.9030821795921282E-2</v>
      </c>
      <c r="K777">
        <f t="shared" si="87"/>
        <v>-113.16023668990034</v>
      </c>
      <c r="L777">
        <f t="shared" si="88"/>
        <v>3.8707762394561701E-4</v>
      </c>
      <c r="O777">
        <f t="shared" si="89"/>
        <v>-113.12013027959026</v>
      </c>
      <c r="P777">
        <f t="shared" si="90"/>
        <v>-2.6310590691770171E-4</v>
      </c>
    </row>
    <row r="778" spans="1:16" x14ac:dyDescent="0.25">
      <c r="A778" s="2">
        <v>38.799999999999997</v>
      </c>
      <c r="B778" s="1">
        <v>-5.7110000000000003</v>
      </c>
      <c r="C778">
        <v>5.7000000000000002E-2</v>
      </c>
      <c r="H778">
        <f t="shared" si="84"/>
        <v>38.799999999999997</v>
      </c>
      <c r="I778">
        <f t="shared" si="85"/>
        <v>-5.7110000000000003</v>
      </c>
      <c r="J778">
        <f t="shared" si="86"/>
        <v>2.8994732533722471E-2</v>
      </c>
      <c r="K778">
        <f t="shared" si="87"/>
        <v>-114.52385464044319</v>
      </c>
      <c r="L778">
        <f t="shared" si="88"/>
        <v>3.8659643378296621E-4</v>
      </c>
      <c r="O778">
        <f t="shared" si="89"/>
        <v>-114.4837482301331</v>
      </c>
      <c r="P778">
        <f t="shared" si="90"/>
        <v>-2.6358709708035251E-4</v>
      </c>
    </row>
    <row r="779" spans="1:16" x14ac:dyDescent="0.25">
      <c r="A779" s="2">
        <v>38.85</v>
      </c>
      <c r="B779" s="1">
        <v>-5.77</v>
      </c>
      <c r="C779">
        <v>5.7000000000000002E-2</v>
      </c>
      <c r="H779">
        <f t="shared" si="84"/>
        <v>38.85</v>
      </c>
      <c r="I779">
        <f t="shared" si="85"/>
        <v>-5.77</v>
      </c>
      <c r="J779">
        <f t="shared" si="86"/>
        <v>2.8958643271523657E-2</v>
      </c>
      <c r="K779">
        <f t="shared" si="87"/>
        <v>-115.70699374459063</v>
      </c>
      <c r="L779">
        <f t="shared" si="88"/>
        <v>3.8611524362031535E-4</v>
      </c>
      <c r="O779">
        <f t="shared" si="89"/>
        <v>-115.66688733428055</v>
      </c>
      <c r="P779">
        <f t="shared" si="90"/>
        <v>-2.6406828724300337E-4</v>
      </c>
    </row>
    <row r="780" spans="1:16" x14ac:dyDescent="0.25">
      <c r="A780" s="2">
        <v>38.9</v>
      </c>
      <c r="B780" s="1">
        <v>-5.7830000000000004</v>
      </c>
      <c r="C780">
        <v>5.7000000000000002E-2</v>
      </c>
      <c r="H780">
        <f t="shared" si="84"/>
        <v>38.9</v>
      </c>
      <c r="I780">
        <f t="shared" si="85"/>
        <v>-5.7830000000000004</v>
      </c>
      <c r="J780">
        <f t="shared" si="86"/>
        <v>2.892255400932485E-2</v>
      </c>
      <c r="K780">
        <f t="shared" si="87"/>
        <v>-115.9676854116062</v>
      </c>
      <c r="L780">
        <f t="shared" si="88"/>
        <v>3.8563405345766461E-4</v>
      </c>
      <c r="O780">
        <f t="shared" si="89"/>
        <v>-115.92757900129611</v>
      </c>
      <c r="P780">
        <f t="shared" si="90"/>
        <v>-2.6454947740565412E-4</v>
      </c>
    </row>
    <row r="781" spans="1:16" x14ac:dyDescent="0.25">
      <c r="A781" s="2">
        <v>38.950000000000003</v>
      </c>
      <c r="B781" s="1">
        <v>-5.7850000000000001</v>
      </c>
      <c r="C781">
        <v>5.7000000000000002E-2</v>
      </c>
      <c r="H781">
        <f t="shared" si="84"/>
        <v>38.950000000000003</v>
      </c>
      <c r="I781">
        <f t="shared" si="85"/>
        <v>-5.7850000000000001</v>
      </c>
      <c r="J781">
        <f t="shared" si="86"/>
        <v>2.8886464747126035E-2</v>
      </c>
      <c r="K781">
        <f t="shared" si="87"/>
        <v>-116.00779182191627</v>
      </c>
      <c r="L781">
        <f t="shared" si="88"/>
        <v>3.8515286329501375E-4</v>
      </c>
      <c r="O781">
        <f t="shared" si="89"/>
        <v>-115.96768541160618</v>
      </c>
      <c r="P781">
        <f t="shared" si="90"/>
        <v>-2.6503066756830497E-4</v>
      </c>
    </row>
    <row r="782" spans="1:16" x14ac:dyDescent="0.25">
      <c r="A782" s="2">
        <v>39</v>
      </c>
      <c r="B782" s="1">
        <v>-5.7850000000000001</v>
      </c>
      <c r="C782">
        <v>5.7000000000000002E-2</v>
      </c>
      <c r="H782">
        <f t="shared" si="84"/>
        <v>39</v>
      </c>
      <c r="I782">
        <f t="shared" si="85"/>
        <v>-5.7850000000000001</v>
      </c>
      <c r="J782">
        <f t="shared" si="86"/>
        <v>2.8850375484927224E-2</v>
      </c>
      <c r="K782">
        <f t="shared" si="87"/>
        <v>-116.00779182191627</v>
      </c>
      <c r="L782">
        <f t="shared" si="88"/>
        <v>3.846716731323629E-4</v>
      </c>
      <c r="O782">
        <f t="shared" si="89"/>
        <v>-115.96768541160618</v>
      </c>
      <c r="P782">
        <f t="shared" si="90"/>
        <v>-2.6551185773095583E-4</v>
      </c>
    </row>
    <row r="783" spans="1:16" x14ac:dyDescent="0.25">
      <c r="A783" s="2">
        <v>39.049999999999997</v>
      </c>
      <c r="B783" s="1">
        <v>-5.7850000000000001</v>
      </c>
      <c r="C783">
        <v>5.7000000000000002E-2</v>
      </c>
      <c r="H783">
        <f t="shared" si="84"/>
        <v>39.049999999999997</v>
      </c>
      <c r="I783">
        <f t="shared" si="85"/>
        <v>-5.7850000000000001</v>
      </c>
      <c r="J783">
        <f t="shared" si="86"/>
        <v>2.8814286222728417E-2</v>
      </c>
      <c r="K783">
        <f t="shared" si="87"/>
        <v>-116.00779182191627</v>
      </c>
      <c r="L783">
        <f t="shared" si="88"/>
        <v>3.8419048296971215E-4</v>
      </c>
      <c r="O783">
        <f t="shared" si="89"/>
        <v>-115.96768541160618</v>
      </c>
      <c r="P783">
        <f t="shared" si="90"/>
        <v>-2.6599304789360657E-4</v>
      </c>
    </row>
    <row r="784" spans="1:16" x14ac:dyDescent="0.25">
      <c r="A784" s="2">
        <v>39.1</v>
      </c>
      <c r="B784" s="1">
        <v>-5.7850000000000001</v>
      </c>
      <c r="C784">
        <v>5.7000000000000002E-2</v>
      </c>
      <c r="H784">
        <f t="shared" si="84"/>
        <v>39.1</v>
      </c>
      <c r="I784">
        <f t="shared" si="85"/>
        <v>-5.7850000000000001</v>
      </c>
      <c r="J784">
        <f t="shared" si="86"/>
        <v>2.8778196960529603E-2</v>
      </c>
      <c r="K784">
        <f t="shared" si="87"/>
        <v>-116.00779182191627</v>
      </c>
      <c r="L784">
        <f t="shared" si="88"/>
        <v>3.8370929280706129E-4</v>
      </c>
      <c r="O784">
        <f t="shared" si="89"/>
        <v>-115.96768541160618</v>
      </c>
      <c r="P784">
        <f t="shared" si="90"/>
        <v>-2.6647423805625743E-4</v>
      </c>
    </row>
    <row r="785" spans="1:16" x14ac:dyDescent="0.25">
      <c r="A785" s="2">
        <v>39.15</v>
      </c>
      <c r="B785" s="1">
        <v>-5.7850000000000001</v>
      </c>
      <c r="C785">
        <v>5.7000000000000002E-2</v>
      </c>
      <c r="H785">
        <f t="shared" si="84"/>
        <v>39.15</v>
      </c>
      <c r="I785">
        <f t="shared" si="85"/>
        <v>-5.7850000000000001</v>
      </c>
      <c r="J785">
        <f t="shared" si="86"/>
        <v>2.8742107698330792E-2</v>
      </c>
      <c r="K785">
        <f t="shared" si="87"/>
        <v>-116.00779182191627</v>
      </c>
      <c r="L785">
        <f t="shared" si="88"/>
        <v>3.8322810264441049E-4</v>
      </c>
      <c r="O785">
        <f t="shared" si="89"/>
        <v>-115.96768541160618</v>
      </c>
      <c r="P785">
        <f t="shared" si="90"/>
        <v>-2.6695542821890823E-4</v>
      </c>
    </row>
    <row r="786" spans="1:16" x14ac:dyDescent="0.25">
      <c r="A786" s="2">
        <v>39.200000000000003</v>
      </c>
      <c r="B786" s="1">
        <v>-5.8010000000000002</v>
      </c>
      <c r="C786">
        <v>5.7000000000000002E-2</v>
      </c>
      <c r="H786">
        <f t="shared" si="84"/>
        <v>39.200000000000003</v>
      </c>
      <c r="I786">
        <f t="shared" si="85"/>
        <v>-5.8010000000000002</v>
      </c>
      <c r="J786">
        <f t="shared" si="86"/>
        <v>2.8706018436131978E-2</v>
      </c>
      <c r="K786">
        <f t="shared" si="87"/>
        <v>-116.32864310439695</v>
      </c>
      <c r="L786">
        <f t="shared" si="88"/>
        <v>3.8274691248175964E-4</v>
      </c>
      <c r="O786">
        <f t="shared" si="89"/>
        <v>-116.28853669408686</v>
      </c>
      <c r="P786">
        <f t="shared" si="90"/>
        <v>-2.6743661838155909E-4</v>
      </c>
    </row>
    <row r="787" spans="1:16" x14ac:dyDescent="0.25">
      <c r="A787" s="2">
        <v>39.25</v>
      </c>
      <c r="B787" s="1">
        <v>-5.9290000000000003</v>
      </c>
      <c r="C787">
        <v>5.6000000000000001E-2</v>
      </c>
      <c r="H787">
        <f t="shared" si="84"/>
        <v>39.25</v>
      </c>
      <c r="I787">
        <f t="shared" si="85"/>
        <v>-5.9290000000000003</v>
      </c>
      <c r="J787">
        <f t="shared" si="86"/>
        <v>2.7669929173933169E-2</v>
      </c>
      <c r="K787">
        <f t="shared" si="87"/>
        <v>-118.89545336424229</v>
      </c>
      <c r="L787">
        <f t="shared" si="88"/>
        <v>3.6893238898577554E-4</v>
      </c>
      <c r="O787">
        <f t="shared" si="89"/>
        <v>-118.8553469539322</v>
      </c>
      <c r="P787">
        <f t="shared" si="90"/>
        <v>-2.8125114187754318E-4</v>
      </c>
    </row>
    <row r="788" spans="1:16" x14ac:dyDescent="0.25">
      <c r="A788" s="2">
        <v>39.299999999999997</v>
      </c>
      <c r="B788" s="1">
        <v>-6.03</v>
      </c>
      <c r="C788">
        <v>5.6000000000000001E-2</v>
      </c>
      <c r="H788">
        <f t="shared" si="84"/>
        <v>39.299999999999997</v>
      </c>
      <c r="I788">
        <f t="shared" si="85"/>
        <v>-6.03</v>
      </c>
      <c r="J788">
        <f t="shared" si="86"/>
        <v>2.7633839911734358E-2</v>
      </c>
      <c r="K788">
        <f t="shared" si="87"/>
        <v>-120.92082708490149</v>
      </c>
      <c r="L788">
        <f t="shared" si="88"/>
        <v>3.6845119882312468E-4</v>
      </c>
      <c r="O788">
        <f t="shared" si="89"/>
        <v>-120.8807206745914</v>
      </c>
      <c r="P788">
        <f t="shared" si="90"/>
        <v>-2.8173233204019404E-4</v>
      </c>
    </row>
    <row r="789" spans="1:16" x14ac:dyDescent="0.25">
      <c r="A789" s="2">
        <v>39.35</v>
      </c>
      <c r="B789" s="1">
        <v>-6.0830000000000002</v>
      </c>
      <c r="C789">
        <v>5.6000000000000001E-2</v>
      </c>
      <c r="H789">
        <f t="shared" si="84"/>
        <v>39.35</v>
      </c>
      <c r="I789">
        <f t="shared" si="85"/>
        <v>-6.0830000000000002</v>
      </c>
      <c r="J789">
        <f t="shared" si="86"/>
        <v>2.7597750649535544E-2</v>
      </c>
      <c r="K789">
        <f t="shared" si="87"/>
        <v>-121.9836469581187</v>
      </c>
      <c r="L789">
        <f t="shared" si="88"/>
        <v>3.6797000866047383E-4</v>
      </c>
      <c r="O789">
        <f t="shared" si="89"/>
        <v>-121.94354054780861</v>
      </c>
      <c r="P789">
        <f t="shared" si="90"/>
        <v>-2.8221352220284489E-4</v>
      </c>
    </row>
    <row r="790" spans="1:16" x14ac:dyDescent="0.25">
      <c r="A790" s="2">
        <v>39.4</v>
      </c>
      <c r="B790" s="1">
        <v>-6.1239999999999997</v>
      </c>
      <c r="C790">
        <v>5.6000000000000001E-2</v>
      </c>
      <c r="H790">
        <f t="shared" si="84"/>
        <v>39.4</v>
      </c>
      <c r="I790">
        <f t="shared" si="85"/>
        <v>-6.1239999999999997</v>
      </c>
      <c r="J790">
        <f t="shared" si="86"/>
        <v>2.7561661387336737E-2</v>
      </c>
      <c r="K790">
        <f t="shared" si="87"/>
        <v>-122.80582836947541</v>
      </c>
      <c r="L790">
        <f t="shared" si="88"/>
        <v>3.6748881849782308E-4</v>
      </c>
      <c r="O790">
        <f t="shared" si="89"/>
        <v>-122.76572195916532</v>
      </c>
      <c r="P790">
        <f t="shared" si="90"/>
        <v>-2.8269471236549564E-4</v>
      </c>
    </row>
    <row r="791" spans="1:16" x14ac:dyDescent="0.25">
      <c r="A791" s="2">
        <v>39.450000000000003</v>
      </c>
      <c r="B791" s="1">
        <v>-6.1230000000000002</v>
      </c>
      <c r="C791">
        <v>5.6000000000000001E-2</v>
      </c>
      <c r="H791">
        <f t="shared" si="84"/>
        <v>39.450000000000003</v>
      </c>
      <c r="I791">
        <f t="shared" si="85"/>
        <v>-6.1230000000000002</v>
      </c>
      <c r="J791">
        <f t="shared" si="86"/>
        <v>2.7525572125137922E-2</v>
      </c>
      <c r="K791">
        <f t="shared" si="87"/>
        <v>-122.78577516432037</v>
      </c>
      <c r="L791">
        <f t="shared" si="88"/>
        <v>3.6700762833517223E-4</v>
      </c>
      <c r="O791">
        <f t="shared" si="89"/>
        <v>-122.74566875401028</v>
      </c>
      <c r="P791">
        <f t="shared" si="90"/>
        <v>-2.831759025281465E-4</v>
      </c>
    </row>
    <row r="792" spans="1:16" x14ac:dyDescent="0.25">
      <c r="A792" s="2">
        <v>39.5</v>
      </c>
      <c r="B792" s="1">
        <v>-6.1230000000000002</v>
      </c>
      <c r="C792">
        <v>5.6000000000000001E-2</v>
      </c>
      <c r="H792">
        <f t="shared" si="84"/>
        <v>39.5</v>
      </c>
      <c r="I792">
        <f t="shared" si="85"/>
        <v>-6.1230000000000002</v>
      </c>
      <c r="J792">
        <f t="shared" si="86"/>
        <v>2.7489482862939112E-2</v>
      </c>
      <c r="K792">
        <f t="shared" si="87"/>
        <v>-122.78577516432037</v>
      </c>
      <c r="L792">
        <f t="shared" si="88"/>
        <v>3.6652643817252143E-4</v>
      </c>
      <c r="O792">
        <f t="shared" si="89"/>
        <v>-122.74566875401028</v>
      </c>
      <c r="P792">
        <f t="shared" si="90"/>
        <v>-2.836570926907973E-4</v>
      </c>
    </row>
    <row r="793" spans="1:16" x14ac:dyDescent="0.25">
      <c r="A793" s="2">
        <v>39.549999999999997</v>
      </c>
      <c r="B793" s="1">
        <v>-6.1230000000000002</v>
      </c>
      <c r="C793">
        <v>5.6000000000000001E-2</v>
      </c>
      <c r="H793">
        <f t="shared" si="84"/>
        <v>39.549999999999997</v>
      </c>
      <c r="I793">
        <f t="shared" si="85"/>
        <v>-6.1230000000000002</v>
      </c>
      <c r="J793">
        <f t="shared" si="86"/>
        <v>2.7453393600740304E-2</v>
      </c>
      <c r="K793">
        <f t="shared" si="87"/>
        <v>-122.78577516432037</v>
      </c>
      <c r="L793">
        <f t="shared" si="88"/>
        <v>3.6604524800987063E-4</v>
      </c>
      <c r="O793">
        <f t="shared" si="89"/>
        <v>-122.74566875401028</v>
      </c>
      <c r="P793">
        <f t="shared" si="90"/>
        <v>-2.841382828534481E-4</v>
      </c>
    </row>
    <row r="794" spans="1:16" x14ac:dyDescent="0.25">
      <c r="A794" s="2">
        <v>39.6</v>
      </c>
      <c r="B794" s="1">
        <v>-6.1230000000000002</v>
      </c>
      <c r="C794">
        <v>5.6000000000000001E-2</v>
      </c>
      <c r="H794">
        <f t="shared" si="84"/>
        <v>39.6</v>
      </c>
      <c r="I794">
        <f t="shared" si="85"/>
        <v>-6.1230000000000002</v>
      </c>
      <c r="J794">
        <f t="shared" si="86"/>
        <v>2.741730433854149E-2</v>
      </c>
      <c r="K794">
        <f t="shared" si="87"/>
        <v>-122.78577516432037</v>
      </c>
      <c r="L794">
        <f t="shared" si="88"/>
        <v>3.6556405784721977E-4</v>
      </c>
      <c r="O794">
        <f t="shared" si="89"/>
        <v>-122.74566875401028</v>
      </c>
      <c r="P794">
        <f t="shared" si="90"/>
        <v>-2.8461947301609895E-4</v>
      </c>
    </row>
    <row r="795" spans="1:16" x14ac:dyDescent="0.25">
      <c r="A795" s="2">
        <v>39.65</v>
      </c>
      <c r="B795" s="1">
        <v>-6.1239999999999997</v>
      </c>
      <c r="C795">
        <v>5.6000000000000001E-2</v>
      </c>
      <c r="H795">
        <f t="shared" si="84"/>
        <v>39.65</v>
      </c>
      <c r="I795">
        <f t="shared" si="85"/>
        <v>-6.1239999999999997</v>
      </c>
      <c r="J795">
        <f t="shared" si="86"/>
        <v>2.7381215076342679E-2</v>
      </c>
      <c r="K795">
        <f t="shared" si="87"/>
        <v>-122.80582836947541</v>
      </c>
      <c r="L795">
        <f t="shared" si="88"/>
        <v>3.6508286768456897E-4</v>
      </c>
      <c r="O795">
        <f t="shared" si="89"/>
        <v>-122.76572195916532</v>
      </c>
      <c r="P795">
        <f t="shared" si="90"/>
        <v>-2.8510066317874975E-4</v>
      </c>
    </row>
    <row r="796" spans="1:16" x14ac:dyDescent="0.25">
      <c r="A796" s="2">
        <v>39.700000000000003</v>
      </c>
      <c r="B796" s="1">
        <v>-6.1230000000000002</v>
      </c>
      <c r="C796">
        <v>5.6000000000000001E-2</v>
      </c>
      <c r="H796">
        <f t="shared" si="84"/>
        <v>39.700000000000003</v>
      </c>
      <c r="I796">
        <f t="shared" si="85"/>
        <v>-6.1230000000000002</v>
      </c>
      <c r="J796">
        <f t="shared" si="86"/>
        <v>2.7345125814143865E-2</v>
      </c>
      <c r="K796">
        <f t="shared" si="87"/>
        <v>-122.78577516432037</v>
      </c>
      <c r="L796">
        <f t="shared" si="88"/>
        <v>3.6460167752191811E-4</v>
      </c>
      <c r="O796">
        <f t="shared" si="89"/>
        <v>-122.74566875401028</v>
      </c>
      <c r="P796">
        <f t="shared" si="90"/>
        <v>-2.8558185334140061E-4</v>
      </c>
    </row>
    <row r="797" spans="1:16" x14ac:dyDescent="0.25">
      <c r="A797" s="2">
        <v>39.75</v>
      </c>
      <c r="B797" s="1">
        <v>-6.125</v>
      </c>
      <c r="C797">
        <v>5.6000000000000001E-2</v>
      </c>
      <c r="H797">
        <f t="shared" si="84"/>
        <v>39.75</v>
      </c>
      <c r="I797">
        <f t="shared" si="85"/>
        <v>-6.125</v>
      </c>
      <c r="J797">
        <f t="shared" si="86"/>
        <v>2.7309036551945057E-2</v>
      </c>
      <c r="K797">
        <f t="shared" si="87"/>
        <v>-122.82588157463044</v>
      </c>
      <c r="L797">
        <f t="shared" si="88"/>
        <v>3.6412048735926737E-4</v>
      </c>
      <c r="O797">
        <f t="shared" si="89"/>
        <v>-122.78577516432036</v>
      </c>
      <c r="P797">
        <f t="shared" si="90"/>
        <v>-2.8606304350405136E-4</v>
      </c>
    </row>
    <row r="798" spans="1:16" x14ac:dyDescent="0.25">
      <c r="A798" s="2">
        <v>39.799999999999997</v>
      </c>
      <c r="B798" s="1">
        <v>-6.1790000000000003</v>
      </c>
      <c r="C798">
        <v>5.6000000000000001E-2</v>
      </c>
      <c r="H798">
        <f t="shared" si="84"/>
        <v>39.799999999999997</v>
      </c>
      <c r="I798">
        <f t="shared" si="85"/>
        <v>-6.1790000000000003</v>
      </c>
      <c r="J798">
        <f t="shared" si="86"/>
        <v>2.7272947289746247E-2</v>
      </c>
      <c r="K798">
        <f t="shared" si="87"/>
        <v>-123.9087546530027</v>
      </c>
      <c r="L798">
        <f t="shared" si="88"/>
        <v>3.6363929719661657E-4</v>
      </c>
      <c r="O798">
        <f t="shared" si="89"/>
        <v>-123.86864824269261</v>
      </c>
      <c r="P798">
        <f t="shared" si="90"/>
        <v>-2.8654423366670216E-4</v>
      </c>
    </row>
    <row r="799" spans="1:16" x14ac:dyDescent="0.25">
      <c r="A799" s="2">
        <v>39.85</v>
      </c>
      <c r="B799" s="1">
        <v>-6.234</v>
      </c>
      <c r="C799">
        <v>5.6000000000000001E-2</v>
      </c>
      <c r="H799">
        <f t="shared" si="84"/>
        <v>39.85</v>
      </c>
      <c r="I799">
        <f t="shared" si="85"/>
        <v>-6.234</v>
      </c>
      <c r="J799">
        <f t="shared" si="86"/>
        <v>2.7236858027547432E-2</v>
      </c>
      <c r="K799">
        <f t="shared" si="87"/>
        <v>-125.01168093653</v>
      </c>
      <c r="L799">
        <f t="shared" si="88"/>
        <v>3.6315810703396571E-4</v>
      </c>
      <c r="O799">
        <f t="shared" si="89"/>
        <v>-124.97157452621991</v>
      </c>
      <c r="P799">
        <f t="shared" si="90"/>
        <v>-2.8702542382935301E-4</v>
      </c>
    </row>
    <row r="800" spans="1:16" x14ac:dyDescent="0.25">
      <c r="A800" s="2">
        <v>39.9</v>
      </c>
      <c r="B800" s="1">
        <v>-6.2930000000000001</v>
      </c>
      <c r="C800">
        <v>5.6000000000000001E-2</v>
      </c>
      <c r="H800">
        <f t="shared" si="84"/>
        <v>39.9</v>
      </c>
      <c r="I800">
        <f t="shared" si="85"/>
        <v>-6.2930000000000001</v>
      </c>
      <c r="J800">
        <f t="shared" si="86"/>
        <v>2.7200768765348625E-2</v>
      </c>
      <c r="K800">
        <f t="shared" si="87"/>
        <v>-126.19482004067746</v>
      </c>
      <c r="L800">
        <f t="shared" si="88"/>
        <v>3.6267691687131491E-4</v>
      </c>
      <c r="O800">
        <f t="shared" si="89"/>
        <v>-126.15471363036737</v>
      </c>
      <c r="P800">
        <f t="shared" si="90"/>
        <v>-2.8750661399200381E-4</v>
      </c>
    </row>
    <row r="801" spans="1:16" x14ac:dyDescent="0.25">
      <c r="A801" s="2">
        <v>39.950000000000003</v>
      </c>
      <c r="B801" s="1">
        <v>-6.4669999999999996</v>
      </c>
      <c r="C801">
        <v>5.5E-2</v>
      </c>
      <c r="H801">
        <f t="shared" si="84"/>
        <v>39.950000000000003</v>
      </c>
      <c r="I801">
        <f t="shared" si="85"/>
        <v>-6.4669999999999996</v>
      </c>
      <c r="J801">
        <f t="shared" si="86"/>
        <v>2.616467950314981E-2</v>
      </c>
      <c r="K801">
        <f t="shared" si="87"/>
        <v>-129.68407773765472</v>
      </c>
      <c r="L801">
        <f t="shared" si="88"/>
        <v>3.488623933753307E-4</v>
      </c>
      <c r="O801">
        <f t="shared" si="89"/>
        <v>-129.64397132734462</v>
      </c>
      <c r="P801">
        <f t="shared" si="90"/>
        <v>-3.0132113748798802E-4</v>
      </c>
    </row>
    <row r="802" spans="1:16" x14ac:dyDescent="0.25">
      <c r="A802" s="2">
        <v>40</v>
      </c>
      <c r="B802" s="1">
        <v>-6.5570000000000004</v>
      </c>
      <c r="C802">
        <v>5.5E-2</v>
      </c>
      <c r="H802">
        <f t="shared" si="84"/>
        <v>40</v>
      </c>
      <c r="I802">
        <f t="shared" si="85"/>
        <v>-6.5570000000000004</v>
      </c>
      <c r="J802">
        <f t="shared" si="86"/>
        <v>2.6128590240950999E-2</v>
      </c>
      <c r="K802">
        <f t="shared" si="87"/>
        <v>-131.48886620160846</v>
      </c>
      <c r="L802">
        <f t="shared" si="88"/>
        <v>3.483812032126799E-4</v>
      </c>
      <c r="O802">
        <f t="shared" si="89"/>
        <v>-131.44875979129836</v>
      </c>
      <c r="P802">
        <f t="shared" si="90"/>
        <v>-3.0180232765063882E-4</v>
      </c>
    </row>
    <row r="803" spans="1:16" x14ac:dyDescent="0.25">
      <c r="A803" s="2">
        <v>40.049999999999997</v>
      </c>
      <c r="B803" s="1">
        <v>-6.5679999999999996</v>
      </c>
      <c r="C803">
        <v>5.5E-2</v>
      </c>
      <c r="H803">
        <f t="shared" si="84"/>
        <v>40.049999999999997</v>
      </c>
      <c r="I803">
        <f t="shared" si="85"/>
        <v>-6.5679999999999996</v>
      </c>
      <c r="J803">
        <f t="shared" si="86"/>
        <v>2.6092500978752188E-2</v>
      </c>
      <c r="K803">
        <f t="shared" si="87"/>
        <v>-131.70945145831391</v>
      </c>
      <c r="L803">
        <f t="shared" si="88"/>
        <v>3.479000130500291E-4</v>
      </c>
      <c r="O803">
        <f t="shared" si="89"/>
        <v>-131.66934504800383</v>
      </c>
      <c r="P803">
        <f t="shared" si="90"/>
        <v>-3.0228351781328962E-4</v>
      </c>
    </row>
    <row r="804" spans="1:16" x14ac:dyDescent="0.25">
      <c r="A804" s="2">
        <v>40.1</v>
      </c>
      <c r="B804" s="1">
        <v>-6.5720000000000001</v>
      </c>
      <c r="C804">
        <v>5.5E-2</v>
      </c>
      <c r="H804">
        <f t="shared" si="84"/>
        <v>40.1</v>
      </c>
      <c r="I804">
        <f t="shared" si="85"/>
        <v>-6.5720000000000001</v>
      </c>
      <c r="J804">
        <f t="shared" si="86"/>
        <v>2.6056411716553374E-2</v>
      </c>
      <c r="K804">
        <f t="shared" si="87"/>
        <v>-131.78966427893408</v>
      </c>
      <c r="L804">
        <f t="shared" si="88"/>
        <v>3.4741882288737825E-4</v>
      </c>
      <c r="O804">
        <f t="shared" si="89"/>
        <v>-131.74955786862398</v>
      </c>
      <c r="P804">
        <f t="shared" si="90"/>
        <v>-3.0276470797594048E-4</v>
      </c>
    </row>
    <row r="805" spans="1:16" x14ac:dyDescent="0.25">
      <c r="A805" s="2">
        <v>40.15</v>
      </c>
      <c r="B805" s="1">
        <v>-6.5720000000000001</v>
      </c>
      <c r="C805">
        <v>5.5E-2</v>
      </c>
      <c r="H805">
        <f t="shared" si="84"/>
        <v>40.15</v>
      </c>
      <c r="I805">
        <f t="shared" si="85"/>
        <v>-6.5720000000000001</v>
      </c>
      <c r="J805">
        <f t="shared" si="86"/>
        <v>2.6020322454354566E-2</v>
      </c>
      <c r="K805">
        <f t="shared" si="87"/>
        <v>-131.78966427893408</v>
      </c>
      <c r="L805">
        <f t="shared" si="88"/>
        <v>3.469376327247275E-4</v>
      </c>
      <c r="O805">
        <f t="shared" si="89"/>
        <v>-131.74955786862398</v>
      </c>
      <c r="P805">
        <f t="shared" si="90"/>
        <v>-3.0324589813859122E-4</v>
      </c>
    </row>
    <row r="806" spans="1:16" x14ac:dyDescent="0.25">
      <c r="A806" s="2">
        <v>40.200000000000003</v>
      </c>
      <c r="B806" s="1">
        <v>-6.5720000000000001</v>
      </c>
      <c r="C806">
        <v>5.5E-2</v>
      </c>
      <c r="H806">
        <f t="shared" si="84"/>
        <v>40.200000000000003</v>
      </c>
      <c r="I806">
        <f t="shared" si="85"/>
        <v>-6.5720000000000001</v>
      </c>
      <c r="J806">
        <f t="shared" si="86"/>
        <v>2.5984233192155752E-2</v>
      </c>
      <c r="K806">
        <f t="shared" si="87"/>
        <v>-131.78966427893408</v>
      </c>
      <c r="L806">
        <f t="shared" si="88"/>
        <v>3.4645644256207664E-4</v>
      </c>
      <c r="O806">
        <f t="shared" si="89"/>
        <v>-131.74955786862398</v>
      </c>
      <c r="P806">
        <f t="shared" si="90"/>
        <v>-3.0372708830124208E-4</v>
      </c>
    </row>
    <row r="807" spans="1:16" x14ac:dyDescent="0.25">
      <c r="A807" s="2">
        <v>40.25</v>
      </c>
      <c r="B807" s="1">
        <v>-6.5720000000000001</v>
      </c>
      <c r="C807">
        <v>5.5E-2</v>
      </c>
      <c r="H807">
        <f t="shared" si="84"/>
        <v>40.25</v>
      </c>
      <c r="I807">
        <f t="shared" si="85"/>
        <v>-6.5720000000000001</v>
      </c>
      <c r="J807">
        <f t="shared" si="86"/>
        <v>2.5948143929956941E-2</v>
      </c>
      <c r="K807">
        <f t="shared" si="87"/>
        <v>-131.78966427893408</v>
      </c>
      <c r="L807">
        <f t="shared" si="88"/>
        <v>3.4597525239942579E-4</v>
      </c>
      <c r="O807">
        <f t="shared" si="89"/>
        <v>-131.74955786862398</v>
      </c>
      <c r="P807">
        <f t="shared" si="90"/>
        <v>-3.0420827846389293E-4</v>
      </c>
    </row>
    <row r="808" spans="1:16" x14ac:dyDescent="0.25">
      <c r="A808" s="2">
        <v>40.299999999999997</v>
      </c>
      <c r="B808" s="1">
        <v>-6.5739999999999998</v>
      </c>
      <c r="C808">
        <v>5.5E-2</v>
      </c>
      <c r="H808">
        <f t="shared" si="84"/>
        <v>40.299999999999997</v>
      </c>
      <c r="I808">
        <f t="shared" si="85"/>
        <v>-6.5739999999999998</v>
      </c>
      <c r="J808">
        <f t="shared" si="86"/>
        <v>2.5912054667758134E-2</v>
      </c>
      <c r="K808">
        <f t="shared" si="87"/>
        <v>-131.82977068924419</v>
      </c>
      <c r="L808">
        <f t="shared" si="88"/>
        <v>3.4549406223677504E-4</v>
      </c>
      <c r="O808">
        <f t="shared" si="89"/>
        <v>-131.78966427893408</v>
      </c>
      <c r="P808">
        <f t="shared" si="90"/>
        <v>-3.0468946862654368E-4</v>
      </c>
    </row>
    <row r="809" spans="1:16" x14ac:dyDescent="0.25">
      <c r="A809" s="2">
        <v>40.35</v>
      </c>
      <c r="B809" s="1">
        <v>-6.6210000000000004</v>
      </c>
      <c r="C809">
        <v>5.5E-2</v>
      </c>
      <c r="H809">
        <f t="shared" si="84"/>
        <v>40.35</v>
      </c>
      <c r="I809">
        <f t="shared" si="85"/>
        <v>-6.6210000000000004</v>
      </c>
      <c r="J809">
        <f t="shared" si="86"/>
        <v>2.587596540555932E-2</v>
      </c>
      <c r="K809">
        <f t="shared" si="87"/>
        <v>-132.77227133153113</v>
      </c>
      <c r="L809">
        <f t="shared" si="88"/>
        <v>3.4501287207412419E-4</v>
      </c>
      <c r="O809">
        <f t="shared" si="89"/>
        <v>-132.73216492122106</v>
      </c>
      <c r="P809">
        <f t="shared" si="90"/>
        <v>-3.0517065878919454E-4</v>
      </c>
    </row>
    <row r="810" spans="1:16" x14ac:dyDescent="0.25">
      <c r="A810" s="2">
        <v>40.4</v>
      </c>
      <c r="B810" s="1">
        <v>-6.6849999999999996</v>
      </c>
      <c r="C810">
        <v>5.5E-2</v>
      </c>
      <c r="H810">
        <f t="shared" si="84"/>
        <v>40.4</v>
      </c>
      <c r="I810">
        <f t="shared" si="85"/>
        <v>-6.6849999999999996</v>
      </c>
      <c r="J810">
        <f t="shared" si="86"/>
        <v>2.5839876143360509E-2</v>
      </c>
      <c r="K810">
        <f t="shared" si="87"/>
        <v>-134.0556764614538</v>
      </c>
      <c r="L810">
        <f t="shared" si="88"/>
        <v>3.4453168191147339E-4</v>
      </c>
      <c r="O810">
        <f t="shared" si="89"/>
        <v>-134.0155700511437</v>
      </c>
      <c r="P810">
        <f t="shared" si="90"/>
        <v>-3.0565184895184534E-4</v>
      </c>
    </row>
    <row r="811" spans="1:16" x14ac:dyDescent="0.25">
      <c r="A811" s="2">
        <v>40.450000000000003</v>
      </c>
      <c r="B811" s="1">
        <v>-6.7130000000000001</v>
      </c>
      <c r="C811">
        <v>5.5E-2</v>
      </c>
      <c r="H811">
        <f t="shared" si="84"/>
        <v>40.450000000000003</v>
      </c>
      <c r="I811">
        <f t="shared" si="85"/>
        <v>-6.7130000000000001</v>
      </c>
      <c r="J811">
        <f t="shared" si="86"/>
        <v>2.5803786881161694E-2</v>
      </c>
      <c r="K811">
        <f t="shared" si="87"/>
        <v>-134.61716620579497</v>
      </c>
      <c r="L811">
        <f t="shared" si="88"/>
        <v>3.4405049174882253E-4</v>
      </c>
      <c r="O811">
        <f t="shared" si="89"/>
        <v>-134.5770597954849</v>
      </c>
      <c r="P811">
        <f t="shared" si="90"/>
        <v>-3.0613303911449619E-4</v>
      </c>
    </row>
    <row r="812" spans="1:16" x14ac:dyDescent="0.25">
      <c r="A812" s="2">
        <v>40.5</v>
      </c>
      <c r="B812" s="1">
        <v>-6.7359999999999998</v>
      </c>
      <c r="C812">
        <v>5.5E-2</v>
      </c>
      <c r="H812">
        <f t="shared" si="84"/>
        <v>40.5</v>
      </c>
      <c r="I812">
        <f t="shared" si="85"/>
        <v>-6.7359999999999998</v>
      </c>
      <c r="J812">
        <f t="shared" si="86"/>
        <v>2.5767697618962887E-2</v>
      </c>
      <c r="K812">
        <f t="shared" si="87"/>
        <v>-135.07838992436092</v>
      </c>
      <c r="L812">
        <f t="shared" si="88"/>
        <v>3.4356930158617178E-4</v>
      </c>
      <c r="O812">
        <f t="shared" si="89"/>
        <v>-135.03828351405082</v>
      </c>
      <c r="P812">
        <f t="shared" si="90"/>
        <v>-3.0661422927714694E-4</v>
      </c>
    </row>
    <row r="813" spans="1:16" x14ac:dyDescent="0.25">
      <c r="A813" s="2">
        <v>40.549999999999997</v>
      </c>
      <c r="B813" s="1">
        <v>-6.7649999999999997</v>
      </c>
      <c r="C813">
        <v>5.5E-2</v>
      </c>
      <c r="H813">
        <f t="shared" si="84"/>
        <v>40.549999999999997</v>
      </c>
      <c r="I813">
        <f t="shared" si="85"/>
        <v>-6.7649999999999997</v>
      </c>
      <c r="J813">
        <f t="shared" si="86"/>
        <v>2.5731608356764076E-2</v>
      </c>
      <c r="K813">
        <f t="shared" si="87"/>
        <v>-135.65993287385714</v>
      </c>
      <c r="L813">
        <f t="shared" si="88"/>
        <v>3.4308811142352093E-4</v>
      </c>
      <c r="O813">
        <f t="shared" si="89"/>
        <v>-135.61982646354704</v>
      </c>
      <c r="P813">
        <f t="shared" si="90"/>
        <v>-3.0709541943979779E-4</v>
      </c>
    </row>
    <row r="814" spans="1:16" x14ac:dyDescent="0.25">
      <c r="A814" s="2">
        <v>40.6</v>
      </c>
      <c r="B814" s="1">
        <v>-6.8090000000000002</v>
      </c>
      <c r="C814">
        <v>5.3999999999999999E-2</v>
      </c>
      <c r="H814">
        <f t="shared" si="84"/>
        <v>40.6</v>
      </c>
      <c r="I814">
        <f t="shared" si="85"/>
        <v>-6.8090000000000002</v>
      </c>
      <c r="J814">
        <f t="shared" si="86"/>
        <v>2.4695519094565261E-2</v>
      </c>
      <c r="K814">
        <f t="shared" si="87"/>
        <v>-136.54227390067899</v>
      </c>
      <c r="L814">
        <f t="shared" si="88"/>
        <v>3.2927358792753672E-4</v>
      </c>
      <c r="O814">
        <f t="shared" si="89"/>
        <v>-136.50216749036889</v>
      </c>
      <c r="P814">
        <f t="shared" si="90"/>
        <v>-3.20909942935782E-4</v>
      </c>
    </row>
    <row r="815" spans="1:16" x14ac:dyDescent="0.25">
      <c r="A815" s="2">
        <v>40.65</v>
      </c>
      <c r="B815" s="1">
        <v>-6.8150000000000004</v>
      </c>
      <c r="C815">
        <v>5.5E-2</v>
      </c>
      <c r="H815">
        <f t="shared" si="84"/>
        <v>40.65</v>
      </c>
      <c r="I815">
        <f t="shared" si="85"/>
        <v>-6.8150000000000004</v>
      </c>
      <c r="J815">
        <f t="shared" si="86"/>
        <v>2.5659429832366454E-2</v>
      </c>
      <c r="K815">
        <f t="shared" si="87"/>
        <v>-136.66259313160924</v>
      </c>
      <c r="L815">
        <f t="shared" si="88"/>
        <v>3.4212573109821933E-4</v>
      </c>
      <c r="O815">
        <f t="shared" si="89"/>
        <v>-136.62248672129914</v>
      </c>
      <c r="P815">
        <f t="shared" si="90"/>
        <v>-3.080577997650994E-4</v>
      </c>
    </row>
    <row r="816" spans="1:16" x14ac:dyDescent="0.25">
      <c r="A816" s="2">
        <v>40.700000000000003</v>
      </c>
      <c r="B816" s="1">
        <v>-6.8150000000000004</v>
      </c>
      <c r="C816">
        <v>5.5E-2</v>
      </c>
      <c r="H816">
        <f t="shared" si="84"/>
        <v>40.700000000000003</v>
      </c>
      <c r="I816">
        <f t="shared" si="85"/>
        <v>-6.8150000000000004</v>
      </c>
      <c r="J816">
        <f t="shared" si="86"/>
        <v>2.562334057016764E-2</v>
      </c>
      <c r="K816">
        <f t="shared" si="87"/>
        <v>-136.66259313160924</v>
      </c>
      <c r="L816">
        <f t="shared" si="88"/>
        <v>3.4164454093556847E-4</v>
      </c>
      <c r="O816">
        <f t="shared" si="89"/>
        <v>-136.62248672129914</v>
      </c>
      <c r="P816">
        <f t="shared" si="90"/>
        <v>-3.0853898992775025E-4</v>
      </c>
    </row>
    <row r="817" spans="1:16" x14ac:dyDescent="0.25">
      <c r="A817" s="2">
        <v>40.75</v>
      </c>
      <c r="B817" s="1">
        <v>-6.8150000000000004</v>
      </c>
      <c r="C817">
        <v>5.3999999999999999E-2</v>
      </c>
      <c r="H817">
        <f t="shared" si="84"/>
        <v>40.75</v>
      </c>
      <c r="I817">
        <f t="shared" si="85"/>
        <v>-6.8150000000000004</v>
      </c>
      <c r="J817">
        <f t="shared" si="86"/>
        <v>2.4587251307968828E-2</v>
      </c>
      <c r="K817">
        <f t="shared" si="87"/>
        <v>-136.66259313160924</v>
      </c>
      <c r="L817">
        <f t="shared" si="88"/>
        <v>3.2783001743958432E-4</v>
      </c>
      <c r="O817">
        <f t="shared" si="89"/>
        <v>-136.62248672129914</v>
      </c>
      <c r="P817">
        <f t="shared" si="90"/>
        <v>-3.223535134237344E-4</v>
      </c>
    </row>
    <row r="818" spans="1:16" x14ac:dyDescent="0.25">
      <c r="A818" s="2">
        <v>40.799999999999997</v>
      </c>
      <c r="B818" s="1">
        <v>-6.8150000000000004</v>
      </c>
      <c r="C818">
        <v>5.5E-2</v>
      </c>
      <c r="H818">
        <f t="shared" si="84"/>
        <v>40.799999999999997</v>
      </c>
      <c r="I818">
        <f t="shared" si="85"/>
        <v>-6.8150000000000004</v>
      </c>
      <c r="J818">
        <f t="shared" si="86"/>
        <v>2.5551162045770022E-2</v>
      </c>
      <c r="K818">
        <f t="shared" si="87"/>
        <v>-136.66259313160924</v>
      </c>
      <c r="L818">
        <f t="shared" si="88"/>
        <v>3.4068216061026687E-4</v>
      </c>
      <c r="O818">
        <f t="shared" si="89"/>
        <v>-136.62248672129914</v>
      </c>
      <c r="P818">
        <f t="shared" si="90"/>
        <v>-3.0950137025305185E-4</v>
      </c>
    </row>
    <row r="819" spans="1:16" x14ac:dyDescent="0.25">
      <c r="A819" s="2">
        <v>40.85</v>
      </c>
      <c r="B819" s="1">
        <v>-6.8150000000000004</v>
      </c>
      <c r="C819">
        <v>5.3999999999999999E-2</v>
      </c>
      <c r="H819">
        <f t="shared" si="84"/>
        <v>40.85</v>
      </c>
      <c r="I819">
        <f t="shared" si="85"/>
        <v>-6.8150000000000004</v>
      </c>
      <c r="J819">
        <f t="shared" si="86"/>
        <v>2.4515072783571207E-2</v>
      </c>
      <c r="K819">
        <f t="shared" si="87"/>
        <v>-136.66259313160924</v>
      </c>
      <c r="L819">
        <f t="shared" si="88"/>
        <v>3.2686763711428272E-4</v>
      </c>
      <c r="O819">
        <f t="shared" si="89"/>
        <v>-136.62248672129914</v>
      </c>
      <c r="P819">
        <f t="shared" si="90"/>
        <v>-3.2331589374903601E-4</v>
      </c>
    </row>
    <row r="820" spans="1:16" x14ac:dyDescent="0.25">
      <c r="A820" s="2">
        <v>40.9</v>
      </c>
      <c r="B820" s="1">
        <v>-6.8150000000000004</v>
      </c>
      <c r="C820">
        <v>5.3999999999999999E-2</v>
      </c>
      <c r="H820">
        <f t="shared" si="84"/>
        <v>40.9</v>
      </c>
      <c r="I820">
        <f t="shared" si="85"/>
        <v>-6.8150000000000004</v>
      </c>
      <c r="J820">
        <f t="shared" si="86"/>
        <v>2.4478983521372396E-2</v>
      </c>
      <c r="K820">
        <f t="shared" si="87"/>
        <v>-136.66259313160924</v>
      </c>
      <c r="L820">
        <f t="shared" si="88"/>
        <v>3.2638644695163186E-4</v>
      </c>
      <c r="O820">
        <f t="shared" si="89"/>
        <v>-136.62248672129914</v>
      </c>
      <c r="P820">
        <f t="shared" si="90"/>
        <v>-3.2379708391168686E-4</v>
      </c>
    </row>
    <row r="821" spans="1:16" x14ac:dyDescent="0.25">
      <c r="A821" s="2">
        <v>40.950000000000003</v>
      </c>
      <c r="B821" s="1">
        <v>-6.8310000000000004</v>
      </c>
      <c r="C821">
        <v>5.5E-2</v>
      </c>
      <c r="H821">
        <f t="shared" si="84"/>
        <v>40.950000000000003</v>
      </c>
      <c r="I821">
        <f t="shared" si="85"/>
        <v>-6.8310000000000004</v>
      </c>
      <c r="J821">
        <f t="shared" si="86"/>
        <v>2.5442894259173583E-2</v>
      </c>
      <c r="K821">
        <f t="shared" si="87"/>
        <v>-136.98344441408989</v>
      </c>
      <c r="L821">
        <f t="shared" si="88"/>
        <v>3.3923859012231436E-4</v>
      </c>
      <c r="O821">
        <f t="shared" si="89"/>
        <v>-136.94333800377979</v>
      </c>
      <c r="P821">
        <f t="shared" si="90"/>
        <v>-3.1094494074100437E-4</v>
      </c>
    </row>
    <row r="822" spans="1:16" x14ac:dyDescent="0.25">
      <c r="A822" s="2">
        <v>41</v>
      </c>
      <c r="B822" s="1">
        <v>-6.9089999999999998</v>
      </c>
      <c r="C822">
        <v>5.5E-2</v>
      </c>
      <c r="H822">
        <f t="shared" si="84"/>
        <v>41</v>
      </c>
      <c r="I822">
        <f t="shared" si="85"/>
        <v>-6.9089999999999998</v>
      </c>
      <c r="J822">
        <f t="shared" si="86"/>
        <v>2.5406804996974775E-2</v>
      </c>
      <c r="K822">
        <f t="shared" si="87"/>
        <v>-138.54759441618313</v>
      </c>
      <c r="L822">
        <f t="shared" si="88"/>
        <v>3.3875739995966361E-4</v>
      </c>
      <c r="O822">
        <f t="shared" si="89"/>
        <v>-138.50748800587303</v>
      </c>
      <c r="P822">
        <f t="shared" si="90"/>
        <v>-3.1142613090365511E-4</v>
      </c>
    </row>
    <row r="823" spans="1:16" x14ac:dyDescent="0.25">
      <c r="A823" s="2">
        <v>41.05</v>
      </c>
      <c r="B823" s="1">
        <v>-6.96</v>
      </c>
      <c r="C823">
        <v>5.3999999999999999E-2</v>
      </c>
      <c r="H823">
        <f t="shared" si="84"/>
        <v>41.05</v>
      </c>
      <c r="I823">
        <f t="shared" si="85"/>
        <v>-6.96</v>
      </c>
      <c r="J823">
        <f t="shared" si="86"/>
        <v>2.4370715734775963E-2</v>
      </c>
      <c r="K823">
        <f t="shared" si="87"/>
        <v>-139.57030787909028</v>
      </c>
      <c r="L823">
        <f t="shared" si="88"/>
        <v>3.2494287646367946E-4</v>
      </c>
      <c r="O823">
        <f t="shared" si="89"/>
        <v>-139.53020146878021</v>
      </c>
      <c r="P823">
        <f t="shared" si="90"/>
        <v>-3.2524065439963926E-4</v>
      </c>
    </row>
    <row r="824" spans="1:16" x14ac:dyDescent="0.25">
      <c r="A824" s="2">
        <v>41.1</v>
      </c>
      <c r="B824" s="1">
        <v>-6.9850000000000003</v>
      </c>
      <c r="C824">
        <v>5.3999999999999999E-2</v>
      </c>
      <c r="H824">
        <f t="shared" si="84"/>
        <v>41.1</v>
      </c>
      <c r="I824">
        <f t="shared" si="85"/>
        <v>-6.9850000000000003</v>
      </c>
      <c r="J824">
        <f t="shared" si="86"/>
        <v>2.4334626472577149E-2</v>
      </c>
      <c r="K824">
        <f t="shared" si="87"/>
        <v>-140.07163800796633</v>
      </c>
      <c r="L824">
        <f t="shared" si="88"/>
        <v>3.244616863010286E-4</v>
      </c>
      <c r="O824">
        <f t="shared" si="89"/>
        <v>-140.03153159765623</v>
      </c>
      <c r="P824">
        <f t="shared" si="90"/>
        <v>-3.2572184456229012E-4</v>
      </c>
    </row>
    <row r="825" spans="1:16" x14ac:dyDescent="0.25">
      <c r="A825" s="2">
        <v>41.15</v>
      </c>
      <c r="B825" s="1">
        <v>-6.9960000000000004</v>
      </c>
      <c r="C825">
        <v>5.5E-2</v>
      </c>
      <c r="H825">
        <f t="shared" si="84"/>
        <v>41.15</v>
      </c>
      <c r="I825">
        <f t="shared" si="85"/>
        <v>-6.9960000000000004</v>
      </c>
      <c r="J825">
        <f t="shared" si="86"/>
        <v>2.5298537210378343E-2</v>
      </c>
      <c r="K825">
        <f t="shared" si="87"/>
        <v>-140.29222326467178</v>
      </c>
      <c r="L825">
        <f t="shared" si="88"/>
        <v>3.3731382947171115E-4</v>
      </c>
      <c r="O825">
        <f t="shared" si="89"/>
        <v>-140.2521168543617</v>
      </c>
      <c r="P825">
        <f t="shared" si="90"/>
        <v>-3.1286970139160757E-4</v>
      </c>
    </row>
    <row r="826" spans="1:16" x14ac:dyDescent="0.25">
      <c r="A826" s="2">
        <v>41.2</v>
      </c>
      <c r="B826" s="1">
        <v>-7.0030000000000001</v>
      </c>
      <c r="C826">
        <v>5.3999999999999999E-2</v>
      </c>
      <c r="H826">
        <f t="shared" si="84"/>
        <v>41.2</v>
      </c>
      <c r="I826">
        <f t="shared" si="85"/>
        <v>-7.0030000000000001</v>
      </c>
      <c r="J826">
        <f t="shared" si="86"/>
        <v>2.4262447948179527E-2</v>
      </c>
      <c r="K826">
        <f t="shared" si="87"/>
        <v>-140.43259570075708</v>
      </c>
      <c r="L826">
        <f t="shared" si="88"/>
        <v>3.2349930597572695E-4</v>
      </c>
      <c r="O826">
        <f t="shared" si="89"/>
        <v>-140.39248929044697</v>
      </c>
      <c r="P826">
        <f t="shared" si="90"/>
        <v>-3.2668422488759178E-4</v>
      </c>
    </row>
    <row r="827" spans="1:16" x14ac:dyDescent="0.25">
      <c r="A827" s="2">
        <v>41.25</v>
      </c>
      <c r="B827" s="1">
        <v>-7.0049999999999999</v>
      </c>
      <c r="C827">
        <v>5.5E-2</v>
      </c>
      <c r="H827">
        <f t="shared" si="84"/>
        <v>41.25</v>
      </c>
      <c r="I827">
        <f t="shared" si="85"/>
        <v>-7.0049999999999999</v>
      </c>
      <c r="J827">
        <f t="shared" si="86"/>
        <v>2.5226358685980717E-2</v>
      </c>
      <c r="K827">
        <f t="shared" si="87"/>
        <v>-140.47270211106715</v>
      </c>
      <c r="L827">
        <f t="shared" si="88"/>
        <v>3.363514491464095E-4</v>
      </c>
      <c r="O827">
        <f t="shared" si="89"/>
        <v>-140.43259570075708</v>
      </c>
      <c r="P827">
        <f t="shared" si="90"/>
        <v>-3.1383208171690923E-4</v>
      </c>
    </row>
    <row r="828" spans="1:16" x14ac:dyDescent="0.25">
      <c r="A828" s="2">
        <v>41.3</v>
      </c>
      <c r="B828" s="1">
        <v>-7.008</v>
      </c>
      <c r="C828">
        <v>5.3999999999999999E-2</v>
      </c>
      <c r="H828">
        <f t="shared" si="84"/>
        <v>41.3</v>
      </c>
      <c r="I828">
        <f t="shared" si="85"/>
        <v>-7.008</v>
      </c>
      <c r="J828">
        <f t="shared" si="86"/>
        <v>2.4190269423781909E-2</v>
      </c>
      <c r="K828">
        <f t="shared" si="87"/>
        <v>-140.53286172653227</v>
      </c>
      <c r="L828">
        <f t="shared" si="88"/>
        <v>3.225369256504254E-4</v>
      </c>
      <c r="O828">
        <f t="shared" si="89"/>
        <v>-140.4927553162222</v>
      </c>
      <c r="P828">
        <f t="shared" si="90"/>
        <v>-3.2764660521289332E-4</v>
      </c>
    </row>
    <row r="829" spans="1:16" x14ac:dyDescent="0.25">
      <c r="A829" s="2">
        <v>41.35</v>
      </c>
      <c r="B829" s="1">
        <v>-7.008</v>
      </c>
      <c r="C829">
        <v>5.3999999999999999E-2</v>
      </c>
      <c r="H829">
        <f t="shared" si="84"/>
        <v>41.35</v>
      </c>
      <c r="I829">
        <f t="shared" si="85"/>
        <v>-7.008</v>
      </c>
      <c r="J829">
        <f t="shared" si="86"/>
        <v>2.4154180161583091E-2</v>
      </c>
      <c r="K829">
        <f t="shared" si="87"/>
        <v>-140.53286172653227</v>
      </c>
      <c r="L829">
        <f t="shared" si="88"/>
        <v>3.2205573548777449E-4</v>
      </c>
      <c r="O829">
        <f t="shared" si="89"/>
        <v>-140.4927553162222</v>
      </c>
      <c r="P829">
        <f t="shared" si="90"/>
        <v>-3.2812779537554423E-4</v>
      </c>
    </row>
    <row r="830" spans="1:16" x14ac:dyDescent="0.25">
      <c r="A830" s="2">
        <v>41.4</v>
      </c>
      <c r="B830" s="1">
        <v>-7.0090000000000003</v>
      </c>
      <c r="C830">
        <v>5.3999999999999999E-2</v>
      </c>
      <c r="H830">
        <f t="shared" si="84"/>
        <v>41.4</v>
      </c>
      <c r="I830">
        <f t="shared" si="85"/>
        <v>-7.0090000000000003</v>
      </c>
      <c r="J830">
        <f t="shared" si="86"/>
        <v>2.4118090899384284E-2</v>
      </c>
      <c r="K830">
        <f t="shared" si="87"/>
        <v>-140.55291493168733</v>
      </c>
      <c r="L830">
        <f t="shared" si="88"/>
        <v>3.2157454532512374E-4</v>
      </c>
      <c r="O830">
        <f t="shared" si="89"/>
        <v>-140.51280852137722</v>
      </c>
      <c r="P830">
        <f t="shared" si="90"/>
        <v>-3.2860898553819498E-4</v>
      </c>
    </row>
    <row r="831" spans="1:16" x14ac:dyDescent="0.25">
      <c r="A831" s="2">
        <v>41.45</v>
      </c>
      <c r="B831" s="1">
        <v>-7.0090000000000003</v>
      </c>
      <c r="C831">
        <v>5.5E-2</v>
      </c>
      <c r="H831">
        <f t="shared" si="84"/>
        <v>41.45</v>
      </c>
      <c r="I831">
        <f t="shared" si="85"/>
        <v>-7.0090000000000003</v>
      </c>
      <c r="J831">
        <f t="shared" si="86"/>
        <v>2.5082001637185471E-2</v>
      </c>
      <c r="K831">
        <f t="shared" si="87"/>
        <v>-140.55291493168733</v>
      </c>
      <c r="L831">
        <f t="shared" si="88"/>
        <v>3.3442668849580618E-4</v>
      </c>
      <c r="O831">
        <f t="shared" si="89"/>
        <v>-140.51280852137722</v>
      </c>
      <c r="P831">
        <f t="shared" si="90"/>
        <v>-3.1575684236751254E-4</v>
      </c>
    </row>
    <row r="832" spans="1:16" x14ac:dyDescent="0.25">
      <c r="A832" s="2">
        <v>41.5</v>
      </c>
      <c r="B832" s="1">
        <v>-7.01</v>
      </c>
      <c r="C832">
        <v>5.3999999999999999E-2</v>
      </c>
      <c r="H832">
        <f t="shared" si="84"/>
        <v>41.5</v>
      </c>
      <c r="I832">
        <f t="shared" si="85"/>
        <v>-7.01</v>
      </c>
      <c r="J832">
        <f t="shared" si="86"/>
        <v>2.4045912374986659E-2</v>
      </c>
      <c r="K832">
        <f t="shared" si="87"/>
        <v>-140.57296813684235</v>
      </c>
      <c r="L832">
        <f t="shared" si="88"/>
        <v>3.2061216499982203E-4</v>
      </c>
      <c r="O832">
        <f t="shared" si="89"/>
        <v>-140.53286172653225</v>
      </c>
      <c r="P832">
        <f t="shared" si="90"/>
        <v>-3.2957136586349669E-4</v>
      </c>
    </row>
    <row r="833" spans="1:16" x14ac:dyDescent="0.25">
      <c r="A833" s="2">
        <v>41.55</v>
      </c>
      <c r="B833" s="1">
        <v>-7.0090000000000003</v>
      </c>
      <c r="C833">
        <v>5.5E-2</v>
      </c>
      <c r="H833">
        <f t="shared" si="84"/>
        <v>41.55</v>
      </c>
      <c r="I833">
        <f t="shared" si="85"/>
        <v>-7.0090000000000003</v>
      </c>
      <c r="J833">
        <f t="shared" si="86"/>
        <v>2.5009823112787852E-2</v>
      </c>
      <c r="K833">
        <f t="shared" si="87"/>
        <v>-140.55291493168733</v>
      </c>
      <c r="L833">
        <f t="shared" si="88"/>
        <v>3.3346430817050464E-4</v>
      </c>
      <c r="O833">
        <f t="shared" si="89"/>
        <v>-140.51280852137722</v>
      </c>
      <c r="P833">
        <f t="shared" si="90"/>
        <v>-3.1671922269281409E-4</v>
      </c>
    </row>
    <row r="834" spans="1:16" x14ac:dyDescent="0.25">
      <c r="A834" s="2">
        <v>41.6</v>
      </c>
      <c r="B834" s="1">
        <v>-7.01</v>
      </c>
      <c r="C834">
        <v>5.3999999999999999E-2</v>
      </c>
      <c r="H834">
        <f t="shared" si="84"/>
        <v>41.6</v>
      </c>
      <c r="I834">
        <f t="shared" si="85"/>
        <v>-7.01</v>
      </c>
      <c r="J834">
        <f t="shared" si="86"/>
        <v>2.3973733850589037E-2</v>
      </c>
      <c r="K834">
        <f t="shared" si="87"/>
        <v>-140.57296813684235</v>
      </c>
      <c r="L834">
        <f t="shared" si="88"/>
        <v>3.1964978467452043E-4</v>
      </c>
      <c r="O834">
        <f t="shared" si="89"/>
        <v>-140.53286172653225</v>
      </c>
      <c r="P834">
        <f t="shared" si="90"/>
        <v>-3.3053374618879829E-4</v>
      </c>
    </row>
    <row r="835" spans="1:16" x14ac:dyDescent="0.25">
      <c r="A835" s="2">
        <v>41.65</v>
      </c>
      <c r="B835" s="1">
        <v>-7.01</v>
      </c>
      <c r="C835">
        <v>5.3999999999999999E-2</v>
      </c>
      <c r="H835">
        <f t="shared" ref="H835:H877" si="91">A835</f>
        <v>41.65</v>
      </c>
      <c r="I835">
        <f t="shared" ref="I835:I877" si="92">B835</f>
        <v>-7.01</v>
      </c>
      <c r="J835">
        <f t="shared" ref="J835:J877" si="93">C835-E$12*A835</f>
        <v>2.3937644588390226E-2</v>
      </c>
      <c r="K835">
        <f t="shared" ref="K835:K877" si="94">F$24*I835</f>
        <v>-140.57296813684235</v>
      </c>
      <c r="L835">
        <f t="shared" ref="L835:L877" si="95">F$25*J835</f>
        <v>3.1916859451186963E-4</v>
      </c>
      <c r="O835">
        <f t="shared" ref="O835:O877" si="96">K835-N$12</f>
        <v>-140.53286172653225</v>
      </c>
      <c r="P835">
        <f t="shared" ref="P835:P877" si="97">L835-N$15</f>
        <v>-3.3101493635144909E-4</v>
      </c>
    </row>
    <row r="836" spans="1:16" x14ac:dyDescent="0.25">
      <c r="A836" s="2">
        <v>41.7</v>
      </c>
      <c r="B836" s="1">
        <v>-7.0110000000000001</v>
      </c>
      <c r="C836">
        <v>5.3999999999999999E-2</v>
      </c>
      <c r="H836">
        <f t="shared" si="91"/>
        <v>41.7</v>
      </c>
      <c r="I836">
        <f t="shared" si="92"/>
        <v>-7.0110000000000001</v>
      </c>
      <c r="J836">
        <f t="shared" si="93"/>
        <v>2.3901555326191412E-2</v>
      </c>
      <c r="K836">
        <f t="shared" si="94"/>
        <v>-140.5930213419974</v>
      </c>
      <c r="L836">
        <f t="shared" si="95"/>
        <v>3.1868740434921877E-4</v>
      </c>
      <c r="O836">
        <f t="shared" si="96"/>
        <v>-140.55291493168733</v>
      </c>
      <c r="P836">
        <f t="shared" si="97"/>
        <v>-3.3149612651409995E-4</v>
      </c>
    </row>
    <row r="837" spans="1:16" x14ac:dyDescent="0.25">
      <c r="A837" s="2">
        <v>41.75</v>
      </c>
      <c r="B837" s="1">
        <v>-7.01</v>
      </c>
      <c r="C837">
        <v>5.5E-2</v>
      </c>
      <c r="H837">
        <f t="shared" si="91"/>
        <v>41.75</v>
      </c>
      <c r="I837">
        <f t="shared" si="92"/>
        <v>-7.01</v>
      </c>
      <c r="J837">
        <f t="shared" si="93"/>
        <v>2.4865466063992606E-2</v>
      </c>
      <c r="K837">
        <f t="shared" si="94"/>
        <v>-140.57296813684235</v>
      </c>
      <c r="L837">
        <f t="shared" si="95"/>
        <v>3.3153954751990132E-4</v>
      </c>
      <c r="O837">
        <f t="shared" si="96"/>
        <v>-140.53286172653225</v>
      </c>
      <c r="P837">
        <f t="shared" si="97"/>
        <v>-3.186439833434174E-4</v>
      </c>
    </row>
    <row r="838" spans="1:16" x14ac:dyDescent="0.25">
      <c r="A838" s="2">
        <v>41.8</v>
      </c>
      <c r="B838" s="1">
        <v>-7.0110000000000001</v>
      </c>
      <c r="C838">
        <v>5.5E-2</v>
      </c>
      <c r="H838">
        <f t="shared" si="91"/>
        <v>41.8</v>
      </c>
      <c r="I838">
        <f t="shared" si="92"/>
        <v>-7.0110000000000001</v>
      </c>
      <c r="J838">
        <f t="shared" si="93"/>
        <v>2.4829376801793795E-2</v>
      </c>
      <c r="K838">
        <f t="shared" si="94"/>
        <v>-140.5930213419974</v>
      </c>
      <c r="L838">
        <f t="shared" si="95"/>
        <v>3.3105835735725052E-4</v>
      </c>
      <c r="O838">
        <f t="shared" si="96"/>
        <v>-140.55291493168733</v>
      </c>
      <c r="P838">
        <f t="shared" si="97"/>
        <v>-3.191251735060682E-4</v>
      </c>
    </row>
    <row r="839" spans="1:16" x14ac:dyDescent="0.25">
      <c r="A839" s="2">
        <v>41.85</v>
      </c>
      <c r="B839" s="1">
        <v>-7.01</v>
      </c>
      <c r="C839">
        <v>5.5E-2</v>
      </c>
      <c r="H839">
        <f t="shared" si="91"/>
        <v>41.85</v>
      </c>
      <c r="I839">
        <f t="shared" si="92"/>
        <v>-7.01</v>
      </c>
      <c r="J839">
        <f t="shared" si="93"/>
        <v>2.479328753959498E-2</v>
      </c>
      <c r="K839">
        <f t="shared" si="94"/>
        <v>-140.57296813684235</v>
      </c>
      <c r="L839">
        <f t="shared" si="95"/>
        <v>3.3057716719459967E-4</v>
      </c>
      <c r="O839">
        <f t="shared" si="96"/>
        <v>-140.53286172653225</v>
      </c>
      <c r="P839">
        <f t="shared" si="97"/>
        <v>-3.1960636366871906E-4</v>
      </c>
    </row>
    <row r="840" spans="1:16" x14ac:dyDescent="0.25">
      <c r="A840" s="2">
        <v>41.9</v>
      </c>
      <c r="B840" s="1">
        <v>-7.0110000000000001</v>
      </c>
      <c r="C840">
        <v>5.5E-2</v>
      </c>
      <c r="H840">
        <f t="shared" si="91"/>
        <v>41.9</v>
      </c>
      <c r="I840">
        <f t="shared" si="92"/>
        <v>-7.0110000000000001</v>
      </c>
      <c r="J840">
        <f t="shared" si="93"/>
        <v>2.4757198277396173E-2</v>
      </c>
      <c r="K840">
        <f t="shared" si="94"/>
        <v>-140.5930213419974</v>
      </c>
      <c r="L840">
        <f t="shared" si="95"/>
        <v>3.3009597703194892E-4</v>
      </c>
      <c r="O840">
        <f t="shared" si="96"/>
        <v>-140.55291493168733</v>
      </c>
      <c r="P840">
        <f t="shared" si="97"/>
        <v>-3.200875538313698E-4</v>
      </c>
    </row>
    <row r="841" spans="1:16" x14ac:dyDescent="0.25">
      <c r="A841" s="2">
        <v>41.95</v>
      </c>
      <c r="B841" s="1">
        <v>-7.01</v>
      </c>
      <c r="C841">
        <v>5.5E-2</v>
      </c>
      <c r="H841">
        <f t="shared" si="91"/>
        <v>41.95</v>
      </c>
      <c r="I841">
        <f t="shared" si="92"/>
        <v>-7.01</v>
      </c>
      <c r="J841">
        <f t="shared" si="93"/>
        <v>2.4721109015197359E-2</v>
      </c>
      <c r="K841">
        <f t="shared" si="94"/>
        <v>-140.57296813684235</v>
      </c>
      <c r="L841">
        <f t="shared" si="95"/>
        <v>3.2961478686929806E-4</v>
      </c>
      <c r="O841">
        <f t="shared" si="96"/>
        <v>-140.53286172653225</v>
      </c>
      <c r="P841">
        <f t="shared" si="97"/>
        <v>-3.2056874399402066E-4</v>
      </c>
    </row>
    <row r="842" spans="1:16" x14ac:dyDescent="0.25">
      <c r="A842" s="2">
        <v>42</v>
      </c>
      <c r="B842" s="1">
        <v>-7.0110000000000001</v>
      </c>
      <c r="C842">
        <v>5.5E-2</v>
      </c>
      <c r="H842">
        <f t="shared" si="91"/>
        <v>42</v>
      </c>
      <c r="I842">
        <f t="shared" si="92"/>
        <v>-7.0110000000000001</v>
      </c>
      <c r="J842">
        <f t="shared" si="93"/>
        <v>2.4685019752998548E-2</v>
      </c>
      <c r="K842">
        <f t="shared" si="94"/>
        <v>-140.5930213419974</v>
      </c>
      <c r="L842">
        <f t="shared" si="95"/>
        <v>3.2913359670664726E-4</v>
      </c>
      <c r="O842">
        <f t="shared" si="96"/>
        <v>-140.55291493168733</v>
      </c>
      <c r="P842">
        <f t="shared" si="97"/>
        <v>-3.2104993415667146E-4</v>
      </c>
    </row>
    <row r="843" spans="1:16" x14ac:dyDescent="0.25">
      <c r="A843" s="2">
        <v>42.05</v>
      </c>
      <c r="B843" s="1">
        <v>-7.01</v>
      </c>
      <c r="C843">
        <v>5.5E-2</v>
      </c>
      <c r="H843">
        <f t="shared" si="91"/>
        <v>42.05</v>
      </c>
      <c r="I843">
        <f t="shared" si="92"/>
        <v>-7.01</v>
      </c>
      <c r="J843">
        <f t="shared" si="93"/>
        <v>2.4648930490799741E-2</v>
      </c>
      <c r="K843">
        <f t="shared" si="94"/>
        <v>-140.57296813684235</v>
      </c>
      <c r="L843">
        <f t="shared" si="95"/>
        <v>3.2865240654399646E-4</v>
      </c>
      <c r="O843">
        <f t="shared" si="96"/>
        <v>-140.53286172653225</v>
      </c>
      <c r="P843">
        <f t="shared" si="97"/>
        <v>-3.2153112431932226E-4</v>
      </c>
    </row>
    <row r="844" spans="1:16" x14ac:dyDescent="0.25">
      <c r="A844" s="2">
        <v>42.1</v>
      </c>
      <c r="B844" s="1">
        <v>-7.0110000000000001</v>
      </c>
      <c r="C844">
        <v>5.5E-2</v>
      </c>
      <c r="H844">
        <f t="shared" si="91"/>
        <v>42.1</v>
      </c>
      <c r="I844">
        <f t="shared" si="92"/>
        <v>-7.0110000000000001</v>
      </c>
      <c r="J844">
        <f t="shared" si="93"/>
        <v>2.4612841228600926E-2</v>
      </c>
      <c r="K844">
        <f t="shared" si="94"/>
        <v>-140.5930213419974</v>
      </c>
      <c r="L844">
        <f t="shared" si="95"/>
        <v>3.2817121638134561E-4</v>
      </c>
      <c r="O844">
        <f t="shared" si="96"/>
        <v>-140.55291493168733</v>
      </c>
      <c r="P844">
        <f t="shared" si="97"/>
        <v>-3.2201231448197312E-4</v>
      </c>
    </row>
    <row r="845" spans="1:16" x14ac:dyDescent="0.25">
      <c r="A845" s="2">
        <v>42.15</v>
      </c>
      <c r="B845" s="1">
        <v>-7.0110000000000001</v>
      </c>
      <c r="C845">
        <v>5.5E-2</v>
      </c>
      <c r="H845">
        <f t="shared" si="91"/>
        <v>42.15</v>
      </c>
      <c r="I845">
        <f t="shared" si="92"/>
        <v>-7.0110000000000001</v>
      </c>
      <c r="J845">
        <f t="shared" si="93"/>
        <v>2.4576751966402115E-2</v>
      </c>
      <c r="K845">
        <f t="shared" si="94"/>
        <v>-140.5930213419974</v>
      </c>
      <c r="L845">
        <f t="shared" si="95"/>
        <v>3.2769002621869481E-4</v>
      </c>
      <c r="O845">
        <f t="shared" si="96"/>
        <v>-140.55291493168733</v>
      </c>
      <c r="P845">
        <f t="shared" si="97"/>
        <v>-3.2249350464462392E-4</v>
      </c>
    </row>
    <row r="846" spans="1:16" x14ac:dyDescent="0.25">
      <c r="A846" s="2">
        <v>42.2</v>
      </c>
      <c r="B846" s="1">
        <v>-7.0119999999999996</v>
      </c>
      <c r="C846">
        <v>5.3999999999999999E-2</v>
      </c>
      <c r="H846">
        <f t="shared" si="91"/>
        <v>42.2</v>
      </c>
      <c r="I846">
        <f t="shared" si="92"/>
        <v>-7.0119999999999996</v>
      </c>
      <c r="J846">
        <f t="shared" si="93"/>
        <v>2.35406627042033E-2</v>
      </c>
      <c r="K846">
        <f t="shared" si="94"/>
        <v>-140.61307454715242</v>
      </c>
      <c r="L846">
        <f t="shared" si="95"/>
        <v>3.138755027227106E-4</v>
      </c>
      <c r="O846">
        <f t="shared" si="96"/>
        <v>-140.57296813684235</v>
      </c>
      <c r="P846">
        <f t="shared" si="97"/>
        <v>-3.3630802814060812E-4</v>
      </c>
    </row>
    <row r="847" spans="1:16" x14ac:dyDescent="0.25">
      <c r="A847" s="2">
        <v>42.25</v>
      </c>
      <c r="B847" s="1">
        <v>-7.0110000000000001</v>
      </c>
      <c r="C847">
        <v>5.5E-2</v>
      </c>
      <c r="H847">
        <f t="shared" si="91"/>
        <v>42.25</v>
      </c>
      <c r="I847">
        <f t="shared" si="92"/>
        <v>-7.0110000000000001</v>
      </c>
      <c r="J847">
        <f t="shared" si="93"/>
        <v>2.4504573442004494E-2</v>
      </c>
      <c r="K847">
        <f t="shared" si="94"/>
        <v>-140.5930213419974</v>
      </c>
      <c r="L847">
        <f t="shared" si="95"/>
        <v>3.267276458933932E-4</v>
      </c>
      <c r="O847">
        <f t="shared" si="96"/>
        <v>-140.55291493168733</v>
      </c>
      <c r="P847">
        <f t="shared" si="97"/>
        <v>-3.2345588496992552E-4</v>
      </c>
    </row>
    <row r="848" spans="1:16" x14ac:dyDescent="0.25">
      <c r="A848" s="2">
        <v>42.3</v>
      </c>
      <c r="B848" s="1">
        <v>-7.0119999999999996</v>
      </c>
      <c r="C848">
        <v>5.5E-2</v>
      </c>
      <c r="H848">
        <f t="shared" si="91"/>
        <v>42.3</v>
      </c>
      <c r="I848">
        <f t="shared" si="92"/>
        <v>-7.0119999999999996</v>
      </c>
      <c r="J848">
        <f t="shared" si="93"/>
        <v>2.4468484179805683E-2</v>
      </c>
      <c r="K848">
        <f t="shared" si="94"/>
        <v>-140.61307454715242</v>
      </c>
      <c r="L848">
        <f t="shared" si="95"/>
        <v>3.2624645573074235E-4</v>
      </c>
      <c r="O848">
        <f t="shared" si="96"/>
        <v>-140.57296813684235</v>
      </c>
      <c r="P848">
        <f t="shared" si="97"/>
        <v>-3.2393707513257637E-4</v>
      </c>
    </row>
    <row r="849" spans="1:16" x14ac:dyDescent="0.25">
      <c r="A849" s="2">
        <v>42.35</v>
      </c>
      <c r="B849" s="1">
        <v>-7.0110000000000001</v>
      </c>
      <c r="C849">
        <v>5.5E-2</v>
      </c>
      <c r="H849">
        <f t="shared" si="91"/>
        <v>42.35</v>
      </c>
      <c r="I849">
        <f t="shared" si="92"/>
        <v>-7.0110000000000001</v>
      </c>
      <c r="J849">
        <f t="shared" si="93"/>
        <v>2.4432394917606869E-2</v>
      </c>
      <c r="K849">
        <f t="shared" si="94"/>
        <v>-140.5930213419974</v>
      </c>
      <c r="L849">
        <f t="shared" si="95"/>
        <v>3.2576526556809149E-4</v>
      </c>
      <c r="O849">
        <f t="shared" si="96"/>
        <v>-140.55291493168733</v>
      </c>
      <c r="P849">
        <f t="shared" si="97"/>
        <v>-3.2441826529522723E-4</v>
      </c>
    </row>
    <row r="850" spans="1:16" x14ac:dyDescent="0.25">
      <c r="A850" s="2">
        <v>42.4</v>
      </c>
      <c r="B850" s="1">
        <v>-7.0119999999999996</v>
      </c>
      <c r="C850">
        <v>5.5E-2</v>
      </c>
      <c r="H850">
        <f t="shared" si="91"/>
        <v>42.4</v>
      </c>
      <c r="I850">
        <f t="shared" si="92"/>
        <v>-7.0119999999999996</v>
      </c>
      <c r="J850">
        <f t="shared" si="93"/>
        <v>2.4396305655408061E-2</v>
      </c>
      <c r="K850">
        <f t="shared" si="94"/>
        <v>-140.61307454715242</v>
      </c>
      <c r="L850">
        <f t="shared" si="95"/>
        <v>3.2528407540544075E-4</v>
      </c>
      <c r="O850">
        <f t="shared" si="96"/>
        <v>-140.57296813684235</v>
      </c>
      <c r="P850">
        <f t="shared" si="97"/>
        <v>-3.2489945545787798E-4</v>
      </c>
    </row>
    <row r="851" spans="1:16" x14ac:dyDescent="0.25">
      <c r="A851" s="2">
        <v>42.45</v>
      </c>
      <c r="B851" s="1">
        <v>-7.0110000000000001</v>
      </c>
      <c r="C851">
        <v>5.5E-2</v>
      </c>
      <c r="H851">
        <f t="shared" si="91"/>
        <v>42.45</v>
      </c>
      <c r="I851">
        <f t="shared" si="92"/>
        <v>-7.0110000000000001</v>
      </c>
      <c r="J851">
        <f t="shared" si="93"/>
        <v>2.4360216393209247E-2</v>
      </c>
      <c r="K851">
        <f t="shared" si="94"/>
        <v>-140.5930213419974</v>
      </c>
      <c r="L851">
        <f t="shared" si="95"/>
        <v>3.2480288524278989E-4</v>
      </c>
      <c r="O851">
        <f t="shared" si="96"/>
        <v>-140.55291493168733</v>
      </c>
      <c r="P851">
        <f t="shared" si="97"/>
        <v>-3.2538064562052883E-4</v>
      </c>
    </row>
    <row r="852" spans="1:16" x14ac:dyDescent="0.25">
      <c r="A852" s="2">
        <v>42.5</v>
      </c>
      <c r="B852" s="1">
        <v>-7.0119999999999996</v>
      </c>
      <c r="C852">
        <v>5.5E-2</v>
      </c>
      <c r="H852">
        <f t="shared" si="91"/>
        <v>42.5</v>
      </c>
      <c r="I852">
        <f t="shared" si="92"/>
        <v>-7.0119999999999996</v>
      </c>
      <c r="J852">
        <f t="shared" si="93"/>
        <v>2.4324127131010436E-2</v>
      </c>
      <c r="K852">
        <f t="shared" si="94"/>
        <v>-140.61307454715242</v>
      </c>
      <c r="L852">
        <f t="shared" si="95"/>
        <v>3.2432169508013909E-4</v>
      </c>
      <c r="O852">
        <f t="shared" si="96"/>
        <v>-140.57296813684235</v>
      </c>
      <c r="P852">
        <f t="shared" si="97"/>
        <v>-3.2586183578317963E-4</v>
      </c>
    </row>
    <row r="853" spans="1:16" x14ac:dyDescent="0.25">
      <c r="A853" s="2">
        <v>42.55</v>
      </c>
      <c r="B853" s="1">
        <v>-7.0110000000000001</v>
      </c>
      <c r="C853">
        <v>5.6000000000000001E-2</v>
      </c>
      <c r="H853">
        <f t="shared" si="91"/>
        <v>42.55</v>
      </c>
      <c r="I853">
        <f t="shared" si="92"/>
        <v>-7.0110000000000001</v>
      </c>
      <c r="J853">
        <f t="shared" si="93"/>
        <v>2.528803786881163E-2</v>
      </c>
      <c r="K853">
        <f t="shared" si="94"/>
        <v>-140.5930213419974</v>
      </c>
      <c r="L853">
        <f t="shared" si="95"/>
        <v>3.3717383825082164E-4</v>
      </c>
      <c r="O853">
        <f t="shared" si="96"/>
        <v>-140.55291493168733</v>
      </c>
      <c r="P853">
        <f t="shared" si="97"/>
        <v>-3.1300969261249708E-4</v>
      </c>
    </row>
    <row r="854" spans="1:16" x14ac:dyDescent="0.25">
      <c r="A854" s="2">
        <v>42.6</v>
      </c>
      <c r="B854" s="1">
        <v>-7.0119999999999996</v>
      </c>
      <c r="C854">
        <v>5.5E-2</v>
      </c>
      <c r="H854">
        <f t="shared" si="91"/>
        <v>42.6</v>
      </c>
      <c r="I854">
        <f t="shared" si="92"/>
        <v>-7.0119999999999996</v>
      </c>
      <c r="J854">
        <f t="shared" si="93"/>
        <v>2.4251948606612814E-2</v>
      </c>
      <c r="K854">
        <f t="shared" si="94"/>
        <v>-140.61307454715242</v>
      </c>
      <c r="L854">
        <f t="shared" si="95"/>
        <v>3.2335931475483749E-4</v>
      </c>
      <c r="O854">
        <f t="shared" si="96"/>
        <v>-140.57296813684235</v>
      </c>
      <c r="P854">
        <f t="shared" si="97"/>
        <v>-3.2682421610848124E-4</v>
      </c>
    </row>
    <row r="855" spans="1:16" x14ac:dyDescent="0.25">
      <c r="A855" s="2">
        <v>42.65</v>
      </c>
      <c r="B855" s="1">
        <v>-7.0110000000000001</v>
      </c>
      <c r="C855">
        <v>5.5E-2</v>
      </c>
      <c r="H855">
        <f t="shared" si="91"/>
        <v>42.65</v>
      </c>
      <c r="I855">
        <f t="shared" si="92"/>
        <v>-7.0110000000000001</v>
      </c>
      <c r="J855">
        <f t="shared" si="93"/>
        <v>2.4215859344414004E-2</v>
      </c>
      <c r="K855">
        <f t="shared" si="94"/>
        <v>-140.5930213419974</v>
      </c>
      <c r="L855">
        <f t="shared" si="95"/>
        <v>3.2287812459218663E-4</v>
      </c>
      <c r="O855">
        <f t="shared" si="96"/>
        <v>-140.55291493168733</v>
      </c>
      <c r="P855">
        <f t="shared" si="97"/>
        <v>-3.2730540627113209E-4</v>
      </c>
    </row>
    <row r="856" spans="1:16" x14ac:dyDescent="0.25">
      <c r="A856" s="2">
        <v>42.7</v>
      </c>
      <c r="B856" s="1">
        <v>-7.0119999999999996</v>
      </c>
      <c r="C856">
        <v>5.5E-2</v>
      </c>
      <c r="H856">
        <f t="shared" si="91"/>
        <v>42.7</v>
      </c>
      <c r="I856">
        <f t="shared" si="92"/>
        <v>-7.0119999999999996</v>
      </c>
      <c r="J856">
        <f t="shared" si="93"/>
        <v>2.4179770082215189E-2</v>
      </c>
      <c r="K856">
        <f t="shared" si="94"/>
        <v>-140.61307454715242</v>
      </c>
      <c r="L856">
        <f t="shared" si="95"/>
        <v>3.2239693442953578E-4</v>
      </c>
      <c r="O856">
        <f t="shared" si="96"/>
        <v>-140.57296813684235</v>
      </c>
      <c r="P856">
        <f t="shared" si="97"/>
        <v>-3.2778659643378295E-4</v>
      </c>
    </row>
    <row r="857" spans="1:16" x14ac:dyDescent="0.25">
      <c r="A857" s="2">
        <v>42.75</v>
      </c>
      <c r="B857" s="1">
        <v>-7.0119999999999996</v>
      </c>
      <c r="C857">
        <v>5.5E-2</v>
      </c>
      <c r="H857">
        <f t="shared" si="91"/>
        <v>42.75</v>
      </c>
      <c r="I857">
        <f t="shared" si="92"/>
        <v>-7.0119999999999996</v>
      </c>
      <c r="J857">
        <f t="shared" si="93"/>
        <v>2.4143680820016378E-2</v>
      </c>
      <c r="K857">
        <f t="shared" si="94"/>
        <v>-140.61307454715242</v>
      </c>
      <c r="L857">
        <f t="shared" si="95"/>
        <v>3.2191574426688498E-4</v>
      </c>
      <c r="O857">
        <f t="shared" si="96"/>
        <v>-140.57296813684235</v>
      </c>
      <c r="P857">
        <f t="shared" si="97"/>
        <v>-3.2826778659643375E-4</v>
      </c>
    </row>
    <row r="858" spans="1:16" x14ac:dyDescent="0.25">
      <c r="A858" s="2">
        <v>42.8</v>
      </c>
      <c r="B858" s="1">
        <v>-7.0119999999999996</v>
      </c>
      <c r="C858">
        <v>5.5E-2</v>
      </c>
      <c r="H858">
        <f t="shared" si="91"/>
        <v>42.8</v>
      </c>
      <c r="I858">
        <f t="shared" si="92"/>
        <v>-7.0119999999999996</v>
      </c>
      <c r="J858">
        <f t="shared" si="93"/>
        <v>2.4107591557817571E-2</v>
      </c>
      <c r="K858">
        <f t="shared" si="94"/>
        <v>-140.61307454715242</v>
      </c>
      <c r="L858">
        <f t="shared" si="95"/>
        <v>3.2143455410423423E-4</v>
      </c>
      <c r="O858">
        <f t="shared" si="96"/>
        <v>-140.57296813684235</v>
      </c>
      <c r="P858">
        <f t="shared" si="97"/>
        <v>-3.2874897675908449E-4</v>
      </c>
    </row>
    <row r="859" spans="1:16" x14ac:dyDescent="0.25">
      <c r="A859" s="2">
        <v>42.85</v>
      </c>
      <c r="B859" s="1">
        <v>-7.0119999999999996</v>
      </c>
      <c r="C859">
        <v>5.5E-2</v>
      </c>
      <c r="H859">
        <f t="shared" si="91"/>
        <v>42.85</v>
      </c>
      <c r="I859">
        <f t="shared" si="92"/>
        <v>-7.0119999999999996</v>
      </c>
      <c r="J859">
        <f t="shared" si="93"/>
        <v>2.4071502295618757E-2</v>
      </c>
      <c r="K859">
        <f t="shared" si="94"/>
        <v>-140.61307454715242</v>
      </c>
      <c r="L859">
        <f t="shared" si="95"/>
        <v>3.2095336394158337E-4</v>
      </c>
      <c r="O859">
        <f t="shared" si="96"/>
        <v>-140.57296813684235</v>
      </c>
      <c r="P859">
        <f t="shared" si="97"/>
        <v>-3.2923016692173535E-4</v>
      </c>
    </row>
    <row r="860" spans="1:16" x14ac:dyDescent="0.25">
      <c r="A860" s="2">
        <v>42.9</v>
      </c>
      <c r="B860" s="1">
        <v>-7.0119999999999996</v>
      </c>
      <c r="C860">
        <v>5.5E-2</v>
      </c>
      <c r="H860">
        <f t="shared" si="91"/>
        <v>42.9</v>
      </c>
      <c r="I860">
        <f t="shared" si="92"/>
        <v>-7.0119999999999996</v>
      </c>
      <c r="J860">
        <f t="shared" si="93"/>
        <v>2.4035413033419946E-2</v>
      </c>
      <c r="K860">
        <f t="shared" si="94"/>
        <v>-140.61307454715242</v>
      </c>
      <c r="L860">
        <f t="shared" si="95"/>
        <v>3.2047217377893257E-4</v>
      </c>
      <c r="O860">
        <f t="shared" si="96"/>
        <v>-140.57296813684235</v>
      </c>
      <c r="P860">
        <f t="shared" si="97"/>
        <v>-3.2971135708438615E-4</v>
      </c>
    </row>
    <row r="861" spans="1:16" x14ac:dyDescent="0.25">
      <c r="A861" s="2">
        <v>42.95</v>
      </c>
      <c r="B861" s="1">
        <v>-7.0119999999999996</v>
      </c>
      <c r="C861">
        <v>5.6000000000000001E-2</v>
      </c>
      <c r="H861">
        <f t="shared" si="91"/>
        <v>42.95</v>
      </c>
      <c r="I861">
        <f t="shared" si="92"/>
        <v>-7.0119999999999996</v>
      </c>
      <c r="J861">
        <f t="shared" si="93"/>
        <v>2.4999323771221132E-2</v>
      </c>
      <c r="K861">
        <f t="shared" si="94"/>
        <v>-140.61307454715242</v>
      </c>
      <c r="L861">
        <f t="shared" si="95"/>
        <v>3.3332431694961501E-4</v>
      </c>
      <c r="O861">
        <f t="shared" si="96"/>
        <v>-140.57296813684235</v>
      </c>
      <c r="P861">
        <f t="shared" si="97"/>
        <v>-3.1685921391370371E-4</v>
      </c>
    </row>
    <row r="862" spans="1:16" x14ac:dyDescent="0.25">
      <c r="A862" s="2">
        <v>43</v>
      </c>
      <c r="B862" s="1">
        <v>-7.0119999999999996</v>
      </c>
      <c r="C862">
        <v>5.6000000000000001E-2</v>
      </c>
      <c r="E862">
        <f>SUM(C876,C874,C872,C870,C868,C866)/COUNT(C876,C874,C872,C870,C868,C866)</f>
        <v>5.566666666666667E-2</v>
      </c>
      <c r="H862">
        <f t="shared" si="91"/>
        <v>43</v>
      </c>
      <c r="I862">
        <f t="shared" si="92"/>
        <v>-7.0119999999999996</v>
      </c>
      <c r="J862">
        <f t="shared" si="93"/>
        <v>2.4963234509022325E-2</v>
      </c>
      <c r="K862">
        <f t="shared" si="94"/>
        <v>-140.61307454715242</v>
      </c>
      <c r="L862">
        <f t="shared" si="95"/>
        <v>3.3284312678696427E-4</v>
      </c>
      <c r="O862">
        <f t="shared" si="96"/>
        <v>-140.57296813684235</v>
      </c>
      <c r="P862">
        <f t="shared" si="97"/>
        <v>-3.1734040407635446E-4</v>
      </c>
    </row>
    <row r="863" spans="1:16" x14ac:dyDescent="0.25">
      <c r="A863" s="2">
        <v>43.05</v>
      </c>
      <c r="B863" s="1">
        <v>-7.0119999999999996</v>
      </c>
      <c r="C863">
        <v>5.6000000000000001E-2</v>
      </c>
      <c r="E863">
        <f>SUM(A876,A874,A872,A870,A868,A866)/COUNT(A876,A874,A872,A870,A868,A866)</f>
        <v>43.449999999999996</v>
      </c>
      <c r="H863">
        <f t="shared" si="91"/>
        <v>43.05</v>
      </c>
      <c r="I863">
        <f t="shared" si="92"/>
        <v>-7.0119999999999996</v>
      </c>
      <c r="J863">
        <f t="shared" si="93"/>
        <v>2.4927145246823514E-2</v>
      </c>
      <c r="K863">
        <f t="shared" si="94"/>
        <v>-140.61307454715242</v>
      </c>
      <c r="L863">
        <f t="shared" si="95"/>
        <v>3.3236193662431347E-4</v>
      </c>
      <c r="O863">
        <f t="shared" si="96"/>
        <v>-140.57296813684235</v>
      </c>
      <c r="P863">
        <f t="shared" si="97"/>
        <v>-3.1782159423900526E-4</v>
      </c>
    </row>
    <row r="864" spans="1:16" x14ac:dyDescent="0.25">
      <c r="A864" s="2">
        <v>43.1</v>
      </c>
      <c r="B864" s="1">
        <v>-7.0119999999999996</v>
      </c>
      <c r="C864">
        <v>5.5E-2</v>
      </c>
      <c r="H864">
        <f t="shared" si="91"/>
        <v>43.1</v>
      </c>
      <c r="I864">
        <f t="shared" si="92"/>
        <v>-7.0119999999999996</v>
      </c>
      <c r="J864">
        <f t="shared" si="93"/>
        <v>2.3891055984624699E-2</v>
      </c>
      <c r="K864">
        <f t="shared" si="94"/>
        <v>-140.61307454715242</v>
      </c>
      <c r="L864">
        <f t="shared" si="95"/>
        <v>3.1854741312832926E-4</v>
      </c>
      <c r="O864">
        <f t="shared" si="96"/>
        <v>-140.57296813684235</v>
      </c>
      <c r="P864">
        <f t="shared" si="97"/>
        <v>-3.3163611773498946E-4</v>
      </c>
    </row>
    <row r="865" spans="1:16" x14ac:dyDescent="0.25">
      <c r="A865" s="2">
        <v>43.15</v>
      </c>
      <c r="B865" s="1">
        <v>-7.0119999999999996</v>
      </c>
      <c r="C865">
        <v>5.6000000000000001E-2</v>
      </c>
      <c r="H865">
        <f t="shared" si="91"/>
        <v>43.15</v>
      </c>
      <c r="I865">
        <f t="shared" si="92"/>
        <v>-7.0119999999999996</v>
      </c>
      <c r="J865">
        <f t="shared" si="93"/>
        <v>2.4854966722425893E-2</v>
      </c>
      <c r="K865">
        <f t="shared" si="94"/>
        <v>-140.61307454715242</v>
      </c>
      <c r="L865">
        <f t="shared" si="95"/>
        <v>3.3139955629901181E-4</v>
      </c>
      <c r="O865">
        <f t="shared" si="96"/>
        <v>-140.57296813684235</v>
      </c>
      <c r="P865">
        <f t="shared" si="97"/>
        <v>-3.1878397456430691E-4</v>
      </c>
    </row>
    <row r="866" spans="1:16" x14ac:dyDescent="0.25">
      <c r="A866" s="2">
        <v>43.2</v>
      </c>
      <c r="B866" s="1">
        <v>-7.0129999999999999</v>
      </c>
      <c r="C866">
        <v>5.5E-2</v>
      </c>
      <c r="H866">
        <f t="shared" si="91"/>
        <v>43.2</v>
      </c>
      <c r="I866">
        <f t="shared" si="92"/>
        <v>-7.0129999999999999</v>
      </c>
      <c r="J866">
        <f t="shared" si="93"/>
        <v>2.3818877460227077E-2</v>
      </c>
      <c r="K866">
        <f t="shared" si="94"/>
        <v>-140.63312775230747</v>
      </c>
      <c r="L866">
        <f t="shared" si="95"/>
        <v>3.1758503280302766E-4</v>
      </c>
      <c r="O866">
        <f t="shared" si="96"/>
        <v>-140.59302134199737</v>
      </c>
      <c r="P866">
        <f t="shared" si="97"/>
        <v>-3.3259849806029106E-4</v>
      </c>
    </row>
    <row r="867" spans="1:16" x14ac:dyDescent="0.25">
      <c r="A867" s="2">
        <v>43.25</v>
      </c>
      <c r="B867" s="1">
        <v>-7.0119999999999996</v>
      </c>
      <c r="C867">
        <v>5.6000000000000001E-2</v>
      </c>
      <c r="H867">
        <f t="shared" si="91"/>
        <v>43.25</v>
      </c>
      <c r="I867">
        <f t="shared" si="92"/>
        <v>-7.0119999999999996</v>
      </c>
      <c r="J867">
        <f t="shared" si="93"/>
        <v>2.4782788198028267E-2</v>
      </c>
      <c r="K867">
        <f t="shared" si="94"/>
        <v>-140.61307454715242</v>
      </c>
      <c r="L867">
        <f t="shared" si="95"/>
        <v>3.3043717597371015E-4</v>
      </c>
      <c r="O867">
        <f t="shared" si="96"/>
        <v>-140.57296813684235</v>
      </c>
      <c r="P867">
        <f t="shared" si="97"/>
        <v>-3.1974635488960857E-4</v>
      </c>
    </row>
    <row r="868" spans="1:16" x14ac:dyDescent="0.25">
      <c r="A868" s="2">
        <v>43.3</v>
      </c>
      <c r="B868" s="1">
        <v>-7.0129999999999999</v>
      </c>
      <c r="C868">
        <v>5.5E-2</v>
      </c>
      <c r="H868">
        <f t="shared" si="91"/>
        <v>43.3</v>
      </c>
      <c r="I868">
        <f t="shared" si="92"/>
        <v>-7.0129999999999999</v>
      </c>
      <c r="J868">
        <f t="shared" si="93"/>
        <v>2.3746698935829459E-2</v>
      </c>
      <c r="K868">
        <f t="shared" si="94"/>
        <v>-140.63312775230747</v>
      </c>
      <c r="L868">
        <f t="shared" si="95"/>
        <v>3.1662265247772606E-4</v>
      </c>
      <c r="O868">
        <f t="shared" si="96"/>
        <v>-140.59302134199737</v>
      </c>
      <c r="P868">
        <f t="shared" si="97"/>
        <v>-3.3356087838559267E-4</v>
      </c>
    </row>
    <row r="869" spans="1:16" x14ac:dyDescent="0.25">
      <c r="A869" s="2">
        <v>43.35</v>
      </c>
      <c r="B869" s="1">
        <v>-7.0119999999999996</v>
      </c>
      <c r="C869">
        <v>5.6000000000000001E-2</v>
      </c>
      <c r="H869">
        <f t="shared" si="91"/>
        <v>43.35</v>
      </c>
      <c r="I869">
        <f t="shared" si="92"/>
        <v>-7.0119999999999996</v>
      </c>
      <c r="J869">
        <f t="shared" si="93"/>
        <v>2.4710609673630646E-2</v>
      </c>
      <c r="K869">
        <f t="shared" si="94"/>
        <v>-140.61307454715242</v>
      </c>
      <c r="L869">
        <f t="shared" si="95"/>
        <v>3.2947479564840855E-4</v>
      </c>
      <c r="O869">
        <f t="shared" si="96"/>
        <v>-140.57296813684235</v>
      </c>
      <c r="P869">
        <f t="shared" si="97"/>
        <v>-3.2070873521491017E-4</v>
      </c>
    </row>
    <row r="870" spans="1:16" x14ac:dyDescent="0.25">
      <c r="A870" s="2">
        <v>43.4</v>
      </c>
      <c r="B870" s="1">
        <v>-7.0129999999999999</v>
      </c>
      <c r="C870">
        <v>5.6000000000000001E-2</v>
      </c>
      <c r="H870">
        <f t="shared" si="91"/>
        <v>43.4</v>
      </c>
      <c r="I870">
        <f t="shared" si="92"/>
        <v>-7.0129999999999999</v>
      </c>
      <c r="J870">
        <f t="shared" si="93"/>
        <v>2.4674520411431838E-2</v>
      </c>
      <c r="K870">
        <f t="shared" si="94"/>
        <v>-140.63312775230747</v>
      </c>
      <c r="L870">
        <f t="shared" si="95"/>
        <v>3.289936054857578E-4</v>
      </c>
      <c r="O870">
        <f t="shared" si="96"/>
        <v>-140.59302134199737</v>
      </c>
      <c r="P870">
        <f t="shared" si="97"/>
        <v>-3.2118992537756092E-4</v>
      </c>
    </row>
    <row r="871" spans="1:16" x14ac:dyDescent="0.25">
      <c r="A871" s="2">
        <v>43.45</v>
      </c>
      <c r="B871" s="1">
        <v>-7.0119999999999996</v>
      </c>
      <c r="C871">
        <v>5.6000000000000001E-2</v>
      </c>
      <c r="H871">
        <f t="shared" si="91"/>
        <v>43.45</v>
      </c>
      <c r="I871">
        <f t="shared" si="92"/>
        <v>-7.0119999999999996</v>
      </c>
      <c r="J871">
        <f t="shared" si="93"/>
        <v>2.4638431149233024E-2</v>
      </c>
      <c r="K871">
        <f t="shared" si="94"/>
        <v>-140.61307454715242</v>
      </c>
      <c r="L871">
        <f t="shared" si="95"/>
        <v>3.2851241532310695E-4</v>
      </c>
      <c r="O871">
        <f t="shared" si="96"/>
        <v>-140.57296813684235</v>
      </c>
      <c r="P871">
        <f t="shared" si="97"/>
        <v>-3.2167111554021177E-4</v>
      </c>
    </row>
    <row r="872" spans="1:16" x14ac:dyDescent="0.25">
      <c r="A872" s="2">
        <v>43.5</v>
      </c>
      <c r="B872" s="1">
        <v>-7.0129999999999999</v>
      </c>
      <c r="C872">
        <v>5.6000000000000001E-2</v>
      </c>
      <c r="H872">
        <f t="shared" si="91"/>
        <v>43.5</v>
      </c>
      <c r="I872">
        <f t="shared" si="92"/>
        <v>-7.0129999999999999</v>
      </c>
      <c r="J872">
        <f t="shared" si="93"/>
        <v>2.460234188703421E-2</v>
      </c>
      <c r="K872">
        <f t="shared" si="94"/>
        <v>-140.63312775230747</v>
      </c>
      <c r="L872">
        <f t="shared" si="95"/>
        <v>3.2803122516045604E-4</v>
      </c>
      <c r="O872">
        <f t="shared" si="96"/>
        <v>-140.59302134199737</v>
      </c>
      <c r="P872">
        <f t="shared" si="97"/>
        <v>-3.2215230570286268E-4</v>
      </c>
    </row>
    <row r="873" spans="1:16" x14ac:dyDescent="0.25">
      <c r="A873" s="2">
        <v>43.55</v>
      </c>
      <c r="B873" s="1">
        <v>-7.0119999999999996</v>
      </c>
      <c r="C873">
        <v>5.6000000000000001E-2</v>
      </c>
      <c r="H873">
        <f t="shared" si="91"/>
        <v>43.55</v>
      </c>
      <c r="I873">
        <f t="shared" si="92"/>
        <v>-7.0119999999999996</v>
      </c>
      <c r="J873">
        <f t="shared" si="93"/>
        <v>2.4566252624835402E-2</v>
      </c>
      <c r="K873">
        <f t="shared" si="94"/>
        <v>-140.61307454715242</v>
      </c>
      <c r="L873">
        <f t="shared" si="95"/>
        <v>3.2755003499780529E-4</v>
      </c>
      <c r="O873">
        <f t="shared" si="96"/>
        <v>-140.57296813684235</v>
      </c>
      <c r="P873">
        <f t="shared" si="97"/>
        <v>-3.2263349586551343E-4</v>
      </c>
    </row>
    <row r="874" spans="1:16" x14ac:dyDescent="0.25">
      <c r="A874" s="2">
        <v>43.6</v>
      </c>
      <c r="B874" s="1">
        <v>-7.0129999999999999</v>
      </c>
      <c r="C874">
        <v>5.6000000000000001E-2</v>
      </c>
      <c r="H874">
        <f t="shared" si="91"/>
        <v>43.6</v>
      </c>
      <c r="I874">
        <f t="shared" si="92"/>
        <v>-7.0129999999999999</v>
      </c>
      <c r="J874">
        <f t="shared" si="93"/>
        <v>2.4530163362636588E-2</v>
      </c>
      <c r="K874">
        <f t="shared" si="94"/>
        <v>-140.63312775230747</v>
      </c>
      <c r="L874">
        <f t="shared" si="95"/>
        <v>3.2706884483515444E-4</v>
      </c>
      <c r="O874">
        <f t="shared" si="96"/>
        <v>-140.59302134199737</v>
      </c>
      <c r="P874">
        <f t="shared" si="97"/>
        <v>-3.2311468602816429E-4</v>
      </c>
    </row>
    <row r="875" spans="1:16" x14ac:dyDescent="0.25">
      <c r="A875" s="2">
        <v>43.65</v>
      </c>
      <c r="B875" s="1">
        <v>-7.0119999999999996</v>
      </c>
      <c r="C875">
        <v>5.6000000000000001E-2</v>
      </c>
      <c r="H875">
        <f t="shared" si="91"/>
        <v>43.65</v>
      </c>
      <c r="I875">
        <f t="shared" si="92"/>
        <v>-7.0119999999999996</v>
      </c>
      <c r="J875">
        <f t="shared" si="93"/>
        <v>2.4494074100437781E-2</v>
      </c>
      <c r="K875">
        <f t="shared" si="94"/>
        <v>-140.61307454715242</v>
      </c>
      <c r="L875">
        <f t="shared" si="95"/>
        <v>3.2658765467250369E-4</v>
      </c>
      <c r="O875">
        <f t="shared" si="96"/>
        <v>-140.57296813684235</v>
      </c>
      <c r="P875">
        <f t="shared" si="97"/>
        <v>-3.2359587619081503E-4</v>
      </c>
    </row>
    <row r="876" spans="1:16" x14ac:dyDescent="0.25">
      <c r="A876" s="2">
        <v>43.7</v>
      </c>
      <c r="B876" s="1">
        <v>-7.0129999999999999</v>
      </c>
      <c r="C876">
        <v>5.6000000000000001E-2</v>
      </c>
      <c r="H876">
        <f t="shared" si="91"/>
        <v>43.7</v>
      </c>
      <c r="I876">
        <f t="shared" si="92"/>
        <v>-7.0129999999999999</v>
      </c>
      <c r="J876">
        <f t="shared" si="93"/>
        <v>2.4457984838238966E-2</v>
      </c>
      <c r="K876">
        <f t="shared" si="94"/>
        <v>-140.63312775230747</v>
      </c>
      <c r="L876">
        <f t="shared" si="95"/>
        <v>3.2610646450985283E-4</v>
      </c>
      <c r="O876">
        <f t="shared" si="96"/>
        <v>-140.59302134199737</v>
      </c>
      <c r="P876">
        <f t="shared" si="97"/>
        <v>-3.2407706635346589E-4</v>
      </c>
    </row>
    <row r="877" spans="1:16" x14ac:dyDescent="0.25">
      <c r="A877" s="2">
        <v>43.75</v>
      </c>
      <c r="B877" s="1">
        <v>-7.0119999999999996</v>
      </c>
      <c r="C877">
        <v>5.6000000000000001E-2</v>
      </c>
      <c r="H877">
        <f t="shared" si="91"/>
        <v>43.75</v>
      </c>
      <c r="I877">
        <f t="shared" si="92"/>
        <v>-7.0119999999999996</v>
      </c>
      <c r="J877">
        <f t="shared" si="93"/>
        <v>2.4421895576040159E-2</v>
      </c>
      <c r="K877">
        <f t="shared" si="94"/>
        <v>-140.61307454715242</v>
      </c>
      <c r="L877">
        <f t="shared" si="95"/>
        <v>3.2562527434720203E-4</v>
      </c>
      <c r="O877">
        <f t="shared" si="96"/>
        <v>-140.57296813684235</v>
      </c>
      <c r="P877">
        <f t="shared" si="97"/>
        <v>-3.2455825651611669E-4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selin</dc:creator>
  <cp:lastModifiedBy>Fortuna Plays</cp:lastModifiedBy>
  <dcterms:created xsi:type="dcterms:W3CDTF">2022-04-02T09:08:06Z</dcterms:created>
  <dcterms:modified xsi:type="dcterms:W3CDTF">2022-04-05T08:16:17Z</dcterms:modified>
</cp:coreProperties>
</file>