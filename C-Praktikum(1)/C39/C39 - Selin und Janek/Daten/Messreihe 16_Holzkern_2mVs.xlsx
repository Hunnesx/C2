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9\C39 - Selin und Janek\Daten\"/>
    </mc:Choice>
  </mc:AlternateContent>
  <xr:revisionPtr revIDLastSave="0" documentId="13_ncr:1_{C7BC29FD-AC2E-4CB2-86D2-3E654C944433}" xr6:coauthVersionLast="47" xr6:coauthVersionMax="47" xr10:uidLastSave="{00000000-0000-0000-0000-000000000000}"/>
  <bookViews>
    <workbookView xWindow="1095" yWindow="735" windowWidth="34605" windowHeight="21705" xr2:uid="{82151313-C36B-4BC6-A442-E195549D5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N12" i="1"/>
  <c r="E12" i="1"/>
  <c r="E801" i="1"/>
  <c r="E800" i="1"/>
  <c r="E7" i="1"/>
  <c r="E5" i="1"/>
  <c r="K83" i="1"/>
  <c r="K211" i="1"/>
  <c r="K593" i="1"/>
  <c r="K609" i="1"/>
  <c r="K657" i="1"/>
  <c r="K673" i="1"/>
  <c r="K721" i="1"/>
  <c r="K733" i="1"/>
  <c r="K752" i="1"/>
  <c r="K756" i="1"/>
  <c r="K772" i="1"/>
  <c r="K780" i="1"/>
  <c r="K792" i="1"/>
  <c r="K800" i="1"/>
  <c r="F24" i="1"/>
  <c r="K327" i="1" s="1"/>
  <c r="H3" i="1"/>
  <c r="I3" i="1"/>
  <c r="K3" i="1" s="1"/>
  <c r="H4" i="1"/>
  <c r="I4" i="1"/>
  <c r="K4" i="1" s="1"/>
  <c r="H5" i="1"/>
  <c r="I5" i="1"/>
  <c r="K5" i="1" s="1"/>
  <c r="H6" i="1"/>
  <c r="I6" i="1"/>
  <c r="K6" i="1" s="1"/>
  <c r="H7" i="1"/>
  <c r="I7" i="1"/>
  <c r="K7" i="1" s="1"/>
  <c r="H8" i="1"/>
  <c r="I8" i="1"/>
  <c r="K8" i="1" s="1"/>
  <c r="H9" i="1"/>
  <c r="I9" i="1"/>
  <c r="K9" i="1" s="1"/>
  <c r="H10" i="1"/>
  <c r="I10" i="1"/>
  <c r="K10" i="1" s="1"/>
  <c r="H11" i="1"/>
  <c r="I11" i="1"/>
  <c r="K11" i="1" s="1"/>
  <c r="H12" i="1"/>
  <c r="I12" i="1"/>
  <c r="K12" i="1" s="1"/>
  <c r="H13" i="1"/>
  <c r="I13" i="1"/>
  <c r="K13" i="1" s="1"/>
  <c r="H14" i="1"/>
  <c r="I14" i="1"/>
  <c r="K14" i="1" s="1"/>
  <c r="H15" i="1"/>
  <c r="I15" i="1"/>
  <c r="K15" i="1" s="1"/>
  <c r="H16" i="1"/>
  <c r="I16" i="1"/>
  <c r="K16" i="1" s="1"/>
  <c r="H17" i="1"/>
  <c r="I17" i="1"/>
  <c r="K17" i="1" s="1"/>
  <c r="H18" i="1"/>
  <c r="I18" i="1"/>
  <c r="K18" i="1" s="1"/>
  <c r="H19" i="1"/>
  <c r="I19" i="1"/>
  <c r="K19" i="1" s="1"/>
  <c r="H20" i="1"/>
  <c r="I20" i="1"/>
  <c r="K20" i="1" s="1"/>
  <c r="H21" i="1"/>
  <c r="I21" i="1"/>
  <c r="K21" i="1" s="1"/>
  <c r="H22" i="1"/>
  <c r="I22" i="1"/>
  <c r="K22" i="1" s="1"/>
  <c r="H23" i="1"/>
  <c r="I23" i="1"/>
  <c r="K23" i="1" s="1"/>
  <c r="H24" i="1"/>
  <c r="I24" i="1"/>
  <c r="K24" i="1" s="1"/>
  <c r="H25" i="1"/>
  <c r="I25" i="1"/>
  <c r="K25" i="1" s="1"/>
  <c r="H26" i="1"/>
  <c r="I26" i="1"/>
  <c r="K26" i="1" s="1"/>
  <c r="H27" i="1"/>
  <c r="I27" i="1"/>
  <c r="K27" i="1" s="1"/>
  <c r="H28" i="1"/>
  <c r="I28" i="1"/>
  <c r="K28" i="1" s="1"/>
  <c r="H29" i="1"/>
  <c r="I29" i="1"/>
  <c r="K29" i="1" s="1"/>
  <c r="H30" i="1"/>
  <c r="I30" i="1"/>
  <c r="K30" i="1" s="1"/>
  <c r="H31" i="1"/>
  <c r="I31" i="1"/>
  <c r="K31" i="1" s="1"/>
  <c r="H32" i="1"/>
  <c r="I32" i="1"/>
  <c r="K32" i="1" s="1"/>
  <c r="H33" i="1"/>
  <c r="I33" i="1"/>
  <c r="K33" i="1" s="1"/>
  <c r="H34" i="1"/>
  <c r="I34" i="1"/>
  <c r="K34" i="1" s="1"/>
  <c r="H35" i="1"/>
  <c r="I35" i="1"/>
  <c r="K35" i="1" s="1"/>
  <c r="H36" i="1"/>
  <c r="I36" i="1"/>
  <c r="K36" i="1" s="1"/>
  <c r="H37" i="1"/>
  <c r="I37" i="1"/>
  <c r="K37" i="1" s="1"/>
  <c r="H38" i="1"/>
  <c r="I38" i="1"/>
  <c r="K38" i="1" s="1"/>
  <c r="H39" i="1"/>
  <c r="I39" i="1"/>
  <c r="K39" i="1" s="1"/>
  <c r="H40" i="1"/>
  <c r="I40" i="1"/>
  <c r="K40" i="1" s="1"/>
  <c r="H41" i="1"/>
  <c r="I41" i="1"/>
  <c r="K41" i="1" s="1"/>
  <c r="H42" i="1"/>
  <c r="I42" i="1"/>
  <c r="K42" i="1" s="1"/>
  <c r="H43" i="1"/>
  <c r="I43" i="1"/>
  <c r="K43" i="1" s="1"/>
  <c r="H44" i="1"/>
  <c r="I44" i="1"/>
  <c r="K44" i="1" s="1"/>
  <c r="H45" i="1"/>
  <c r="I45" i="1"/>
  <c r="K45" i="1" s="1"/>
  <c r="H46" i="1"/>
  <c r="I46" i="1"/>
  <c r="K46" i="1" s="1"/>
  <c r="H47" i="1"/>
  <c r="I47" i="1"/>
  <c r="K47" i="1" s="1"/>
  <c r="H48" i="1"/>
  <c r="I48" i="1"/>
  <c r="K48" i="1" s="1"/>
  <c r="H49" i="1"/>
  <c r="I49" i="1"/>
  <c r="K49" i="1" s="1"/>
  <c r="H50" i="1"/>
  <c r="I50" i="1"/>
  <c r="K50" i="1" s="1"/>
  <c r="H51" i="1"/>
  <c r="I51" i="1"/>
  <c r="K51" i="1" s="1"/>
  <c r="H52" i="1"/>
  <c r="I52" i="1"/>
  <c r="K52" i="1" s="1"/>
  <c r="H53" i="1"/>
  <c r="I53" i="1"/>
  <c r="K53" i="1" s="1"/>
  <c r="H54" i="1"/>
  <c r="I54" i="1"/>
  <c r="K54" i="1" s="1"/>
  <c r="H55" i="1"/>
  <c r="I55" i="1"/>
  <c r="K55" i="1" s="1"/>
  <c r="H56" i="1"/>
  <c r="I56" i="1"/>
  <c r="K56" i="1" s="1"/>
  <c r="H57" i="1"/>
  <c r="I57" i="1"/>
  <c r="K57" i="1" s="1"/>
  <c r="H58" i="1"/>
  <c r="I58" i="1"/>
  <c r="K58" i="1" s="1"/>
  <c r="H59" i="1"/>
  <c r="I59" i="1"/>
  <c r="K59" i="1" s="1"/>
  <c r="H60" i="1"/>
  <c r="I60" i="1"/>
  <c r="K60" i="1" s="1"/>
  <c r="H61" i="1"/>
  <c r="I61" i="1"/>
  <c r="K61" i="1" s="1"/>
  <c r="H62" i="1"/>
  <c r="I62" i="1"/>
  <c r="K62" i="1" s="1"/>
  <c r="H63" i="1"/>
  <c r="I63" i="1"/>
  <c r="K63" i="1" s="1"/>
  <c r="H64" i="1"/>
  <c r="I64" i="1"/>
  <c r="K64" i="1" s="1"/>
  <c r="H65" i="1"/>
  <c r="I65" i="1"/>
  <c r="K65" i="1" s="1"/>
  <c r="H66" i="1"/>
  <c r="I66" i="1"/>
  <c r="K66" i="1" s="1"/>
  <c r="H67" i="1"/>
  <c r="I67" i="1"/>
  <c r="K67" i="1" s="1"/>
  <c r="H68" i="1"/>
  <c r="I68" i="1"/>
  <c r="K68" i="1" s="1"/>
  <c r="H69" i="1"/>
  <c r="I69" i="1"/>
  <c r="K69" i="1" s="1"/>
  <c r="H70" i="1"/>
  <c r="I70" i="1"/>
  <c r="K70" i="1" s="1"/>
  <c r="H71" i="1"/>
  <c r="I71" i="1"/>
  <c r="K71" i="1" s="1"/>
  <c r="H72" i="1"/>
  <c r="I72" i="1"/>
  <c r="K72" i="1" s="1"/>
  <c r="H73" i="1"/>
  <c r="I73" i="1"/>
  <c r="K73" i="1" s="1"/>
  <c r="H74" i="1"/>
  <c r="I74" i="1"/>
  <c r="K74" i="1" s="1"/>
  <c r="H75" i="1"/>
  <c r="I75" i="1"/>
  <c r="K75" i="1" s="1"/>
  <c r="H76" i="1"/>
  <c r="I76" i="1"/>
  <c r="K76" i="1" s="1"/>
  <c r="H77" i="1"/>
  <c r="I77" i="1"/>
  <c r="K77" i="1" s="1"/>
  <c r="H78" i="1"/>
  <c r="I78" i="1"/>
  <c r="K78" i="1" s="1"/>
  <c r="H79" i="1"/>
  <c r="I79" i="1"/>
  <c r="K79" i="1" s="1"/>
  <c r="H80" i="1"/>
  <c r="I80" i="1"/>
  <c r="K80" i="1" s="1"/>
  <c r="H81" i="1"/>
  <c r="I81" i="1"/>
  <c r="K81" i="1" s="1"/>
  <c r="H82" i="1"/>
  <c r="I82" i="1"/>
  <c r="K82" i="1" s="1"/>
  <c r="H83" i="1"/>
  <c r="I83" i="1"/>
  <c r="H84" i="1"/>
  <c r="I84" i="1"/>
  <c r="K84" i="1" s="1"/>
  <c r="H85" i="1"/>
  <c r="I85" i="1"/>
  <c r="K85" i="1" s="1"/>
  <c r="H86" i="1"/>
  <c r="I86" i="1"/>
  <c r="K86" i="1" s="1"/>
  <c r="H87" i="1"/>
  <c r="I87" i="1"/>
  <c r="K87" i="1" s="1"/>
  <c r="H88" i="1"/>
  <c r="I88" i="1"/>
  <c r="K88" i="1" s="1"/>
  <c r="H89" i="1"/>
  <c r="I89" i="1"/>
  <c r="K89" i="1" s="1"/>
  <c r="H90" i="1"/>
  <c r="I90" i="1"/>
  <c r="K90" i="1" s="1"/>
  <c r="H91" i="1"/>
  <c r="I91" i="1"/>
  <c r="K91" i="1" s="1"/>
  <c r="H92" i="1"/>
  <c r="I92" i="1"/>
  <c r="K92" i="1" s="1"/>
  <c r="H93" i="1"/>
  <c r="I93" i="1"/>
  <c r="K93" i="1" s="1"/>
  <c r="H94" i="1"/>
  <c r="I94" i="1"/>
  <c r="K94" i="1" s="1"/>
  <c r="H95" i="1"/>
  <c r="I95" i="1"/>
  <c r="K95" i="1" s="1"/>
  <c r="H96" i="1"/>
  <c r="I96" i="1"/>
  <c r="K96" i="1" s="1"/>
  <c r="H97" i="1"/>
  <c r="I97" i="1"/>
  <c r="K97" i="1" s="1"/>
  <c r="H98" i="1"/>
  <c r="I98" i="1"/>
  <c r="K98" i="1" s="1"/>
  <c r="H99" i="1"/>
  <c r="I99" i="1"/>
  <c r="K99" i="1" s="1"/>
  <c r="H100" i="1"/>
  <c r="I100" i="1"/>
  <c r="K100" i="1" s="1"/>
  <c r="H101" i="1"/>
  <c r="I101" i="1"/>
  <c r="K101" i="1" s="1"/>
  <c r="H102" i="1"/>
  <c r="I102" i="1"/>
  <c r="K102" i="1" s="1"/>
  <c r="H103" i="1"/>
  <c r="I103" i="1"/>
  <c r="K103" i="1" s="1"/>
  <c r="H104" i="1"/>
  <c r="I104" i="1"/>
  <c r="K104" i="1" s="1"/>
  <c r="H105" i="1"/>
  <c r="I105" i="1"/>
  <c r="K105" i="1" s="1"/>
  <c r="H106" i="1"/>
  <c r="I106" i="1"/>
  <c r="K106" i="1" s="1"/>
  <c r="H107" i="1"/>
  <c r="I107" i="1"/>
  <c r="K107" i="1" s="1"/>
  <c r="H108" i="1"/>
  <c r="I108" i="1"/>
  <c r="K108" i="1" s="1"/>
  <c r="H109" i="1"/>
  <c r="I109" i="1"/>
  <c r="K109" i="1" s="1"/>
  <c r="H110" i="1"/>
  <c r="I110" i="1"/>
  <c r="K110" i="1" s="1"/>
  <c r="H111" i="1"/>
  <c r="I111" i="1"/>
  <c r="K111" i="1" s="1"/>
  <c r="H112" i="1"/>
  <c r="I112" i="1"/>
  <c r="K112" i="1" s="1"/>
  <c r="H113" i="1"/>
  <c r="I113" i="1"/>
  <c r="K113" i="1" s="1"/>
  <c r="H114" i="1"/>
  <c r="I114" i="1"/>
  <c r="K114" i="1" s="1"/>
  <c r="H115" i="1"/>
  <c r="I115" i="1"/>
  <c r="K115" i="1" s="1"/>
  <c r="H116" i="1"/>
  <c r="I116" i="1"/>
  <c r="K116" i="1" s="1"/>
  <c r="H117" i="1"/>
  <c r="I117" i="1"/>
  <c r="K117" i="1" s="1"/>
  <c r="H118" i="1"/>
  <c r="I118" i="1"/>
  <c r="K118" i="1" s="1"/>
  <c r="H119" i="1"/>
  <c r="I119" i="1"/>
  <c r="K119" i="1" s="1"/>
  <c r="H120" i="1"/>
  <c r="I120" i="1"/>
  <c r="K120" i="1" s="1"/>
  <c r="H121" i="1"/>
  <c r="I121" i="1"/>
  <c r="K121" i="1" s="1"/>
  <c r="H122" i="1"/>
  <c r="I122" i="1"/>
  <c r="K122" i="1" s="1"/>
  <c r="H123" i="1"/>
  <c r="I123" i="1"/>
  <c r="K123" i="1" s="1"/>
  <c r="H124" i="1"/>
  <c r="I124" i="1"/>
  <c r="K124" i="1" s="1"/>
  <c r="H125" i="1"/>
  <c r="I125" i="1"/>
  <c r="K125" i="1" s="1"/>
  <c r="H126" i="1"/>
  <c r="I126" i="1"/>
  <c r="K126" i="1" s="1"/>
  <c r="H127" i="1"/>
  <c r="I127" i="1"/>
  <c r="K127" i="1" s="1"/>
  <c r="H128" i="1"/>
  <c r="I128" i="1"/>
  <c r="K128" i="1" s="1"/>
  <c r="H129" i="1"/>
  <c r="I129" i="1"/>
  <c r="K129" i="1" s="1"/>
  <c r="H130" i="1"/>
  <c r="I130" i="1"/>
  <c r="K130" i="1" s="1"/>
  <c r="H131" i="1"/>
  <c r="I131" i="1"/>
  <c r="K131" i="1" s="1"/>
  <c r="H132" i="1"/>
  <c r="I132" i="1"/>
  <c r="K132" i="1" s="1"/>
  <c r="H133" i="1"/>
  <c r="I133" i="1"/>
  <c r="K133" i="1" s="1"/>
  <c r="H134" i="1"/>
  <c r="I134" i="1"/>
  <c r="K134" i="1" s="1"/>
  <c r="H135" i="1"/>
  <c r="I135" i="1"/>
  <c r="K135" i="1" s="1"/>
  <c r="H136" i="1"/>
  <c r="I136" i="1"/>
  <c r="K136" i="1" s="1"/>
  <c r="H137" i="1"/>
  <c r="I137" i="1"/>
  <c r="K137" i="1" s="1"/>
  <c r="H138" i="1"/>
  <c r="I138" i="1"/>
  <c r="K138" i="1" s="1"/>
  <c r="H139" i="1"/>
  <c r="I139" i="1"/>
  <c r="K139" i="1" s="1"/>
  <c r="H140" i="1"/>
  <c r="I140" i="1"/>
  <c r="K140" i="1" s="1"/>
  <c r="H141" i="1"/>
  <c r="I141" i="1"/>
  <c r="K141" i="1" s="1"/>
  <c r="H142" i="1"/>
  <c r="I142" i="1"/>
  <c r="K142" i="1" s="1"/>
  <c r="H143" i="1"/>
  <c r="I143" i="1"/>
  <c r="K143" i="1" s="1"/>
  <c r="H144" i="1"/>
  <c r="I144" i="1"/>
  <c r="K144" i="1" s="1"/>
  <c r="H145" i="1"/>
  <c r="I145" i="1"/>
  <c r="K145" i="1" s="1"/>
  <c r="H146" i="1"/>
  <c r="I146" i="1"/>
  <c r="K146" i="1" s="1"/>
  <c r="H147" i="1"/>
  <c r="I147" i="1"/>
  <c r="K147" i="1" s="1"/>
  <c r="H148" i="1"/>
  <c r="I148" i="1"/>
  <c r="K148" i="1" s="1"/>
  <c r="H149" i="1"/>
  <c r="I149" i="1"/>
  <c r="K149" i="1" s="1"/>
  <c r="H150" i="1"/>
  <c r="I150" i="1"/>
  <c r="K150" i="1" s="1"/>
  <c r="H151" i="1"/>
  <c r="I151" i="1"/>
  <c r="K151" i="1" s="1"/>
  <c r="H152" i="1"/>
  <c r="I152" i="1"/>
  <c r="K152" i="1" s="1"/>
  <c r="H153" i="1"/>
  <c r="I153" i="1"/>
  <c r="K153" i="1" s="1"/>
  <c r="H154" i="1"/>
  <c r="I154" i="1"/>
  <c r="K154" i="1" s="1"/>
  <c r="H155" i="1"/>
  <c r="I155" i="1"/>
  <c r="K155" i="1" s="1"/>
  <c r="H156" i="1"/>
  <c r="I156" i="1"/>
  <c r="K156" i="1" s="1"/>
  <c r="H157" i="1"/>
  <c r="I157" i="1"/>
  <c r="K157" i="1" s="1"/>
  <c r="H158" i="1"/>
  <c r="I158" i="1"/>
  <c r="K158" i="1" s="1"/>
  <c r="H159" i="1"/>
  <c r="I159" i="1"/>
  <c r="K159" i="1" s="1"/>
  <c r="H160" i="1"/>
  <c r="I160" i="1"/>
  <c r="K160" i="1" s="1"/>
  <c r="H161" i="1"/>
  <c r="I161" i="1"/>
  <c r="K161" i="1" s="1"/>
  <c r="H162" i="1"/>
  <c r="I162" i="1"/>
  <c r="K162" i="1" s="1"/>
  <c r="H163" i="1"/>
  <c r="I163" i="1"/>
  <c r="K163" i="1" s="1"/>
  <c r="H164" i="1"/>
  <c r="I164" i="1"/>
  <c r="K164" i="1" s="1"/>
  <c r="H165" i="1"/>
  <c r="I165" i="1"/>
  <c r="K165" i="1" s="1"/>
  <c r="H166" i="1"/>
  <c r="I166" i="1"/>
  <c r="K166" i="1" s="1"/>
  <c r="H167" i="1"/>
  <c r="I167" i="1"/>
  <c r="K167" i="1" s="1"/>
  <c r="H168" i="1"/>
  <c r="I168" i="1"/>
  <c r="K168" i="1" s="1"/>
  <c r="H169" i="1"/>
  <c r="I169" i="1"/>
  <c r="K169" i="1" s="1"/>
  <c r="H170" i="1"/>
  <c r="I170" i="1"/>
  <c r="K170" i="1" s="1"/>
  <c r="H171" i="1"/>
  <c r="I171" i="1"/>
  <c r="K171" i="1" s="1"/>
  <c r="H172" i="1"/>
  <c r="I172" i="1"/>
  <c r="K172" i="1" s="1"/>
  <c r="H173" i="1"/>
  <c r="I173" i="1"/>
  <c r="K173" i="1" s="1"/>
  <c r="H174" i="1"/>
  <c r="I174" i="1"/>
  <c r="K174" i="1" s="1"/>
  <c r="H175" i="1"/>
  <c r="I175" i="1"/>
  <c r="K175" i="1" s="1"/>
  <c r="H176" i="1"/>
  <c r="I176" i="1"/>
  <c r="K176" i="1" s="1"/>
  <c r="H177" i="1"/>
  <c r="I177" i="1"/>
  <c r="K177" i="1" s="1"/>
  <c r="H178" i="1"/>
  <c r="I178" i="1"/>
  <c r="K178" i="1" s="1"/>
  <c r="H179" i="1"/>
  <c r="I179" i="1"/>
  <c r="K179" i="1" s="1"/>
  <c r="H180" i="1"/>
  <c r="I180" i="1"/>
  <c r="K180" i="1" s="1"/>
  <c r="H181" i="1"/>
  <c r="I181" i="1"/>
  <c r="K181" i="1" s="1"/>
  <c r="H182" i="1"/>
  <c r="I182" i="1"/>
  <c r="K182" i="1" s="1"/>
  <c r="H183" i="1"/>
  <c r="I183" i="1"/>
  <c r="K183" i="1" s="1"/>
  <c r="H184" i="1"/>
  <c r="I184" i="1"/>
  <c r="K184" i="1" s="1"/>
  <c r="H185" i="1"/>
  <c r="I185" i="1"/>
  <c r="K185" i="1" s="1"/>
  <c r="H186" i="1"/>
  <c r="I186" i="1"/>
  <c r="K186" i="1" s="1"/>
  <c r="H187" i="1"/>
  <c r="I187" i="1"/>
  <c r="K187" i="1" s="1"/>
  <c r="H188" i="1"/>
  <c r="I188" i="1"/>
  <c r="K188" i="1" s="1"/>
  <c r="H189" i="1"/>
  <c r="I189" i="1"/>
  <c r="K189" i="1" s="1"/>
  <c r="H190" i="1"/>
  <c r="I190" i="1"/>
  <c r="K190" i="1" s="1"/>
  <c r="H191" i="1"/>
  <c r="I191" i="1"/>
  <c r="K191" i="1" s="1"/>
  <c r="H192" i="1"/>
  <c r="I192" i="1"/>
  <c r="K192" i="1" s="1"/>
  <c r="H193" i="1"/>
  <c r="I193" i="1"/>
  <c r="K193" i="1" s="1"/>
  <c r="H194" i="1"/>
  <c r="I194" i="1"/>
  <c r="K194" i="1" s="1"/>
  <c r="H195" i="1"/>
  <c r="I195" i="1"/>
  <c r="K195" i="1" s="1"/>
  <c r="H196" i="1"/>
  <c r="I196" i="1"/>
  <c r="K196" i="1" s="1"/>
  <c r="H197" i="1"/>
  <c r="I197" i="1"/>
  <c r="K197" i="1" s="1"/>
  <c r="H198" i="1"/>
  <c r="I198" i="1"/>
  <c r="K198" i="1" s="1"/>
  <c r="H199" i="1"/>
  <c r="I199" i="1"/>
  <c r="K199" i="1" s="1"/>
  <c r="H200" i="1"/>
  <c r="I200" i="1"/>
  <c r="K200" i="1" s="1"/>
  <c r="H201" i="1"/>
  <c r="I201" i="1"/>
  <c r="K201" i="1" s="1"/>
  <c r="H202" i="1"/>
  <c r="I202" i="1"/>
  <c r="K202" i="1" s="1"/>
  <c r="H203" i="1"/>
  <c r="I203" i="1"/>
  <c r="K203" i="1" s="1"/>
  <c r="H204" i="1"/>
  <c r="I204" i="1"/>
  <c r="K204" i="1" s="1"/>
  <c r="H205" i="1"/>
  <c r="I205" i="1"/>
  <c r="K205" i="1" s="1"/>
  <c r="H206" i="1"/>
  <c r="I206" i="1"/>
  <c r="K206" i="1" s="1"/>
  <c r="H207" i="1"/>
  <c r="I207" i="1"/>
  <c r="K207" i="1" s="1"/>
  <c r="H208" i="1"/>
  <c r="I208" i="1"/>
  <c r="K208" i="1" s="1"/>
  <c r="H209" i="1"/>
  <c r="I209" i="1"/>
  <c r="K209" i="1" s="1"/>
  <c r="H210" i="1"/>
  <c r="I210" i="1"/>
  <c r="K210" i="1" s="1"/>
  <c r="H211" i="1"/>
  <c r="I211" i="1"/>
  <c r="H212" i="1"/>
  <c r="I212" i="1"/>
  <c r="K212" i="1" s="1"/>
  <c r="H213" i="1"/>
  <c r="I213" i="1"/>
  <c r="K213" i="1" s="1"/>
  <c r="H214" i="1"/>
  <c r="I214" i="1"/>
  <c r="K214" i="1" s="1"/>
  <c r="H215" i="1"/>
  <c r="I215" i="1"/>
  <c r="K215" i="1" s="1"/>
  <c r="H216" i="1"/>
  <c r="I216" i="1"/>
  <c r="K216" i="1" s="1"/>
  <c r="H217" i="1"/>
  <c r="I217" i="1"/>
  <c r="K217" i="1" s="1"/>
  <c r="H218" i="1"/>
  <c r="I218" i="1"/>
  <c r="K218" i="1" s="1"/>
  <c r="H219" i="1"/>
  <c r="I219" i="1"/>
  <c r="K219" i="1" s="1"/>
  <c r="H220" i="1"/>
  <c r="I220" i="1"/>
  <c r="K220" i="1" s="1"/>
  <c r="H221" i="1"/>
  <c r="I221" i="1"/>
  <c r="K221" i="1" s="1"/>
  <c r="H222" i="1"/>
  <c r="I222" i="1"/>
  <c r="K222" i="1" s="1"/>
  <c r="H223" i="1"/>
  <c r="I223" i="1"/>
  <c r="K223" i="1" s="1"/>
  <c r="H224" i="1"/>
  <c r="I224" i="1"/>
  <c r="K224" i="1" s="1"/>
  <c r="H225" i="1"/>
  <c r="I225" i="1"/>
  <c r="K225" i="1" s="1"/>
  <c r="H226" i="1"/>
  <c r="I226" i="1"/>
  <c r="K226" i="1" s="1"/>
  <c r="H227" i="1"/>
  <c r="I227" i="1"/>
  <c r="K227" i="1" s="1"/>
  <c r="H228" i="1"/>
  <c r="I228" i="1"/>
  <c r="K228" i="1" s="1"/>
  <c r="H229" i="1"/>
  <c r="I229" i="1"/>
  <c r="K229" i="1" s="1"/>
  <c r="H230" i="1"/>
  <c r="I230" i="1"/>
  <c r="K230" i="1" s="1"/>
  <c r="H231" i="1"/>
  <c r="I231" i="1"/>
  <c r="K231" i="1" s="1"/>
  <c r="H232" i="1"/>
  <c r="I232" i="1"/>
  <c r="K232" i="1" s="1"/>
  <c r="H233" i="1"/>
  <c r="I233" i="1"/>
  <c r="K233" i="1" s="1"/>
  <c r="H234" i="1"/>
  <c r="I234" i="1"/>
  <c r="K234" i="1" s="1"/>
  <c r="H235" i="1"/>
  <c r="I235" i="1"/>
  <c r="K235" i="1" s="1"/>
  <c r="H236" i="1"/>
  <c r="I236" i="1"/>
  <c r="K236" i="1" s="1"/>
  <c r="H237" i="1"/>
  <c r="I237" i="1"/>
  <c r="K237" i="1" s="1"/>
  <c r="H238" i="1"/>
  <c r="I238" i="1"/>
  <c r="K238" i="1" s="1"/>
  <c r="H239" i="1"/>
  <c r="I239" i="1"/>
  <c r="K239" i="1" s="1"/>
  <c r="H240" i="1"/>
  <c r="I240" i="1"/>
  <c r="K240" i="1" s="1"/>
  <c r="H241" i="1"/>
  <c r="I241" i="1"/>
  <c r="K241" i="1" s="1"/>
  <c r="H242" i="1"/>
  <c r="I242" i="1"/>
  <c r="K242" i="1" s="1"/>
  <c r="H243" i="1"/>
  <c r="I243" i="1"/>
  <c r="K243" i="1" s="1"/>
  <c r="H244" i="1"/>
  <c r="I244" i="1"/>
  <c r="K244" i="1" s="1"/>
  <c r="H245" i="1"/>
  <c r="I245" i="1"/>
  <c r="K245" i="1" s="1"/>
  <c r="H246" i="1"/>
  <c r="I246" i="1"/>
  <c r="K246" i="1" s="1"/>
  <c r="H247" i="1"/>
  <c r="I247" i="1"/>
  <c r="K247" i="1" s="1"/>
  <c r="H248" i="1"/>
  <c r="I248" i="1"/>
  <c r="K248" i="1" s="1"/>
  <c r="H249" i="1"/>
  <c r="I249" i="1"/>
  <c r="K249" i="1" s="1"/>
  <c r="H250" i="1"/>
  <c r="I250" i="1"/>
  <c r="K250" i="1" s="1"/>
  <c r="H251" i="1"/>
  <c r="I251" i="1"/>
  <c r="K251" i="1" s="1"/>
  <c r="H252" i="1"/>
  <c r="I252" i="1"/>
  <c r="K252" i="1" s="1"/>
  <c r="H253" i="1"/>
  <c r="I253" i="1"/>
  <c r="K253" i="1" s="1"/>
  <c r="H254" i="1"/>
  <c r="I254" i="1"/>
  <c r="K254" i="1" s="1"/>
  <c r="H255" i="1"/>
  <c r="I255" i="1"/>
  <c r="K255" i="1" s="1"/>
  <c r="H256" i="1"/>
  <c r="I256" i="1"/>
  <c r="K256" i="1" s="1"/>
  <c r="H257" i="1"/>
  <c r="I257" i="1"/>
  <c r="K257" i="1" s="1"/>
  <c r="H258" i="1"/>
  <c r="I258" i="1"/>
  <c r="K258" i="1" s="1"/>
  <c r="H259" i="1"/>
  <c r="I259" i="1"/>
  <c r="K259" i="1" s="1"/>
  <c r="H260" i="1"/>
  <c r="I260" i="1"/>
  <c r="K260" i="1" s="1"/>
  <c r="H261" i="1"/>
  <c r="I261" i="1"/>
  <c r="K261" i="1" s="1"/>
  <c r="H262" i="1"/>
  <c r="I262" i="1"/>
  <c r="K262" i="1" s="1"/>
  <c r="H263" i="1"/>
  <c r="I263" i="1"/>
  <c r="K263" i="1" s="1"/>
  <c r="H264" i="1"/>
  <c r="I264" i="1"/>
  <c r="K264" i="1" s="1"/>
  <c r="H265" i="1"/>
  <c r="I265" i="1"/>
  <c r="K265" i="1" s="1"/>
  <c r="H266" i="1"/>
  <c r="I266" i="1"/>
  <c r="K266" i="1" s="1"/>
  <c r="H267" i="1"/>
  <c r="I267" i="1"/>
  <c r="K267" i="1" s="1"/>
  <c r="H268" i="1"/>
  <c r="I268" i="1"/>
  <c r="K268" i="1" s="1"/>
  <c r="H269" i="1"/>
  <c r="I269" i="1"/>
  <c r="K269" i="1" s="1"/>
  <c r="H270" i="1"/>
  <c r="I270" i="1"/>
  <c r="K270" i="1" s="1"/>
  <c r="H271" i="1"/>
  <c r="I271" i="1"/>
  <c r="K271" i="1" s="1"/>
  <c r="H272" i="1"/>
  <c r="I272" i="1"/>
  <c r="K272" i="1" s="1"/>
  <c r="H273" i="1"/>
  <c r="I273" i="1"/>
  <c r="K273" i="1" s="1"/>
  <c r="H274" i="1"/>
  <c r="I274" i="1"/>
  <c r="K274" i="1" s="1"/>
  <c r="H275" i="1"/>
  <c r="I275" i="1"/>
  <c r="K275" i="1" s="1"/>
  <c r="H276" i="1"/>
  <c r="I276" i="1"/>
  <c r="K276" i="1" s="1"/>
  <c r="H277" i="1"/>
  <c r="I277" i="1"/>
  <c r="K277" i="1" s="1"/>
  <c r="H278" i="1"/>
  <c r="I278" i="1"/>
  <c r="K278" i="1" s="1"/>
  <c r="H279" i="1"/>
  <c r="I279" i="1"/>
  <c r="K279" i="1" s="1"/>
  <c r="H280" i="1"/>
  <c r="I280" i="1"/>
  <c r="K280" i="1" s="1"/>
  <c r="H281" i="1"/>
  <c r="I281" i="1"/>
  <c r="K281" i="1" s="1"/>
  <c r="H282" i="1"/>
  <c r="I282" i="1"/>
  <c r="K282" i="1" s="1"/>
  <c r="H283" i="1"/>
  <c r="I283" i="1"/>
  <c r="K283" i="1" s="1"/>
  <c r="H284" i="1"/>
  <c r="I284" i="1"/>
  <c r="K284" i="1" s="1"/>
  <c r="H285" i="1"/>
  <c r="I285" i="1"/>
  <c r="K285" i="1" s="1"/>
  <c r="H286" i="1"/>
  <c r="I286" i="1"/>
  <c r="K286" i="1" s="1"/>
  <c r="H287" i="1"/>
  <c r="I287" i="1"/>
  <c r="K287" i="1" s="1"/>
  <c r="H288" i="1"/>
  <c r="I288" i="1"/>
  <c r="K288" i="1" s="1"/>
  <c r="H289" i="1"/>
  <c r="I289" i="1"/>
  <c r="K289" i="1" s="1"/>
  <c r="H290" i="1"/>
  <c r="I290" i="1"/>
  <c r="K290" i="1" s="1"/>
  <c r="H291" i="1"/>
  <c r="I291" i="1"/>
  <c r="K291" i="1" s="1"/>
  <c r="H292" i="1"/>
  <c r="I292" i="1"/>
  <c r="K292" i="1" s="1"/>
  <c r="H293" i="1"/>
  <c r="I293" i="1"/>
  <c r="K293" i="1" s="1"/>
  <c r="H294" i="1"/>
  <c r="I294" i="1"/>
  <c r="K294" i="1" s="1"/>
  <c r="H295" i="1"/>
  <c r="I295" i="1"/>
  <c r="K295" i="1" s="1"/>
  <c r="H296" i="1"/>
  <c r="I296" i="1"/>
  <c r="K296" i="1" s="1"/>
  <c r="H297" i="1"/>
  <c r="I297" i="1"/>
  <c r="K297" i="1" s="1"/>
  <c r="H298" i="1"/>
  <c r="I298" i="1"/>
  <c r="K298" i="1" s="1"/>
  <c r="H299" i="1"/>
  <c r="I299" i="1"/>
  <c r="K299" i="1" s="1"/>
  <c r="H300" i="1"/>
  <c r="I300" i="1"/>
  <c r="K300" i="1" s="1"/>
  <c r="H301" i="1"/>
  <c r="I301" i="1"/>
  <c r="K301" i="1" s="1"/>
  <c r="H302" i="1"/>
  <c r="I302" i="1"/>
  <c r="K302" i="1" s="1"/>
  <c r="H303" i="1"/>
  <c r="I303" i="1"/>
  <c r="K303" i="1" s="1"/>
  <c r="H304" i="1"/>
  <c r="I304" i="1"/>
  <c r="K304" i="1" s="1"/>
  <c r="H305" i="1"/>
  <c r="I305" i="1"/>
  <c r="K305" i="1" s="1"/>
  <c r="H306" i="1"/>
  <c r="I306" i="1"/>
  <c r="K306" i="1" s="1"/>
  <c r="H307" i="1"/>
  <c r="I307" i="1"/>
  <c r="K307" i="1" s="1"/>
  <c r="H308" i="1"/>
  <c r="I308" i="1"/>
  <c r="K308" i="1" s="1"/>
  <c r="H309" i="1"/>
  <c r="I309" i="1"/>
  <c r="K309" i="1" s="1"/>
  <c r="H310" i="1"/>
  <c r="I310" i="1"/>
  <c r="K310" i="1" s="1"/>
  <c r="H311" i="1"/>
  <c r="I311" i="1"/>
  <c r="K311" i="1" s="1"/>
  <c r="H312" i="1"/>
  <c r="I312" i="1"/>
  <c r="K312" i="1" s="1"/>
  <c r="H313" i="1"/>
  <c r="I313" i="1"/>
  <c r="K313" i="1" s="1"/>
  <c r="H314" i="1"/>
  <c r="I314" i="1"/>
  <c r="K314" i="1" s="1"/>
  <c r="H315" i="1"/>
  <c r="I315" i="1"/>
  <c r="K315" i="1" s="1"/>
  <c r="H316" i="1"/>
  <c r="I316" i="1"/>
  <c r="K316" i="1" s="1"/>
  <c r="H317" i="1"/>
  <c r="I317" i="1"/>
  <c r="K317" i="1" s="1"/>
  <c r="H318" i="1"/>
  <c r="I318" i="1"/>
  <c r="K318" i="1" s="1"/>
  <c r="H319" i="1"/>
  <c r="I319" i="1"/>
  <c r="K319" i="1" s="1"/>
  <c r="H320" i="1"/>
  <c r="I320" i="1"/>
  <c r="K320" i="1" s="1"/>
  <c r="H321" i="1"/>
  <c r="I321" i="1"/>
  <c r="K321" i="1" s="1"/>
  <c r="H322" i="1"/>
  <c r="I322" i="1"/>
  <c r="K322" i="1" s="1"/>
  <c r="H323" i="1"/>
  <c r="I323" i="1"/>
  <c r="K323" i="1" s="1"/>
  <c r="H324" i="1"/>
  <c r="I324" i="1"/>
  <c r="K324" i="1" s="1"/>
  <c r="H325" i="1"/>
  <c r="I325" i="1"/>
  <c r="K325" i="1" s="1"/>
  <c r="H326" i="1"/>
  <c r="I326" i="1"/>
  <c r="K326" i="1" s="1"/>
  <c r="H327" i="1"/>
  <c r="I327" i="1"/>
  <c r="H328" i="1"/>
  <c r="I328" i="1"/>
  <c r="K328" i="1" s="1"/>
  <c r="H329" i="1"/>
  <c r="I329" i="1"/>
  <c r="K329" i="1" s="1"/>
  <c r="H330" i="1"/>
  <c r="I330" i="1"/>
  <c r="K330" i="1" s="1"/>
  <c r="H331" i="1"/>
  <c r="I331" i="1"/>
  <c r="K331" i="1" s="1"/>
  <c r="H332" i="1"/>
  <c r="I332" i="1"/>
  <c r="K332" i="1" s="1"/>
  <c r="H333" i="1"/>
  <c r="I333" i="1"/>
  <c r="K333" i="1" s="1"/>
  <c r="H334" i="1"/>
  <c r="I334" i="1"/>
  <c r="K334" i="1" s="1"/>
  <c r="H335" i="1"/>
  <c r="I335" i="1"/>
  <c r="K335" i="1" s="1"/>
  <c r="H336" i="1"/>
  <c r="I336" i="1"/>
  <c r="K336" i="1" s="1"/>
  <c r="H337" i="1"/>
  <c r="I337" i="1"/>
  <c r="K337" i="1" s="1"/>
  <c r="H338" i="1"/>
  <c r="I338" i="1"/>
  <c r="K338" i="1" s="1"/>
  <c r="H339" i="1"/>
  <c r="I339" i="1"/>
  <c r="K339" i="1" s="1"/>
  <c r="H340" i="1"/>
  <c r="I340" i="1"/>
  <c r="K340" i="1" s="1"/>
  <c r="H341" i="1"/>
  <c r="I341" i="1"/>
  <c r="K341" i="1" s="1"/>
  <c r="H342" i="1"/>
  <c r="I342" i="1"/>
  <c r="K342" i="1" s="1"/>
  <c r="H343" i="1"/>
  <c r="I343" i="1"/>
  <c r="K343" i="1" s="1"/>
  <c r="H344" i="1"/>
  <c r="I344" i="1"/>
  <c r="K344" i="1" s="1"/>
  <c r="H345" i="1"/>
  <c r="I345" i="1"/>
  <c r="K345" i="1" s="1"/>
  <c r="H346" i="1"/>
  <c r="I346" i="1"/>
  <c r="K346" i="1" s="1"/>
  <c r="H347" i="1"/>
  <c r="I347" i="1"/>
  <c r="K347" i="1" s="1"/>
  <c r="H348" i="1"/>
  <c r="I348" i="1"/>
  <c r="K348" i="1" s="1"/>
  <c r="H349" i="1"/>
  <c r="I349" i="1"/>
  <c r="K349" i="1" s="1"/>
  <c r="H350" i="1"/>
  <c r="I350" i="1"/>
  <c r="K350" i="1" s="1"/>
  <c r="H351" i="1"/>
  <c r="I351" i="1"/>
  <c r="K351" i="1" s="1"/>
  <c r="H352" i="1"/>
  <c r="I352" i="1"/>
  <c r="K352" i="1" s="1"/>
  <c r="H353" i="1"/>
  <c r="I353" i="1"/>
  <c r="K353" i="1" s="1"/>
  <c r="H354" i="1"/>
  <c r="I354" i="1"/>
  <c r="K354" i="1" s="1"/>
  <c r="H355" i="1"/>
  <c r="I355" i="1"/>
  <c r="K355" i="1" s="1"/>
  <c r="H356" i="1"/>
  <c r="I356" i="1"/>
  <c r="K356" i="1" s="1"/>
  <c r="H357" i="1"/>
  <c r="I357" i="1"/>
  <c r="K357" i="1" s="1"/>
  <c r="H358" i="1"/>
  <c r="I358" i="1"/>
  <c r="K358" i="1" s="1"/>
  <c r="H359" i="1"/>
  <c r="I359" i="1"/>
  <c r="K359" i="1" s="1"/>
  <c r="H360" i="1"/>
  <c r="I360" i="1"/>
  <c r="K360" i="1" s="1"/>
  <c r="H361" i="1"/>
  <c r="I361" i="1"/>
  <c r="K361" i="1" s="1"/>
  <c r="H362" i="1"/>
  <c r="I362" i="1"/>
  <c r="K362" i="1" s="1"/>
  <c r="H363" i="1"/>
  <c r="I363" i="1"/>
  <c r="K363" i="1" s="1"/>
  <c r="H364" i="1"/>
  <c r="I364" i="1"/>
  <c r="K364" i="1" s="1"/>
  <c r="H365" i="1"/>
  <c r="I365" i="1"/>
  <c r="K365" i="1" s="1"/>
  <c r="H366" i="1"/>
  <c r="I366" i="1"/>
  <c r="K366" i="1" s="1"/>
  <c r="H367" i="1"/>
  <c r="I367" i="1"/>
  <c r="K367" i="1" s="1"/>
  <c r="H368" i="1"/>
  <c r="I368" i="1"/>
  <c r="K368" i="1" s="1"/>
  <c r="H369" i="1"/>
  <c r="I369" i="1"/>
  <c r="K369" i="1" s="1"/>
  <c r="H370" i="1"/>
  <c r="I370" i="1"/>
  <c r="K370" i="1" s="1"/>
  <c r="H371" i="1"/>
  <c r="I371" i="1"/>
  <c r="K371" i="1" s="1"/>
  <c r="H372" i="1"/>
  <c r="I372" i="1"/>
  <c r="K372" i="1" s="1"/>
  <c r="H373" i="1"/>
  <c r="I373" i="1"/>
  <c r="K373" i="1" s="1"/>
  <c r="H374" i="1"/>
  <c r="I374" i="1"/>
  <c r="K374" i="1" s="1"/>
  <c r="H375" i="1"/>
  <c r="I375" i="1"/>
  <c r="K375" i="1" s="1"/>
  <c r="H376" i="1"/>
  <c r="I376" i="1"/>
  <c r="K376" i="1" s="1"/>
  <c r="H377" i="1"/>
  <c r="I377" i="1"/>
  <c r="K377" i="1" s="1"/>
  <c r="H378" i="1"/>
  <c r="I378" i="1"/>
  <c r="K378" i="1" s="1"/>
  <c r="H379" i="1"/>
  <c r="I379" i="1"/>
  <c r="K379" i="1" s="1"/>
  <c r="H380" i="1"/>
  <c r="I380" i="1"/>
  <c r="K380" i="1" s="1"/>
  <c r="H381" i="1"/>
  <c r="I381" i="1"/>
  <c r="K381" i="1" s="1"/>
  <c r="H382" i="1"/>
  <c r="I382" i="1"/>
  <c r="K382" i="1" s="1"/>
  <c r="H383" i="1"/>
  <c r="I383" i="1"/>
  <c r="K383" i="1" s="1"/>
  <c r="H384" i="1"/>
  <c r="I384" i="1"/>
  <c r="K384" i="1" s="1"/>
  <c r="H385" i="1"/>
  <c r="I385" i="1"/>
  <c r="K385" i="1" s="1"/>
  <c r="H386" i="1"/>
  <c r="I386" i="1"/>
  <c r="K386" i="1" s="1"/>
  <c r="H387" i="1"/>
  <c r="I387" i="1"/>
  <c r="K387" i="1" s="1"/>
  <c r="H388" i="1"/>
  <c r="I388" i="1"/>
  <c r="K388" i="1" s="1"/>
  <c r="H389" i="1"/>
  <c r="I389" i="1"/>
  <c r="K389" i="1" s="1"/>
  <c r="H390" i="1"/>
  <c r="I390" i="1"/>
  <c r="K390" i="1" s="1"/>
  <c r="H391" i="1"/>
  <c r="I391" i="1"/>
  <c r="K391" i="1" s="1"/>
  <c r="H392" i="1"/>
  <c r="I392" i="1"/>
  <c r="K392" i="1" s="1"/>
  <c r="H393" i="1"/>
  <c r="I393" i="1"/>
  <c r="K393" i="1" s="1"/>
  <c r="H394" i="1"/>
  <c r="I394" i="1"/>
  <c r="K394" i="1" s="1"/>
  <c r="H395" i="1"/>
  <c r="I395" i="1"/>
  <c r="K395" i="1" s="1"/>
  <c r="H396" i="1"/>
  <c r="I396" i="1"/>
  <c r="K396" i="1" s="1"/>
  <c r="H397" i="1"/>
  <c r="I397" i="1"/>
  <c r="K397" i="1" s="1"/>
  <c r="H398" i="1"/>
  <c r="I398" i="1"/>
  <c r="K398" i="1" s="1"/>
  <c r="H399" i="1"/>
  <c r="I399" i="1"/>
  <c r="K399" i="1" s="1"/>
  <c r="H400" i="1"/>
  <c r="I400" i="1"/>
  <c r="K400" i="1" s="1"/>
  <c r="H401" i="1"/>
  <c r="I401" i="1"/>
  <c r="K401" i="1" s="1"/>
  <c r="H402" i="1"/>
  <c r="I402" i="1"/>
  <c r="K402" i="1" s="1"/>
  <c r="H403" i="1"/>
  <c r="I403" i="1"/>
  <c r="K403" i="1" s="1"/>
  <c r="H404" i="1"/>
  <c r="I404" i="1"/>
  <c r="K404" i="1" s="1"/>
  <c r="H405" i="1"/>
  <c r="I405" i="1"/>
  <c r="K405" i="1" s="1"/>
  <c r="H406" i="1"/>
  <c r="I406" i="1"/>
  <c r="K406" i="1" s="1"/>
  <c r="H407" i="1"/>
  <c r="I407" i="1"/>
  <c r="K407" i="1" s="1"/>
  <c r="H408" i="1"/>
  <c r="I408" i="1"/>
  <c r="K408" i="1" s="1"/>
  <c r="H409" i="1"/>
  <c r="I409" i="1"/>
  <c r="K409" i="1" s="1"/>
  <c r="H410" i="1"/>
  <c r="I410" i="1"/>
  <c r="K410" i="1" s="1"/>
  <c r="H411" i="1"/>
  <c r="I411" i="1"/>
  <c r="K411" i="1" s="1"/>
  <c r="H412" i="1"/>
  <c r="I412" i="1"/>
  <c r="K412" i="1" s="1"/>
  <c r="H413" i="1"/>
  <c r="I413" i="1"/>
  <c r="K413" i="1" s="1"/>
  <c r="H414" i="1"/>
  <c r="I414" i="1"/>
  <c r="K414" i="1" s="1"/>
  <c r="H415" i="1"/>
  <c r="I415" i="1"/>
  <c r="K415" i="1" s="1"/>
  <c r="H416" i="1"/>
  <c r="I416" i="1"/>
  <c r="K416" i="1" s="1"/>
  <c r="H417" i="1"/>
  <c r="I417" i="1"/>
  <c r="K417" i="1" s="1"/>
  <c r="H418" i="1"/>
  <c r="I418" i="1"/>
  <c r="K418" i="1" s="1"/>
  <c r="H419" i="1"/>
  <c r="I419" i="1"/>
  <c r="K419" i="1" s="1"/>
  <c r="H420" i="1"/>
  <c r="I420" i="1"/>
  <c r="K420" i="1" s="1"/>
  <c r="H421" i="1"/>
  <c r="I421" i="1"/>
  <c r="K421" i="1" s="1"/>
  <c r="H422" i="1"/>
  <c r="I422" i="1"/>
  <c r="K422" i="1" s="1"/>
  <c r="H423" i="1"/>
  <c r="I423" i="1"/>
  <c r="K423" i="1" s="1"/>
  <c r="H424" i="1"/>
  <c r="I424" i="1"/>
  <c r="K424" i="1" s="1"/>
  <c r="H425" i="1"/>
  <c r="I425" i="1"/>
  <c r="K425" i="1" s="1"/>
  <c r="H426" i="1"/>
  <c r="I426" i="1"/>
  <c r="K426" i="1" s="1"/>
  <c r="H427" i="1"/>
  <c r="I427" i="1"/>
  <c r="K427" i="1" s="1"/>
  <c r="H428" i="1"/>
  <c r="I428" i="1"/>
  <c r="K428" i="1" s="1"/>
  <c r="H429" i="1"/>
  <c r="I429" i="1"/>
  <c r="K429" i="1" s="1"/>
  <c r="H430" i="1"/>
  <c r="I430" i="1"/>
  <c r="K430" i="1" s="1"/>
  <c r="H431" i="1"/>
  <c r="I431" i="1"/>
  <c r="K431" i="1" s="1"/>
  <c r="H432" i="1"/>
  <c r="I432" i="1"/>
  <c r="K432" i="1" s="1"/>
  <c r="H433" i="1"/>
  <c r="I433" i="1"/>
  <c r="K433" i="1" s="1"/>
  <c r="H434" i="1"/>
  <c r="I434" i="1"/>
  <c r="K434" i="1" s="1"/>
  <c r="H435" i="1"/>
  <c r="I435" i="1"/>
  <c r="K435" i="1" s="1"/>
  <c r="H436" i="1"/>
  <c r="I436" i="1"/>
  <c r="K436" i="1" s="1"/>
  <c r="H437" i="1"/>
  <c r="I437" i="1"/>
  <c r="K437" i="1" s="1"/>
  <c r="H438" i="1"/>
  <c r="I438" i="1"/>
  <c r="K438" i="1" s="1"/>
  <c r="H439" i="1"/>
  <c r="I439" i="1"/>
  <c r="K439" i="1" s="1"/>
  <c r="H440" i="1"/>
  <c r="I440" i="1"/>
  <c r="K440" i="1" s="1"/>
  <c r="H441" i="1"/>
  <c r="I441" i="1"/>
  <c r="K441" i="1" s="1"/>
  <c r="H442" i="1"/>
  <c r="I442" i="1"/>
  <c r="K442" i="1" s="1"/>
  <c r="H443" i="1"/>
  <c r="I443" i="1"/>
  <c r="K443" i="1" s="1"/>
  <c r="H444" i="1"/>
  <c r="I444" i="1"/>
  <c r="K444" i="1" s="1"/>
  <c r="H445" i="1"/>
  <c r="I445" i="1"/>
  <c r="K445" i="1" s="1"/>
  <c r="H446" i="1"/>
  <c r="I446" i="1"/>
  <c r="K446" i="1" s="1"/>
  <c r="H447" i="1"/>
  <c r="I447" i="1"/>
  <c r="K447" i="1" s="1"/>
  <c r="H448" i="1"/>
  <c r="I448" i="1"/>
  <c r="K448" i="1" s="1"/>
  <c r="H449" i="1"/>
  <c r="I449" i="1"/>
  <c r="K449" i="1" s="1"/>
  <c r="H450" i="1"/>
  <c r="I450" i="1"/>
  <c r="K450" i="1" s="1"/>
  <c r="H451" i="1"/>
  <c r="I451" i="1"/>
  <c r="K451" i="1" s="1"/>
  <c r="H452" i="1"/>
  <c r="I452" i="1"/>
  <c r="K452" i="1" s="1"/>
  <c r="H453" i="1"/>
  <c r="I453" i="1"/>
  <c r="K453" i="1" s="1"/>
  <c r="H454" i="1"/>
  <c r="I454" i="1"/>
  <c r="K454" i="1" s="1"/>
  <c r="H455" i="1"/>
  <c r="I455" i="1"/>
  <c r="K455" i="1" s="1"/>
  <c r="H456" i="1"/>
  <c r="I456" i="1"/>
  <c r="K456" i="1" s="1"/>
  <c r="H457" i="1"/>
  <c r="I457" i="1"/>
  <c r="K457" i="1" s="1"/>
  <c r="H458" i="1"/>
  <c r="I458" i="1"/>
  <c r="K458" i="1" s="1"/>
  <c r="H459" i="1"/>
  <c r="I459" i="1"/>
  <c r="K459" i="1" s="1"/>
  <c r="H460" i="1"/>
  <c r="I460" i="1"/>
  <c r="K460" i="1" s="1"/>
  <c r="H461" i="1"/>
  <c r="I461" i="1"/>
  <c r="K461" i="1" s="1"/>
  <c r="H462" i="1"/>
  <c r="I462" i="1"/>
  <c r="K462" i="1" s="1"/>
  <c r="H463" i="1"/>
  <c r="I463" i="1"/>
  <c r="K463" i="1" s="1"/>
  <c r="H464" i="1"/>
  <c r="I464" i="1"/>
  <c r="K464" i="1" s="1"/>
  <c r="H465" i="1"/>
  <c r="I465" i="1"/>
  <c r="K465" i="1" s="1"/>
  <c r="H466" i="1"/>
  <c r="I466" i="1"/>
  <c r="K466" i="1" s="1"/>
  <c r="H467" i="1"/>
  <c r="I467" i="1"/>
  <c r="K467" i="1" s="1"/>
  <c r="H468" i="1"/>
  <c r="I468" i="1"/>
  <c r="K468" i="1" s="1"/>
  <c r="H469" i="1"/>
  <c r="I469" i="1"/>
  <c r="K469" i="1" s="1"/>
  <c r="H470" i="1"/>
  <c r="I470" i="1"/>
  <c r="K470" i="1" s="1"/>
  <c r="H471" i="1"/>
  <c r="I471" i="1"/>
  <c r="K471" i="1" s="1"/>
  <c r="H472" i="1"/>
  <c r="I472" i="1"/>
  <c r="K472" i="1" s="1"/>
  <c r="H473" i="1"/>
  <c r="I473" i="1"/>
  <c r="K473" i="1" s="1"/>
  <c r="H474" i="1"/>
  <c r="I474" i="1"/>
  <c r="K474" i="1" s="1"/>
  <c r="H475" i="1"/>
  <c r="I475" i="1"/>
  <c r="K475" i="1" s="1"/>
  <c r="H476" i="1"/>
  <c r="I476" i="1"/>
  <c r="K476" i="1" s="1"/>
  <c r="H477" i="1"/>
  <c r="I477" i="1"/>
  <c r="K477" i="1" s="1"/>
  <c r="H478" i="1"/>
  <c r="I478" i="1"/>
  <c r="K478" i="1" s="1"/>
  <c r="H479" i="1"/>
  <c r="I479" i="1"/>
  <c r="K479" i="1" s="1"/>
  <c r="H480" i="1"/>
  <c r="I480" i="1"/>
  <c r="K480" i="1" s="1"/>
  <c r="H481" i="1"/>
  <c r="I481" i="1"/>
  <c r="K481" i="1" s="1"/>
  <c r="H482" i="1"/>
  <c r="I482" i="1"/>
  <c r="K482" i="1" s="1"/>
  <c r="H483" i="1"/>
  <c r="I483" i="1"/>
  <c r="K483" i="1" s="1"/>
  <c r="H484" i="1"/>
  <c r="I484" i="1"/>
  <c r="K484" i="1" s="1"/>
  <c r="H485" i="1"/>
  <c r="I485" i="1"/>
  <c r="K485" i="1" s="1"/>
  <c r="H486" i="1"/>
  <c r="I486" i="1"/>
  <c r="K486" i="1" s="1"/>
  <c r="H487" i="1"/>
  <c r="I487" i="1"/>
  <c r="K487" i="1" s="1"/>
  <c r="H488" i="1"/>
  <c r="I488" i="1"/>
  <c r="K488" i="1" s="1"/>
  <c r="H489" i="1"/>
  <c r="I489" i="1"/>
  <c r="K489" i="1" s="1"/>
  <c r="H490" i="1"/>
  <c r="I490" i="1"/>
  <c r="K490" i="1" s="1"/>
  <c r="H491" i="1"/>
  <c r="I491" i="1"/>
  <c r="K491" i="1" s="1"/>
  <c r="H492" i="1"/>
  <c r="I492" i="1"/>
  <c r="K492" i="1" s="1"/>
  <c r="H493" i="1"/>
  <c r="I493" i="1"/>
  <c r="K493" i="1" s="1"/>
  <c r="H494" i="1"/>
  <c r="I494" i="1"/>
  <c r="K494" i="1" s="1"/>
  <c r="H495" i="1"/>
  <c r="I495" i="1"/>
  <c r="K495" i="1" s="1"/>
  <c r="H496" i="1"/>
  <c r="I496" i="1"/>
  <c r="K496" i="1" s="1"/>
  <c r="H497" i="1"/>
  <c r="I497" i="1"/>
  <c r="K497" i="1" s="1"/>
  <c r="H498" i="1"/>
  <c r="I498" i="1"/>
  <c r="K498" i="1" s="1"/>
  <c r="H499" i="1"/>
  <c r="I499" i="1"/>
  <c r="K499" i="1" s="1"/>
  <c r="H500" i="1"/>
  <c r="I500" i="1"/>
  <c r="K500" i="1" s="1"/>
  <c r="H501" i="1"/>
  <c r="I501" i="1"/>
  <c r="K501" i="1" s="1"/>
  <c r="H502" i="1"/>
  <c r="I502" i="1"/>
  <c r="K502" i="1" s="1"/>
  <c r="H503" i="1"/>
  <c r="I503" i="1"/>
  <c r="K503" i="1" s="1"/>
  <c r="H504" i="1"/>
  <c r="I504" i="1"/>
  <c r="K504" i="1" s="1"/>
  <c r="H505" i="1"/>
  <c r="I505" i="1"/>
  <c r="K505" i="1" s="1"/>
  <c r="H506" i="1"/>
  <c r="I506" i="1"/>
  <c r="K506" i="1" s="1"/>
  <c r="H507" i="1"/>
  <c r="I507" i="1"/>
  <c r="K507" i="1" s="1"/>
  <c r="H508" i="1"/>
  <c r="I508" i="1"/>
  <c r="K508" i="1" s="1"/>
  <c r="H509" i="1"/>
  <c r="I509" i="1"/>
  <c r="K509" i="1" s="1"/>
  <c r="H510" i="1"/>
  <c r="I510" i="1"/>
  <c r="K510" i="1" s="1"/>
  <c r="H511" i="1"/>
  <c r="I511" i="1"/>
  <c r="K511" i="1" s="1"/>
  <c r="H512" i="1"/>
  <c r="I512" i="1"/>
  <c r="K512" i="1" s="1"/>
  <c r="H513" i="1"/>
  <c r="I513" i="1"/>
  <c r="K513" i="1" s="1"/>
  <c r="H514" i="1"/>
  <c r="I514" i="1"/>
  <c r="K514" i="1" s="1"/>
  <c r="H515" i="1"/>
  <c r="I515" i="1"/>
  <c r="K515" i="1" s="1"/>
  <c r="H516" i="1"/>
  <c r="I516" i="1"/>
  <c r="K516" i="1" s="1"/>
  <c r="H517" i="1"/>
  <c r="I517" i="1"/>
  <c r="K517" i="1" s="1"/>
  <c r="H518" i="1"/>
  <c r="I518" i="1"/>
  <c r="K518" i="1" s="1"/>
  <c r="H519" i="1"/>
  <c r="I519" i="1"/>
  <c r="K519" i="1" s="1"/>
  <c r="H520" i="1"/>
  <c r="I520" i="1"/>
  <c r="K520" i="1" s="1"/>
  <c r="H521" i="1"/>
  <c r="I521" i="1"/>
  <c r="K521" i="1" s="1"/>
  <c r="H522" i="1"/>
  <c r="I522" i="1"/>
  <c r="K522" i="1" s="1"/>
  <c r="H523" i="1"/>
  <c r="I523" i="1"/>
  <c r="K523" i="1" s="1"/>
  <c r="H524" i="1"/>
  <c r="I524" i="1"/>
  <c r="K524" i="1" s="1"/>
  <c r="H525" i="1"/>
  <c r="I525" i="1"/>
  <c r="K525" i="1" s="1"/>
  <c r="H526" i="1"/>
  <c r="I526" i="1"/>
  <c r="K526" i="1" s="1"/>
  <c r="H527" i="1"/>
  <c r="I527" i="1"/>
  <c r="K527" i="1" s="1"/>
  <c r="H528" i="1"/>
  <c r="I528" i="1"/>
  <c r="K528" i="1" s="1"/>
  <c r="H529" i="1"/>
  <c r="I529" i="1"/>
  <c r="K529" i="1" s="1"/>
  <c r="H530" i="1"/>
  <c r="I530" i="1"/>
  <c r="K530" i="1" s="1"/>
  <c r="H531" i="1"/>
  <c r="I531" i="1"/>
  <c r="K531" i="1" s="1"/>
  <c r="H532" i="1"/>
  <c r="I532" i="1"/>
  <c r="K532" i="1" s="1"/>
  <c r="H533" i="1"/>
  <c r="I533" i="1"/>
  <c r="K533" i="1" s="1"/>
  <c r="H534" i="1"/>
  <c r="I534" i="1"/>
  <c r="K534" i="1" s="1"/>
  <c r="H535" i="1"/>
  <c r="I535" i="1"/>
  <c r="K535" i="1" s="1"/>
  <c r="H536" i="1"/>
  <c r="I536" i="1"/>
  <c r="K536" i="1" s="1"/>
  <c r="H537" i="1"/>
  <c r="I537" i="1"/>
  <c r="K537" i="1" s="1"/>
  <c r="H538" i="1"/>
  <c r="I538" i="1"/>
  <c r="K538" i="1" s="1"/>
  <c r="H539" i="1"/>
  <c r="I539" i="1"/>
  <c r="K539" i="1" s="1"/>
  <c r="H540" i="1"/>
  <c r="I540" i="1"/>
  <c r="K540" i="1" s="1"/>
  <c r="H541" i="1"/>
  <c r="I541" i="1"/>
  <c r="K541" i="1" s="1"/>
  <c r="H542" i="1"/>
  <c r="I542" i="1"/>
  <c r="K542" i="1" s="1"/>
  <c r="H543" i="1"/>
  <c r="I543" i="1"/>
  <c r="K543" i="1" s="1"/>
  <c r="H544" i="1"/>
  <c r="I544" i="1"/>
  <c r="K544" i="1" s="1"/>
  <c r="H545" i="1"/>
  <c r="I545" i="1"/>
  <c r="K545" i="1" s="1"/>
  <c r="H546" i="1"/>
  <c r="I546" i="1"/>
  <c r="K546" i="1" s="1"/>
  <c r="H547" i="1"/>
  <c r="I547" i="1"/>
  <c r="K547" i="1" s="1"/>
  <c r="H548" i="1"/>
  <c r="I548" i="1"/>
  <c r="K548" i="1" s="1"/>
  <c r="H549" i="1"/>
  <c r="I549" i="1"/>
  <c r="K549" i="1" s="1"/>
  <c r="H550" i="1"/>
  <c r="I550" i="1"/>
  <c r="K550" i="1" s="1"/>
  <c r="H551" i="1"/>
  <c r="I551" i="1"/>
  <c r="K551" i="1" s="1"/>
  <c r="H552" i="1"/>
  <c r="I552" i="1"/>
  <c r="K552" i="1" s="1"/>
  <c r="H553" i="1"/>
  <c r="I553" i="1"/>
  <c r="K553" i="1" s="1"/>
  <c r="H554" i="1"/>
  <c r="I554" i="1"/>
  <c r="K554" i="1" s="1"/>
  <c r="H555" i="1"/>
  <c r="I555" i="1"/>
  <c r="K555" i="1" s="1"/>
  <c r="H556" i="1"/>
  <c r="I556" i="1"/>
  <c r="K556" i="1" s="1"/>
  <c r="H557" i="1"/>
  <c r="I557" i="1"/>
  <c r="K557" i="1" s="1"/>
  <c r="H558" i="1"/>
  <c r="I558" i="1"/>
  <c r="K558" i="1" s="1"/>
  <c r="H559" i="1"/>
  <c r="I559" i="1"/>
  <c r="K559" i="1" s="1"/>
  <c r="H560" i="1"/>
  <c r="I560" i="1"/>
  <c r="K560" i="1" s="1"/>
  <c r="H561" i="1"/>
  <c r="I561" i="1"/>
  <c r="K561" i="1" s="1"/>
  <c r="H562" i="1"/>
  <c r="I562" i="1"/>
  <c r="K562" i="1" s="1"/>
  <c r="H563" i="1"/>
  <c r="I563" i="1"/>
  <c r="K563" i="1" s="1"/>
  <c r="H564" i="1"/>
  <c r="I564" i="1"/>
  <c r="K564" i="1" s="1"/>
  <c r="H565" i="1"/>
  <c r="I565" i="1"/>
  <c r="K565" i="1" s="1"/>
  <c r="H566" i="1"/>
  <c r="I566" i="1"/>
  <c r="K566" i="1" s="1"/>
  <c r="H567" i="1"/>
  <c r="I567" i="1"/>
  <c r="K567" i="1" s="1"/>
  <c r="H568" i="1"/>
  <c r="I568" i="1"/>
  <c r="K568" i="1" s="1"/>
  <c r="H569" i="1"/>
  <c r="I569" i="1"/>
  <c r="K569" i="1" s="1"/>
  <c r="H570" i="1"/>
  <c r="I570" i="1"/>
  <c r="K570" i="1" s="1"/>
  <c r="H571" i="1"/>
  <c r="I571" i="1"/>
  <c r="K571" i="1" s="1"/>
  <c r="H572" i="1"/>
  <c r="I572" i="1"/>
  <c r="K572" i="1" s="1"/>
  <c r="H573" i="1"/>
  <c r="I573" i="1"/>
  <c r="K573" i="1" s="1"/>
  <c r="H574" i="1"/>
  <c r="I574" i="1"/>
  <c r="K574" i="1" s="1"/>
  <c r="H575" i="1"/>
  <c r="I575" i="1"/>
  <c r="K575" i="1" s="1"/>
  <c r="H576" i="1"/>
  <c r="I576" i="1"/>
  <c r="H577" i="1"/>
  <c r="I577" i="1"/>
  <c r="K577" i="1" s="1"/>
  <c r="H578" i="1"/>
  <c r="I578" i="1"/>
  <c r="K578" i="1" s="1"/>
  <c r="H579" i="1"/>
  <c r="I579" i="1"/>
  <c r="K579" i="1" s="1"/>
  <c r="H580" i="1"/>
  <c r="I580" i="1"/>
  <c r="K580" i="1" s="1"/>
  <c r="H581" i="1"/>
  <c r="I581" i="1"/>
  <c r="K581" i="1" s="1"/>
  <c r="H582" i="1"/>
  <c r="I582" i="1"/>
  <c r="K582" i="1" s="1"/>
  <c r="H583" i="1"/>
  <c r="I583" i="1"/>
  <c r="K583" i="1" s="1"/>
  <c r="H584" i="1"/>
  <c r="I584" i="1"/>
  <c r="K584" i="1" s="1"/>
  <c r="H585" i="1"/>
  <c r="I585" i="1"/>
  <c r="K585" i="1" s="1"/>
  <c r="H586" i="1"/>
  <c r="I586" i="1"/>
  <c r="K586" i="1" s="1"/>
  <c r="H587" i="1"/>
  <c r="I587" i="1"/>
  <c r="K587" i="1" s="1"/>
  <c r="H588" i="1"/>
  <c r="I588" i="1"/>
  <c r="K588" i="1" s="1"/>
  <c r="H589" i="1"/>
  <c r="I589" i="1"/>
  <c r="K589" i="1" s="1"/>
  <c r="H590" i="1"/>
  <c r="I590" i="1"/>
  <c r="K590" i="1" s="1"/>
  <c r="H591" i="1"/>
  <c r="I591" i="1"/>
  <c r="K591" i="1" s="1"/>
  <c r="H592" i="1"/>
  <c r="I592" i="1"/>
  <c r="K592" i="1" s="1"/>
  <c r="H593" i="1"/>
  <c r="I593" i="1"/>
  <c r="H594" i="1"/>
  <c r="I594" i="1"/>
  <c r="K594" i="1" s="1"/>
  <c r="H595" i="1"/>
  <c r="I595" i="1"/>
  <c r="K595" i="1" s="1"/>
  <c r="H596" i="1"/>
  <c r="I596" i="1"/>
  <c r="K596" i="1" s="1"/>
  <c r="H597" i="1"/>
  <c r="I597" i="1"/>
  <c r="K597" i="1" s="1"/>
  <c r="H598" i="1"/>
  <c r="I598" i="1"/>
  <c r="K598" i="1" s="1"/>
  <c r="H599" i="1"/>
  <c r="I599" i="1"/>
  <c r="K599" i="1" s="1"/>
  <c r="H600" i="1"/>
  <c r="I600" i="1"/>
  <c r="K600" i="1" s="1"/>
  <c r="H601" i="1"/>
  <c r="I601" i="1"/>
  <c r="K601" i="1" s="1"/>
  <c r="H602" i="1"/>
  <c r="I602" i="1"/>
  <c r="K602" i="1" s="1"/>
  <c r="H603" i="1"/>
  <c r="I603" i="1"/>
  <c r="K603" i="1" s="1"/>
  <c r="H604" i="1"/>
  <c r="I604" i="1"/>
  <c r="K604" i="1" s="1"/>
  <c r="H605" i="1"/>
  <c r="I605" i="1"/>
  <c r="K605" i="1" s="1"/>
  <c r="H606" i="1"/>
  <c r="I606" i="1"/>
  <c r="K606" i="1" s="1"/>
  <c r="H607" i="1"/>
  <c r="I607" i="1"/>
  <c r="K607" i="1" s="1"/>
  <c r="H608" i="1"/>
  <c r="I608" i="1"/>
  <c r="K608" i="1" s="1"/>
  <c r="H609" i="1"/>
  <c r="I609" i="1"/>
  <c r="H610" i="1"/>
  <c r="I610" i="1"/>
  <c r="K610" i="1" s="1"/>
  <c r="H611" i="1"/>
  <c r="I611" i="1"/>
  <c r="K611" i="1" s="1"/>
  <c r="H612" i="1"/>
  <c r="I612" i="1"/>
  <c r="K612" i="1" s="1"/>
  <c r="H613" i="1"/>
  <c r="I613" i="1"/>
  <c r="K613" i="1" s="1"/>
  <c r="H614" i="1"/>
  <c r="I614" i="1"/>
  <c r="K614" i="1" s="1"/>
  <c r="H615" i="1"/>
  <c r="I615" i="1"/>
  <c r="K615" i="1" s="1"/>
  <c r="H616" i="1"/>
  <c r="I616" i="1"/>
  <c r="K616" i="1" s="1"/>
  <c r="H617" i="1"/>
  <c r="I617" i="1"/>
  <c r="K617" i="1" s="1"/>
  <c r="H618" i="1"/>
  <c r="I618" i="1"/>
  <c r="K618" i="1" s="1"/>
  <c r="H619" i="1"/>
  <c r="I619" i="1"/>
  <c r="K619" i="1" s="1"/>
  <c r="H620" i="1"/>
  <c r="I620" i="1"/>
  <c r="K620" i="1" s="1"/>
  <c r="H621" i="1"/>
  <c r="I621" i="1"/>
  <c r="K621" i="1" s="1"/>
  <c r="H622" i="1"/>
  <c r="I622" i="1"/>
  <c r="K622" i="1" s="1"/>
  <c r="H623" i="1"/>
  <c r="I623" i="1"/>
  <c r="K623" i="1" s="1"/>
  <c r="H624" i="1"/>
  <c r="I624" i="1"/>
  <c r="K624" i="1" s="1"/>
  <c r="H625" i="1"/>
  <c r="I625" i="1"/>
  <c r="H626" i="1"/>
  <c r="I626" i="1"/>
  <c r="K626" i="1" s="1"/>
  <c r="H627" i="1"/>
  <c r="I627" i="1"/>
  <c r="K627" i="1" s="1"/>
  <c r="H628" i="1"/>
  <c r="I628" i="1"/>
  <c r="K628" i="1" s="1"/>
  <c r="H629" i="1"/>
  <c r="I629" i="1"/>
  <c r="K629" i="1" s="1"/>
  <c r="H630" i="1"/>
  <c r="I630" i="1"/>
  <c r="K630" i="1" s="1"/>
  <c r="H631" i="1"/>
  <c r="I631" i="1"/>
  <c r="K631" i="1" s="1"/>
  <c r="H632" i="1"/>
  <c r="I632" i="1"/>
  <c r="K632" i="1" s="1"/>
  <c r="H633" i="1"/>
  <c r="I633" i="1"/>
  <c r="K633" i="1" s="1"/>
  <c r="H634" i="1"/>
  <c r="I634" i="1"/>
  <c r="K634" i="1" s="1"/>
  <c r="H635" i="1"/>
  <c r="I635" i="1"/>
  <c r="K635" i="1" s="1"/>
  <c r="H636" i="1"/>
  <c r="I636" i="1"/>
  <c r="K636" i="1" s="1"/>
  <c r="H637" i="1"/>
  <c r="I637" i="1"/>
  <c r="K637" i="1" s="1"/>
  <c r="H638" i="1"/>
  <c r="I638" i="1"/>
  <c r="K638" i="1" s="1"/>
  <c r="H639" i="1"/>
  <c r="I639" i="1"/>
  <c r="K639" i="1" s="1"/>
  <c r="H640" i="1"/>
  <c r="I640" i="1"/>
  <c r="K640" i="1" s="1"/>
  <c r="H641" i="1"/>
  <c r="I641" i="1"/>
  <c r="H642" i="1"/>
  <c r="I642" i="1"/>
  <c r="K642" i="1" s="1"/>
  <c r="H643" i="1"/>
  <c r="I643" i="1"/>
  <c r="K643" i="1" s="1"/>
  <c r="H644" i="1"/>
  <c r="I644" i="1"/>
  <c r="K644" i="1" s="1"/>
  <c r="H645" i="1"/>
  <c r="I645" i="1"/>
  <c r="K645" i="1" s="1"/>
  <c r="H646" i="1"/>
  <c r="I646" i="1"/>
  <c r="K646" i="1" s="1"/>
  <c r="H647" i="1"/>
  <c r="I647" i="1"/>
  <c r="K647" i="1" s="1"/>
  <c r="H648" i="1"/>
  <c r="I648" i="1"/>
  <c r="K648" i="1" s="1"/>
  <c r="H649" i="1"/>
  <c r="I649" i="1"/>
  <c r="K649" i="1" s="1"/>
  <c r="H650" i="1"/>
  <c r="I650" i="1"/>
  <c r="K650" i="1" s="1"/>
  <c r="H651" i="1"/>
  <c r="I651" i="1"/>
  <c r="K651" i="1" s="1"/>
  <c r="H652" i="1"/>
  <c r="I652" i="1"/>
  <c r="K652" i="1" s="1"/>
  <c r="H653" i="1"/>
  <c r="I653" i="1"/>
  <c r="K653" i="1" s="1"/>
  <c r="H654" i="1"/>
  <c r="I654" i="1"/>
  <c r="K654" i="1" s="1"/>
  <c r="H655" i="1"/>
  <c r="I655" i="1"/>
  <c r="K655" i="1" s="1"/>
  <c r="H656" i="1"/>
  <c r="I656" i="1"/>
  <c r="K656" i="1" s="1"/>
  <c r="H657" i="1"/>
  <c r="I657" i="1"/>
  <c r="H658" i="1"/>
  <c r="I658" i="1"/>
  <c r="K658" i="1" s="1"/>
  <c r="H659" i="1"/>
  <c r="I659" i="1"/>
  <c r="K659" i="1" s="1"/>
  <c r="H660" i="1"/>
  <c r="I660" i="1"/>
  <c r="K660" i="1" s="1"/>
  <c r="H661" i="1"/>
  <c r="I661" i="1"/>
  <c r="K661" i="1" s="1"/>
  <c r="H662" i="1"/>
  <c r="I662" i="1"/>
  <c r="K662" i="1" s="1"/>
  <c r="H663" i="1"/>
  <c r="I663" i="1"/>
  <c r="K663" i="1" s="1"/>
  <c r="H664" i="1"/>
  <c r="I664" i="1"/>
  <c r="K664" i="1" s="1"/>
  <c r="H665" i="1"/>
  <c r="I665" i="1"/>
  <c r="K665" i="1" s="1"/>
  <c r="H666" i="1"/>
  <c r="I666" i="1"/>
  <c r="K666" i="1" s="1"/>
  <c r="H667" i="1"/>
  <c r="I667" i="1"/>
  <c r="K667" i="1" s="1"/>
  <c r="H668" i="1"/>
  <c r="I668" i="1"/>
  <c r="K668" i="1" s="1"/>
  <c r="H669" i="1"/>
  <c r="I669" i="1"/>
  <c r="K669" i="1" s="1"/>
  <c r="H670" i="1"/>
  <c r="I670" i="1"/>
  <c r="K670" i="1" s="1"/>
  <c r="H671" i="1"/>
  <c r="I671" i="1"/>
  <c r="K671" i="1" s="1"/>
  <c r="H672" i="1"/>
  <c r="I672" i="1"/>
  <c r="K672" i="1" s="1"/>
  <c r="H673" i="1"/>
  <c r="I673" i="1"/>
  <c r="H674" i="1"/>
  <c r="I674" i="1"/>
  <c r="K674" i="1" s="1"/>
  <c r="H675" i="1"/>
  <c r="I675" i="1"/>
  <c r="K675" i="1" s="1"/>
  <c r="H676" i="1"/>
  <c r="I676" i="1"/>
  <c r="K676" i="1" s="1"/>
  <c r="H677" i="1"/>
  <c r="I677" i="1"/>
  <c r="K677" i="1" s="1"/>
  <c r="H678" i="1"/>
  <c r="I678" i="1"/>
  <c r="K678" i="1" s="1"/>
  <c r="H679" i="1"/>
  <c r="I679" i="1"/>
  <c r="K679" i="1" s="1"/>
  <c r="H680" i="1"/>
  <c r="I680" i="1"/>
  <c r="K680" i="1" s="1"/>
  <c r="H681" i="1"/>
  <c r="I681" i="1"/>
  <c r="K681" i="1" s="1"/>
  <c r="H682" i="1"/>
  <c r="I682" i="1"/>
  <c r="K682" i="1" s="1"/>
  <c r="H683" i="1"/>
  <c r="I683" i="1"/>
  <c r="K683" i="1" s="1"/>
  <c r="H684" i="1"/>
  <c r="I684" i="1"/>
  <c r="K684" i="1" s="1"/>
  <c r="H685" i="1"/>
  <c r="I685" i="1"/>
  <c r="K685" i="1" s="1"/>
  <c r="H686" i="1"/>
  <c r="I686" i="1"/>
  <c r="K686" i="1" s="1"/>
  <c r="H687" i="1"/>
  <c r="I687" i="1"/>
  <c r="K687" i="1" s="1"/>
  <c r="H688" i="1"/>
  <c r="I688" i="1"/>
  <c r="K688" i="1" s="1"/>
  <c r="H689" i="1"/>
  <c r="I689" i="1"/>
  <c r="H690" i="1"/>
  <c r="I690" i="1"/>
  <c r="K690" i="1" s="1"/>
  <c r="H691" i="1"/>
  <c r="I691" i="1"/>
  <c r="K691" i="1" s="1"/>
  <c r="H692" i="1"/>
  <c r="I692" i="1"/>
  <c r="K692" i="1" s="1"/>
  <c r="H693" i="1"/>
  <c r="I693" i="1"/>
  <c r="K693" i="1" s="1"/>
  <c r="H694" i="1"/>
  <c r="I694" i="1"/>
  <c r="K694" i="1" s="1"/>
  <c r="H695" i="1"/>
  <c r="I695" i="1"/>
  <c r="K695" i="1" s="1"/>
  <c r="H696" i="1"/>
  <c r="I696" i="1"/>
  <c r="K696" i="1" s="1"/>
  <c r="H697" i="1"/>
  <c r="I697" i="1"/>
  <c r="K697" i="1" s="1"/>
  <c r="H698" i="1"/>
  <c r="I698" i="1"/>
  <c r="K698" i="1" s="1"/>
  <c r="H699" i="1"/>
  <c r="I699" i="1"/>
  <c r="K699" i="1" s="1"/>
  <c r="H700" i="1"/>
  <c r="I700" i="1"/>
  <c r="K700" i="1" s="1"/>
  <c r="H701" i="1"/>
  <c r="I701" i="1"/>
  <c r="K701" i="1" s="1"/>
  <c r="H702" i="1"/>
  <c r="I702" i="1"/>
  <c r="K702" i="1" s="1"/>
  <c r="H703" i="1"/>
  <c r="I703" i="1"/>
  <c r="K703" i="1" s="1"/>
  <c r="H704" i="1"/>
  <c r="I704" i="1"/>
  <c r="K704" i="1" s="1"/>
  <c r="H705" i="1"/>
  <c r="I705" i="1"/>
  <c r="H706" i="1"/>
  <c r="I706" i="1"/>
  <c r="K706" i="1" s="1"/>
  <c r="H707" i="1"/>
  <c r="I707" i="1"/>
  <c r="K707" i="1" s="1"/>
  <c r="H708" i="1"/>
  <c r="I708" i="1"/>
  <c r="K708" i="1" s="1"/>
  <c r="H709" i="1"/>
  <c r="I709" i="1"/>
  <c r="K709" i="1" s="1"/>
  <c r="H710" i="1"/>
  <c r="I710" i="1"/>
  <c r="K710" i="1" s="1"/>
  <c r="H711" i="1"/>
  <c r="I711" i="1"/>
  <c r="K711" i="1" s="1"/>
  <c r="H712" i="1"/>
  <c r="I712" i="1"/>
  <c r="K712" i="1" s="1"/>
  <c r="H713" i="1"/>
  <c r="I713" i="1"/>
  <c r="K713" i="1" s="1"/>
  <c r="H714" i="1"/>
  <c r="I714" i="1"/>
  <c r="K714" i="1" s="1"/>
  <c r="H715" i="1"/>
  <c r="I715" i="1"/>
  <c r="K715" i="1" s="1"/>
  <c r="H716" i="1"/>
  <c r="I716" i="1"/>
  <c r="K716" i="1" s="1"/>
  <c r="H717" i="1"/>
  <c r="I717" i="1"/>
  <c r="K717" i="1" s="1"/>
  <c r="H718" i="1"/>
  <c r="I718" i="1"/>
  <c r="K718" i="1" s="1"/>
  <c r="H719" i="1"/>
  <c r="I719" i="1"/>
  <c r="K719" i="1" s="1"/>
  <c r="H720" i="1"/>
  <c r="I720" i="1"/>
  <c r="K720" i="1" s="1"/>
  <c r="H721" i="1"/>
  <c r="I721" i="1"/>
  <c r="H722" i="1"/>
  <c r="I722" i="1"/>
  <c r="K722" i="1" s="1"/>
  <c r="H723" i="1"/>
  <c r="I723" i="1"/>
  <c r="K723" i="1" s="1"/>
  <c r="H724" i="1"/>
  <c r="I724" i="1"/>
  <c r="K724" i="1" s="1"/>
  <c r="H725" i="1"/>
  <c r="I725" i="1"/>
  <c r="K725" i="1" s="1"/>
  <c r="H726" i="1"/>
  <c r="I726" i="1"/>
  <c r="K726" i="1" s="1"/>
  <c r="H727" i="1"/>
  <c r="I727" i="1"/>
  <c r="K727" i="1" s="1"/>
  <c r="H728" i="1"/>
  <c r="I728" i="1"/>
  <c r="K728" i="1" s="1"/>
  <c r="H729" i="1"/>
  <c r="I729" i="1"/>
  <c r="K729" i="1" s="1"/>
  <c r="H730" i="1"/>
  <c r="I730" i="1"/>
  <c r="K730" i="1" s="1"/>
  <c r="H731" i="1"/>
  <c r="I731" i="1"/>
  <c r="K731" i="1" s="1"/>
  <c r="H732" i="1"/>
  <c r="I732" i="1"/>
  <c r="K732" i="1" s="1"/>
  <c r="H733" i="1"/>
  <c r="I733" i="1"/>
  <c r="H734" i="1"/>
  <c r="I734" i="1"/>
  <c r="K734" i="1" s="1"/>
  <c r="H735" i="1"/>
  <c r="I735" i="1"/>
  <c r="K735" i="1" s="1"/>
  <c r="H736" i="1"/>
  <c r="I736" i="1"/>
  <c r="K736" i="1" s="1"/>
  <c r="H737" i="1"/>
  <c r="I737" i="1"/>
  <c r="K737" i="1" s="1"/>
  <c r="H738" i="1"/>
  <c r="I738" i="1"/>
  <c r="K738" i="1" s="1"/>
  <c r="H739" i="1"/>
  <c r="I739" i="1"/>
  <c r="K739" i="1" s="1"/>
  <c r="H740" i="1"/>
  <c r="I740" i="1"/>
  <c r="K740" i="1" s="1"/>
  <c r="H741" i="1"/>
  <c r="I741" i="1"/>
  <c r="H742" i="1"/>
  <c r="I742" i="1"/>
  <c r="K742" i="1" s="1"/>
  <c r="H743" i="1"/>
  <c r="I743" i="1"/>
  <c r="K743" i="1" s="1"/>
  <c r="H744" i="1"/>
  <c r="I744" i="1"/>
  <c r="K744" i="1" s="1"/>
  <c r="H745" i="1"/>
  <c r="I745" i="1"/>
  <c r="K745" i="1" s="1"/>
  <c r="H746" i="1"/>
  <c r="I746" i="1"/>
  <c r="K746" i="1" s="1"/>
  <c r="H747" i="1"/>
  <c r="I747" i="1"/>
  <c r="K747" i="1" s="1"/>
  <c r="H748" i="1"/>
  <c r="I748" i="1"/>
  <c r="H749" i="1"/>
  <c r="I749" i="1"/>
  <c r="K749" i="1" s="1"/>
  <c r="H750" i="1"/>
  <c r="I750" i="1"/>
  <c r="K750" i="1" s="1"/>
  <c r="H751" i="1"/>
  <c r="I751" i="1"/>
  <c r="K751" i="1" s="1"/>
  <c r="H752" i="1"/>
  <c r="I752" i="1"/>
  <c r="H753" i="1"/>
  <c r="I753" i="1"/>
  <c r="K753" i="1" s="1"/>
  <c r="H754" i="1"/>
  <c r="I754" i="1"/>
  <c r="K754" i="1" s="1"/>
  <c r="H755" i="1"/>
  <c r="I755" i="1"/>
  <c r="K755" i="1" s="1"/>
  <c r="H756" i="1"/>
  <c r="I756" i="1"/>
  <c r="H757" i="1"/>
  <c r="I757" i="1"/>
  <c r="K757" i="1" s="1"/>
  <c r="H758" i="1"/>
  <c r="I758" i="1"/>
  <c r="K758" i="1" s="1"/>
  <c r="H759" i="1"/>
  <c r="I759" i="1"/>
  <c r="K759" i="1" s="1"/>
  <c r="H760" i="1"/>
  <c r="I760" i="1"/>
  <c r="H761" i="1"/>
  <c r="I761" i="1"/>
  <c r="K761" i="1" s="1"/>
  <c r="H762" i="1"/>
  <c r="I762" i="1"/>
  <c r="K762" i="1" s="1"/>
  <c r="H763" i="1"/>
  <c r="I763" i="1"/>
  <c r="K763" i="1" s="1"/>
  <c r="H764" i="1"/>
  <c r="I764" i="1"/>
  <c r="K764" i="1" s="1"/>
  <c r="H765" i="1"/>
  <c r="I765" i="1"/>
  <c r="K765" i="1" s="1"/>
  <c r="H766" i="1"/>
  <c r="I766" i="1"/>
  <c r="K766" i="1" s="1"/>
  <c r="H767" i="1"/>
  <c r="I767" i="1"/>
  <c r="K767" i="1" s="1"/>
  <c r="H768" i="1"/>
  <c r="I768" i="1"/>
  <c r="H769" i="1"/>
  <c r="I769" i="1"/>
  <c r="K769" i="1" s="1"/>
  <c r="H770" i="1"/>
  <c r="I770" i="1"/>
  <c r="K770" i="1" s="1"/>
  <c r="H771" i="1"/>
  <c r="I771" i="1"/>
  <c r="K771" i="1" s="1"/>
  <c r="H772" i="1"/>
  <c r="I772" i="1"/>
  <c r="H773" i="1"/>
  <c r="I773" i="1"/>
  <c r="K773" i="1" s="1"/>
  <c r="H774" i="1"/>
  <c r="I774" i="1"/>
  <c r="K774" i="1" s="1"/>
  <c r="H775" i="1"/>
  <c r="I775" i="1"/>
  <c r="K775" i="1" s="1"/>
  <c r="H776" i="1"/>
  <c r="I776" i="1"/>
  <c r="K776" i="1" s="1"/>
  <c r="H777" i="1"/>
  <c r="I777" i="1"/>
  <c r="K777" i="1" s="1"/>
  <c r="H778" i="1"/>
  <c r="I778" i="1"/>
  <c r="K778" i="1" s="1"/>
  <c r="H779" i="1"/>
  <c r="I779" i="1"/>
  <c r="K779" i="1" s="1"/>
  <c r="H780" i="1"/>
  <c r="I780" i="1"/>
  <c r="H781" i="1"/>
  <c r="I781" i="1"/>
  <c r="K781" i="1" s="1"/>
  <c r="H782" i="1"/>
  <c r="I782" i="1"/>
  <c r="K782" i="1" s="1"/>
  <c r="H783" i="1"/>
  <c r="I783" i="1"/>
  <c r="K783" i="1" s="1"/>
  <c r="H784" i="1"/>
  <c r="I784" i="1"/>
  <c r="H785" i="1"/>
  <c r="I785" i="1"/>
  <c r="K785" i="1" s="1"/>
  <c r="H786" i="1"/>
  <c r="I786" i="1"/>
  <c r="K786" i="1" s="1"/>
  <c r="H787" i="1"/>
  <c r="I787" i="1"/>
  <c r="K787" i="1" s="1"/>
  <c r="H788" i="1"/>
  <c r="I788" i="1"/>
  <c r="H789" i="1"/>
  <c r="I789" i="1"/>
  <c r="K789" i="1" s="1"/>
  <c r="H790" i="1"/>
  <c r="I790" i="1"/>
  <c r="K790" i="1" s="1"/>
  <c r="H791" i="1"/>
  <c r="I791" i="1"/>
  <c r="K791" i="1" s="1"/>
  <c r="H792" i="1"/>
  <c r="I792" i="1"/>
  <c r="H793" i="1"/>
  <c r="I793" i="1"/>
  <c r="K793" i="1" s="1"/>
  <c r="H794" i="1"/>
  <c r="I794" i="1"/>
  <c r="K794" i="1" s="1"/>
  <c r="H795" i="1"/>
  <c r="I795" i="1"/>
  <c r="K795" i="1" s="1"/>
  <c r="H796" i="1"/>
  <c r="I796" i="1"/>
  <c r="K796" i="1" s="1"/>
  <c r="H797" i="1"/>
  <c r="I797" i="1"/>
  <c r="K797" i="1" s="1"/>
  <c r="H798" i="1"/>
  <c r="I798" i="1"/>
  <c r="K798" i="1" s="1"/>
  <c r="H799" i="1"/>
  <c r="I799" i="1"/>
  <c r="K799" i="1" s="1"/>
  <c r="H800" i="1"/>
  <c r="I800" i="1"/>
  <c r="H801" i="1"/>
  <c r="I801" i="1"/>
  <c r="K801" i="1" s="1"/>
  <c r="H802" i="1"/>
  <c r="I802" i="1"/>
  <c r="K802" i="1" s="1"/>
  <c r="H803" i="1"/>
  <c r="I803" i="1"/>
  <c r="K803" i="1" s="1"/>
  <c r="H804" i="1"/>
  <c r="I804" i="1"/>
  <c r="H805" i="1"/>
  <c r="I805" i="1"/>
  <c r="K805" i="1" s="1"/>
  <c r="H806" i="1"/>
  <c r="I806" i="1"/>
  <c r="K806" i="1" s="1"/>
  <c r="I2" i="1"/>
  <c r="K2" i="1" s="1"/>
  <c r="H2" i="1"/>
  <c r="O737" i="1" l="1"/>
  <c r="O665" i="1"/>
  <c r="O783" i="1"/>
  <c r="K788" i="1"/>
  <c r="K768" i="1"/>
  <c r="K748" i="1"/>
  <c r="K705" i="1"/>
  <c r="O705" i="1" s="1"/>
  <c r="K641" i="1"/>
  <c r="K576" i="1"/>
  <c r="O758" i="1"/>
  <c r="K804" i="1"/>
  <c r="O804" i="1" s="1"/>
  <c r="K784" i="1"/>
  <c r="K760" i="1"/>
  <c r="K741" i="1"/>
  <c r="K689" i="1"/>
  <c r="O689" i="1" s="1"/>
  <c r="K625" i="1"/>
  <c r="J6" i="1"/>
  <c r="J11" i="1"/>
  <c r="L11" i="1" s="1"/>
  <c r="J27" i="1"/>
  <c r="L27" i="1" s="1"/>
  <c r="J43" i="1"/>
  <c r="L43" i="1" s="1"/>
  <c r="J59" i="1"/>
  <c r="J75" i="1"/>
  <c r="L75" i="1" s="1"/>
  <c r="J91" i="1"/>
  <c r="L91" i="1" s="1"/>
  <c r="J107" i="1"/>
  <c r="L107" i="1" s="1"/>
  <c r="J123" i="1"/>
  <c r="J139" i="1"/>
  <c r="L139" i="1" s="1"/>
  <c r="J155" i="1"/>
  <c r="L155" i="1" s="1"/>
  <c r="J171" i="1"/>
  <c r="J187" i="1"/>
  <c r="L187" i="1" s="1"/>
  <c r="J203" i="1"/>
  <c r="L203" i="1" s="1"/>
  <c r="J219" i="1"/>
  <c r="L219" i="1" s="1"/>
  <c r="J235" i="1"/>
  <c r="L235" i="1" s="1"/>
  <c r="J251" i="1"/>
  <c r="L251" i="1" s="1"/>
  <c r="J267" i="1"/>
  <c r="L267" i="1" s="1"/>
  <c r="J286" i="1"/>
  <c r="L286" i="1" s="1"/>
  <c r="J291" i="1"/>
  <c r="L291" i="1" s="1"/>
  <c r="J298" i="1"/>
  <c r="L298" i="1" s="1"/>
  <c r="J318" i="1"/>
  <c r="L318" i="1" s="1"/>
  <c r="J323" i="1"/>
  <c r="L323" i="1" s="1"/>
  <c r="J330" i="1"/>
  <c r="L330" i="1" s="1"/>
  <c r="J350" i="1"/>
  <c r="L350" i="1" s="1"/>
  <c r="J355" i="1"/>
  <c r="L355" i="1" s="1"/>
  <c r="J362" i="1"/>
  <c r="L362" i="1" s="1"/>
  <c r="J382" i="1"/>
  <c r="L382" i="1" s="1"/>
  <c r="J387" i="1"/>
  <c r="L387" i="1" s="1"/>
  <c r="J394" i="1"/>
  <c r="L394" i="1" s="1"/>
  <c r="J414" i="1"/>
  <c r="L414" i="1" s="1"/>
  <c r="J419" i="1"/>
  <c r="L419" i="1" s="1"/>
  <c r="J426" i="1"/>
  <c r="L426" i="1" s="1"/>
  <c r="J446" i="1"/>
  <c r="L446" i="1" s="1"/>
  <c r="J451" i="1"/>
  <c r="L451" i="1" s="1"/>
  <c r="J458" i="1"/>
  <c r="L458" i="1" s="1"/>
  <c r="J478" i="1"/>
  <c r="L478" i="1" s="1"/>
  <c r="J483" i="1"/>
  <c r="L483" i="1" s="1"/>
  <c r="J490" i="1"/>
  <c r="L490" i="1" s="1"/>
  <c r="J510" i="1"/>
  <c r="L510" i="1" s="1"/>
  <c r="J515" i="1"/>
  <c r="L515" i="1" s="1"/>
  <c r="J522" i="1"/>
  <c r="L522" i="1" s="1"/>
  <c r="J542" i="1"/>
  <c r="L542" i="1" s="1"/>
  <c r="J547" i="1"/>
  <c r="L547" i="1" s="1"/>
  <c r="J554" i="1"/>
  <c r="L554" i="1" s="1"/>
  <c r="J574" i="1"/>
  <c r="L574" i="1" s="1"/>
  <c r="J579" i="1"/>
  <c r="L579" i="1" s="1"/>
  <c r="J586" i="1"/>
  <c r="L586" i="1" s="1"/>
  <c r="J606" i="1"/>
  <c r="L606" i="1" s="1"/>
  <c r="J611" i="1"/>
  <c r="L611" i="1" s="1"/>
  <c r="J618" i="1"/>
  <c r="L618" i="1" s="1"/>
  <c r="J638" i="1"/>
  <c r="L638" i="1" s="1"/>
  <c r="J643" i="1"/>
  <c r="L643" i="1" s="1"/>
  <c r="J650" i="1"/>
  <c r="L650" i="1" s="1"/>
  <c r="J670" i="1"/>
  <c r="L670" i="1" s="1"/>
  <c r="J675" i="1"/>
  <c r="L675" i="1" s="1"/>
  <c r="J682" i="1"/>
  <c r="L682" i="1" s="1"/>
  <c r="J702" i="1"/>
  <c r="L702" i="1" s="1"/>
  <c r="J707" i="1"/>
  <c r="L707" i="1" s="1"/>
  <c r="J714" i="1"/>
  <c r="L714" i="1" s="1"/>
  <c r="J734" i="1"/>
  <c r="L734" i="1" s="1"/>
  <c r="J739" i="1"/>
  <c r="L739" i="1" s="1"/>
  <c r="J746" i="1"/>
  <c r="L746" i="1" s="1"/>
  <c r="J766" i="1"/>
  <c r="L766" i="1" s="1"/>
  <c r="J771" i="1"/>
  <c r="L771" i="1" s="1"/>
  <c r="J778" i="1"/>
  <c r="L778" i="1" s="1"/>
  <c r="J798" i="1"/>
  <c r="L798" i="1" s="1"/>
  <c r="J803" i="1"/>
  <c r="L803" i="1" s="1"/>
  <c r="J454" i="1"/>
  <c r="L454" i="1" s="1"/>
  <c r="J459" i="1"/>
  <c r="L459" i="1" s="1"/>
  <c r="J491" i="1"/>
  <c r="L491" i="1" s="1"/>
  <c r="J550" i="1"/>
  <c r="L550" i="1" s="1"/>
  <c r="J555" i="1"/>
  <c r="L555" i="1" s="1"/>
  <c r="J562" i="1"/>
  <c r="L562" i="1" s="1"/>
  <c r="J587" i="1"/>
  <c r="L587" i="1" s="1"/>
  <c r="J619" i="1"/>
  <c r="L619" i="1" s="1"/>
  <c r="J626" i="1"/>
  <c r="L626" i="1" s="1"/>
  <c r="J678" i="1"/>
  <c r="L678" i="1" s="1"/>
  <c r="J690" i="1"/>
  <c r="L690" i="1" s="1"/>
  <c r="J715" i="1"/>
  <c r="L715" i="1" s="1"/>
  <c r="J754" i="1"/>
  <c r="L754" i="1" s="1"/>
  <c r="J786" i="1"/>
  <c r="L786" i="1" s="1"/>
  <c r="J806" i="1"/>
  <c r="L806" i="1" s="1"/>
  <c r="J10" i="1"/>
  <c r="L10" i="1" s="1"/>
  <c r="J26" i="1"/>
  <c r="J42" i="1"/>
  <c r="L42" i="1" s="1"/>
  <c r="J58" i="1"/>
  <c r="L58" i="1" s="1"/>
  <c r="J74" i="1"/>
  <c r="L74" i="1" s="1"/>
  <c r="J90" i="1"/>
  <c r="J106" i="1"/>
  <c r="J122" i="1"/>
  <c r="L122" i="1" s="1"/>
  <c r="J138" i="1"/>
  <c r="L138" i="1" s="1"/>
  <c r="J154" i="1"/>
  <c r="L154" i="1" s="1"/>
  <c r="J170" i="1"/>
  <c r="L170" i="1" s="1"/>
  <c r="J186" i="1"/>
  <c r="L186" i="1" s="1"/>
  <c r="J202" i="1"/>
  <c r="L202" i="1" s="1"/>
  <c r="J218" i="1"/>
  <c r="L218" i="1" s="1"/>
  <c r="J234" i="1"/>
  <c r="L234" i="1" s="1"/>
  <c r="J250" i="1"/>
  <c r="L250" i="1" s="1"/>
  <c r="J266" i="1"/>
  <c r="L266" i="1" s="1"/>
  <c r="J278" i="1"/>
  <c r="L278" i="1" s="1"/>
  <c r="J283" i="1"/>
  <c r="L283" i="1" s="1"/>
  <c r="J290" i="1"/>
  <c r="L290" i="1" s="1"/>
  <c r="J310" i="1"/>
  <c r="L310" i="1" s="1"/>
  <c r="J315" i="1"/>
  <c r="L315" i="1" s="1"/>
  <c r="J322" i="1"/>
  <c r="L322" i="1" s="1"/>
  <c r="J342" i="1"/>
  <c r="L342" i="1" s="1"/>
  <c r="J347" i="1"/>
  <c r="L347" i="1" s="1"/>
  <c r="J354" i="1"/>
  <c r="L354" i="1" s="1"/>
  <c r="J374" i="1"/>
  <c r="L374" i="1" s="1"/>
  <c r="J379" i="1"/>
  <c r="L379" i="1" s="1"/>
  <c r="J386" i="1"/>
  <c r="L386" i="1" s="1"/>
  <c r="J406" i="1"/>
  <c r="L406" i="1" s="1"/>
  <c r="J411" i="1"/>
  <c r="L411" i="1" s="1"/>
  <c r="J418" i="1"/>
  <c r="L418" i="1" s="1"/>
  <c r="J438" i="1"/>
  <c r="L438" i="1" s="1"/>
  <c r="J443" i="1"/>
  <c r="L443" i="1" s="1"/>
  <c r="J450" i="1"/>
  <c r="L450" i="1" s="1"/>
  <c r="J470" i="1"/>
  <c r="L470" i="1" s="1"/>
  <c r="J475" i="1"/>
  <c r="L475" i="1" s="1"/>
  <c r="J482" i="1"/>
  <c r="L482" i="1" s="1"/>
  <c r="J502" i="1"/>
  <c r="L502" i="1" s="1"/>
  <c r="J507" i="1"/>
  <c r="L507" i="1" s="1"/>
  <c r="J514" i="1"/>
  <c r="L514" i="1" s="1"/>
  <c r="J534" i="1"/>
  <c r="L534" i="1" s="1"/>
  <c r="J539" i="1"/>
  <c r="L539" i="1" s="1"/>
  <c r="J546" i="1"/>
  <c r="L546" i="1" s="1"/>
  <c r="J566" i="1"/>
  <c r="L566" i="1" s="1"/>
  <c r="J571" i="1"/>
  <c r="L571" i="1" s="1"/>
  <c r="J578" i="1"/>
  <c r="L578" i="1" s="1"/>
  <c r="J598" i="1"/>
  <c r="L598" i="1" s="1"/>
  <c r="J603" i="1"/>
  <c r="L603" i="1" s="1"/>
  <c r="J610" i="1"/>
  <c r="L610" i="1" s="1"/>
  <c r="J630" i="1"/>
  <c r="L630" i="1" s="1"/>
  <c r="J635" i="1"/>
  <c r="L635" i="1" s="1"/>
  <c r="J642" i="1"/>
  <c r="L642" i="1" s="1"/>
  <c r="J662" i="1"/>
  <c r="L662" i="1" s="1"/>
  <c r="J667" i="1"/>
  <c r="L667" i="1" s="1"/>
  <c r="J674" i="1"/>
  <c r="L674" i="1" s="1"/>
  <c r="J694" i="1"/>
  <c r="L694" i="1" s="1"/>
  <c r="J699" i="1"/>
  <c r="L699" i="1" s="1"/>
  <c r="J706" i="1"/>
  <c r="L706" i="1" s="1"/>
  <c r="J726" i="1"/>
  <c r="L726" i="1" s="1"/>
  <c r="J731" i="1"/>
  <c r="L731" i="1" s="1"/>
  <c r="J738" i="1"/>
  <c r="L738" i="1" s="1"/>
  <c r="J758" i="1"/>
  <c r="L758" i="1" s="1"/>
  <c r="J763" i="1"/>
  <c r="L763" i="1" s="1"/>
  <c r="J770" i="1"/>
  <c r="L770" i="1" s="1"/>
  <c r="J790" i="1"/>
  <c r="L790" i="1" s="1"/>
  <c r="J795" i="1"/>
  <c r="L795" i="1" s="1"/>
  <c r="J802" i="1"/>
  <c r="L802" i="1" s="1"/>
  <c r="J750" i="1"/>
  <c r="L750" i="1" s="1"/>
  <c r="J762" i="1"/>
  <c r="L762" i="1" s="1"/>
  <c r="J782" i="1"/>
  <c r="L782" i="1" s="1"/>
  <c r="J18" i="1"/>
  <c r="L18" i="1" s="1"/>
  <c r="J34" i="1"/>
  <c r="L34" i="1" s="1"/>
  <c r="J50" i="1"/>
  <c r="L50" i="1" s="1"/>
  <c r="J226" i="1"/>
  <c r="L226" i="1" s="1"/>
  <c r="J242" i="1"/>
  <c r="L242" i="1" s="1"/>
  <c r="J258" i="1"/>
  <c r="L258" i="1" s="1"/>
  <c r="J274" i="1"/>
  <c r="L274" i="1" s="1"/>
  <c r="J299" i="1"/>
  <c r="L299" i="1" s="1"/>
  <c r="J331" i="1"/>
  <c r="L331" i="1" s="1"/>
  <c r="J338" i="1"/>
  <c r="L338" i="1" s="1"/>
  <c r="J370" i="1"/>
  <c r="L370" i="1" s="1"/>
  <c r="J402" i="1"/>
  <c r="L402" i="1" s="1"/>
  <c r="J422" i="1"/>
  <c r="L422" i="1" s="1"/>
  <c r="J427" i="1"/>
  <c r="L427" i="1" s="1"/>
  <c r="J498" i="1"/>
  <c r="L498" i="1" s="1"/>
  <c r="J518" i="1"/>
  <c r="L518" i="1" s="1"/>
  <c r="J530" i="1"/>
  <c r="L530" i="1" s="1"/>
  <c r="J582" i="1"/>
  <c r="L582" i="1" s="1"/>
  <c r="J614" i="1"/>
  <c r="L614" i="1" s="1"/>
  <c r="J646" i="1"/>
  <c r="L646" i="1" s="1"/>
  <c r="J651" i="1"/>
  <c r="L651" i="1" s="1"/>
  <c r="J658" i="1"/>
  <c r="L658" i="1" s="1"/>
  <c r="J710" i="1"/>
  <c r="L710" i="1" s="1"/>
  <c r="J742" i="1"/>
  <c r="L742" i="1" s="1"/>
  <c r="J747" i="1"/>
  <c r="L747" i="1" s="1"/>
  <c r="J774" i="1"/>
  <c r="L774" i="1" s="1"/>
  <c r="J779" i="1"/>
  <c r="L779" i="1" s="1"/>
  <c r="J3" i="1"/>
  <c r="L3" i="1" s="1"/>
  <c r="J19" i="1"/>
  <c r="L19" i="1" s="1"/>
  <c r="J35" i="1"/>
  <c r="L35" i="1" s="1"/>
  <c r="J51" i="1"/>
  <c r="J67" i="1"/>
  <c r="L67" i="1" s="1"/>
  <c r="J83" i="1"/>
  <c r="L83" i="1" s="1"/>
  <c r="J99" i="1"/>
  <c r="L99" i="1" s="1"/>
  <c r="J115" i="1"/>
  <c r="J131" i="1"/>
  <c r="J147" i="1"/>
  <c r="L147" i="1" s="1"/>
  <c r="J163" i="1"/>
  <c r="L163" i="1" s="1"/>
  <c r="J179" i="1"/>
  <c r="L179" i="1" s="1"/>
  <c r="J195" i="1"/>
  <c r="L195" i="1" s="1"/>
  <c r="J211" i="1"/>
  <c r="L211" i="1" s="1"/>
  <c r="J227" i="1"/>
  <c r="L227" i="1" s="1"/>
  <c r="J243" i="1"/>
  <c r="L243" i="1" s="1"/>
  <c r="J259" i="1"/>
  <c r="L259" i="1" s="1"/>
  <c r="J275" i="1"/>
  <c r="L275" i="1" s="1"/>
  <c r="J282" i="1"/>
  <c r="L282" i="1" s="1"/>
  <c r="J302" i="1"/>
  <c r="L302" i="1" s="1"/>
  <c r="J307" i="1"/>
  <c r="L307" i="1" s="1"/>
  <c r="J314" i="1"/>
  <c r="L314" i="1" s="1"/>
  <c r="J334" i="1"/>
  <c r="L334" i="1" s="1"/>
  <c r="J339" i="1"/>
  <c r="L339" i="1" s="1"/>
  <c r="J346" i="1"/>
  <c r="L346" i="1" s="1"/>
  <c r="J366" i="1"/>
  <c r="L366" i="1" s="1"/>
  <c r="J371" i="1"/>
  <c r="L371" i="1" s="1"/>
  <c r="J378" i="1"/>
  <c r="L378" i="1" s="1"/>
  <c r="J398" i="1"/>
  <c r="L398" i="1" s="1"/>
  <c r="J403" i="1"/>
  <c r="L403" i="1" s="1"/>
  <c r="J410" i="1"/>
  <c r="L410" i="1" s="1"/>
  <c r="J430" i="1"/>
  <c r="L430" i="1" s="1"/>
  <c r="J435" i="1"/>
  <c r="L435" i="1" s="1"/>
  <c r="J442" i="1"/>
  <c r="L442" i="1" s="1"/>
  <c r="J462" i="1"/>
  <c r="L462" i="1" s="1"/>
  <c r="J467" i="1"/>
  <c r="L467" i="1" s="1"/>
  <c r="J474" i="1"/>
  <c r="L474" i="1" s="1"/>
  <c r="J494" i="1"/>
  <c r="L494" i="1" s="1"/>
  <c r="J499" i="1"/>
  <c r="L499" i="1" s="1"/>
  <c r="J506" i="1"/>
  <c r="L506" i="1" s="1"/>
  <c r="J526" i="1"/>
  <c r="L526" i="1" s="1"/>
  <c r="J531" i="1"/>
  <c r="L531" i="1" s="1"/>
  <c r="J538" i="1"/>
  <c r="L538" i="1" s="1"/>
  <c r="J558" i="1"/>
  <c r="L558" i="1" s="1"/>
  <c r="J563" i="1"/>
  <c r="L563" i="1" s="1"/>
  <c r="J570" i="1"/>
  <c r="L570" i="1" s="1"/>
  <c r="J590" i="1"/>
  <c r="L590" i="1" s="1"/>
  <c r="J595" i="1"/>
  <c r="L595" i="1" s="1"/>
  <c r="J602" i="1"/>
  <c r="L602" i="1" s="1"/>
  <c r="J622" i="1"/>
  <c r="L622" i="1" s="1"/>
  <c r="J627" i="1"/>
  <c r="L627" i="1" s="1"/>
  <c r="J634" i="1"/>
  <c r="L634" i="1" s="1"/>
  <c r="J654" i="1"/>
  <c r="L654" i="1" s="1"/>
  <c r="J659" i="1"/>
  <c r="L659" i="1" s="1"/>
  <c r="J666" i="1"/>
  <c r="L666" i="1" s="1"/>
  <c r="J686" i="1"/>
  <c r="L686" i="1" s="1"/>
  <c r="J691" i="1"/>
  <c r="L691" i="1" s="1"/>
  <c r="J698" i="1"/>
  <c r="L698" i="1" s="1"/>
  <c r="J718" i="1"/>
  <c r="L718" i="1" s="1"/>
  <c r="J723" i="1"/>
  <c r="L723" i="1" s="1"/>
  <c r="J730" i="1"/>
  <c r="L730" i="1" s="1"/>
  <c r="J755" i="1"/>
  <c r="L755" i="1" s="1"/>
  <c r="J787" i="1"/>
  <c r="L787" i="1" s="1"/>
  <c r="J794" i="1"/>
  <c r="L794" i="1" s="1"/>
  <c r="J66" i="1"/>
  <c r="L66" i="1" s="1"/>
  <c r="J82" i="1"/>
  <c r="L82" i="1" s="1"/>
  <c r="J98" i="1"/>
  <c r="L98" i="1" s="1"/>
  <c r="J114" i="1"/>
  <c r="J130" i="1"/>
  <c r="L130" i="1" s="1"/>
  <c r="J146" i="1"/>
  <c r="L146" i="1" s="1"/>
  <c r="J162" i="1"/>
  <c r="L162" i="1" s="1"/>
  <c r="J178" i="1"/>
  <c r="L178" i="1" s="1"/>
  <c r="J194" i="1"/>
  <c r="L194" i="1" s="1"/>
  <c r="J210" i="1"/>
  <c r="L210" i="1" s="1"/>
  <c r="J294" i="1"/>
  <c r="L294" i="1" s="1"/>
  <c r="J306" i="1"/>
  <c r="L306" i="1" s="1"/>
  <c r="J326" i="1"/>
  <c r="L326" i="1" s="1"/>
  <c r="J358" i="1"/>
  <c r="L358" i="1" s="1"/>
  <c r="J363" i="1"/>
  <c r="L363" i="1" s="1"/>
  <c r="J390" i="1"/>
  <c r="L390" i="1" s="1"/>
  <c r="J395" i="1"/>
  <c r="L395" i="1" s="1"/>
  <c r="J434" i="1"/>
  <c r="L434" i="1" s="1"/>
  <c r="J466" i="1"/>
  <c r="L466" i="1" s="1"/>
  <c r="J486" i="1"/>
  <c r="L486" i="1" s="1"/>
  <c r="J523" i="1"/>
  <c r="L523" i="1" s="1"/>
  <c r="J594" i="1"/>
  <c r="L594" i="1" s="1"/>
  <c r="J683" i="1"/>
  <c r="L683" i="1" s="1"/>
  <c r="J722" i="1"/>
  <c r="L722" i="1" s="1"/>
  <c r="O772" i="1"/>
  <c r="O409" i="1"/>
  <c r="O494" i="1"/>
  <c r="O260" i="1"/>
  <c r="O3" i="1"/>
  <c r="O5" i="1"/>
  <c r="O7" i="1"/>
  <c r="O9" i="1"/>
  <c r="O11" i="1"/>
  <c r="O13" i="1"/>
  <c r="O15" i="1"/>
  <c r="O17" i="1"/>
  <c r="O19" i="1"/>
  <c r="O21" i="1"/>
  <c r="O23" i="1"/>
  <c r="O25" i="1"/>
  <c r="O27" i="1"/>
  <c r="O29" i="1"/>
  <c r="O31" i="1"/>
  <c r="O33" i="1"/>
  <c r="O35" i="1"/>
  <c r="O37" i="1"/>
  <c r="O39" i="1"/>
  <c r="O41" i="1"/>
  <c r="O43" i="1"/>
  <c r="O45" i="1"/>
  <c r="O47" i="1"/>
  <c r="O49" i="1"/>
  <c r="O51" i="1"/>
  <c r="O53" i="1"/>
  <c r="O55" i="1"/>
  <c r="O57" i="1"/>
  <c r="O59" i="1"/>
  <c r="O61" i="1"/>
  <c r="O63" i="1"/>
  <c r="O65" i="1"/>
  <c r="O67" i="1"/>
  <c r="O69" i="1"/>
  <c r="O71" i="1"/>
  <c r="O73" i="1"/>
  <c r="O75" i="1"/>
  <c r="O77" i="1"/>
  <c r="O79" i="1"/>
  <c r="O81" i="1"/>
  <c r="O83" i="1"/>
  <c r="O85" i="1"/>
  <c r="O87" i="1"/>
  <c r="O89" i="1"/>
  <c r="O91" i="1"/>
  <c r="O93" i="1"/>
  <c r="O95" i="1"/>
  <c r="O97" i="1"/>
  <c r="O99" i="1"/>
  <c r="O101" i="1"/>
  <c r="O103" i="1"/>
  <c r="O105" i="1"/>
  <c r="O107" i="1"/>
  <c r="O109" i="1"/>
  <c r="O111" i="1"/>
  <c r="O113" i="1"/>
  <c r="O115" i="1"/>
  <c r="O117" i="1"/>
  <c r="O119" i="1"/>
  <c r="O121" i="1"/>
  <c r="O123" i="1"/>
  <c r="O125" i="1"/>
  <c r="O127" i="1"/>
  <c r="O129" i="1"/>
  <c r="O131" i="1"/>
  <c r="O133" i="1"/>
  <c r="O135" i="1"/>
  <c r="O137" i="1"/>
  <c r="O139" i="1"/>
  <c r="O141" i="1"/>
  <c r="O143" i="1"/>
  <c r="O145" i="1"/>
  <c r="O147" i="1"/>
  <c r="O149" i="1"/>
  <c r="O151" i="1"/>
  <c r="O153" i="1"/>
  <c r="O155" i="1"/>
  <c r="O157" i="1"/>
  <c r="O159" i="1"/>
  <c r="O161" i="1"/>
  <c r="O163" i="1"/>
  <c r="O165" i="1"/>
  <c r="O167" i="1"/>
  <c r="O169" i="1"/>
  <c r="O171" i="1"/>
  <c r="O6" i="1"/>
  <c r="O14" i="1"/>
  <c r="O22" i="1"/>
  <c r="O30" i="1"/>
  <c r="O38" i="1"/>
  <c r="O46" i="1"/>
  <c r="O54" i="1"/>
  <c r="O62" i="1"/>
  <c r="O70" i="1"/>
  <c r="O78" i="1"/>
  <c r="O86" i="1"/>
  <c r="O94" i="1"/>
  <c r="O102" i="1"/>
  <c r="O110" i="1"/>
  <c r="O118" i="1"/>
  <c r="O126" i="1"/>
  <c r="O134" i="1"/>
  <c r="O142" i="1"/>
  <c r="O150" i="1"/>
  <c r="O158" i="1"/>
  <c r="O166" i="1"/>
  <c r="O4" i="1"/>
  <c r="O18" i="1"/>
  <c r="O32" i="1"/>
  <c r="O36" i="1"/>
  <c r="O50" i="1"/>
  <c r="O64" i="1"/>
  <c r="O68" i="1"/>
  <c r="O82" i="1"/>
  <c r="O96" i="1"/>
  <c r="O100" i="1"/>
  <c r="O114" i="1"/>
  <c r="O128" i="1"/>
  <c r="O132" i="1"/>
  <c r="O146" i="1"/>
  <c r="O160" i="1"/>
  <c r="O164" i="1"/>
  <c r="O174" i="1"/>
  <c r="O179" i="1"/>
  <c r="O182" i="1"/>
  <c r="O187" i="1"/>
  <c r="O190" i="1"/>
  <c r="O195" i="1"/>
  <c r="O198" i="1"/>
  <c r="O203" i="1"/>
  <c r="O206" i="1"/>
  <c r="O211" i="1"/>
  <c r="O214" i="1"/>
  <c r="O219" i="1"/>
  <c r="O222" i="1"/>
  <c r="O227" i="1"/>
  <c r="O230" i="1"/>
  <c r="O235" i="1"/>
  <c r="O238" i="1"/>
  <c r="O243" i="1"/>
  <c r="O246" i="1"/>
  <c r="O251" i="1"/>
  <c r="O254" i="1"/>
  <c r="O259" i="1"/>
  <c r="O262" i="1"/>
  <c r="O267" i="1"/>
  <c r="O270" i="1"/>
  <c r="O275" i="1"/>
  <c r="O278" i="1"/>
  <c r="O283" i="1"/>
  <c r="O286" i="1"/>
  <c r="O291" i="1"/>
  <c r="O294" i="1"/>
  <c r="O299" i="1"/>
  <c r="O302" i="1"/>
  <c r="O307" i="1"/>
  <c r="O310" i="1"/>
  <c r="O315" i="1"/>
  <c r="O318" i="1"/>
  <c r="O323" i="1"/>
  <c r="O326" i="1"/>
  <c r="O331" i="1"/>
  <c r="O334" i="1"/>
  <c r="O339" i="1"/>
  <c r="O342" i="1"/>
  <c r="O347" i="1"/>
  <c r="O350" i="1"/>
  <c r="O355" i="1"/>
  <c r="O358" i="1"/>
  <c r="O363" i="1"/>
  <c r="O366" i="1"/>
  <c r="O371" i="1"/>
  <c r="O374" i="1"/>
  <c r="O379" i="1"/>
  <c r="O382" i="1"/>
  <c r="O10" i="1"/>
  <c r="O20" i="1"/>
  <c r="O24" i="1"/>
  <c r="O34" i="1"/>
  <c r="O44" i="1"/>
  <c r="O48" i="1"/>
  <c r="O58" i="1"/>
  <c r="O72" i="1"/>
  <c r="O124" i="1"/>
  <c r="O138" i="1"/>
  <c r="O148" i="1"/>
  <c r="O152" i="1"/>
  <c r="O162" i="1"/>
  <c r="O172" i="1"/>
  <c r="O175" i="1"/>
  <c r="O186" i="1"/>
  <c r="O189" i="1"/>
  <c r="O193" i="1"/>
  <c r="O200" i="1"/>
  <c r="O204" i="1"/>
  <c r="O207" i="1"/>
  <c r="O218" i="1"/>
  <c r="O221" i="1"/>
  <c r="O225" i="1"/>
  <c r="O232" i="1"/>
  <c r="O236" i="1"/>
  <c r="O239" i="1"/>
  <c r="O250" i="1"/>
  <c r="O253" i="1"/>
  <c r="O257" i="1"/>
  <c r="O264" i="1"/>
  <c r="O268" i="1"/>
  <c r="O271" i="1"/>
  <c r="O282" i="1"/>
  <c r="O285" i="1"/>
  <c r="O289" i="1"/>
  <c r="O296" i="1"/>
  <c r="O300" i="1"/>
  <c r="O303" i="1"/>
  <c r="O314" i="1"/>
  <c r="O317" i="1"/>
  <c r="O321" i="1"/>
  <c r="O328" i="1"/>
  <c r="O332" i="1"/>
  <c r="O335" i="1"/>
  <c r="O12" i="1"/>
  <c r="O16" i="1"/>
  <c r="O26" i="1"/>
  <c r="O40" i="1"/>
  <c r="O92" i="1"/>
  <c r="O106" i="1"/>
  <c r="O116" i="1"/>
  <c r="O120" i="1"/>
  <c r="O130" i="1"/>
  <c r="O140" i="1"/>
  <c r="O144" i="1"/>
  <c r="O154" i="1"/>
  <c r="O168" i="1"/>
  <c r="O176" i="1"/>
  <c r="O180" i="1"/>
  <c r="O183" i="1"/>
  <c r="O194" i="1"/>
  <c r="O197" i="1"/>
  <c r="O201" i="1"/>
  <c r="O208" i="1"/>
  <c r="O212" i="1"/>
  <c r="O215" i="1"/>
  <c r="O226" i="1"/>
  <c r="O229" i="1"/>
  <c r="O233" i="1"/>
  <c r="O240" i="1"/>
  <c r="O244" i="1"/>
  <c r="O247" i="1"/>
  <c r="O258" i="1"/>
  <c r="O261" i="1"/>
  <c r="O265" i="1"/>
  <c r="O272" i="1"/>
  <c r="O276" i="1"/>
  <c r="O279" i="1"/>
  <c r="O290" i="1"/>
  <c r="O293" i="1"/>
  <c r="O297" i="1"/>
  <c r="O304" i="1"/>
  <c r="O308" i="1"/>
  <c r="O311" i="1"/>
  <c r="O322" i="1"/>
  <c r="O325" i="1"/>
  <c r="O329" i="1"/>
  <c r="O336" i="1"/>
  <c r="O340" i="1"/>
  <c r="O343" i="1"/>
  <c r="O8" i="1"/>
  <c r="O74" i="1"/>
  <c r="O84" i="1"/>
  <c r="O112" i="1"/>
  <c r="O122" i="1"/>
  <c r="O177" i="1"/>
  <c r="O184" i="1"/>
  <c r="O191" i="1"/>
  <c r="O205" i="1"/>
  <c r="O220" i="1"/>
  <c r="O234" i="1"/>
  <c r="O241" i="1"/>
  <c r="O248" i="1"/>
  <c r="O255" i="1"/>
  <c r="O269" i="1"/>
  <c r="O284" i="1"/>
  <c r="O298" i="1"/>
  <c r="O305" i="1"/>
  <c r="O312" i="1"/>
  <c r="O319" i="1"/>
  <c r="O333" i="1"/>
  <c r="O346" i="1"/>
  <c r="O354" i="1"/>
  <c r="O357" i="1"/>
  <c r="O361" i="1"/>
  <c r="O368" i="1"/>
  <c r="O372" i="1"/>
  <c r="O375" i="1"/>
  <c r="O388" i="1"/>
  <c r="O391" i="1"/>
  <c r="O396" i="1"/>
  <c r="O399" i="1"/>
  <c r="O404" i="1"/>
  <c r="O407" i="1"/>
  <c r="O412" i="1"/>
  <c r="O415" i="1"/>
  <c r="O420" i="1"/>
  <c r="O423" i="1"/>
  <c r="O428" i="1"/>
  <c r="O431" i="1"/>
  <c r="O436" i="1"/>
  <c r="O439" i="1"/>
  <c r="O444" i="1"/>
  <c r="O447" i="1"/>
  <c r="O452" i="1"/>
  <c r="O455" i="1"/>
  <c r="O460" i="1"/>
  <c r="O463" i="1"/>
  <c r="O468" i="1"/>
  <c r="O471" i="1"/>
  <c r="O476" i="1"/>
  <c r="O479" i="1"/>
  <c r="O484" i="1"/>
  <c r="O487" i="1"/>
  <c r="O492" i="1"/>
  <c r="O495" i="1"/>
  <c r="O500" i="1"/>
  <c r="O503" i="1"/>
  <c r="O508" i="1"/>
  <c r="O511" i="1"/>
  <c r="O516" i="1"/>
  <c r="O519" i="1"/>
  <c r="O524" i="1"/>
  <c r="O527" i="1"/>
  <c r="O532" i="1"/>
  <c r="O535" i="1"/>
  <c r="O540" i="1"/>
  <c r="O543" i="1"/>
  <c r="O548" i="1"/>
  <c r="O551" i="1"/>
  <c r="O556" i="1"/>
  <c r="O559" i="1"/>
  <c r="O564" i="1"/>
  <c r="O567" i="1"/>
  <c r="O572" i="1"/>
  <c r="O575" i="1"/>
  <c r="O580" i="1"/>
  <c r="O583" i="1"/>
  <c r="O588" i="1"/>
  <c r="O591" i="1"/>
  <c r="O596" i="1"/>
  <c r="O599" i="1"/>
  <c r="O604" i="1"/>
  <c r="O607" i="1"/>
  <c r="O612" i="1"/>
  <c r="O615" i="1"/>
  <c r="O620" i="1"/>
  <c r="O623" i="1"/>
  <c r="O628" i="1"/>
  <c r="O631" i="1"/>
  <c r="O636" i="1"/>
  <c r="O639" i="1"/>
  <c r="O644" i="1"/>
  <c r="O647" i="1"/>
  <c r="O652" i="1"/>
  <c r="O655" i="1"/>
  <c r="O660" i="1"/>
  <c r="O663" i="1"/>
  <c r="O668" i="1"/>
  <c r="O671" i="1"/>
  <c r="O676" i="1"/>
  <c r="O679" i="1"/>
  <c r="O684" i="1"/>
  <c r="O687" i="1"/>
  <c r="O692" i="1"/>
  <c r="O695" i="1"/>
  <c r="O28" i="1"/>
  <c r="O56" i="1"/>
  <c r="O66" i="1"/>
  <c r="O76" i="1"/>
  <c r="O104" i="1"/>
  <c r="O170" i="1"/>
  <c r="O178" i="1"/>
  <c r="O185" i="1"/>
  <c r="O192" i="1"/>
  <c r="O199" i="1"/>
  <c r="O213" i="1"/>
  <c r="O228" i="1"/>
  <c r="O242" i="1"/>
  <c r="O249" i="1"/>
  <c r="O256" i="1"/>
  <c r="O263" i="1"/>
  <c r="O277" i="1"/>
  <c r="O292" i="1"/>
  <c r="O306" i="1"/>
  <c r="O313" i="1"/>
  <c r="O320" i="1"/>
  <c r="O327" i="1"/>
  <c r="O341" i="1"/>
  <c r="O348" i="1"/>
  <c r="O351" i="1"/>
  <c r="O362" i="1"/>
  <c r="O365" i="1"/>
  <c r="O369" i="1"/>
  <c r="O376" i="1"/>
  <c r="O380" i="1"/>
  <c r="O383" i="1"/>
  <c r="O386" i="1"/>
  <c r="O389" i="1"/>
  <c r="O394" i="1"/>
  <c r="O397" i="1"/>
  <c r="O402" i="1"/>
  <c r="O405" i="1"/>
  <c r="O410" i="1"/>
  <c r="O413" i="1"/>
  <c r="O418" i="1"/>
  <c r="O421" i="1"/>
  <c r="O426" i="1"/>
  <c r="O429" i="1"/>
  <c r="O434" i="1"/>
  <c r="O437" i="1"/>
  <c r="O442" i="1"/>
  <c r="O445" i="1"/>
  <c r="O450" i="1"/>
  <c r="O453" i="1"/>
  <c r="O458" i="1"/>
  <c r="O461" i="1"/>
  <c r="O466" i="1"/>
  <c r="O469" i="1"/>
  <c r="O474" i="1"/>
  <c r="O477" i="1"/>
  <c r="O482" i="1"/>
  <c r="O485" i="1"/>
  <c r="O490" i="1"/>
  <c r="O493" i="1"/>
  <c r="O498" i="1"/>
  <c r="O501" i="1"/>
  <c r="O506" i="1"/>
  <c r="O509" i="1"/>
  <c r="O514" i="1"/>
  <c r="O517" i="1"/>
  <c r="O522" i="1"/>
  <c r="O525" i="1"/>
  <c r="O530" i="1"/>
  <c r="O533" i="1"/>
  <c r="O538" i="1"/>
  <c r="O541" i="1"/>
  <c r="O546" i="1"/>
  <c r="O549" i="1"/>
  <c r="O554" i="1"/>
  <c r="O557" i="1"/>
  <c r="O562" i="1"/>
  <c r="O565" i="1"/>
  <c r="O570" i="1"/>
  <c r="O573" i="1"/>
  <c r="O578" i="1"/>
  <c r="O581" i="1"/>
  <c r="O586" i="1"/>
  <c r="O589" i="1"/>
  <c r="O594" i="1"/>
  <c r="O597" i="1"/>
  <c r="O602" i="1"/>
  <c r="O605" i="1"/>
  <c r="O610" i="1"/>
  <c r="O613" i="1"/>
  <c r="O618" i="1"/>
  <c r="O621" i="1"/>
  <c r="O626" i="1"/>
  <c r="O629" i="1"/>
  <c r="O634" i="1"/>
  <c r="O637" i="1"/>
  <c r="O642" i="1"/>
  <c r="O645" i="1"/>
  <c r="O650" i="1"/>
  <c r="O653" i="1"/>
  <c r="O658" i="1"/>
  <c r="O661" i="1"/>
  <c r="O666" i="1"/>
  <c r="O669" i="1"/>
  <c r="O674" i="1"/>
  <c r="O677" i="1"/>
  <c r="O682" i="1"/>
  <c r="O685" i="1"/>
  <c r="O690" i="1"/>
  <c r="O693" i="1"/>
  <c r="O60" i="1"/>
  <c r="O88" i="1"/>
  <c r="O98" i="1"/>
  <c r="O108" i="1"/>
  <c r="O52" i="1"/>
  <c r="O90" i="1"/>
  <c r="O209" i="1"/>
  <c r="O223" i="1"/>
  <c r="O237" i="1"/>
  <c r="O252" i="1"/>
  <c r="O266" i="1"/>
  <c r="O280" i="1"/>
  <c r="O337" i="1"/>
  <c r="O356" i="1"/>
  <c r="O370" i="1"/>
  <c r="O377" i="1"/>
  <c r="O384" i="1"/>
  <c r="O395" i="1"/>
  <c r="O400" i="1"/>
  <c r="O411" i="1"/>
  <c r="O416" i="1"/>
  <c r="O427" i="1"/>
  <c r="O432" i="1"/>
  <c r="O443" i="1"/>
  <c r="O448" i="1"/>
  <c r="O459" i="1"/>
  <c r="O464" i="1"/>
  <c r="O475" i="1"/>
  <c r="O480" i="1"/>
  <c r="O491" i="1"/>
  <c r="O496" i="1"/>
  <c r="O507" i="1"/>
  <c r="O512" i="1"/>
  <c r="O523" i="1"/>
  <c r="O528" i="1"/>
  <c r="O539" i="1"/>
  <c r="O544" i="1"/>
  <c r="O555" i="1"/>
  <c r="O560" i="1"/>
  <c r="O571" i="1"/>
  <c r="O576" i="1"/>
  <c r="O587" i="1"/>
  <c r="O592" i="1"/>
  <c r="O603" i="1"/>
  <c r="O608" i="1"/>
  <c r="O619" i="1"/>
  <c r="O624" i="1"/>
  <c r="O635" i="1"/>
  <c r="O640" i="1"/>
  <c r="O651" i="1"/>
  <c r="O656" i="1"/>
  <c r="O667" i="1"/>
  <c r="O672" i="1"/>
  <c r="O683" i="1"/>
  <c r="O688" i="1"/>
  <c r="O698" i="1"/>
  <c r="O701" i="1"/>
  <c r="O706" i="1"/>
  <c r="O709" i="1"/>
  <c r="O714" i="1"/>
  <c r="O717" i="1"/>
  <c r="O722" i="1"/>
  <c r="O725" i="1"/>
  <c r="O730" i="1"/>
  <c r="O733" i="1"/>
  <c r="O738" i="1"/>
  <c r="O741" i="1"/>
  <c r="O746" i="1"/>
  <c r="O749" i="1"/>
  <c r="O754" i="1"/>
  <c r="O757" i="1"/>
  <c r="O762" i="1"/>
  <c r="O765" i="1"/>
  <c r="O770" i="1"/>
  <c r="O773" i="1"/>
  <c r="O778" i="1"/>
  <c r="O781" i="1"/>
  <c r="O786" i="1"/>
  <c r="O789" i="1"/>
  <c r="O794" i="1"/>
  <c r="O797" i="1"/>
  <c r="O802" i="1"/>
  <c r="O805" i="1"/>
  <c r="O2" i="1"/>
  <c r="O181" i="1"/>
  <c r="O196" i="1"/>
  <c r="O210" i="1"/>
  <c r="O224" i="1"/>
  <c r="O281" i="1"/>
  <c r="O295" i="1"/>
  <c r="O309" i="1"/>
  <c r="O324" i="1"/>
  <c r="O338" i="1"/>
  <c r="O349" i="1"/>
  <c r="O364" i="1"/>
  <c r="O378" i="1"/>
  <c r="O385" i="1"/>
  <c r="O390" i="1"/>
  <c r="O401" i="1"/>
  <c r="O406" i="1"/>
  <c r="O417" i="1"/>
  <c r="O422" i="1"/>
  <c r="O433" i="1"/>
  <c r="O438" i="1"/>
  <c r="O449" i="1"/>
  <c r="O454" i="1"/>
  <c r="O465" i="1"/>
  <c r="O470" i="1"/>
  <c r="O481" i="1"/>
  <c r="O486" i="1"/>
  <c r="O497" i="1"/>
  <c r="O502" i="1"/>
  <c r="O513" i="1"/>
  <c r="O518" i="1"/>
  <c r="O529" i="1"/>
  <c r="O534" i="1"/>
  <c r="O545" i="1"/>
  <c r="O550" i="1"/>
  <c r="O561" i="1"/>
  <c r="O566" i="1"/>
  <c r="O577" i="1"/>
  <c r="O582" i="1"/>
  <c r="O593" i="1"/>
  <c r="O598" i="1"/>
  <c r="O609" i="1"/>
  <c r="O614" i="1"/>
  <c r="O625" i="1"/>
  <c r="O630" i="1"/>
  <c r="O641" i="1"/>
  <c r="O646" i="1"/>
  <c r="O657" i="1"/>
  <c r="O662" i="1"/>
  <c r="O673" i="1"/>
  <c r="O678" i="1"/>
  <c r="O694" i="1"/>
  <c r="O699" i="1"/>
  <c r="O704" i="1"/>
  <c r="O707" i="1"/>
  <c r="O712" i="1"/>
  <c r="O715" i="1"/>
  <c r="O720" i="1"/>
  <c r="O723" i="1"/>
  <c r="O728" i="1"/>
  <c r="O731" i="1"/>
  <c r="O736" i="1"/>
  <c r="O739" i="1"/>
  <c r="O744" i="1"/>
  <c r="O747" i="1"/>
  <c r="O752" i="1"/>
  <c r="O755" i="1"/>
  <c r="O760" i="1"/>
  <c r="O763" i="1"/>
  <c r="O768" i="1"/>
  <c r="O771" i="1"/>
  <c r="O776" i="1"/>
  <c r="O779" i="1"/>
  <c r="O784" i="1"/>
  <c r="O787" i="1"/>
  <c r="O792" i="1"/>
  <c r="O795" i="1"/>
  <c r="O800" i="1"/>
  <c r="O803" i="1"/>
  <c r="O136" i="1"/>
  <c r="O173" i="1"/>
  <c r="O188" i="1"/>
  <c r="O202" i="1"/>
  <c r="O216" i="1"/>
  <c r="O273" i="1"/>
  <c r="O287" i="1"/>
  <c r="O301" i="1"/>
  <c r="O316" i="1"/>
  <c r="O330" i="1"/>
  <c r="O344" i="1"/>
  <c r="O352" i="1"/>
  <c r="O359" i="1"/>
  <c r="O373" i="1"/>
  <c r="O387" i="1"/>
  <c r="O392" i="1"/>
  <c r="O403" i="1"/>
  <c r="O408" i="1"/>
  <c r="O419" i="1"/>
  <c r="O424" i="1"/>
  <c r="O435" i="1"/>
  <c r="O440" i="1"/>
  <c r="O451" i="1"/>
  <c r="O456" i="1"/>
  <c r="O467" i="1"/>
  <c r="O472" i="1"/>
  <c r="O483" i="1"/>
  <c r="O488" i="1"/>
  <c r="O499" i="1"/>
  <c r="O504" i="1"/>
  <c r="O515" i="1"/>
  <c r="O520" i="1"/>
  <c r="O531" i="1"/>
  <c r="O536" i="1"/>
  <c r="O547" i="1"/>
  <c r="O552" i="1"/>
  <c r="O563" i="1"/>
  <c r="O568" i="1"/>
  <c r="O579" i="1"/>
  <c r="O584" i="1"/>
  <c r="O595" i="1"/>
  <c r="O600" i="1"/>
  <c r="O611" i="1"/>
  <c r="O616" i="1"/>
  <c r="O627" i="1"/>
  <c r="O632" i="1"/>
  <c r="O643" i="1"/>
  <c r="O648" i="1"/>
  <c r="O659" i="1"/>
  <c r="O664" i="1"/>
  <c r="O675" i="1"/>
  <c r="O680" i="1"/>
  <c r="O691" i="1"/>
  <c r="O696" i="1"/>
  <c r="O702" i="1"/>
  <c r="O42" i="1"/>
  <c r="O156" i="1"/>
  <c r="O217" i="1"/>
  <c r="O274" i="1"/>
  <c r="O367" i="1"/>
  <c r="O393" i="1"/>
  <c r="O414" i="1"/>
  <c r="O457" i="1"/>
  <c r="O478" i="1"/>
  <c r="O521" i="1"/>
  <c r="O542" i="1"/>
  <c r="O585" i="1"/>
  <c r="O606" i="1"/>
  <c r="O649" i="1"/>
  <c r="O670" i="1"/>
  <c r="O711" i="1"/>
  <c r="O716" i="1"/>
  <c r="O727" i="1"/>
  <c r="O732" i="1"/>
  <c r="O743" i="1"/>
  <c r="O748" i="1"/>
  <c r="O759" i="1"/>
  <c r="O764" i="1"/>
  <c r="O775" i="1"/>
  <c r="O780" i="1"/>
  <c r="O791" i="1"/>
  <c r="O796" i="1"/>
  <c r="O80" i="1"/>
  <c r="O231" i="1"/>
  <c r="O288" i="1"/>
  <c r="O345" i="1"/>
  <c r="O398" i="1"/>
  <c r="O441" i="1"/>
  <c r="O462" i="1"/>
  <c r="O505" i="1"/>
  <c r="O526" i="1"/>
  <c r="O569" i="1"/>
  <c r="O590" i="1"/>
  <c r="O633" i="1"/>
  <c r="O654" i="1"/>
  <c r="O697" i="1"/>
  <c r="O713" i="1"/>
  <c r="O718" i="1"/>
  <c r="O729" i="1"/>
  <c r="O734" i="1"/>
  <c r="O745" i="1"/>
  <c r="O750" i="1"/>
  <c r="O761" i="1"/>
  <c r="O766" i="1"/>
  <c r="O777" i="1"/>
  <c r="O782" i="1"/>
  <c r="O793" i="1"/>
  <c r="O798" i="1"/>
  <c r="O245" i="1"/>
  <c r="O353" i="1"/>
  <c r="O381" i="1"/>
  <c r="O425" i="1"/>
  <c r="O446" i="1"/>
  <c r="O489" i="1"/>
  <c r="O510" i="1"/>
  <c r="O553" i="1"/>
  <c r="O574" i="1"/>
  <c r="O617" i="1"/>
  <c r="O638" i="1"/>
  <c r="O681" i="1"/>
  <c r="O700" i="1"/>
  <c r="O708" i="1"/>
  <c r="O719" i="1"/>
  <c r="O724" i="1"/>
  <c r="O735" i="1"/>
  <c r="O740" i="1"/>
  <c r="O751" i="1"/>
  <c r="O756" i="1"/>
  <c r="O801" i="1"/>
  <c r="O790" i="1"/>
  <c r="O769" i="1"/>
  <c r="O753" i="1"/>
  <c r="O710" i="1"/>
  <c r="O558" i="1"/>
  <c r="O473" i="1"/>
  <c r="J270" i="1"/>
  <c r="L270" i="1" s="1"/>
  <c r="J262" i="1"/>
  <c r="L262" i="1" s="1"/>
  <c r="J254" i="1"/>
  <c r="L254" i="1" s="1"/>
  <c r="J246" i="1"/>
  <c r="L246" i="1" s="1"/>
  <c r="J238" i="1"/>
  <c r="L238" i="1" s="1"/>
  <c r="J230" i="1"/>
  <c r="L230" i="1" s="1"/>
  <c r="J222" i="1"/>
  <c r="L222" i="1" s="1"/>
  <c r="J214" i="1"/>
  <c r="L214" i="1" s="1"/>
  <c r="J206" i="1"/>
  <c r="L206" i="1" s="1"/>
  <c r="J198" i="1"/>
  <c r="L198" i="1" s="1"/>
  <c r="J190" i="1"/>
  <c r="L190" i="1" s="1"/>
  <c r="J182" i="1"/>
  <c r="L182" i="1" s="1"/>
  <c r="J174" i="1"/>
  <c r="L174" i="1" s="1"/>
  <c r="J166" i="1"/>
  <c r="L166" i="1" s="1"/>
  <c r="J158" i="1"/>
  <c r="L158" i="1" s="1"/>
  <c r="J150" i="1"/>
  <c r="L150" i="1" s="1"/>
  <c r="J142" i="1"/>
  <c r="L142" i="1" s="1"/>
  <c r="J134" i="1"/>
  <c r="L134" i="1" s="1"/>
  <c r="J126" i="1"/>
  <c r="L126" i="1" s="1"/>
  <c r="J118" i="1"/>
  <c r="L118" i="1" s="1"/>
  <c r="J110" i="1"/>
  <c r="L110" i="1" s="1"/>
  <c r="J102" i="1"/>
  <c r="L102" i="1" s="1"/>
  <c r="J94" i="1"/>
  <c r="L94" i="1" s="1"/>
  <c r="J86" i="1"/>
  <c r="J78" i="1"/>
  <c r="L78" i="1" s="1"/>
  <c r="J70" i="1"/>
  <c r="L70" i="1" s="1"/>
  <c r="J62" i="1"/>
  <c r="L62" i="1" s="1"/>
  <c r="J54" i="1"/>
  <c r="J46" i="1"/>
  <c r="L46" i="1" s="1"/>
  <c r="J38" i="1"/>
  <c r="L38" i="1" s="1"/>
  <c r="J30" i="1"/>
  <c r="L30" i="1" s="1"/>
  <c r="J22" i="1"/>
  <c r="L22" i="1" s="1"/>
  <c r="J14" i="1"/>
  <c r="L14" i="1" s="1"/>
  <c r="O799" i="1"/>
  <c r="O788" i="1"/>
  <c r="O767" i="1"/>
  <c r="O726" i="1"/>
  <c r="O703" i="1"/>
  <c r="O622" i="1"/>
  <c r="O537" i="1"/>
  <c r="O360" i="1"/>
  <c r="J5" i="1"/>
  <c r="L5" i="1" s="1"/>
  <c r="J9" i="1"/>
  <c r="J13" i="1"/>
  <c r="J17" i="1"/>
  <c r="L17" i="1" s="1"/>
  <c r="J21" i="1"/>
  <c r="L21" i="1" s="1"/>
  <c r="J25" i="1"/>
  <c r="L25" i="1" s="1"/>
  <c r="J29" i="1"/>
  <c r="J33" i="1"/>
  <c r="L33" i="1" s="1"/>
  <c r="J37" i="1"/>
  <c r="L37" i="1" s="1"/>
  <c r="J41" i="1"/>
  <c r="J45" i="1"/>
  <c r="L45" i="1" s="1"/>
  <c r="J49" i="1"/>
  <c r="L49" i="1" s="1"/>
  <c r="J53" i="1"/>
  <c r="L53" i="1" s="1"/>
  <c r="J57" i="1"/>
  <c r="J61" i="1"/>
  <c r="L61" i="1" s="1"/>
  <c r="J65" i="1"/>
  <c r="L65" i="1" s="1"/>
  <c r="J69" i="1"/>
  <c r="L69" i="1" s="1"/>
  <c r="J73" i="1"/>
  <c r="J77" i="1"/>
  <c r="J81" i="1"/>
  <c r="L81" i="1" s="1"/>
  <c r="J85" i="1"/>
  <c r="L85" i="1" s="1"/>
  <c r="J89" i="1"/>
  <c r="J93" i="1"/>
  <c r="J97" i="1"/>
  <c r="L97" i="1" s="1"/>
  <c r="J101" i="1"/>
  <c r="L101" i="1" s="1"/>
  <c r="J105" i="1"/>
  <c r="J109" i="1"/>
  <c r="L109" i="1" s="1"/>
  <c r="J113" i="1"/>
  <c r="L113" i="1" s="1"/>
  <c r="J117" i="1"/>
  <c r="L117" i="1" s="1"/>
  <c r="J121" i="1"/>
  <c r="J125" i="1"/>
  <c r="L125" i="1" s="1"/>
  <c r="J129" i="1"/>
  <c r="L129" i="1" s="1"/>
  <c r="J133" i="1"/>
  <c r="L133" i="1" s="1"/>
  <c r="J137" i="1"/>
  <c r="J141" i="1"/>
  <c r="L141" i="1" s="1"/>
  <c r="J145" i="1"/>
  <c r="L145" i="1" s="1"/>
  <c r="J149" i="1"/>
  <c r="L149" i="1" s="1"/>
  <c r="J153" i="1"/>
  <c r="L153" i="1" s="1"/>
  <c r="J157" i="1"/>
  <c r="J161" i="1"/>
  <c r="L161" i="1" s="1"/>
  <c r="J165" i="1"/>
  <c r="L165" i="1" s="1"/>
  <c r="J169" i="1"/>
  <c r="J173" i="1"/>
  <c r="L173" i="1" s="1"/>
  <c r="J177" i="1"/>
  <c r="L177" i="1" s="1"/>
  <c r="J181" i="1"/>
  <c r="L181" i="1" s="1"/>
  <c r="J185" i="1"/>
  <c r="L185" i="1" s="1"/>
  <c r="J189" i="1"/>
  <c r="L189" i="1" s="1"/>
  <c r="J193" i="1"/>
  <c r="L193" i="1" s="1"/>
  <c r="J197" i="1"/>
  <c r="L197" i="1" s="1"/>
  <c r="J201" i="1"/>
  <c r="L201" i="1" s="1"/>
  <c r="J205" i="1"/>
  <c r="L205" i="1" s="1"/>
  <c r="J209" i="1"/>
  <c r="L209" i="1" s="1"/>
  <c r="J213" i="1"/>
  <c r="L213" i="1" s="1"/>
  <c r="J217" i="1"/>
  <c r="L217" i="1" s="1"/>
  <c r="J221" i="1"/>
  <c r="L221" i="1" s="1"/>
  <c r="J225" i="1"/>
  <c r="L225" i="1" s="1"/>
  <c r="J229" i="1"/>
  <c r="L229" i="1" s="1"/>
  <c r="J233" i="1"/>
  <c r="L233" i="1" s="1"/>
  <c r="J237" i="1"/>
  <c r="L237" i="1" s="1"/>
  <c r="J241" i="1"/>
  <c r="L241" i="1" s="1"/>
  <c r="J245" i="1"/>
  <c r="L245" i="1" s="1"/>
  <c r="J249" i="1"/>
  <c r="L249" i="1" s="1"/>
  <c r="J253" i="1"/>
  <c r="L253" i="1" s="1"/>
  <c r="J257" i="1"/>
  <c r="L257" i="1" s="1"/>
  <c r="J261" i="1"/>
  <c r="L261" i="1" s="1"/>
  <c r="J265" i="1"/>
  <c r="L265" i="1" s="1"/>
  <c r="J269" i="1"/>
  <c r="L269" i="1" s="1"/>
  <c r="J273" i="1"/>
  <c r="L273" i="1" s="1"/>
  <c r="J277" i="1"/>
  <c r="L277" i="1" s="1"/>
  <c r="J281" i="1"/>
  <c r="L281" i="1" s="1"/>
  <c r="J285" i="1"/>
  <c r="L285" i="1" s="1"/>
  <c r="J289" i="1"/>
  <c r="L289" i="1" s="1"/>
  <c r="J293" i="1"/>
  <c r="L293" i="1" s="1"/>
  <c r="J297" i="1"/>
  <c r="L297" i="1" s="1"/>
  <c r="J301" i="1"/>
  <c r="L301" i="1" s="1"/>
  <c r="J305" i="1"/>
  <c r="L305" i="1" s="1"/>
  <c r="J309" i="1"/>
  <c r="L309" i="1" s="1"/>
  <c r="J313" i="1"/>
  <c r="L313" i="1" s="1"/>
  <c r="J317" i="1"/>
  <c r="L317" i="1" s="1"/>
  <c r="J321" i="1"/>
  <c r="L321" i="1" s="1"/>
  <c r="J325" i="1"/>
  <c r="L325" i="1" s="1"/>
  <c r="J329" i="1"/>
  <c r="L329" i="1" s="1"/>
  <c r="J333" i="1"/>
  <c r="L333" i="1" s="1"/>
  <c r="J337" i="1"/>
  <c r="L337" i="1" s="1"/>
  <c r="J341" i="1"/>
  <c r="L341" i="1" s="1"/>
  <c r="J345" i="1"/>
  <c r="L345" i="1" s="1"/>
  <c r="J349" i="1"/>
  <c r="L349" i="1" s="1"/>
  <c r="J353" i="1"/>
  <c r="L353" i="1" s="1"/>
  <c r="J357" i="1"/>
  <c r="L357" i="1" s="1"/>
  <c r="J361" i="1"/>
  <c r="L361" i="1" s="1"/>
  <c r="J365" i="1"/>
  <c r="L365" i="1" s="1"/>
  <c r="J369" i="1"/>
  <c r="L369" i="1" s="1"/>
  <c r="J373" i="1"/>
  <c r="L373" i="1" s="1"/>
  <c r="J377" i="1"/>
  <c r="L377" i="1" s="1"/>
  <c r="J381" i="1"/>
  <c r="L381" i="1" s="1"/>
  <c r="J385" i="1"/>
  <c r="L385" i="1" s="1"/>
  <c r="J389" i="1"/>
  <c r="L389" i="1" s="1"/>
  <c r="J393" i="1"/>
  <c r="L393" i="1" s="1"/>
  <c r="J397" i="1"/>
  <c r="L397" i="1" s="1"/>
  <c r="J401" i="1"/>
  <c r="L401" i="1" s="1"/>
  <c r="J405" i="1"/>
  <c r="L405" i="1" s="1"/>
  <c r="J409" i="1"/>
  <c r="L409" i="1" s="1"/>
  <c r="J413" i="1"/>
  <c r="L413" i="1" s="1"/>
  <c r="J417" i="1"/>
  <c r="L417" i="1" s="1"/>
  <c r="J421" i="1"/>
  <c r="L421" i="1" s="1"/>
  <c r="J425" i="1"/>
  <c r="L425" i="1" s="1"/>
  <c r="J429" i="1"/>
  <c r="L429" i="1" s="1"/>
  <c r="J433" i="1"/>
  <c r="L433" i="1" s="1"/>
  <c r="J437" i="1"/>
  <c r="L437" i="1" s="1"/>
  <c r="J441" i="1"/>
  <c r="L441" i="1" s="1"/>
  <c r="J445" i="1"/>
  <c r="L445" i="1" s="1"/>
  <c r="J449" i="1"/>
  <c r="L449" i="1" s="1"/>
  <c r="J453" i="1"/>
  <c r="L453" i="1" s="1"/>
  <c r="J457" i="1"/>
  <c r="L457" i="1" s="1"/>
  <c r="J461" i="1"/>
  <c r="L461" i="1" s="1"/>
  <c r="J465" i="1"/>
  <c r="L465" i="1" s="1"/>
  <c r="J469" i="1"/>
  <c r="L469" i="1" s="1"/>
  <c r="J473" i="1"/>
  <c r="L473" i="1" s="1"/>
  <c r="J477" i="1"/>
  <c r="L477" i="1" s="1"/>
  <c r="J481" i="1"/>
  <c r="L481" i="1" s="1"/>
  <c r="J485" i="1"/>
  <c r="L485" i="1" s="1"/>
  <c r="J489" i="1"/>
  <c r="L489" i="1" s="1"/>
  <c r="J493" i="1"/>
  <c r="L493" i="1" s="1"/>
  <c r="J497" i="1"/>
  <c r="L497" i="1" s="1"/>
  <c r="J501" i="1"/>
  <c r="L501" i="1" s="1"/>
  <c r="J505" i="1"/>
  <c r="L505" i="1" s="1"/>
  <c r="J509" i="1"/>
  <c r="L509" i="1" s="1"/>
  <c r="J513" i="1"/>
  <c r="L513" i="1" s="1"/>
  <c r="J517" i="1"/>
  <c r="L517" i="1" s="1"/>
  <c r="J521" i="1"/>
  <c r="L521" i="1" s="1"/>
  <c r="J525" i="1"/>
  <c r="L525" i="1" s="1"/>
  <c r="J529" i="1"/>
  <c r="L529" i="1" s="1"/>
  <c r="J533" i="1"/>
  <c r="L533" i="1" s="1"/>
  <c r="J537" i="1"/>
  <c r="L537" i="1" s="1"/>
  <c r="J541" i="1"/>
  <c r="L541" i="1" s="1"/>
  <c r="J545" i="1"/>
  <c r="L545" i="1" s="1"/>
  <c r="J549" i="1"/>
  <c r="L549" i="1" s="1"/>
  <c r="J553" i="1"/>
  <c r="L553" i="1" s="1"/>
  <c r="J557" i="1"/>
  <c r="L557" i="1" s="1"/>
  <c r="J561" i="1"/>
  <c r="L561" i="1" s="1"/>
  <c r="J565" i="1"/>
  <c r="L565" i="1" s="1"/>
  <c r="J569" i="1"/>
  <c r="L569" i="1" s="1"/>
  <c r="J573" i="1"/>
  <c r="L573" i="1" s="1"/>
  <c r="J577" i="1"/>
  <c r="L577" i="1" s="1"/>
  <c r="J581" i="1"/>
  <c r="L581" i="1" s="1"/>
  <c r="J585" i="1"/>
  <c r="L585" i="1" s="1"/>
  <c r="J589" i="1"/>
  <c r="L589" i="1" s="1"/>
  <c r="J593" i="1"/>
  <c r="L593" i="1" s="1"/>
  <c r="J597" i="1"/>
  <c r="L597" i="1" s="1"/>
  <c r="J601" i="1"/>
  <c r="L601" i="1" s="1"/>
  <c r="J605" i="1"/>
  <c r="L605" i="1" s="1"/>
  <c r="J609" i="1"/>
  <c r="L609" i="1" s="1"/>
  <c r="J613" i="1"/>
  <c r="L613" i="1" s="1"/>
  <c r="J617" i="1"/>
  <c r="L617" i="1" s="1"/>
  <c r="J621" i="1"/>
  <c r="L621" i="1" s="1"/>
  <c r="J625" i="1"/>
  <c r="L625" i="1" s="1"/>
  <c r="J629" i="1"/>
  <c r="L629" i="1" s="1"/>
  <c r="J633" i="1"/>
  <c r="L633" i="1" s="1"/>
  <c r="J637" i="1"/>
  <c r="L637" i="1" s="1"/>
  <c r="J641" i="1"/>
  <c r="L641" i="1" s="1"/>
  <c r="J645" i="1"/>
  <c r="L645" i="1" s="1"/>
  <c r="J649" i="1"/>
  <c r="L649" i="1" s="1"/>
  <c r="J653" i="1"/>
  <c r="L653" i="1" s="1"/>
  <c r="J657" i="1"/>
  <c r="L657" i="1" s="1"/>
  <c r="J661" i="1"/>
  <c r="L661" i="1" s="1"/>
  <c r="J665" i="1"/>
  <c r="L665" i="1" s="1"/>
  <c r="J669" i="1"/>
  <c r="L669" i="1" s="1"/>
  <c r="J673" i="1"/>
  <c r="L673" i="1" s="1"/>
  <c r="J677" i="1"/>
  <c r="L677" i="1" s="1"/>
  <c r="J681" i="1"/>
  <c r="L681" i="1" s="1"/>
  <c r="J685" i="1"/>
  <c r="L685" i="1" s="1"/>
  <c r="J689" i="1"/>
  <c r="L689" i="1" s="1"/>
  <c r="J693" i="1"/>
  <c r="L693" i="1" s="1"/>
  <c r="J697" i="1"/>
  <c r="L697" i="1" s="1"/>
  <c r="J701" i="1"/>
  <c r="L701" i="1" s="1"/>
  <c r="J705" i="1"/>
  <c r="L705" i="1" s="1"/>
  <c r="J709" i="1"/>
  <c r="L709" i="1" s="1"/>
  <c r="J713" i="1"/>
  <c r="L713" i="1" s="1"/>
  <c r="J717" i="1"/>
  <c r="L717" i="1" s="1"/>
  <c r="J721" i="1"/>
  <c r="L721" i="1" s="1"/>
  <c r="J725" i="1"/>
  <c r="L725" i="1" s="1"/>
  <c r="J729" i="1"/>
  <c r="L729" i="1" s="1"/>
  <c r="J733" i="1"/>
  <c r="L733" i="1" s="1"/>
  <c r="J737" i="1"/>
  <c r="L737" i="1" s="1"/>
  <c r="J741" i="1"/>
  <c r="L741" i="1" s="1"/>
  <c r="J745" i="1"/>
  <c r="L745" i="1" s="1"/>
  <c r="J749" i="1"/>
  <c r="L749" i="1" s="1"/>
  <c r="J753" i="1"/>
  <c r="L753" i="1" s="1"/>
  <c r="J757" i="1"/>
  <c r="L757" i="1" s="1"/>
  <c r="J761" i="1"/>
  <c r="L761" i="1" s="1"/>
  <c r="J765" i="1"/>
  <c r="L765" i="1" s="1"/>
  <c r="J769" i="1"/>
  <c r="L769" i="1" s="1"/>
  <c r="J773" i="1"/>
  <c r="L773" i="1" s="1"/>
  <c r="J777" i="1"/>
  <c r="L777" i="1" s="1"/>
  <c r="J781" i="1"/>
  <c r="L781" i="1" s="1"/>
  <c r="J785" i="1"/>
  <c r="L785" i="1" s="1"/>
  <c r="J789" i="1"/>
  <c r="L789" i="1" s="1"/>
  <c r="J793" i="1"/>
  <c r="L793" i="1" s="1"/>
  <c r="J797" i="1"/>
  <c r="L797" i="1" s="1"/>
  <c r="J801" i="1"/>
  <c r="L801" i="1" s="1"/>
  <c r="J805" i="1"/>
  <c r="L805" i="1" s="1"/>
  <c r="J2" i="1"/>
  <c r="L2" i="1" s="1"/>
  <c r="J4" i="1"/>
  <c r="J8" i="1"/>
  <c r="L8" i="1" s="1"/>
  <c r="J12" i="1"/>
  <c r="L12" i="1" s="1"/>
  <c r="J16" i="1"/>
  <c r="J20" i="1"/>
  <c r="L20" i="1" s="1"/>
  <c r="J24" i="1"/>
  <c r="L24" i="1" s="1"/>
  <c r="J28" i="1"/>
  <c r="L28" i="1" s="1"/>
  <c r="J32" i="1"/>
  <c r="J36" i="1"/>
  <c r="L36" i="1" s="1"/>
  <c r="J40" i="1"/>
  <c r="L40" i="1" s="1"/>
  <c r="J44" i="1"/>
  <c r="L44" i="1" s="1"/>
  <c r="J48" i="1"/>
  <c r="J52" i="1"/>
  <c r="J56" i="1"/>
  <c r="L56" i="1" s="1"/>
  <c r="J60" i="1"/>
  <c r="L60" i="1" s="1"/>
  <c r="J64" i="1"/>
  <c r="L64" i="1" s="1"/>
  <c r="J68" i="1"/>
  <c r="L68" i="1" s="1"/>
  <c r="J72" i="1"/>
  <c r="L72" i="1" s="1"/>
  <c r="J76" i="1"/>
  <c r="L76" i="1" s="1"/>
  <c r="J80" i="1"/>
  <c r="L80" i="1" s="1"/>
  <c r="J84" i="1"/>
  <c r="J88" i="1"/>
  <c r="L88" i="1" s="1"/>
  <c r="J92" i="1"/>
  <c r="L92" i="1" s="1"/>
  <c r="J96" i="1"/>
  <c r="L96" i="1" s="1"/>
  <c r="J100" i="1"/>
  <c r="L100" i="1" s="1"/>
  <c r="J104" i="1"/>
  <c r="L104" i="1" s="1"/>
  <c r="J108" i="1"/>
  <c r="L108" i="1" s="1"/>
  <c r="J112" i="1"/>
  <c r="L112" i="1" s="1"/>
  <c r="J116" i="1"/>
  <c r="L116" i="1" s="1"/>
  <c r="J120" i="1"/>
  <c r="L120" i="1" s="1"/>
  <c r="J124" i="1"/>
  <c r="L124" i="1" s="1"/>
  <c r="J128" i="1"/>
  <c r="L128" i="1" s="1"/>
  <c r="J132" i="1"/>
  <c r="J136" i="1"/>
  <c r="L136" i="1" s="1"/>
  <c r="J140" i="1"/>
  <c r="L140" i="1" s="1"/>
  <c r="J144" i="1"/>
  <c r="J148" i="1"/>
  <c r="L148" i="1" s="1"/>
  <c r="J152" i="1"/>
  <c r="L152" i="1" s="1"/>
  <c r="J156" i="1"/>
  <c r="L156" i="1" s="1"/>
  <c r="J160" i="1"/>
  <c r="L160" i="1" s="1"/>
  <c r="J164" i="1"/>
  <c r="L164" i="1" s="1"/>
  <c r="J168" i="1"/>
  <c r="L168" i="1" s="1"/>
  <c r="J172" i="1"/>
  <c r="L172" i="1" s="1"/>
  <c r="J176" i="1"/>
  <c r="L176" i="1" s="1"/>
  <c r="J180" i="1"/>
  <c r="L180" i="1" s="1"/>
  <c r="J184" i="1"/>
  <c r="L184" i="1" s="1"/>
  <c r="J188" i="1"/>
  <c r="L188" i="1" s="1"/>
  <c r="J192" i="1"/>
  <c r="L192" i="1" s="1"/>
  <c r="J196" i="1"/>
  <c r="L196" i="1" s="1"/>
  <c r="J200" i="1"/>
  <c r="L200" i="1" s="1"/>
  <c r="J204" i="1"/>
  <c r="L204" i="1" s="1"/>
  <c r="J208" i="1"/>
  <c r="L208" i="1" s="1"/>
  <c r="J212" i="1"/>
  <c r="L212" i="1" s="1"/>
  <c r="J216" i="1"/>
  <c r="L216" i="1" s="1"/>
  <c r="J220" i="1"/>
  <c r="L220" i="1" s="1"/>
  <c r="J224" i="1"/>
  <c r="L224" i="1" s="1"/>
  <c r="J228" i="1"/>
  <c r="L228" i="1" s="1"/>
  <c r="J232" i="1"/>
  <c r="L232" i="1" s="1"/>
  <c r="J236" i="1"/>
  <c r="L236" i="1" s="1"/>
  <c r="J240" i="1"/>
  <c r="L240" i="1" s="1"/>
  <c r="J244" i="1"/>
  <c r="L244" i="1" s="1"/>
  <c r="J248" i="1"/>
  <c r="L248" i="1" s="1"/>
  <c r="J252" i="1"/>
  <c r="L252" i="1" s="1"/>
  <c r="J256" i="1"/>
  <c r="L256" i="1" s="1"/>
  <c r="J260" i="1"/>
  <c r="L260" i="1" s="1"/>
  <c r="J264" i="1"/>
  <c r="L264" i="1" s="1"/>
  <c r="J268" i="1"/>
  <c r="L268" i="1" s="1"/>
  <c r="J272" i="1"/>
  <c r="L272" i="1" s="1"/>
  <c r="J276" i="1"/>
  <c r="L276" i="1" s="1"/>
  <c r="J280" i="1"/>
  <c r="L280" i="1" s="1"/>
  <c r="J284" i="1"/>
  <c r="L284" i="1" s="1"/>
  <c r="J288" i="1"/>
  <c r="L288" i="1" s="1"/>
  <c r="J292" i="1"/>
  <c r="L292" i="1" s="1"/>
  <c r="J296" i="1"/>
  <c r="L296" i="1" s="1"/>
  <c r="J300" i="1"/>
  <c r="L300" i="1" s="1"/>
  <c r="J304" i="1"/>
  <c r="L304" i="1" s="1"/>
  <c r="J308" i="1"/>
  <c r="L308" i="1" s="1"/>
  <c r="J312" i="1"/>
  <c r="L312" i="1" s="1"/>
  <c r="J316" i="1"/>
  <c r="L316" i="1" s="1"/>
  <c r="J320" i="1"/>
  <c r="L320" i="1" s="1"/>
  <c r="J324" i="1"/>
  <c r="L324" i="1" s="1"/>
  <c r="J328" i="1"/>
  <c r="L328" i="1" s="1"/>
  <c r="J332" i="1"/>
  <c r="L332" i="1" s="1"/>
  <c r="J336" i="1"/>
  <c r="L336" i="1" s="1"/>
  <c r="J340" i="1"/>
  <c r="L340" i="1" s="1"/>
  <c r="J344" i="1"/>
  <c r="L344" i="1" s="1"/>
  <c r="J348" i="1"/>
  <c r="L348" i="1" s="1"/>
  <c r="J352" i="1"/>
  <c r="L352" i="1" s="1"/>
  <c r="J356" i="1"/>
  <c r="L356" i="1" s="1"/>
  <c r="J360" i="1"/>
  <c r="L360" i="1" s="1"/>
  <c r="J364" i="1"/>
  <c r="L364" i="1" s="1"/>
  <c r="J368" i="1"/>
  <c r="L368" i="1" s="1"/>
  <c r="J372" i="1"/>
  <c r="L372" i="1" s="1"/>
  <c r="J376" i="1"/>
  <c r="L376" i="1" s="1"/>
  <c r="J380" i="1"/>
  <c r="L380" i="1" s="1"/>
  <c r="J384" i="1"/>
  <c r="L384" i="1" s="1"/>
  <c r="J388" i="1"/>
  <c r="L388" i="1" s="1"/>
  <c r="J396" i="1"/>
  <c r="L396" i="1" s="1"/>
  <c r="J400" i="1"/>
  <c r="L400" i="1" s="1"/>
  <c r="J404" i="1"/>
  <c r="L404" i="1" s="1"/>
  <c r="J408" i="1"/>
  <c r="L408" i="1" s="1"/>
  <c r="J412" i="1"/>
  <c r="L412" i="1" s="1"/>
  <c r="J416" i="1"/>
  <c r="L416" i="1" s="1"/>
  <c r="J420" i="1"/>
  <c r="L420" i="1" s="1"/>
  <c r="J424" i="1"/>
  <c r="L424" i="1" s="1"/>
  <c r="J428" i="1"/>
  <c r="L428" i="1" s="1"/>
  <c r="J432" i="1"/>
  <c r="L432" i="1" s="1"/>
  <c r="J436" i="1"/>
  <c r="L436" i="1" s="1"/>
  <c r="J440" i="1"/>
  <c r="L440" i="1" s="1"/>
  <c r="J444" i="1"/>
  <c r="L444" i="1" s="1"/>
  <c r="J448" i="1"/>
  <c r="L448" i="1" s="1"/>
  <c r="J452" i="1"/>
  <c r="L452" i="1" s="1"/>
  <c r="J456" i="1"/>
  <c r="L456" i="1" s="1"/>
  <c r="J460" i="1"/>
  <c r="L460" i="1" s="1"/>
  <c r="J464" i="1"/>
  <c r="L464" i="1" s="1"/>
  <c r="J468" i="1"/>
  <c r="L468" i="1" s="1"/>
  <c r="J472" i="1"/>
  <c r="L472" i="1" s="1"/>
  <c r="J476" i="1"/>
  <c r="L476" i="1" s="1"/>
  <c r="J480" i="1"/>
  <c r="L480" i="1" s="1"/>
  <c r="J484" i="1"/>
  <c r="L484" i="1" s="1"/>
  <c r="J488" i="1"/>
  <c r="L488" i="1" s="1"/>
  <c r="J496" i="1"/>
  <c r="L496" i="1" s="1"/>
  <c r="J500" i="1"/>
  <c r="L500" i="1" s="1"/>
  <c r="J504" i="1"/>
  <c r="L504" i="1" s="1"/>
  <c r="J516" i="1"/>
  <c r="L516" i="1" s="1"/>
  <c r="J524" i="1"/>
  <c r="L524" i="1" s="1"/>
  <c r="J532" i="1"/>
  <c r="L532" i="1" s="1"/>
  <c r="J540" i="1"/>
  <c r="L540" i="1" s="1"/>
  <c r="J548" i="1"/>
  <c r="L548" i="1" s="1"/>
  <c r="J552" i="1"/>
  <c r="L552" i="1" s="1"/>
  <c r="J560" i="1"/>
  <c r="L560" i="1" s="1"/>
  <c r="J568" i="1"/>
  <c r="L568" i="1" s="1"/>
  <c r="J576" i="1"/>
  <c r="L576" i="1" s="1"/>
  <c r="J584" i="1"/>
  <c r="L584" i="1" s="1"/>
  <c r="J592" i="1"/>
  <c r="L592" i="1" s="1"/>
  <c r="J600" i="1"/>
  <c r="L600" i="1" s="1"/>
  <c r="J604" i="1"/>
  <c r="L604" i="1" s="1"/>
  <c r="J612" i="1"/>
  <c r="L612" i="1" s="1"/>
  <c r="J616" i="1"/>
  <c r="L616" i="1" s="1"/>
  <c r="J624" i="1"/>
  <c r="L624" i="1" s="1"/>
  <c r="J636" i="1"/>
  <c r="L636" i="1" s="1"/>
  <c r="J644" i="1"/>
  <c r="L644" i="1" s="1"/>
  <c r="J652" i="1"/>
  <c r="L652" i="1" s="1"/>
  <c r="J660" i="1"/>
  <c r="L660" i="1" s="1"/>
  <c r="J668" i="1"/>
  <c r="L668" i="1" s="1"/>
  <c r="J672" i="1"/>
  <c r="L672" i="1" s="1"/>
  <c r="J676" i="1"/>
  <c r="L676" i="1" s="1"/>
  <c r="J680" i="1"/>
  <c r="L680" i="1" s="1"/>
  <c r="J684" i="1"/>
  <c r="L684" i="1" s="1"/>
  <c r="J692" i="1"/>
  <c r="L692" i="1" s="1"/>
  <c r="J700" i="1"/>
  <c r="L700" i="1" s="1"/>
  <c r="J708" i="1"/>
  <c r="L708" i="1" s="1"/>
  <c r="J720" i="1"/>
  <c r="L720" i="1" s="1"/>
  <c r="J728" i="1"/>
  <c r="L728" i="1" s="1"/>
  <c r="J732" i="1"/>
  <c r="L732" i="1" s="1"/>
  <c r="J740" i="1"/>
  <c r="L740" i="1" s="1"/>
  <c r="J748" i="1"/>
  <c r="L748" i="1" s="1"/>
  <c r="J756" i="1"/>
  <c r="L756" i="1" s="1"/>
  <c r="J760" i="1"/>
  <c r="L760" i="1" s="1"/>
  <c r="J772" i="1"/>
  <c r="L772" i="1" s="1"/>
  <c r="J780" i="1"/>
  <c r="L780" i="1" s="1"/>
  <c r="J784" i="1"/>
  <c r="L784" i="1" s="1"/>
  <c r="J792" i="1"/>
  <c r="L792" i="1" s="1"/>
  <c r="J796" i="1"/>
  <c r="L796" i="1" s="1"/>
  <c r="J800" i="1"/>
  <c r="L800" i="1" s="1"/>
  <c r="J392" i="1"/>
  <c r="L392" i="1" s="1"/>
  <c r="J492" i="1"/>
  <c r="L492" i="1" s="1"/>
  <c r="J508" i="1"/>
  <c r="L508" i="1" s="1"/>
  <c r="J512" i="1"/>
  <c r="L512" i="1" s="1"/>
  <c r="J520" i="1"/>
  <c r="L520" i="1" s="1"/>
  <c r="J528" i="1"/>
  <c r="L528" i="1" s="1"/>
  <c r="J536" i="1"/>
  <c r="L536" i="1" s="1"/>
  <c r="J544" i="1"/>
  <c r="L544" i="1" s="1"/>
  <c r="J556" i="1"/>
  <c r="L556" i="1" s="1"/>
  <c r="J564" i="1"/>
  <c r="L564" i="1" s="1"/>
  <c r="J572" i="1"/>
  <c r="L572" i="1" s="1"/>
  <c r="J580" i="1"/>
  <c r="L580" i="1" s="1"/>
  <c r="J588" i="1"/>
  <c r="L588" i="1" s="1"/>
  <c r="J596" i="1"/>
  <c r="L596" i="1" s="1"/>
  <c r="J608" i="1"/>
  <c r="L608" i="1" s="1"/>
  <c r="J620" i="1"/>
  <c r="L620" i="1" s="1"/>
  <c r="J628" i="1"/>
  <c r="L628" i="1" s="1"/>
  <c r="J632" i="1"/>
  <c r="L632" i="1" s="1"/>
  <c r="J640" i="1"/>
  <c r="L640" i="1" s="1"/>
  <c r="J648" i="1"/>
  <c r="L648" i="1" s="1"/>
  <c r="J656" i="1"/>
  <c r="L656" i="1" s="1"/>
  <c r="J664" i="1"/>
  <c r="L664" i="1" s="1"/>
  <c r="J688" i="1"/>
  <c r="L688" i="1" s="1"/>
  <c r="J696" i="1"/>
  <c r="L696" i="1" s="1"/>
  <c r="J704" i="1"/>
  <c r="L704" i="1" s="1"/>
  <c r="J712" i="1"/>
  <c r="L712" i="1" s="1"/>
  <c r="J716" i="1"/>
  <c r="L716" i="1" s="1"/>
  <c r="J724" i="1"/>
  <c r="L724" i="1" s="1"/>
  <c r="J736" i="1"/>
  <c r="L736" i="1" s="1"/>
  <c r="J744" i="1"/>
  <c r="L744" i="1" s="1"/>
  <c r="J752" i="1"/>
  <c r="L752" i="1" s="1"/>
  <c r="J764" i="1"/>
  <c r="L764" i="1" s="1"/>
  <c r="J768" i="1"/>
  <c r="L768" i="1" s="1"/>
  <c r="J776" i="1"/>
  <c r="L776" i="1" s="1"/>
  <c r="J788" i="1"/>
  <c r="L788" i="1" s="1"/>
  <c r="J804" i="1"/>
  <c r="L804" i="1" s="1"/>
  <c r="J799" i="1"/>
  <c r="L799" i="1" s="1"/>
  <c r="J791" i="1"/>
  <c r="L791" i="1" s="1"/>
  <c r="J783" i="1"/>
  <c r="L783" i="1" s="1"/>
  <c r="J775" i="1"/>
  <c r="L775" i="1" s="1"/>
  <c r="J767" i="1"/>
  <c r="L767" i="1" s="1"/>
  <c r="J759" i="1"/>
  <c r="L759" i="1" s="1"/>
  <c r="J751" i="1"/>
  <c r="L751" i="1" s="1"/>
  <c r="J743" i="1"/>
  <c r="L743" i="1" s="1"/>
  <c r="J735" i="1"/>
  <c r="L735" i="1" s="1"/>
  <c r="J727" i="1"/>
  <c r="L727" i="1" s="1"/>
  <c r="J719" i="1"/>
  <c r="L719" i="1" s="1"/>
  <c r="J711" i="1"/>
  <c r="L711" i="1" s="1"/>
  <c r="J703" i="1"/>
  <c r="L703" i="1" s="1"/>
  <c r="J695" i="1"/>
  <c r="L695" i="1" s="1"/>
  <c r="J687" i="1"/>
  <c r="L687" i="1" s="1"/>
  <c r="J679" i="1"/>
  <c r="L679" i="1" s="1"/>
  <c r="J671" i="1"/>
  <c r="L671" i="1" s="1"/>
  <c r="J663" i="1"/>
  <c r="L663" i="1" s="1"/>
  <c r="J655" i="1"/>
  <c r="L655" i="1" s="1"/>
  <c r="J647" i="1"/>
  <c r="L647" i="1" s="1"/>
  <c r="J639" i="1"/>
  <c r="L639" i="1" s="1"/>
  <c r="J631" i="1"/>
  <c r="L631" i="1" s="1"/>
  <c r="J623" i="1"/>
  <c r="L623" i="1" s="1"/>
  <c r="J615" i="1"/>
  <c r="L615" i="1" s="1"/>
  <c r="J607" i="1"/>
  <c r="L607" i="1" s="1"/>
  <c r="J599" i="1"/>
  <c r="L599" i="1" s="1"/>
  <c r="J591" i="1"/>
  <c r="L591" i="1" s="1"/>
  <c r="J583" i="1"/>
  <c r="L583" i="1" s="1"/>
  <c r="J575" i="1"/>
  <c r="L575" i="1" s="1"/>
  <c r="J567" i="1"/>
  <c r="L567" i="1" s="1"/>
  <c r="J559" i="1"/>
  <c r="L559" i="1" s="1"/>
  <c r="J551" i="1"/>
  <c r="L551" i="1" s="1"/>
  <c r="J543" i="1"/>
  <c r="L543" i="1" s="1"/>
  <c r="J535" i="1"/>
  <c r="L535" i="1" s="1"/>
  <c r="J527" i="1"/>
  <c r="L527" i="1" s="1"/>
  <c r="J519" i="1"/>
  <c r="L519" i="1" s="1"/>
  <c r="J511" i="1"/>
  <c r="L511" i="1" s="1"/>
  <c r="J503" i="1"/>
  <c r="L503" i="1" s="1"/>
  <c r="J495" i="1"/>
  <c r="L495" i="1" s="1"/>
  <c r="J487" i="1"/>
  <c r="L487" i="1" s="1"/>
  <c r="J479" i="1"/>
  <c r="L479" i="1" s="1"/>
  <c r="J471" i="1"/>
  <c r="L471" i="1" s="1"/>
  <c r="J463" i="1"/>
  <c r="L463" i="1" s="1"/>
  <c r="J455" i="1"/>
  <c r="L455" i="1" s="1"/>
  <c r="J447" i="1"/>
  <c r="L447" i="1" s="1"/>
  <c r="J439" i="1"/>
  <c r="L439" i="1" s="1"/>
  <c r="J431" i="1"/>
  <c r="L431" i="1" s="1"/>
  <c r="J423" i="1"/>
  <c r="L423" i="1" s="1"/>
  <c r="J415" i="1"/>
  <c r="L415" i="1" s="1"/>
  <c r="J407" i="1"/>
  <c r="L407" i="1" s="1"/>
  <c r="J399" i="1"/>
  <c r="L399" i="1" s="1"/>
  <c r="J391" i="1"/>
  <c r="L391" i="1" s="1"/>
  <c r="J383" i="1"/>
  <c r="L383" i="1" s="1"/>
  <c r="J375" i="1"/>
  <c r="L375" i="1" s="1"/>
  <c r="J367" i="1"/>
  <c r="L367" i="1" s="1"/>
  <c r="J359" i="1"/>
  <c r="L359" i="1" s="1"/>
  <c r="J351" i="1"/>
  <c r="L351" i="1" s="1"/>
  <c r="J343" i="1"/>
  <c r="L343" i="1" s="1"/>
  <c r="J335" i="1"/>
  <c r="L335" i="1" s="1"/>
  <c r="J327" i="1"/>
  <c r="L327" i="1" s="1"/>
  <c r="J319" i="1"/>
  <c r="L319" i="1" s="1"/>
  <c r="J311" i="1"/>
  <c r="L311" i="1" s="1"/>
  <c r="J303" i="1"/>
  <c r="L303" i="1" s="1"/>
  <c r="J295" i="1"/>
  <c r="L295" i="1" s="1"/>
  <c r="J287" i="1"/>
  <c r="L287" i="1" s="1"/>
  <c r="J279" i="1"/>
  <c r="L279" i="1" s="1"/>
  <c r="J271" i="1"/>
  <c r="L271" i="1" s="1"/>
  <c r="J263" i="1"/>
  <c r="L263" i="1" s="1"/>
  <c r="J255" i="1"/>
  <c r="L255" i="1" s="1"/>
  <c r="J247" i="1"/>
  <c r="L247" i="1" s="1"/>
  <c r="J239" i="1"/>
  <c r="L239" i="1" s="1"/>
  <c r="J231" i="1"/>
  <c r="L231" i="1" s="1"/>
  <c r="J223" i="1"/>
  <c r="L223" i="1" s="1"/>
  <c r="J215" i="1"/>
  <c r="L215" i="1" s="1"/>
  <c r="J207" i="1"/>
  <c r="L207" i="1" s="1"/>
  <c r="J199" i="1"/>
  <c r="L199" i="1" s="1"/>
  <c r="J191" i="1"/>
  <c r="L191" i="1" s="1"/>
  <c r="J183" i="1"/>
  <c r="L183" i="1" s="1"/>
  <c r="J175" i="1"/>
  <c r="L175" i="1" s="1"/>
  <c r="J167" i="1"/>
  <c r="J159" i="1"/>
  <c r="L159" i="1" s="1"/>
  <c r="J151" i="1"/>
  <c r="L151" i="1" s="1"/>
  <c r="J143" i="1"/>
  <c r="J135" i="1"/>
  <c r="L135" i="1" s="1"/>
  <c r="J127" i="1"/>
  <c r="L127" i="1" s="1"/>
  <c r="J119" i="1"/>
  <c r="L119" i="1" s="1"/>
  <c r="J111" i="1"/>
  <c r="J103" i="1"/>
  <c r="J95" i="1"/>
  <c r="L95" i="1" s="1"/>
  <c r="J87" i="1"/>
  <c r="L87" i="1" s="1"/>
  <c r="J79" i="1"/>
  <c r="J71" i="1"/>
  <c r="L71" i="1" s="1"/>
  <c r="J63" i="1"/>
  <c r="L63" i="1" s="1"/>
  <c r="J55" i="1"/>
  <c r="L55" i="1" s="1"/>
  <c r="J47" i="1"/>
  <c r="J39" i="1"/>
  <c r="L39" i="1" s="1"/>
  <c r="J31" i="1"/>
  <c r="L31" i="1" s="1"/>
  <c r="J23" i="1"/>
  <c r="L23" i="1" s="1"/>
  <c r="J15" i="1"/>
  <c r="J7" i="1"/>
  <c r="L7" i="1" s="1"/>
  <c r="O806" i="1"/>
  <c r="O785" i="1"/>
  <c r="O774" i="1"/>
  <c r="O742" i="1"/>
  <c r="O721" i="1"/>
  <c r="O686" i="1"/>
  <c r="O601" i="1"/>
  <c r="O430" i="1"/>
  <c r="L4" i="1"/>
  <c r="L171" i="1"/>
  <c r="L169" i="1"/>
  <c r="L167" i="1"/>
  <c r="L157" i="1"/>
  <c r="L143" i="1"/>
  <c r="L137" i="1"/>
  <c r="L131" i="1"/>
  <c r="L123" i="1"/>
  <c r="L121" i="1"/>
  <c r="L115" i="1"/>
  <c r="L111" i="1"/>
  <c r="L105" i="1"/>
  <c r="L103" i="1"/>
  <c r="L93" i="1"/>
  <c r="L89" i="1"/>
  <c r="L79" i="1"/>
  <c r="L77" i="1"/>
  <c r="L73" i="1"/>
  <c r="L59" i="1"/>
  <c r="L57" i="1"/>
  <c r="L51" i="1"/>
  <c r="L47" i="1"/>
  <c r="L41" i="1"/>
  <c r="L29" i="1"/>
  <c r="L15" i="1"/>
  <c r="L13" i="1"/>
  <c r="L9" i="1"/>
  <c r="L144" i="1"/>
  <c r="L132" i="1"/>
  <c r="L114" i="1"/>
  <c r="L106" i="1"/>
  <c r="L90" i="1"/>
  <c r="L86" i="1"/>
  <c r="L84" i="1"/>
  <c r="L54" i="1"/>
  <c r="L52" i="1"/>
  <c r="L48" i="1"/>
  <c r="L32" i="1"/>
  <c r="L26" i="1"/>
  <c r="L16" i="1"/>
  <c r="L6" i="1"/>
  <c r="N15" i="1" l="1"/>
  <c r="P584" i="1" s="1"/>
  <c r="P573" i="1" l="1"/>
  <c r="P91" i="1"/>
  <c r="P340" i="1"/>
  <c r="P182" i="1"/>
  <c r="P676" i="1"/>
  <c r="P357" i="1"/>
  <c r="P655" i="1"/>
  <c r="P225" i="1"/>
  <c r="P59" i="1"/>
  <c r="P27" i="1"/>
  <c r="P583" i="1"/>
  <c r="P541" i="1"/>
  <c r="P238" i="1"/>
  <c r="P400" i="1"/>
  <c r="P464" i="1"/>
  <c r="P135" i="1"/>
  <c r="P797" i="1"/>
  <c r="P332" i="1"/>
  <c r="P696" i="1"/>
  <c r="P783" i="1"/>
  <c r="P436" i="1"/>
  <c r="P201" i="1"/>
  <c r="P536" i="1"/>
  <c r="P14" i="1"/>
  <c r="P744" i="1"/>
  <c r="P727" i="1"/>
  <c r="P777" i="1"/>
  <c r="P169" i="1"/>
  <c r="P615" i="1"/>
  <c r="P268" i="1"/>
  <c r="P624" i="1"/>
  <c r="P329" i="1"/>
  <c r="P229" i="1"/>
  <c r="P457" i="1"/>
  <c r="P596" i="1"/>
  <c r="P421" i="1"/>
  <c r="P485" i="1"/>
  <c r="P733" i="1"/>
  <c r="P549" i="1"/>
  <c r="P271" i="1"/>
  <c r="P343" i="1"/>
  <c r="P780" i="1"/>
  <c r="P176" i="1"/>
  <c r="P105" i="1"/>
  <c r="P46" i="1"/>
  <c r="P740" i="1"/>
  <c r="P114" i="1"/>
  <c r="P393" i="1"/>
  <c r="P50" i="1"/>
  <c r="P18" i="1"/>
  <c r="P527" i="1"/>
  <c r="P649" i="1"/>
  <c r="P324" i="1"/>
  <c r="P471" i="1"/>
  <c r="P741" i="1"/>
  <c r="P215" i="1"/>
  <c r="P743" i="1"/>
  <c r="P240" i="1"/>
  <c r="P41" i="1"/>
  <c r="P177" i="1"/>
  <c r="P39" i="1"/>
  <c r="P781" i="1"/>
  <c r="P265" i="1"/>
  <c r="P560" i="1"/>
  <c r="P82" i="1"/>
  <c r="P293" i="1"/>
  <c r="P521" i="1"/>
  <c r="P585" i="1"/>
  <c r="P399" i="1"/>
  <c r="P599" i="1"/>
  <c r="P260" i="1"/>
  <c r="P472" i="1"/>
  <c r="P155" i="1"/>
  <c r="P391" i="1"/>
  <c r="P304" i="1"/>
  <c r="P128" i="1"/>
  <c r="P113" i="1"/>
  <c r="P504" i="1"/>
  <c r="P146" i="1"/>
  <c r="P688" i="1"/>
  <c r="P792" i="1"/>
  <c r="P285" i="1"/>
  <c r="P713" i="1"/>
  <c r="P613" i="1"/>
  <c r="P677" i="1"/>
  <c r="P805" i="1"/>
  <c r="P204" i="1"/>
  <c r="P123" i="1"/>
  <c r="P143" i="1"/>
  <c r="P368" i="1"/>
  <c r="P64" i="1"/>
  <c r="P365" i="1"/>
  <c r="P263" i="1"/>
  <c r="P385" i="1"/>
  <c r="P641" i="1"/>
  <c r="P705" i="1"/>
  <c r="P198" i="1"/>
  <c r="P445" i="1"/>
  <c r="P548" i="1"/>
  <c r="P47" i="1"/>
  <c r="P289" i="1"/>
  <c r="P449" i="1"/>
  <c r="P88" i="1"/>
  <c r="P237" i="1"/>
  <c r="P576" i="1"/>
  <c r="P118" i="1"/>
  <c r="P205" i="1"/>
  <c r="P605" i="1"/>
  <c r="P512" i="1"/>
  <c r="P134" i="1"/>
  <c r="P49" i="1"/>
  <c r="P513" i="1"/>
  <c r="P152" i="1"/>
  <c r="P769" i="1"/>
  <c r="P216" i="1"/>
  <c r="P321" i="1"/>
  <c r="P577" i="1"/>
  <c r="P24" i="1"/>
  <c r="P280" i="1"/>
  <c r="P344" i="1"/>
  <c r="P412" i="1"/>
  <c r="P579" i="1"/>
  <c r="P787" i="1"/>
  <c r="P474" i="1"/>
  <c r="P763" i="1"/>
  <c r="P482" i="1"/>
  <c r="P234" i="1"/>
  <c r="P771" i="1"/>
  <c r="P643" i="1"/>
  <c r="P522" i="1"/>
  <c r="P451" i="1"/>
  <c r="P362" i="1"/>
  <c r="P723" i="1"/>
  <c r="P538" i="1"/>
  <c r="P282" i="1"/>
  <c r="P578" i="1"/>
  <c r="P266" i="1"/>
  <c r="P779" i="1"/>
  <c r="P651" i="1"/>
  <c r="P530" i="1"/>
  <c r="P402" i="1"/>
  <c r="P274" i="1"/>
  <c r="P210" i="1"/>
  <c r="P770" i="1"/>
  <c r="P706" i="1"/>
  <c r="P642" i="1"/>
  <c r="P595" i="1"/>
  <c r="P539" i="1"/>
  <c r="P491" i="1"/>
  <c r="P459" i="1"/>
  <c r="P419" i="1"/>
  <c r="P379" i="1"/>
  <c r="P347" i="1"/>
  <c r="P315" i="1"/>
  <c r="P283" i="1"/>
  <c r="P251" i="1"/>
  <c r="P219" i="1"/>
  <c r="P187" i="1"/>
  <c r="P790" i="1"/>
  <c r="P758" i="1"/>
  <c r="P726" i="1"/>
  <c r="P694" i="1"/>
  <c r="P662" i="1"/>
  <c r="P630" i="1"/>
  <c r="P598" i="1"/>
  <c r="P566" i="1"/>
  <c r="P534" i="1"/>
  <c r="P502" i="1"/>
  <c r="P470" i="1"/>
  <c r="P438" i="1"/>
  <c r="P406" i="1"/>
  <c r="P374" i="1"/>
  <c r="P342" i="1"/>
  <c r="P310" i="1"/>
  <c r="P278" i="1"/>
  <c r="P778" i="1"/>
  <c r="P714" i="1"/>
  <c r="P650" i="1"/>
  <c r="P603" i="1"/>
  <c r="P691" i="1"/>
  <c r="P442" i="1"/>
  <c r="P699" i="1"/>
  <c r="P418" i="1"/>
  <c r="P202" i="1"/>
  <c r="P739" i="1"/>
  <c r="P618" i="1"/>
  <c r="P515" i="1"/>
  <c r="P426" i="1"/>
  <c r="P330" i="1"/>
  <c r="P659" i="1"/>
  <c r="P410" i="1"/>
  <c r="P731" i="1"/>
  <c r="P450" i="1"/>
  <c r="P250" i="1"/>
  <c r="P747" i="1"/>
  <c r="P626" i="1"/>
  <c r="P498" i="1"/>
  <c r="P370" i="1"/>
  <c r="P258" i="1"/>
  <c r="P194" i="1"/>
  <c r="P762" i="1"/>
  <c r="P682" i="1"/>
  <c r="P154" i="1"/>
  <c r="P563" i="1"/>
  <c r="P523" i="1"/>
  <c r="P483" i="1"/>
  <c r="P443" i="1"/>
  <c r="P411" i="1"/>
  <c r="P371" i="1"/>
  <c r="P339" i="1"/>
  <c r="P307" i="1"/>
  <c r="P275" i="1"/>
  <c r="P243" i="1"/>
  <c r="P211" i="1"/>
  <c r="P179" i="1"/>
  <c r="P782" i="1"/>
  <c r="P750" i="1"/>
  <c r="P718" i="1"/>
  <c r="P686" i="1"/>
  <c r="P654" i="1"/>
  <c r="P622" i="1"/>
  <c r="P590" i="1"/>
  <c r="P558" i="1"/>
  <c r="P526" i="1"/>
  <c r="P494" i="1"/>
  <c r="P462" i="1"/>
  <c r="P430" i="1"/>
  <c r="P398" i="1"/>
  <c r="P366" i="1"/>
  <c r="P334" i="1"/>
  <c r="P302" i="1"/>
  <c r="P754" i="1"/>
  <c r="P698" i="1"/>
  <c r="P162" i="1"/>
  <c r="P587" i="1"/>
  <c r="P795" i="1"/>
  <c r="P722" i="1"/>
  <c r="P467" i="1"/>
  <c r="P323" i="1"/>
  <c r="P259" i="1"/>
  <c r="P195" i="1"/>
  <c r="P734" i="1"/>
  <c r="P638" i="1"/>
  <c r="P542" i="1"/>
  <c r="P478" i="1"/>
  <c r="P382" i="1"/>
  <c r="P318" i="1"/>
  <c r="P786" i="1"/>
  <c r="P674" i="1"/>
  <c r="P531" i="1"/>
  <c r="P570" i="1"/>
  <c r="P346" i="1"/>
  <c r="P546" i="1"/>
  <c r="P354" i="1"/>
  <c r="P170" i="1"/>
  <c r="P707" i="1"/>
  <c r="P586" i="1"/>
  <c r="P490" i="1"/>
  <c r="P394" i="1"/>
  <c r="P298" i="1"/>
  <c r="P634" i="1"/>
  <c r="P378" i="1"/>
  <c r="P667" i="1"/>
  <c r="P386" i="1"/>
  <c r="P218" i="1"/>
  <c r="P715" i="1"/>
  <c r="P594" i="1"/>
  <c r="P466" i="1"/>
  <c r="P338" i="1"/>
  <c r="P242" i="1"/>
  <c r="P178" i="1"/>
  <c r="P746" i="1"/>
  <c r="P666" i="1"/>
  <c r="P635" i="1"/>
  <c r="P555" i="1"/>
  <c r="P507" i="1"/>
  <c r="P475" i="1"/>
  <c r="P435" i="1"/>
  <c r="P403" i="1"/>
  <c r="P363" i="1"/>
  <c r="P331" i="1"/>
  <c r="P299" i="1"/>
  <c r="P267" i="1"/>
  <c r="P235" i="1"/>
  <c r="P203" i="1"/>
  <c r="P806" i="1"/>
  <c r="P774" i="1"/>
  <c r="P742" i="1"/>
  <c r="P710" i="1"/>
  <c r="P678" i="1"/>
  <c r="P646" i="1"/>
  <c r="P614" i="1"/>
  <c r="P582" i="1"/>
  <c r="P550" i="1"/>
  <c r="P518" i="1"/>
  <c r="P486" i="1"/>
  <c r="P454" i="1"/>
  <c r="P422" i="1"/>
  <c r="P390" i="1"/>
  <c r="P358" i="1"/>
  <c r="P326" i="1"/>
  <c r="P294" i="1"/>
  <c r="P802" i="1"/>
  <c r="P738" i="1"/>
  <c r="P690" i="1"/>
  <c r="P627" i="1"/>
  <c r="P571" i="1"/>
  <c r="P506" i="1"/>
  <c r="P514" i="1"/>
  <c r="P290" i="1"/>
  <c r="P803" i="1"/>
  <c r="P675" i="1"/>
  <c r="P554" i="1"/>
  <c r="P458" i="1"/>
  <c r="P387" i="1"/>
  <c r="P755" i="1"/>
  <c r="P602" i="1"/>
  <c r="P314" i="1"/>
  <c r="P610" i="1"/>
  <c r="P322" i="1"/>
  <c r="P186" i="1"/>
  <c r="P683" i="1"/>
  <c r="P562" i="1"/>
  <c r="P434" i="1"/>
  <c r="P306" i="1"/>
  <c r="P226" i="1"/>
  <c r="P794" i="1"/>
  <c r="P658" i="1"/>
  <c r="P611" i="1"/>
  <c r="P547" i="1"/>
  <c r="P499" i="1"/>
  <c r="P427" i="1"/>
  <c r="P395" i="1"/>
  <c r="P355" i="1"/>
  <c r="P291" i="1"/>
  <c r="P227" i="1"/>
  <c r="P798" i="1"/>
  <c r="P766" i="1"/>
  <c r="P702" i="1"/>
  <c r="P670" i="1"/>
  <c r="P606" i="1"/>
  <c r="P574" i="1"/>
  <c r="P510" i="1"/>
  <c r="P446" i="1"/>
  <c r="P414" i="1"/>
  <c r="P350" i="1"/>
  <c r="P286" i="1"/>
  <c r="P730" i="1"/>
  <c r="P619" i="1"/>
  <c r="P383" i="1"/>
  <c r="P85" i="1"/>
  <c r="P30" i="1"/>
  <c r="P84" i="1"/>
  <c r="P125" i="1"/>
  <c r="P588" i="1"/>
  <c r="P245" i="1"/>
  <c r="P373" i="1"/>
  <c r="P629" i="1"/>
  <c r="P757" i="1"/>
  <c r="P348" i="1"/>
  <c r="P480" i="1"/>
  <c r="P492" i="1"/>
  <c r="P776" i="1"/>
  <c r="P567" i="1"/>
  <c r="P183" i="1"/>
  <c r="P115" i="1"/>
  <c r="P51" i="1"/>
  <c r="P106" i="1"/>
  <c r="P42" i="1"/>
  <c r="P308" i="1"/>
  <c r="P544" i="1"/>
  <c r="P119" i="1"/>
  <c r="P206" i="1"/>
  <c r="P345" i="1"/>
  <c r="P537" i="1"/>
  <c r="P665" i="1"/>
  <c r="P192" i="1"/>
  <c r="P320" i="1"/>
  <c r="P660" i="1"/>
  <c r="P623" i="1"/>
  <c r="P273" i="1"/>
  <c r="P476" i="1"/>
  <c r="P756" i="1"/>
  <c r="P704" i="1"/>
  <c r="P607" i="1"/>
  <c r="P351" i="1"/>
  <c r="P63" i="1"/>
  <c r="P140" i="1"/>
  <c r="P133" i="1"/>
  <c r="P68" i="1"/>
  <c r="P159" i="1"/>
  <c r="P20" i="1"/>
  <c r="P101" i="1"/>
  <c r="P132" i="1"/>
  <c r="P703" i="1"/>
  <c r="P309" i="1"/>
  <c r="P437" i="1"/>
  <c r="P565" i="1"/>
  <c r="P693" i="1"/>
  <c r="P156" i="1"/>
  <c r="P284" i="1"/>
  <c r="P416" i="1"/>
  <c r="P700" i="1"/>
  <c r="P632" i="1"/>
  <c r="P695" i="1"/>
  <c r="P311" i="1"/>
  <c r="P147" i="1"/>
  <c r="P83" i="1"/>
  <c r="P138" i="1"/>
  <c r="P74" i="1"/>
  <c r="P10" i="1"/>
  <c r="P765" i="1"/>
  <c r="P516" i="1"/>
  <c r="P295" i="1"/>
  <c r="P15" i="1"/>
  <c r="P281" i="1"/>
  <c r="P409" i="1"/>
  <c r="P601" i="1"/>
  <c r="P729" i="1"/>
  <c r="P256" i="1"/>
  <c r="P452" i="1"/>
  <c r="P540" i="1"/>
  <c r="P572" i="1"/>
  <c r="P751" i="1"/>
  <c r="P367" i="1"/>
  <c r="P239" i="1"/>
  <c r="P89" i="1"/>
  <c r="P112" i="1"/>
  <c r="P429" i="1"/>
  <c r="P196" i="1"/>
  <c r="P668" i="1"/>
  <c r="P423" i="1"/>
  <c r="P103" i="1"/>
  <c r="P254" i="1"/>
  <c r="P477" i="1"/>
  <c r="P23" i="1"/>
  <c r="P65" i="1"/>
  <c r="P95" i="1"/>
  <c r="P130" i="1"/>
  <c r="P98" i="1"/>
  <c r="P66" i="1"/>
  <c r="P34" i="1"/>
  <c r="P349" i="1"/>
  <c r="P637" i="1"/>
  <c r="P164" i="1"/>
  <c r="P356" i="1"/>
  <c r="P604" i="1"/>
  <c r="P620" i="1"/>
  <c r="P551" i="1"/>
  <c r="P199" i="1"/>
  <c r="P79" i="1"/>
  <c r="P38" i="1"/>
  <c r="P174" i="1"/>
  <c r="P233" i="1"/>
  <c r="P297" i="1"/>
  <c r="P361" i="1"/>
  <c r="P425" i="1"/>
  <c r="P489" i="1"/>
  <c r="P553" i="1"/>
  <c r="P617" i="1"/>
  <c r="P681" i="1"/>
  <c r="P745" i="1"/>
  <c r="P2" i="1"/>
  <c r="P208" i="1"/>
  <c r="P272" i="1"/>
  <c r="P336" i="1"/>
  <c r="P404" i="1"/>
  <c r="P468" i="1"/>
  <c r="P568" i="1"/>
  <c r="P680" i="1"/>
  <c r="P796" i="1"/>
  <c r="P608" i="1"/>
  <c r="P752" i="1"/>
  <c r="P719" i="1"/>
  <c r="P591" i="1"/>
  <c r="P463" i="1"/>
  <c r="P335" i="1"/>
  <c r="P207" i="1"/>
  <c r="P137" i="1"/>
  <c r="P73" i="1"/>
  <c r="P9" i="1"/>
  <c r="P96" i="1"/>
  <c r="P32" i="1"/>
  <c r="P461" i="1"/>
  <c r="P669" i="1"/>
  <c r="P244" i="1"/>
  <c r="P440" i="1"/>
  <c r="P748" i="1"/>
  <c r="P775" i="1"/>
  <c r="P327" i="1"/>
  <c r="P71" i="1"/>
  <c r="P78" i="1"/>
  <c r="P158" i="1"/>
  <c r="P262" i="1"/>
  <c r="P173" i="1"/>
  <c r="P253" i="1"/>
  <c r="P317" i="1"/>
  <c r="P397" i="1"/>
  <c r="P509" i="1"/>
  <c r="P701" i="1"/>
  <c r="P228" i="1"/>
  <c r="P424" i="1"/>
  <c r="P720" i="1"/>
  <c r="P804" i="1"/>
  <c r="P455" i="1"/>
  <c r="P111" i="1"/>
  <c r="P7" i="1"/>
  <c r="P86" i="1"/>
  <c r="P222" i="1"/>
  <c r="P241" i="1"/>
  <c r="P17" i="1"/>
  <c r="P81" i="1"/>
  <c r="P145" i="1"/>
  <c r="P353" i="1"/>
  <c r="P417" i="1"/>
  <c r="P481" i="1"/>
  <c r="P545" i="1"/>
  <c r="P609" i="1"/>
  <c r="P673" i="1"/>
  <c r="P737" i="1"/>
  <c r="P801" i="1"/>
  <c r="P56" i="1"/>
  <c r="P120" i="1"/>
  <c r="P184" i="1"/>
  <c r="P248" i="1"/>
  <c r="P312" i="1"/>
  <c r="P376" i="1"/>
  <c r="P444" i="1"/>
  <c r="P524" i="1"/>
  <c r="P672" i="1"/>
  <c r="P556" i="1"/>
  <c r="P735" i="1"/>
  <c r="P479" i="1"/>
  <c r="P191" i="1"/>
  <c r="P93" i="1"/>
  <c r="P12" i="1"/>
  <c r="P53" i="1"/>
  <c r="P116" i="1"/>
  <c r="P799" i="1"/>
  <c r="P287" i="1"/>
  <c r="P31" i="1"/>
  <c r="P148" i="1"/>
  <c r="P94" i="1"/>
  <c r="P149" i="1"/>
  <c r="P21" i="1"/>
  <c r="P36" i="1"/>
  <c r="P77" i="1"/>
  <c r="P52" i="1"/>
  <c r="P784" i="1"/>
  <c r="P736" i="1"/>
  <c r="P575" i="1"/>
  <c r="P644" i="1"/>
  <c r="P181" i="1"/>
  <c r="P501" i="1"/>
  <c r="P220" i="1"/>
  <c r="P592" i="1"/>
  <c r="P439" i="1"/>
  <c r="P19" i="1"/>
  <c r="P589" i="1"/>
  <c r="P647" i="1"/>
  <c r="P217" i="1"/>
  <c r="P473" i="1"/>
  <c r="P793" i="1"/>
  <c r="P384" i="1"/>
  <c r="P772" i="1"/>
  <c r="P716" i="1"/>
  <c r="P495" i="1"/>
  <c r="P153" i="1"/>
  <c r="P25" i="1"/>
  <c r="P48" i="1"/>
  <c r="P621" i="1"/>
  <c r="P388" i="1"/>
  <c r="P724" i="1"/>
  <c r="P102" i="1"/>
  <c r="P166" i="1"/>
  <c r="P221" i="1"/>
  <c r="P301" i="1"/>
  <c r="P381" i="1"/>
  <c r="P653" i="1"/>
  <c r="P180" i="1"/>
  <c r="P372" i="1"/>
  <c r="P636" i="1"/>
  <c r="P648" i="1"/>
  <c r="P519" i="1"/>
  <c r="P151" i="1"/>
  <c r="P110" i="1"/>
  <c r="P22" i="1"/>
  <c r="P209" i="1"/>
  <c r="P305" i="1"/>
  <c r="P129" i="1"/>
  <c r="P337" i="1"/>
  <c r="P401" i="1"/>
  <c r="P465" i="1"/>
  <c r="P529" i="1"/>
  <c r="P593" i="1"/>
  <c r="P657" i="1"/>
  <c r="P721" i="1"/>
  <c r="P785" i="1"/>
  <c r="P40" i="1"/>
  <c r="P104" i="1"/>
  <c r="P168" i="1"/>
  <c r="P232" i="1"/>
  <c r="P296" i="1"/>
  <c r="P360" i="1"/>
  <c r="P428" i="1"/>
  <c r="P496" i="1"/>
  <c r="P612" i="1"/>
  <c r="P392" i="1"/>
  <c r="P768" i="1"/>
  <c r="P543" i="1"/>
  <c r="P255" i="1"/>
  <c r="P4" i="1"/>
  <c r="P60" i="1"/>
  <c r="P61" i="1"/>
  <c r="P5" i="1"/>
  <c r="P28" i="1"/>
  <c r="P319" i="1"/>
  <c r="P45" i="1"/>
  <c r="P126" i="1"/>
  <c r="P157" i="1"/>
  <c r="P29" i="1"/>
  <c r="P76" i="1"/>
  <c r="P117" i="1"/>
  <c r="P92" i="1"/>
  <c r="P728" i="1"/>
  <c r="P656" i="1"/>
  <c r="P639" i="1"/>
  <c r="P246" i="1"/>
  <c r="P197" i="1"/>
  <c r="P261" i="1"/>
  <c r="P325" i="1"/>
  <c r="P389" i="1"/>
  <c r="P453" i="1"/>
  <c r="P517" i="1"/>
  <c r="P581" i="1"/>
  <c r="P645" i="1"/>
  <c r="P709" i="1"/>
  <c r="P773" i="1"/>
  <c r="P172" i="1"/>
  <c r="P236" i="1"/>
  <c r="P300" i="1"/>
  <c r="P364" i="1"/>
  <c r="P432" i="1"/>
  <c r="P500" i="1"/>
  <c r="P616" i="1"/>
  <c r="P732" i="1"/>
  <c r="P528" i="1"/>
  <c r="P664" i="1"/>
  <c r="P791" i="1"/>
  <c r="P663" i="1"/>
  <c r="P535" i="1"/>
  <c r="P407" i="1"/>
  <c r="P279" i="1"/>
  <c r="P171" i="1"/>
  <c r="P139" i="1"/>
  <c r="P107" i="1"/>
  <c r="P75" i="1"/>
  <c r="P43" i="1"/>
  <c r="P11" i="1"/>
  <c r="P214" i="1"/>
  <c r="P213" i="1"/>
  <c r="P277" i="1"/>
  <c r="P341" i="1"/>
  <c r="P405" i="1"/>
  <c r="P469" i="1"/>
  <c r="P533" i="1"/>
  <c r="P597" i="1"/>
  <c r="P661" i="1"/>
  <c r="P725" i="1"/>
  <c r="P789" i="1"/>
  <c r="P188" i="1"/>
  <c r="P252" i="1"/>
  <c r="P316" i="1"/>
  <c r="P380" i="1"/>
  <c r="P448" i="1"/>
  <c r="P532" i="1"/>
  <c r="P652" i="1"/>
  <c r="P760" i="1"/>
  <c r="P564" i="1"/>
  <c r="P712" i="1"/>
  <c r="P759" i="1"/>
  <c r="P631" i="1"/>
  <c r="P503" i="1"/>
  <c r="P375" i="1"/>
  <c r="P247" i="1"/>
  <c r="P163" i="1"/>
  <c r="P131" i="1"/>
  <c r="P99" i="1"/>
  <c r="P67" i="1"/>
  <c r="P35" i="1"/>
  <c r="P3" i="1"/>
  <c r="P122" i="1"/>
  <c r="P90" i="1"/>
  <c r="P58" i="1"/>
  <c r="P26" i="1"/>
  <c r="P525" i="1"/>
  <c r="P685" i="1"/>
  <c r="P212" i="1"/>
  <c r="P408" i="1"/>
  <c r="P684" i="1"/>
  <c r="P764" i="1"/>
  <c r="P487" i="1"/>
  <c r="P167" i="1"/>
  <c r="P55" i="1"/>
  <c r="P270" i="1"/>
  <c r="P185" i="1"/>
  <c r="P249" i="1"/>
  <c r="P313" i="1"/>
  <c r="P377" i="1"/>
  <c r="P441" i="1"/>
  <c r="P505" i="1"/>
  <c r="P569" i="1"/>
  <c r="P633" i="1"/>
  <c r="P697" i="1"/>
  <c r="P761" i="1"/>
  <c r="P160" i="1"/>
  <c r="P224" i="1"/>
  <c r="P288" i="1"/>
  <c r="P352" i="1"/>
  <c r="P420" i="1"/>
  <c r="P484" i="1"/>
  <c r="P600" i="1"/>
  <c r="P708" i="1"/>
  <c r="P508" i="1"/>
  <c r="P640" i="1"/>
  <c r="P788" i="1"/>
  <c r="P687" i="1"/>
  <c r="P559" i="1"/>
  <c r="P431" i="1"/>
  <c r="P303" i="1"/>
  <c r="P175" i="1"/>
  <c r="P121" i="1"/>
  <c r="P57" i="1"/>
  <c r="P144" i="1"/>
  <c r="P80" i="1"/>
  <c r="P16" i="1"/>
  <c r="P493" i="1"/>
  <c r="P717" i="1"/>
  <c r="P292" i="1"/>
  <c r="P488" i="1"/>
  <c r="P580" i="1"/>
  <c r="P679" i="1"/>
  <c r="P231" i="1"/>
  <c r="P150" i="1"/>
  <c r="P54" i="1"/>
  <c r="P193" i="1"/>
  <c r="P230" i="1"/>
  <c r="P189" i="1"/>
  <c r="P269" i="1"/>
  <c r="P333" i="1"/>
  <c r="P413" i="1"/>
  <c r="P557" i="1"/>
  <c r="P749" i="1"/>
  <c r="P276" i="1"/>
  <c r="P456" i="1"/>
  <c r="P800" i="1"/>
  <c r="P711" i="1"/>
  <c r="P359" i="1"/>
  <c r="P87" i="1"/>
  <c r="P142" i="1"/>
  <c r="P70" i="1"/>
  <c r="P190" i="1"/>
  <c r="P257" i="1"/>
  <c r="P33" i="1"/>
  <c r="P97" i="1"/>
  <c r="P161" i="1"/>
  <c r="P369" i="1"/>
  <c r="P433" i="1"/>
  <c r="P497" i="1"/>
  <c r="P561" i="1"/>
  <c r="P625" i="1"/>
  <c r="P689" i="1"/>
  <c r="P753" i="1"/>
  <c r="P8" i="1"/>
  <c r="P72" i="1"/>
  <c r="P136" i="1"/>
  <c r="P200" i="1"/>
  <c r="P264" i="1"/>
  <c r="P328" i="1"/>
  <c r="P396" i="1"/>
  <c r="P460" i="1"/>
  <c r="P552" i="1"/>
  <c r="P692" i="1"/>
  <c r="P628" i="1"/>
  <c r="P671" i="1"/>
  <c r="P415" i="1"/>
  <c r="P127" i="1"/>
  <c r="P37" i="1"/>
  <c r="P141" i="1"/>
  <c r="P13" i="1"/>
  <c r="P108" i="1"/>
  <c r="P511" i="1"/>
  <c r="P223" i="1"/>
  <c r="P165" i="1"/>
  <c r="P100" i="1"/>
  <c r="P62" i="1"/>
  <c r="P109" i="1"/>
  <c r="P124" i="1"/>
  <c r="P6" i="1"/>
  <c r="P69" i="1"/>
  <c r="P44" i="1"/>
  <c r="P520" i="1"/>
  <c r="P767" i="1"/>
  <c r="P447" i="1"/>
</calcChain>
</file>

<file path=xl/sharedStrings.xml><?xml version="1.0" encoding="utf-8"?>
<sst xmlns="http://schemas.openxmlformats.org/spreadsheetml/2006/main" count="27" uniqueCount="24">
  <si>
    <t>Ua</t>
  </si>
  <si>
    <t>Ub</t>
  </si>
  <si>
    <t>t</t>
  </si>
  <si>
    <t>Nullpunktdrift</t>
  </si>
  <si>
    <t>Durchschnittliche zeit:</t>
  </si>
  <si>
    <t>Drift</t>
  </si>
  <si>
    <t>Driftkorrigierte werte:</t>
  </si>
  <si>
    <t>N1</t>
  </si>
  <si>
    <t>N2</t>
  </si>
  <si>
    <t>R</t>
  </si>
  <si>
    <t>di</t>
  </si>
  <si>
    <t>do</t>
  </si>
  <si>
    <t>h</t>
  </si>
  <si>
    <t>f</t>
  </si>
  <si>
    <t>C1</t>
  </si>
  <si>
    <t>C2</t>
  </si>
  <si>
    <t>H</t>
  </si>
  <si>
    <t>B</t>
  </si>
  <si>
    <t>H[A/m]</t>
  </si>
  <si>
    <t>B[T]</t>
  </si>
  <si>
    <t>mittleres H:</t>
  </si>
  <si>
    <t>mittleres B:</t>
  </si>
  <si>
    <t>in Mitte verschoben:</t>
  </si>
  <si>
    <t>Durchschnitt bei -0.019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</si>
</sst>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10-4A86-4566-88D5-66B72A3129D8}">
  <dimension ref="A1:P2439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1" max="1" width="7" bestFit="1" customWidth="1"/>
    <col min="2" max="3" width="9" bestFit="1" customWidth="1"/>
    <col min="5" max="5" width="11" bestFit="1" customWidth="1"/>
    <col min="14" max="14" width="12.7109375" bestFit="1" customWidth="1"/>
  </cols>
  <sheetData>
    <row r="1" spans="1:16" x14ac:dyDescent="0.25">
      <c r="A1" t="s">
        <v>2</v>
      </c>
      <c r="B1" t="s">
        <v>0</v>
      </c>
      <c r="C1" t="s">
        <v>1</v>
      </c>
      <c r="E1" t="s">
        <v>3</v>
      </c>
      <c r="G1" t="s">
        <v>6</v>
      </c>
      <c r="H1" t="s">
        <v>2</v>
      </c>
      <c r="I1" t="s">
        <v>0</v>
      </c>
      <c r="J1" t="s">
        <v>1</v>
      </c>
      <c r="K1" t="s">
        <v>18</v>
      </c>
      <c r="L1" t="s">
        <v>19</v>
      </c>
      <c r="N1" t="s">
        <v>22</v>
      </c>
      <c r="O1" t="s">
        <v>16</v>
      </c>
      <c r="P1" t="s">
        <v>17</v>
      </c>
    </row>
    <row r="2" spans="1:16" x14ac:dyDescent="0.25">
      <c r="A2">
        <v>0</v>
      </c>
      <c r="B2">
        <v>-1.9E-2</v>
      </c>
      <c r="C2">
        <v>0.01</v>
      </c>
      <c r="H2">
        <f>A2</f>
        <v>0</v>
      </c>
      <c r="I2">
        <f>B2</f>
        <v>-1.9E-2</v>
      </c>
      <c r="J2">
        <f>C2-E$12*A2</f>
        <v>0.01</v>
      </c>
      <c r="K2">
        <f>F$24*I2</f>
        <v>-127.25763991389465</v>
      </c>
      <c r="L2">
        <f>F$25*J2</f>
        <v>1.3333333333333331E-4</v>
      </c>
      <c r="O2">
        <f>K2-N$12</f>
        <v>-140.6531809574625</v>
      </c>
      <c r="P2">
        <f>L2-N$15</f>
        <v>-3.1381473442383277E-4</v>
      </c>
    </row>
    <row r="3" spans="1:16" x14ac:dyDescent="0.25">
      <c r="A3">
        <v>0.05</v>
      </c>
      <c r="B3">
        <v>-1.9E-2</v>
      </c>
      <c r="C3">
        <v>8.9999999999999993E-3</v>
      </c>
      <c r="H3">
        <f t="shared" ref="H3:H66" si="0">A3</f>
        <v>0.05</v>
      </c>
      <c r="I3">
        <f t="shared" ref="I3:I66" si="1">B3</f>
        <v>-1.9E-2</v>
      </c>
      <c r="J3">
        <f t="shared" ref="J3:J66" si="2">C3-E$12*A3</f>
        <v>8.9532211506187197E-3</v>
      </c>
      <c r="K3">
        <f t="shared" ref="K3:K66" si="3">F$24*I3</f>
        <v>-127.25763991389465</v>
      </c>
      <c r="L3">
        <f t="shared" ref="L3:L66" si="4">F$25*J3</f>
        <v>1.1937628200824957E-4</v>
      </c>
      <c r="O3">
        <f t="shared" ref="O3:O66" si="5">K3-N$12</f>
        <v>-140.6531809574625</v>
      </c>
      <c r="P3">
        <f t="shared" ref="P3:P66" si="6">L3-N$15</f>
        <v>-3.2777178574891654E-4</v>
      </c>
    </row>
    <row r="4" spans="1:16" x14ac:dyDescent="0.25">
      <c r="A4">
        <v>0.1</v>
      </c>
      <c r="B4">
        <v>-1.9E-2</v>
      </c>
      <c r="C4">
        <v>0.01</v>
      </c>
      <c r="E4" t="s">
        <v>23</v>
      </c>
      <c r="H4">
        <f t="shared" si="0"/>
        <v>0.1</v>
      </c>
      <c r="I4">
        <f t="shared" si="1"/>
        <v>-1.9E-2</v>
      </c>
      <c r="J4">
        <f t="shared" si="2"/>
        <v>9.9064423012374409E-3</v>
      </c>
      <c r="K4">
        <f t="shared" si="3"/>
        <v>-127.25763991389465</v>
      </c>
      <c r="L4">
        <f t="shared" si="4"/>
        <v>1.3208589734983251E-4</v>
      </c>
      <c r="O4">
        <f t="shared" si="5"/>
        <v>-140.6531809574625</v>
      </c>
      <c r="P4">
        <f t="shared" si="6"/>
        <v>-3.150621704073336E-4</v>
      </c>
    </row>
    <row r="5" spans="1:16" x14ac:dyDescent="0.25">
      <c r="A5">
        <v>0.15</v>
      </c>
      <c r="B5">
        <v>-1.9E-2</v>
      </c>
      <c r="C5">
        <v>8.9999999999999993E-3</v>
      </c>
      <c r="E5">
        <f>SUM(C2:C41)/COUNT(C2:C41)</f>
        <v>1.0750000000000006E-2</v>
      </c>
      <c r="H5">
        <f t="shared" si="0"/>
        <v>0.15</v>
      </c>
      <c r="I5">
        <f t="shared" si="1"/>
        <v>-1.9E-2</v>
      </c>
      <c r="J5">
        <f t="shared" si="2"/>
        <v>8.8596634518561604E-3</v>
      </c>
      <c r="K5">
        <f t="shared" si="3"/>
        <v>-127.25763991389465</v>
      </c>
      <c r="L5">
        <f t="shared" si="4"/>
        <v>1.1812884602474878E-4</v>
      </c>
      <c r="O5">
        <f t="shared" si="5"/>
        <v>-140.6531809574625</v>
      </c>
      <c r="P5">
        <f t="shared" si="6"/>
        <v>-3.2901922173241731E-4</v>
      </c>
    </row>
    <row r="6" spans="1:16" x14ac:dyDescent="0.25">
      <c r="A6">
        <v>0.2</v>
      </c>
      <c r="B6">
        <v>-1.9E-2</v>
      </c>
      <c r="C6">
        <v>0.01</v>
      </c>
      <c r="E6" t="s">
        <v>4</v>
      </c>
      <c r="H6">
        <f t="shared" si="0"/>
        <v>0.2</v>
      </c>
      <c r="I6">
        <f t="shared" si="1"/>
        <v>-1.9E-2</v>
      </c>
      <c r="J6">
        <f t="shared" si="2"/>
        <v>9.8128846024748816E-3</v>
      </c>
      <c r="K6">
        <f t="shared" si="3"/>
        <v>-127.25763991389465</v>
      </c>
      <c r="L6">
        <f t="shared" si="4"/>
        <v>1.3083846136633173E-4</v>
      </c>
      <c r="O6">
        <f t="shared" si="5"/>
        <v>-140.6531809574625</v>
      </c>
      <c r="P6">
        <f t="shared" si="6"/>
        <v>-3.1630960639083438E-4</v>
      </c>
    </row>
    <row r="7" spans="1:16" x14ac:dyDescent="0.25">
      <c r="A7">
        <v>0.25</v>
      </c>
      <c r="B7">
        <v>-1.9E-2</v>
      </c>
      <c r="C7">
        <v>8.9999999999999993E-3</v>
      </c>
      <c r="E7">
        <f>SUM(A2:A41)/COUNT(A2:A41)</f>
        <v>0.97499999999999998</v>
      </c>
      <c r="H7">
        <f t="shared" si="0"/>
        <v>0.25</v>
      </c>
      <c r="I7">
        <f t="shared" si="1"/>
        <v>-1.9E-2</v>
      </c>
      <c r="J7">
        <f t="shared" si="2"/>
        <v>8.7661057530936011E-3</v>
      </c>
      <c r="K7">
        <f t="shared" si="3"/>
        <v>-127.25763991389465</v>
      </c>
      <c r="L7">
        <f t="shared" si="4"/>
        <v>1.1688141004124799E-4</v>
      </c>
      <c r="O7">
        <f t="shared" si="5"/>
        <v>-140.6531809574625</v>
      </c>
      <c r="P7">
        <f t="shared" si="6"/>
        <v>-3.3026665771591815E-4</v>
      </c>
    </row>
    <row r="8" spans="1:16" x14ac:dyDescent="0.25">
      <c r="A8">
        <v>0.3</v>
      </c>
      <c r="B8">
        <v>-1.9E-2</v>
      </c>
      <c r="C8">
        <v>0.01</v>
      </c>
      <c r="H8">
        <f t="shared" si="0"/>
        <v>0.3</v>
      </c>
      <c r="I8">
        <f t="shared" si="1"/>
        <v>-1.9E-2</v>
      </c>
      <c r="J8">
        <f t="shared" si="2"/>
        <v>9.7193269037123241E-3</v>
      </c>
      <c r="K8">
        <f t="shared" si="3"/>
        <v>-127.25763991389465</v>
      </c>
      <c r="L8">
        <f t="shared" si="4"/>
        <v>1.2959102538283096E-4</v>
      </c>
      <c r="O8">
        <f t="shared" si="5"/>
        <v>-140.6531809574625</v>
      </c>
      <c r="P8">
        <f t="shared" si="6"/>
        <v>-3.1755704237433516E-4</v>
      </c>
    </row>
    <row r="9" spans="1:16" x14ac:dyDescent="0.25">
      <c r="A9">
        <v>0.35</v>
      </c>
      <c r="B9">
        <v>-1.9E-2</v>
      </c>
      <c r="C9">
        <v>0.01</v>
      </c>
      <c r="H9">
        <f t="shared" si="0"/>
        <v>0.35</v>
      </c>
      <c r="I9">
        <f t="shared" si="1"/>
        <v>-1.9E-2</v>
      </c>
      <c r="J9">
        <f t="shared" si="2"/>
        <v>9.6725480543310444E-3</v>
      </c>
      <c r="K9">
        <f t="shared" si="3"/>
        <v>-127.25763991389465</v>
      </c>
      <c r="L9">
        <f t="shared" si="4"/>
        <v>1.2896730739108057E-4</v>
      </c>
      <c r="O9">
        <f t="shared" si="5"/>
        <v>-140.6531809574625</v>
      </c>
      <c r="P9">
        <f t="shared" si="6"/>
        <v>-3.1818076036608557E-4</v>
      </c>
    </row>
    <row r="10" spans="1:16" x14ac:dyDescent="0.25">
      <c r="A10">
        <v>0.4</v>
      </c>
      <c r="B10">
        <v>-1.9E-2</v>
      </c>
      <c r="C10">
        <v>1.0999999999999999E-2</v>
      </c>
      <c r="H10">
        <f t="shared" si="0"/>
        <v>0.4</v>
      </c>
      <c r="I10">
        <f t="shared" si="1"/>
        <v>-1.9E-2</v>
      </c>
      <c r="J10">
        <f t="shared" si="2"/>
        <v>1.0625769204949764E-2</v>
      </c>
      <c r="K10">
        <f t="shared" si="3"/>
        <v>-127.25763991389465</v>
      </c>
      <c r="L10">
        <f t="shared" si="4"/>
        <v>1.416769227326635E-4</v>
      </c>
      <c r="O10">
        <f t="shared" si="5"/>
        <v>-140.6531809574625</v>
      </c>
      <c r="P10">
        <f t="shared" si="6"/>
        <v>-3.0547114502450258E-4</v>
      </c>
    </row>
    <row r="11" spans="1:16" x14ac:dyDescent="0.25">
      <c r="A11">
        <v>0.45</v>
      </c>
      <c r="B11">
        <v>-1.9E-2</v>
      </c>
      <c r="C11">
        <v>0.01</v>
      </c>
      <c r="E11" t="s">
        <v>5</v>
      </c>
      <c r="H11">
        <f t="shared" si="0"/>
        <v>0.45</v>
      </c>
      <c r="I11">
        <f t="shared" si="1"/>
        <v>-1.9E-2</v>
      </c>
      <c r="J11">
        <f t="shared" si="2"/>
        <v>9.5789903555684851E-3</v>
      </c>
      <c r="K11">
        <f t="shared" si="3"/>
        <v>-127.25763991389465</v>
      </c>
      <c r="L11">
        <f t="shared" si="4"/>
        <v>1.2771987140757979E-4</v>
      </c>
      <c r="N11" t="s">
        <v>20</v>
      </c>
      <c r="O11">
        <f t="shared" si="5"/>
        <v>-140.6531809574625</v>
      </c>
      <c r="P11">
        <f t="shared" si="6"/>
        <v>-3.1942819634958629E-4</v>
      </c>
    </row>
    <row r="12" spans="1:16" x14ac:dyDescent="0.25">
      <c r="A12">
        <v>0.5</v>
      </c>
      <c r="B12">
        <v>-1.9E-2</v>
      </c>
      <c r="C12">
        <v>1.0999999999999999E-2</v>
      </c>
      <c r="E12">
        <f>(E800-E5)/(E801-E7)</f>
        <v>9.3557698762559006E-4</v>
      </c>
      <c r="H12">
        <f t="shared" si="0"/>
        <v>0.5</v>
      </c>
      <c r="I12">
        <f t="shared" si="1"/>
        <v>-1.9E-2</v>
      </c>
      <c r="J12">
        <f t="shared" si="2"/>
        <v>1.0532211506187205E-2</v>
      </c>
      <c r="K12">
        <f t="shared" si="3"/>
        <v>-127.25763991389465</v>
      </c>
      <c r="L12">
        <f t="shared" si="4"/>
        <v>1.404294867491627E-4</v>
      </c>
      <c r="N12">
        <f>(MAX(K2:K806)+MIN(K2:K806))/2</f>
        <v>13.39554104356786</v>
      </c>
      <c r="O12">
        <f t="shared" si="5"/>
        <v>-140.6531809574625</v>
      </c>
      <c r="P12">
        <f t="shared" si="6"/>
        <v>-3.0671858100800341E-4</v>
      </c>
    </row>
    <row r="13" spans="1:16" x14ac:dyDescent="0.25">
      <c r="A13">
        <v>0.55000000000000004</v>
      </c>
      <c r="B13">
        <v>-1.9E-2</v>
      </c>
      <c r="C13">
        <v>0.01</v>
      </c>
      <c r="H13">
        <f t="shared" si="0"/>
        <v>0.55000000000000004</v>
      </c>
      <c r="I13">
        <f t="shared" si="1"/>
        <v>-1.9E-2</v>
      </c>
      <c r="J13">
        <f t="shared" si="2"/>
        <v>9.4854326568059259E-3</v>
      </c>
      <c r="K13">
        <f t="shared" si="3"/>
        <v>-127.25763991389465</v>
      </c>
      <c r="L13">
        <f t="shared" si="4"/>
        <v>1.2647243542407899E-4</v>
      </c>
      <c r="O13">
        <f t="shared" si="5"/>
        <v>-140.6531809574625</v>
      </c>
      <c r="P13">
        <f t="shared" si="6"/>
        <v>-3.2067563233308713E-4</v>
      </c>
    </row>
    <row r="14" spans="1:16" x14ac:dyDescent="0.25">
      <c r="A14">
        <v>0.6</v>
      </c>
      <c r="B14">
        <v>-1.9E-2</v>
      </c>
      <c r="C14">
        <v>1.0999999999999999E-2</v>
      </c>
      <c r="H14">
        <f t="shared" si="0"/>
        <v>0.6</v>
      </c>
      <c r="I14">
        <f t="shared" si="1"/>
        <v>-1.9E-2</v>
      </c>
      <c r="J14">
        <f t="shared" si="2"/>
        <v>1.0438653807424645E-2</v>
      </c>
      <c r="K14">
        <f t="shared" si="3"/>
        <v>-127.25763991389465</v>
      </c>
      <c r="L14">
        <f t="shared" si="4"/>
        <v>1.3918205076566192E-4</v>
      </c>
      <c r="N14" t="s">
        <v>21</v>
      </c>
      <c r="O14">
        <f t="shared" si="5"/>
        <v>-140.6531809574625</v>
      </c>
      <c r="P14">
        <f t="shared" si="6"/>
        <v>-3.0796601699150419E-4</v>
      </c>
    </row>
    <row r="15" spans="1:16" x14ac:dyDescent="0.25">
      <c r="A15">
        <v>0.65</v>
      </c>
      <c r="B15">
        <v>-1.9E-2</v>
      </c>
      <c r="C15">
        <v>0.01</v>
      </c>
      <c r="H15">
        <f t="shared" si="0"/>
        <v>0.65</v>
      </c>
      <c r="I15">
        <f t="shared" si="1"/>
        <v>-1.9E-2</v>
      </c>
      <c r="J15">
        <f t="shared" si="2"/>
        <v>9.3918749580433666E-3</v>
      </c>
      <c r="K15">
        <f t="shared" si="3"/>
        <v>-127.25763991389465</v>
      </c>
      <c r="L15">
        <f t="shared" si="4"/>
        <v>1.2522499944057821E-4</v>
      </c>
      <c r="N15">
        <f>(MAX(L2:L806)+MIN(L2:L806))/2</f>
        <v>4.4714806775716611E-4</v>
      </c>
      <c r="O15">
        <f t="shared" si="5"/>
        <v>-140.6531809574625</v>
      </c>
      <c r="P15">
        <f t="shared" si="6"/>
        <v>-3.219230683165879E-4</v>
      </c>
    </row>
    <row r="16" spans="1:16" x14ac:dyDescent="0.25">
      <c r="A16">
        <v>0.7</v>
      </c>
      <c r="B16">
        <v>-1.9E-2</v>
      </c>
      <c r="C16">
        <v>1.0999999999999999E-2</v>
      </c>
      <c r="E16" t="s">
        <v>7</v>
      </c>
      <c r="F16">
        <v>1010</v>
      </c>
      <c r="H16">
        <f t="shared" si="0"/>
        <v>0.7</v>
      </c>
      <c r="I16">
        <f t="shared" si="1"/>
        <v>-1.9E-2</v>
      </c>
      <c r="J16">
        <f t="shared" si="2"/>
        <v>1.0345096108662086E-2</v>
      </c>
      <c r="K16">
        <f t="shared" si="3"/>
        <v>-127.25763991389465</v>
      </c>
      <c r="L16">
        <f t="shared" si="4"/>
        <v>1.3793461478216112E-4</v>
      </c>
      <c r="O16">
        <f t="shared" si="5"/>
        <v>-140.6531809574625</v>
      </c>
      <c r="P16">
        <f t="shared" si="6"/>
        <v>-3.0921345297500497E-4</v>
      </c>
    </row>
    <row r="17" spans="1:16" x14ac:dyDescent="0.25">
      <c r="A17">
        <v>0.75</v>
      </c>
      <c r="B17">
        <v>-1.9E-2</v>
      </c>
      <c r="C17">
        <v>0.01</v>
      </c>
      <c r="E17" t="s">
        <v>8</v>
      </c>
      <c r="F17">
        <v>250</v>
      </c>
      <c r="H17">
        <f t="shared" si="0"/>
        <v>0.75</v>
      </c>
      <c r="I17">
        <f t="shared" si="1"/>
        <v>-1.9E-2</v>
      </c>
      <c r="J17">
        <f t="shared" si="2"/>
        <v>9.2983172592808073E-3</v>
      </c>
      <c r="K17">
        <f t="shared" si="3"/>
        <v>-127.25763991389465</v>
      </c>
      <c r="L17">
        <f t="shared" si="4"/>
        <v>1.2397756345707741E-4</v>
      </c>
      <c r="O17">
        <f t="shared" si="5"/>
        <v>-140.6531809574625</v>
      </c>
      <c r="P17">
        <f t="shared" si="6"/>
        <v>-3.2317050430008868E-4</v>
      </c>
    </row>
    <row r="18" spans="1:16" x14ac:dyDescent="0.25">
      <c r="A18">
        <v>0.8</v>
      </c>
      <c r="B18">
        <v>-1.9E-2</v>
      </c>
      <c r="C18">
        <v>1.0999999999999999E-2</v>
      </c>
      <c r="E18" t="s">
        <v>9</v>
      </c>
      <c r="F18">
        <v>0.2</v>
      </c>
      <c r="H18">
        <f t="shared" si="0"/>
        <v>0.8</v>
      </c>
      <c r="I18">
        <f t="shared" si="1"/>
        <v>-1.9E-2</v>
      </c>
      <c r="J18">
        <f t="shared" si="2"/>
        <v>1.0251538409899527E-2</v>
      </c>
      <c r="K18">
        <f t="shared" si="3"/>
        <v>-127.25763991389465</v>
      </c>
      <c r="L18">
        <f t="shared" si="4"/>
        <v>1.3668717879866034E-4</v>
      </c>
      <c r="O18">
        <f t="shared" si="5"/>
        <v>-140.6531809574625</v>
      </c>
      <c r="P18">
        <f t="shared" si="6"/>
        <v>-3.104608889585058E-4</v>
      </c>
    </row>
    <row r="19" spans="1:16" x14ac:dyDescent="0.25">
      <c r="A19">
        <v>0.85</v>
      </c>
      <c r="B19">
        <v>-1.9E-2</v>
      </c>
      <c r="C19">
        <v>0.01</v>
      </c>
      <c r="E19" t="s">
        <v>10</v>
      </c>
      <c r="F19">
        <v>0.22</v>
      </c>
      <c r="H19">
        <f t="shared" si="0"/>
        <v>0.85</v>
      </c>
      <c r="I19">
        <f t="shared" si="1"/>
        <v>-1.9E-2</v>
      </c>
      <c r="J19">
        <f t="shared" si="2"/>
        <v>9.204759560518248E-3</v>
      </c>
      <c r="K19">
        <f t="shared" si="3"/>
        <v>-127.25763991389465</v>
      </c>
      <c r="L19">
        <f t="shared" si="4"/>
        <v>1.2273012747357663E-4</v>
      </c>
      <c r="O19">
        <f t="shared" si="5"/>
        <v>-140.6531809574625</v>
      </c>
      <c r="P19">
        <f t="shared" si="6"/>
        <v>-3.2441794028358951E-4</v>
      </c>
    </row>
    <row r="20" spans="1:16" x14ac:dyDescent="0.25">
      <c r="A20">
        <v>0.9</v>
      </c>
      <c r="B20">
        <v>-1.9E-2</v>
      </c>
      <c r="C20">
        <v>1.0999999999999999E-2</v>
      </c>
      <c r="E20" t="s">
        <v>11</v>
      </c>
      <c r="F20">
        <v>0.26</v>
      </c>
      <c r="H20">
        <f t="shared" si="0"/>
        <v>0.9</v>
      </c>
      <c r="I20">
        <f t="shared" si="1"/>
        <v>-1.9E-2</v>
      </c>
      <c r="J20">
        <f t="shared" si="2"/>
        <v>1.0157980711136968E-2</v>
      </c>
      <c r="K20">
        <f t="shared" si="3"/>
        <v>-127.25763991389465</v>
      </c>
      <c r="L20">
        <f t="shared" si="4"/>
        <v>1.3543974281515954E-4</v>
      </c>
      <c r="O20">
        <f t="shared" si="5"/>
        <v>-140.6531809574625</v>
      </c>
      <c r="P20">
        <f t="shared" si="6"/>
        <v>-3.1170832494200657E-4</v>
      </c>
    </row>
    <row r="21" spans="1:16" x14ac:dyDescent="0.25">
      <c r="A21">
        <v>0.95</v>
      </c>
      <c r="B21">
        <v>-1.9E-2</v>
      </c>
      <c r="C21">
        <v>0.01</v>
      </c>
      <c r="E21" t="s">
        <v>12</v>
      </c>
      <c r="F21">
        <v>0.03</v>
      </c>
      <c r="H21">
        <f t="shared" si="0"/>
        <v>0.95</v>
      </c>
      <c r="I21">
        <f t="shared" si="1"/>
        <v>-1.9E-2</v>
      </c>
      <c r="J21">
        <f t="shared" si="2"/>
        <v>9.1112018617556904E-3</v>
      </c>
      <c r="K21">
        <f t="shared" si="3"/>
        <v>-127.25763991389465</v>
      </c>
      <c r="L21">
        <f t="shared" si="4"/>
        <v>1.2148269149007585E-4</v>
      </c>
      <c r="O21">
        <f t="shared" si="5"/>
        <v>-140.6531809574625</v>
      </c>
      <c r="P21">
        <f t="shared" si="6"/>
        <v>-3.2566537626709023E-4</v>
      </c>
    </row>
    <row r="22" spans="1:16" x14ac:dyDescent="0.25">
      <c r="A22">
        <v>1</v>
      </c>
      <c r="B22">
        <v>-1.9E-2</v>
      </c>
      <c r="C22">
        <v>1.0999999999999999E-2</v>
      </c>
      <c r="E22" t="s">
        <v>13</v>
      </c>
      <c r="F22">
        <v>1</v>
      </c>
      <c r="H22">
        <f t="shared" si="0"/>
        <v>1</v>
      </c>
      <c r="I22">
        <f t="shared" si="1"/>
        <v>-1.9E-2</v>
      </c>
      <c r="J22">
        <f t="shared" si="2"/>
        <v>1.006442301237441E-2</v>
      </c>
      <c r="K22">
        <f t="shared" si="3"/>
        <v>-127.25763991389465</v>
      </c>
      <c r="L22">
        <f t="shared" si="4"/>
        <v>1.3419230683165876E-4</v>
      </c>
      <c r="O22">
        <f t="shared" si="5"/>
        <v>-140.6531809574625</v>
      </c>
      <c r="P22">
        <f t="shared" si="6"/>
        <v>-3.1295576092550735E-4</v>
      </c>
    </row>
    <row r="23" spans="1:16" x14ac:dyDescent="0.25">
      <c r="A23">
        <v>1.05</v>
      </c>
      <c r="B23">
        <v>-1.9E-2</v>
      </c>
      <c r="C23">
        <v>0.01</v>
      </c>
      <c r="H23">
        <f t="shared" si="0"/>
        <v>1.05</v>
      </c>
      <c r="I23">
        <f t="shared" si="1"/>
        <v>-1.9E-2</v>
      </c>
      <c r="J23">
        <f t="shared" si="2"/>
        <v>9.0176441629931312E-3</v>
      </c>
      <c r="K23">
        <f t="shared" si="3"/>
        <v>-127.25763991389465</v>
      </c>
      <c r="L23">
        <f t="shared" si="4"/>
        <v>1.2023525550657506E-4</v>
      </c>
      <c r="O23">
        <f t="shared" si="5"/>
        <v>-140.6531809574625</v>
      </c>
      <c r="P23">
        <f t="shared" si="6"/>
        <v>-3.2691281225059106E-4</v>
      </c>
    </row>
    <row r="24" spans="1:16" x14ac:dyDescent="0.25">
      <c r="A24">
        <v>1.1000000000000001</v>
      </c>
      <c r="B24">
        <v>-1.9E-2</v>
      </c>
      <c r="C24">
        <v>1.0999999999999999E-2</v>
      </c>
      <c r="E24" t="s">
        <v>14</v>
      </c>
      <c r="F24">
        <f>F16/(0.5*PI()*(F19+F20)*F18)</f>
        <v>6697.7705217839293</v>
      </c>
      <c r="H24">
        <f t="shared" si="0"/>
        <v>1.1000000000000001</v>
      </c>
      <c r="I24">
        <f t="shared" si="1"/>
        <v>-1.9E-2</v>
      </c>
      <c r="J24">
        <f t="shared" si="2"/>
        <v>9.9708653136118507E-3</v>
      </c>
      <c r="K24">
        <f t="shared" si="3"/>
        <v>-127.25763991389465</v>
      </c>
      <c r="L24">
        <f t="shared" si="4"/>
        <v>1.3294487084815798E-4</v>
      </c>
      <c r="O24">
        <f t="shared" si="5"/>
        <v>-140.6531809574625</v>
      </c>
      <c r="P24">
        <f t="shared" si="6"/>
        <v>-3.1420319690900813E-4</v>
      </c>
    </row>
    <row r="25" spans="1:16" x14ac:dyDescent="0.25">
      <c r="A25">
        <v>1.1499999999999999</v>
      </c>
      <c r="B25">
        <v>-1.9E-2</v>
      </c>
      <c r="C25">
        <v>0.01</v>
      </c>
      <c r="E25" t="s">
        <v>15</v>
      </c>
      <c r="F25">
        <f>2/(1000*0.5*F17*(F20-F19)*F21*F22)</f>
        <v>1.3333333333333331E-2</v>
      </c>
      <c r="H25">
        <f t="shared" si="0"/>
        <v>1.1499999999999999</v>
      </c>
      <c r="I25">
        <f t="shared" si="1"/>
        <v>-1.9E-2</v>
      </c>
      <c r="J25">
        <f t="shared" si="2"/>
        <v>8.9240864642305719E-3</v>
      </c>
      <c r="K25">
        <f t="shared" si="3"/>
        <v>-127.25763991389465</v>
      </c>
      <c r="L25">
        <f t="shared" si="4"/>
        <v>1.1898781952307427E-4</v>
      </c>
      <c r="O25">
        <f t="shared" si="5"/>
        <v>-140.6531809574625</v>
      </c>
      <c r="P25">
        <f t="shared" si="6"/>
        <v>-3.2816024823409184E-4</v>
      </c>
    </row>
    <row r="26" spans="1:16" x14ac:dyDescent="0.25">
      <c r="A26">
        <v>1.2</v>
      </c>
      <c r="B26">
        <v>-1.9E-2</v>
      </c>
      <c r="C26">
        <v>1.2E-2</v>
      </c>
      <c r="H26">
        <f t="shared" si="0"/>
        <v>1.2</v>
      </c>
      <c r="I26">
        <f t="shared" si="1"/>
        <v>-1.9E-2</v>
      </c>
      <c r="J26">
        <f t="shared" si="2"/>
        <v>1.0877307614849292E-2</v>
      </c>
      <c r="K26">
        <f t="shared" si="3"/>
        <v>-127.25763991389465</v>
      </c>
      <c r="L26">
        <f t="shared" si="4"/>
        <v>1.4503076819799053E-4</v>
      </c>
      <c r="O26">
        <f t="shared" si="5"/>
        <v>-140.6531809574625</v>
      </c>
      <c r="P26">
        <f t="shared" si="6"/>
        <v>-3.0211729955917561E-4</v>
      </c>
    </row>
    <row r="27" spans="1:16" x14ac:dyDescent="0.25">
      <c r="A27">
        <v>1.25</v>
      </c>
      <c r="B27">
        <v>-1.9E-2</v>
      </c>
      <c r="C27">
        <v>0.01</v>
      </c>
      <c r="H27">
        <f t="shared" si="0"/>
        <v>1.25</v>
      </c>
      <c r="I27">
        <f t="shared" si="1"/>
        <v>-1.9E-2</v>
      </c>
      <c r="J27">
        <f t="shared" si="2"/>
        <v>8.8305287654680126E-3</v>
      </c>
      <c r="K27">
        <f t="shared" si="3"/>
        <v>-127.25763991389465</v>
      </c>
      <c r="L27">
        <f t="shared" si="4"/>
        <v>1.1774038353957348E-4</v>
      </c>
      <c r="O27">
        <f t="shared" si="5"/>
        <v>-140.6531809574625</v>
      </c>
      <c r="P27">
        <f t="shared" si="6"/>
        <v>-3.2940768421759262E-4</v>
      </c>
    </row>
    <row r="28" spans="1:16" x14ac:dyDescent="0.25">
      <c r="A28">
        <v>1.3</v>
      </c>
      <c r="B28">
        <v>-1.9E-2</v>
      </c>
      <c r="C28">
        <v>1.2E-2</v>
      </c>
      <c r="H28">
        <f t="shared" si="0"/>
        <v>1.3</v>
      </c>
      <c r="I28">
        <f t="shared" si="1"/>
        <v>-1.9E-2</v>
      </c>
      <c r="J28">
        <f t="shared" si="2"/>
        <v>1.0783749916086733E-2</v>
      </c>
      <c r="K28">
        <f t="shared" si="3"/>
        <v>-127.25763991389465</v>
      </c>
      <c r="L28">
        <f t="shared" si="4"/>
        <v>1.4378333221448975E-4</v>
      </c>
      <c r="O28">
        <f t="shared" si="5"/>
        <v>-140.6531809574625</v>
      </c>
      <c r="P28">
        <f t="shared" si="6"/>
        <v>-3.0336473554267633E-4</v>
      </c>
    </row>
    <row r="29" spans="1:16" x14ac:dyDescent="0.25">
      <c r="A29">
        <v>1.35</v>
      </c>
      <c r="B29">
        <v>-1.9E-2</v>
      </c>
      <c r="C29">
        <v>1.0999999999999999E-2</v>
      </c>
      <c r="H29">
        <f t="shared" si="0"/>
        <v>1.35</v>
      </c>
      <c r="I29">
        <f t="shared" si="1"/>
        <v>-1.9E-2</v>
      </c>
      <c r="J29">
        <f t="shared" si="2"/>
        <v>9.7369710667054524E-3</v>
      </c>
      <c r="K29">
        <f t="shared" si="3"/>
        <v>-127.25763991389465</v>
      </c>
      <c r="L29">
        <f t="shared" si="4"/>
        <v>1.2982628088940601E-4</v>
      </c>
      <c r="O29">
        <f t="shared" si="5"/>
        <v>-140.6531809574625</v>
      </c>
      <c r="P29">
        <f t="shared" si="6"/>
        <v>-3.173217868677601E-4</v>
      </c>
    </row>
    <row r="30" spans="1:16" x14ac:dyDescent="0.25">
      <c r="A30">
        <v>1.4</v>
      </c>
      <c r="B30">
        <v>-1.9E-2</v>
      </c>
      <c r="C30">
        <v>1.2E-2</v>
      </c>
      <c r="H30">
        <f t="shared" si="0"/>
        <v>1.4</v>
      </c>
      <c r="I30">
        <f t="shared" si="1"/>
        <v>-1.9E-2</v>
      </c>
      <c r="J30">
        <f t="shared" si="2"/>
        <v>1.0690192217324174E-2</v>
      </c>
      <c r="K30">
        <f t="shared" si="3"/>
        <v>-127.25763991389465</v>
      </c>
      <c r="L30">
        <f t="shared" si="4"/>
        <v>1.4253589623098895E-4</v>
      </c>
      <c r="O30">
        <f t="shared" si="5"/>
        <v>-140.6531809574625</v>
      </c>
      <c r="P30">
        <f t="shared" si="6"/>
        <v>-3.0461217152617716E-4</v>
      </c>
    </row>
    <row r="31" spans="1:16" x14ac:dyDescent="0.25">
      <c r="A31">
        <v>1.45</v>
      </c>
      <c r="B31">
        <v>-1.9E-2</v>
      </c>
      <c r="C31">
        <v>1.0999999999999999E-2</v>
      </c>
      <c r="H31">
        <f t="shared" si="0"/>
        <v>1.45</v>
      </c>
      <c r="I31">
        <f t="shared" si="1"/>
        <v>-1.9E-2</v>
      </c>
      <c r="J31">
        <f t="shared" si="2"/>
        <v>9.6434133679428932E-3</v>
      </c>
      <c r="K31">
        <f t="shared" si="3"/>
        <v>-127.25763991389465</v>
      </c>
      <c r="L31">
        <f t="shared" si="4"/>
        <v>1.2857884490590521E-4</v>
      </c>
      <c r="O31">
        <f t="shared" si="5"/>
        <v>-140.6531809574625</v>
      </c>
      <c r="P31">
        <f t="shared" si="6"/>
        <v>-3.1856922285126087E-4</v>
      </c>
    </row>
    <row r="32" spans="1:16" x14ac:dyDescent="0.25">
      <c r="A32">
        <v>1.5</v>
      </c>
      <c r="B32">
        <v>-1.9E-2</v>
      </c>
      <c r="C32">
        <v>1.2E-2</v>
      </c>
      <c r="H32">
        <f t="shared" si="0"/>
        <v>1.5</v>
      </c>
      <c r="I32">
        <f t="shared" si="1"/>
        <v>-1.9E-2</v>
      </c>
      <c r="J32">
        <f t="shared" si="2"/>
        <v>1.0596634518561614E-2</v>
      </c>
      <c r="K32">
        <f t="shared" si="3"/>
        <v>-127.25763991389465</v>
      </c>
      <c r="L32">
        <f t="shared" si="4"/>
        <v>1.4128846024748817E-4</v>
      </c>
      <c r="O32">
        <f t="shared" si="5"/>
        <v>-140.6531809574625</v>
      </c>
      <c r="P32">
        <f t="shared" si="6"/>
        <v>-3.0585960750967794E-4</v>
      </c>
    </row>
    <row r="33" spans="1:16" x14ac:dyDescent="0.25">
      <c r="A33">
        <v>1.55</v>
      </c>
      <c r="B33">
        <v>-1.9E-2</v>
      </c>
      <c r="C33">
        <v>1.0999999999999999E-2</v>
      </c>
      <c r="H33">
        <f t="shared" si="0"/>
        <v>1.55</v>
      </c>
      <c r="I33">
        <f t="shared" si="1"/>
        <v>-1.9E-2</v>
      </c>
      <c r="J33">
        <f t="shared" si="2"/>
        <v>9.5498556691803356E-3</v>
      </c>
      <c r="K33">
        <f t="shared" si="3"/>
        <v>-127.25763991389465</v>
      </c>
      <c r="L33">
        <f t="shared" si="4"/>
        <v>1.2733140892240446E-4</v>
      </c>
      <c r="O33">
        <f t="shared" si="5"/>
        <v>-140.6531809574625</v>
      </c>
      <c r="P33">
        <f t="shared" si="6"/>
        <v>-3.1981665883476165E-4</v>
      </c>
    </row>
    <row r="34" spans="1:16" x14ac:dyDescent="0.25">
      <c r="A34">
        <v>1.6</v>
      </c>
      <c r="B34">
        <v>-1.9E-2</v>
      </c>
      <c r="C34">
        <v>1.2E-2</v>
      </c>
      <c r="H34">
        <f t="shared" si="0"/>
        <v>1.6</v>
      </c>
      <c r="I34">
        <f t="shared" si="1"/>
        <v>-1.9E-2</v>
      </c>
      <c r="J34">
        <f t="shared" si="2"/>
        <v>1.0503076819799055E-2</v>
      </c>
      <c r="K34">
        <f t="shared" si="3"/>
        <v>-127.25763991389465</v>
      </c>
      <c r="L34">
        <f t="shared" si="4"/>
        <v>1.4004102426398737E-4</v>
      </c>
      <c r="O34">
        <f t="shared" si="5"/>
        <v>-140.6531809574625</v>
      </c>
      <c r="P34">
        <f t="shared" si="6"/>
        <v>-3.0710704349317872E-4</v>
      </c>
    </row>
    <row r="35" spans="1:16" x14ac:dyDescent="0.25">
      <c r="A35">
        <v>1.65</v>
      </c>
      <c r="B35">
        <v>-1.9E-2</v>
      </c>
      <c r="C35">
        <v>1.0999999999999999E-2</v>
      </c>
      <c r="H35">
        <f t="shared" si="0"/>
        <v>1.65</v>
      </c>
      <c r="I35">
        <f t="shared" si="1"/>
        <v>-1.9E-2</v>
      </c>
      <c r="J35">
        <f t="shared" si="2"/>
        <v>9.4562979704177763E-3</v>
      </c>
      <c r="K35">
        <f t="shared" si="3"/>
        <v>-127.25763991389465</v>
      </c>
      <c r="L35">
        <f t="shared" si="4"/>
        <v>1.2608397293890366E-4</v>
      </c>
      <c r="O35">
        <f t="shared" si="5"/>
        <v>-140.6531809574625</v>
      </c>
      <c r="P35">
        <f t="shared" si="6"/>
        <v>-3.2106409481826243E-4</v>
      </c>
    </row>
    <row r="36" spans="1:16" x14ac:dyDescent="0.25">
      <c r="A36">
        <v>1.7</v>
      </c>
      <c r="B36">
        <v>-1.9E-2</v>
      </c>
      <c r="C36">
        <v>1.2E-2</v>
      </c>
      <c r="H36">
        <f t="shared" si="0"/>
        <v>1.7</v>
      </c>
      <c r="I36">
        <f t="shared" si="1"/>
        <v>-1.9E-2</v>
      </c>
      <c r="J36">
        <f t="shared" si="2"/>
        <v>1.0409519121036498E-2</v>
      </c>
      <c r="K36">
        <f t="shared" si="3"/>
        <v>-127.25763991389465</v>
      </c>
      <c r="L36">
        <f t="shared" si="4"/>
        <v>1.3879358828048662E-4</v>
      </c>
      <c r="O36">
        <f t="shared" si="5"/>
        <v>-140.6531809574625</v>
      </c>
      <c r="P36">
        <f t="shared" si="6"/>
        <v>-3.0835447947667949E-4</v>
      </c>
    </row>
    <row r="37" spans="1:16" x14ac:dyDescent="0.25">
      <c r="A37">
        <v>1.75</v>
      </c>
      <c r="B37">
        <v>-1.9E-2</v>
      </c>
      <c r="C37">
        <v>1.0999999999999999E-2</v>
      </c>
      <c r="H37">
        <f t="shared" si="0"/>
        <v>1.75</v>
      </c>
      <c r="I37">
        <f t="shared" si="1"/>
        <v>-1.9E-2</v>
      </c>
      <c r="J37">
        <f t="shared" si="2"/>
        <v>9.362740271655217E-3</v>
      </c>
      <c r="K37">
        <f t="shared" si="3"/>
        <v>-127.25763991389465</v>
      </c>
      <c r="L37">
        <f t="shared" si="4"/>
        <v>1.2483653695540288E-4</v>
      </c>
      <c r="O37">
        <f t="shared" si="5"/>
        <v>-140.6531809574625</v>
      </c>
      <c r="P37">
        <f t="shared" si="6"/>
        <v>-3.2231153080176326E-4</v>
      </c>
    </row>
    <row r="38" spans="1:16" x14ac:dyDescent="0.25">
      <c r="A38">
        <v>1.8</v>
      </c>
      <c r="B38">
        <v>-1.9E-2</v>
      </c>
      <c r="C38">
        <v>1.2E-2</v>
      </c>
      <c r="H38">
        <f t="shared" si="0"/>
        <v>1.8</v>
      </c>
      <c r="I38">
        <f t="shared" si="1"/>
        <v>-1.9E-2</v>
      </c>
      <c r="J38">
        <f t="shared" si="2"/>
        <v>1.0315961422273938E-2</v>
      </c>
      <c r="K38">
        <f t="shared" si="3"/>
        <v>-127.25763991389465</v>
      </c>
      <c r="L38">
        <f t="shared" si="4"/>
        <v>1.3754615229698581E-4</v>
      </c>
      <c r="O38">
        <f t="shared" si="5"/>
        <v>-140.6531809574625</v>
      </c>
      <c r="P38">
        <f t="shared" si="6"/>
        <v>-3.0960191546018027E-4</v>
      </c>
    </row>
    <row r="39" spans="1:16" x14ac:dyDescent="0.25">
      <c r="A39">
        <v>1.85</v>
      </c>
      <c r="B39">
        <v>-1.9E-2</v>
      </c>
      <c r="C39">
        <v>1.0999999999999999E-2</v>
      </c>
      <c r="H39">
        <f t="shared" si="0"/>
        <v>1.85</v>
      </c>
      <c r="I39">
        <f t="shared" si="1"/>
        <v>-1.9E-2</v>
      </c>
      <c r="J39">
        <f t="shared" si="2"/>
        <v>9.2691825728926577E-3</v>
      </c>
      <c r="K39">
        <f t="shared" si="3"/>
        <v>-127.25763991389465</v>
      </c>
      <c r="L39">
        <f t="shared" si="4"/>
        <v>1.2358910097190208E-4</v>
      </c>
      <c r="O39">
        <f t="shared" si="5"/>
        <v>-140.6531809574625</v>
      </c>
      <c r="P39">
        <f t="shared" si="6"/>
        <v>-3.2355896678526404E-4</v>
      </c>
    </row>
    <row r="40" spans="1:16" x14ac:dyDescent="0.25">
      <c r="A40">
        <v>1.9</v>
      </c>
      <c r="B40">
        <v>-1.9E-2</v>
      </c>
      <c r="C40">
        <v>1.2999999999999999E-2</v>
      </c>
      <c r="H40">
        <f t="shared" si="0"/>
        <v>1.9</v>
      </c>
      <c r="I40">
        <f t="shared" si="1"/>
        <v>-1.9E-2</v>
      </c>
      <c r="J40">
        <f t="shared" si="2"/>
        <v>1.1222403723511378E-2</v>
      </c>
      <c r="K40">
        <f t="shared" si="3"/>
        <v>-127.25763991389465</v>
      </c>
      <c r="L40">
        <f t="shared" si="4"/>
        <v>1.4963204964681833E-4</v>
      </c>
      <c r="O40">
        <f t="shared" si="5"/>
        <v>-140.6531809574625</v>
      </c>
      <c r="P40">
        <f t="shared" si="6"/>
        <v>-2.975160181103478E-4</v>
      </c>
    </row>
    <row r="41" spans="1:16" x14ac:dyDescent="0.25">
      <c r="A41">
        <v>1.95</v>
      </c>
      <c r="B41">
        <v>-1.9E-2</v>
      </c>
      <c r="C41">
        <v>1.2E-2</v>
      </c>
      <c r="H41">
        <f t="shared" si="0"/>
        <v>1.95</v>
      </c>
      <c r="I41">
        <f t="shared" si="1"/>
        <v>-1.9E-2</v>
      </c>
      <c r="J41">
        <f t="shared" si="2"/>
        <v>1.0175624874130099E-2</v>
      </c>
      <c r="K41">
        <f t="shared" si="3"/>
        <v>-127.25763991389465</v>
      </c>
      <c r="L41">
        <f t="shared" si="4"/>
        <v>1.3567499832173462E-4</v>
      </c>
      <c r="O41">
        <f t="shared" si="5"/>
        <v>-140.6531809574625</v>
      </c>
      <c r="P41">
        <f t="shared" si="6"/>
        <v>-3.1147306943543152E-4</v>
      </c>
    </row>
    <row r="42" spans="1:16" x14ac:dyDescent="0.25">
      <c r="A42">
        <v>2</v>
      </c>
      <c r="B42">
        <v>-1.7999999999999999E-2</v>
      </c>
      <c r="C42">
        <v>1.2999999999999999E-2</v>
      </c>
      <c r="H42">
        <f t="shared" si="0"/>
        <v>2</v>
      </c>
      <c r="I42">
        <f t="shared" si="1"/>
        <v>-1.7999999999999999E-2</v>
      </c>
      <c r="J42">
        <f t="shared" si="2"/>
        <v>1.1128846024748819E-2</v>
      </c>
      <c r="K42">
        <f t="shared" si="3"/>
        <v>-120.55986939211071</v>
      </c>
      <c r="L42">
        <f t="shared" si="4"/>
        <v>1.4838461366331756E-4</v>
      </c>
      <c r="O42">
        <f t="shared" si="5"/>
        <v>-133.95541043567857</v>
      </c>
      <c r="P42">
        <f t="shared" si="6"/>
        <v>-2.9876345409384853E-4</v>
      </c>
    </row>
    <row r="43" spans="1:16" x14ac:dyDescent="0.25">
      <c r="A43">
        <v>2.0499999999999998</v>
      </c>
      <c r="B43">
        <v>-1.7999999999999999E-2</v>
      </c>
      <c r="C43">
        <v>1.2E-2</v>
      </c>
      <c r="H43">
        <f t="shared" si="0"/>
        <v>2.0499999999999998</v>
      </c>
      <c r="I43">
        <f t="shared" si="1"/>
        <v>-1.7999999999999999E-2</v>
      </c>
      <c r="J43">
        <f t="shared" si="2"/>
        <v>1.008206717536754E-2</v>
      </c>
      <c r="K43">
        <f t="shared" si="3"/>
        <v>-120.55986939211071</v>
      </c>
      <c r="L43">
        <f t="shared" si="4"/>
        <v>1.3442756233823385E-4</v>
      </c>
      <c r="O43">
        <f t="shared" si="5"/>
        <v>-133.95541043567857</v>
      </c>
      <c r="P43">
        <f t="shared" si="6"/>
        <v>-3.1272050541893224E-4</v>
      </c>
    </row>
    <row r="44" spans="1:16" x14ac:dyDescent="0.25">
      <c r="A44">
        <v>2.1</v>
      </c>
      <c r="B44">
        <v>-1.7999999999999999E-2</v>
      </c>
      <c r="C44">
        <v>1.4E-2</v>
      </c>
      <c r="H44">
        <f t="shared" si="0"/>
        <v>2.1</v>
      </c>
      <c r="I44">
        <f t="shared" si="1"/>
        <v>-1.7999999999999999E-2</v>
      </c>
      <c r="J44">
        <f t="shared" si="2"/>
        <v>1.203528832598626E-2</v>
      </c>
      <c r="K44">
        <f t="shared" si="3"/>
        <v>-120.55986939211071</v>
      </c>
      <c r="L44">
        <f t="shared" si="4"/>
        <v>1.604705110131501E-4</v>
      </c>
      <c r="O44">
        <f t="shared" si="5"/>
        <v>-133.95541043567857</v>
      </c>
      <c r="P44">
        <f t="shared" si="6"/>
        <v>-2.8667755674401601E-4</v>
      </c>
    </row>
    <row r="45" spans="1:16" x14ac:dyDescent="0.25">
      <c r="A45">
        <v>2.15</v>
      </c>
      <c r="B45">
        <v>-1.7999999999999999E-2</v>
      </c>
      <c r="C45">
        <v>1.2999999999999999E-2</v>
      </c>
      <c r="H45">
        <f t="shared" si="0"/>
        <v>2.15</v>
      </c>
      <c r="I45">
        <f t="shared" si="1"/>
        <v>-1.7999999999999999E-2</v>
      </c>
      <c r="J45">
        <f t="shared" si="2"/>
        <v>1.0988509476604982E-2</v>
      </c>
      <c r="K45">
        <f t="shared" si="3"/>
        <v>-120.55986939211071</v>
      </c>
      <c r="L45">
        <f t="shared" si="4"/>
        <v>1.4651345968806639E-4</v>
      </c>
      <c r="O45">
        <f t="shared" si="5"/>
        <v>-133.95541043567857</v>
      </c>
      <c r="P45">
        <f t="shared" si="6"/>
        <v>-3.0063460806909972E-4</v>
      </c>
    </row>
    <row r="46" spans="1:16" x14ac:dyDescent="0.25">
      <c r="A46">
        <v>2.2000000000000002</v>
      </c>
      <c r="B46">
        <v>-1.7999999999999999E-2</v>
      </c>
      <c r="C46">
        <v>1.4E-2</v>
      </c>
      <c r="H46">
        <f t="shared" si="0"/>
        <v>2.2000000000000002</v>
      </c>
      <c r="I46">
        <f t="shared" si="1"/>
        <v>-1.7999999999999999E-2</v>
      </c>
      <c r="J46">
        <f t="shared" si="2"/>
        <v>1.1941730627223701E-2</v>
      </c>
      <c r="K46">
        <f t="shared" si="3"/>
        <v>-120.55986939211071</v>
      </c>
      <c r="L46">
        <f t="shared" si="4"/>
        <v>1.5922307502964933E-4</v>
      </c>
      <c r="O46">
        <f t="shared" si="5"/>
        <v>-133.95541043567857</v>
      </c>
      <c r="P46">
        <f t="shared" si="6"/>
        <v>-2.8792499272751678E-4</v>
      </c>
    </row>
    <row r="47" spans="1:16" x14ac:dyDescent="0.25">
      <c r="A47">
        <v>2.25</v>
      </c>
      <c r="B47">
        <v>-1.7000000000000001E-2</v>
      </c>
      <c r="C47">
        <v>1.2999999999999999E-2</v>
      </c>
      <c r="H47">
        <f t="shared" si="0"/>
        <v>2.25</v>
      </c>
      <c r="I47">
        <f t="shared" si="1"/>
        <v>-1.7000000000000001E-2</v>
      </c>
      <c r="J47">
        <f t="shared" si="2"/>
        <v>1.0894951777842422E-2</v>
      </c>
      <c r="K47">
        <f t="shared" si="3"/>
        <v>-113.8620988703268</v>
      </c>
      <c r="L47">
        <f t="shared" si="4"/>
        <v>1.4526602370456561E-4</v>
      </c>
      <c r="O47">
        <f t="shared" si="5"/>
        <v>-127.25763991389466</v>
      </c>
      <c r="P47">
        <f t="shared" si="6"/>
        <v>-3.018820440526005E-4</v>
      </c>
    </row>
    <row r="48" spans="1:16" x14ac:dyDescent="0.25">
      <c r="A48">
        <v>2.2999999999999998</v>
      </c>
      <c r="B48">
        <v>-1.7000000000000001E-2</v>
      </c>
      <c r="C48">
        <v>1.4999999999999999E-2</v>
      </c>
      <c r="H48">
        <f t="shared" si="0"/>
        <v>2.2999999999999998</v>
      </c>
      <c r="I48">
        <f t="shared" si="1"/>
        <v>-1.7000000000000001E-2</v>
      </c>
      <c r="J48">
        <f t="shared" si="2"/>
        <v>1.2848172928461143E-2</v>
      </c>
      <c r="K48">
        <f t="shared" si="3"/>
        <v>-113.8620988703268</v>
      </c>
      <c r="L48">
        <f t="shared" si="4"/>
        <v>1.7130897237948187E-4</v>
      </c>
      <c r="O48">
        <f t="shared" si="5"/>
        <v>-127.25763991389466</v>
      </c>
      <c r="P48">
        <f t="shared" si="6"/>
        <v>-2.7583909537768421E-4</v>
      </c>
    </row>
    <row r="49" spans="1:16" x14ac:dyDescent="0.25">
      <c r="A49">
        <v>2.35</v>
      </c>
      <c r="B49">
        <v>-1.7000000000000001E-2</v>
      </c>
      <c r="C49">
        <v>1.4E-2</v>
      </c>
      <c r="H49">
        <f t="shared" si="0"/>
        <v>2.35</v>
      </c>
      <c r="I49">
        <f t="shared" si="1"/>
        <v>-1.7000000000000001E-2</v>
      </c>
      <c r="J49">
        <f t="shared" si="2"/>
        <v>1.1801394079079864E-2</v>
      </c>
      <c r="K49">
        <f t="shared" si="3"/>
        <v>-113.8620988703268</v>
      </c>
      <c r="L49">
        <f t="shared" si="4"/>
        <v>1.5735192105439816E-4</v>
      </c>
      <c r="O49">
        <f t="shared" si="5"/>
        <v>-127.25763991389466</v>
      </c>
      <c r="P49">
        <f t="shared" si="6"/>
        <v>-2.8979614670276792E-4</v>
      </c>
    </row>
    <row r="50" spans="1:16" x14ac:dyDescent="0.25">
      <c r="A50">
        <v>2.4</v>
      </c>
      <c r="B50">
        <v>-1.7000000000000001E-2</v>
      </c>
      <c r="C50">
        <v>1.4999999999999999E-2</v>
      </c>
      <c r="H50">
        <f t="shared" si="0"/>
        <v>2.4</v>
      </c>
      <c r="I50">
        <f t="shared" si="1"/>
        <v>-1.7000000000000001E-2</v>
      </c>
      <c r="J50">
        <f t="shared" si="2"/>
        <v>1.2754615229698583E-2</v>
      </c>
      <c r="K50">
        <f t="shared" si="3"/>
        <v>-113.8620988703268</v>
      </c>
      <c r="L50">
        <f t="shared" si="4"/>
        <v>1.7006153639598107E-4</v>
      </c>
      <c r="O50">
        <f t="shared" si="5"/>
        <v>-127.25763991389466</v>
      </c>
      <c r="P50">
        <f t="shared" si="6"/>
        <v>-2.7708653136118504E-4</v>
      </c>
    </row>
    <row r="51" spans="1:16" x14ac:dyDescent="0.25">
      <c r="A51">
        <v>2.4500000000000002</v>
      </c>
      <c r="B51">
        <v>-1.7000000000000001E-2</v>
      </c>
      <c r="C51">
        <v>1.4E-2</v>
      </c>
      <c r="H51">
        <f t="shared" si="0"/>
        <v>2.4500000000000002</v>
      </c>
      <c r="I51">
        <f t="shared" si="1"/>
        <v>-1.7000000000000001E-2</v>
      </c>
      <c r="J51">
        <f t="shared" si="2"/>
        <v>1.1707836380317305E-2</v>
      </c>
      <c r="K51">
        <f t="shared" si="3"/>
        <v>-113.8620988703268</v>
      </c>
      <c r="L51">
        <f t="shared" si="4"/>
        <v>1.5610448507089736E-4</v>
      </c>
      <c r="O51">
        <f t="shared" si="5"/>
        <v>-127.25763991389466</v>
      </c>
      <c r="P51">
        <f t="shared" si="6"/>
        <v>-2.9104358268626875E-4</v>
      </c>
    </row>
    <row r="52" spans="1:16" x14ac:dyDescent="0.25">
      <c r="A52">
        <v>2.5</v>
      </c>
      <c r="B52">
        <v>-1.7000000000000001E-2</v>
      </c>
      <c r="C52">
        <v>1.6E-2</v>
      </c>
      <c r="H52">
        <f t="shared" si="0"/>
        <v>2.5</v>
      </c>
      <c r="I52">
        <f t="shared" si="1"/>
        <v>-1.7000000000000001E-2</v>
      </c>
      <c r="J52">
        <f t="shared" si="2"/>
        <v>1.3661057530936025E-2</v>
      </c>
      <c r="K52">
        <f t="shared" si="3"/>
        <v>-113.8620988703268</v>
      </c>
      <c r="L52">
        <f t="shared" si="4"/>
        <v>1.8214743374581364E-4</v>
      </c>
      <c r="O52">
        <f t="shared" si="5"/>
        <v>-127.25763991389466</v>
      </c>
      <c r="P52">
        <f t="shared" si="6"/>
        <v>-2.6500063401135247E-4</v>
      </c>
    </row>
    <row r="53" spans="1:16" x14ac:dyDescent="0.25">
      <c r="A53">
        <v>2.5499999999999998</v>
      </c>
      <c r="B53">
        <v>-1.6E-2</v>
      </c>
      <c r="C53">
        <v>1.4999999999999999E-2</v>
      </c>
      <c r="H53">
        <f t="shared" si="0"/>
        <v>2.5499999999999998</v>
      </c>
      <c r="I53">
        <f t="shared" si="1"/>
        <v>-1.6E-2</v>
      </c>
      <c r="J53">
        <f t="shared" si="2"/>
        <v>1.2614278681554745E-2</v>
      </c>
      <c r="K53">
        <f t="shared" si="3"/>
        <v>-107.16432834854287</v>
      </c>
      <c r="L53">
        <f t="shared" si="4"/>
        <v>1.681903824207299E-4</v>
      </c>
      <c r="O53">
        <f t="shared" si="5"/>
        <v>-120.55986939211073</v>
      </c>
      <c r="P53">
        <f t="shared" si="6"/>
        <v>-2.7895768533643618E-4</v>
      </c>
    </row>
    <row r="54" spans="1:16" x14ac:dyDescent="0.25">
      <c r="A54">
        <v>2.6</v>
      </c>
      <c r="B54">
        <v>-1.7000000000000001E-2</v>
      </c>
      <c r="C54">
        <v>1.4999999999999999E-2</v>
      </c>
      <c r="H54">
        <f t="shared" si="0"/>
        <v>2.6</v>
      </c>
      <c r="I54">
        <f t="shared" si="1"/>
        <v>-1.7000000000000001E-2</v>
      </c>
      <c r="J54">
        <f t="shared" si="2"/>
        <v>1.2567499832173465E-2</v>
      </c>
      <c r="K54">
        <f t="shared" si="3"/>
        <v>-113.8620988703268</v>
      </c>
      <c r="L54">
        <f t="shared" si="4"/>
        <v>1.6756666442897949E-4</v>
      </c>
      <c r="O54">
        <f t="shared" si="5"/>
        <v>-127.25763991389466</v>
      </c>
      <c r="P54">
        <f t="shared" si="6"/>
        <v>-2.795814033281866E-4</v>
      </c>
    </row>
    <row r="55" spans="1:16" x14ac:dyDescent="0.25">
      <c r="A55">
        <v>2.65</v>
      </c>
      <c r="B55">
        <v>-1.7000000000000001E-2</v>
      </c>
      <c r="C55">
        <v>1.4E-2</v>
      </c>
      <c r="H55">
        <f t="shared" si="0"/>
        <v>2.65</v>
      </c>
      <c r="I55">
        <f t="shared" si="1"/>
        <v>-1.7000000000000001E-2</v>
      </c>
      <c r="J55">
        <f t="shared" si="2"/>
        <v>1.1520720982792186E-2</v>
      </c>
      <c r="K55">
        <f t="shared" si="3"/>
        <v>-113.8620988703268</v>
      </c>
      <c r="L55">
        <f t="shared" si="4"/>
        <v>1.5360961310389578E-4</v>
      </c>
      <c r="O55">
        <f t="shared" si="5"/>
        <v>-127.25763991389466</v>
      </c>
      <c r="P55">
        <f t="shared" si="6"/>
        <v>-2.9353845465327031E-4</v>
      </c>
    </row>
    <row r="56" spans="1:16" x14ac:dyDescent="0.25">
      <c r="A56">
        <v>2.7</v>
      </c>
      <c r="B56">
        <v>-1.7000000000000001E-2</v>
      </c>
      <c r="C56">
        <v>1.6E-2</v>
      </c>
      <c r="H56">
        <f t="shared" si="0"/>
        <v>2.7</v>
      </c>
      <c r="I56">
        <f t="shared" si="1"/>
        <v>-1.7000000000000001E-2</v>
      </c>
      <c r="J56">
        <f t="shared" si="2"/>
        <v>1.3473942133410906E-2</v>
      </c>
      <c r="K56">
        <f t="shared" si="3"/>
        <v>-113.8620988703268</v>
      </c>
      <c r="L56">
        <f t="shared" si="4"/>
        <v>1.7965256177881206E-4</v>
      </c>
      <c r="O56">
        <f t="shared" si="5"/>
        <v>-127.25763991389466</v>
      </c>
      <c r="P56">
        <f t="shared" si="6"/>
        <v>-2.6749550597835402E-4</v>
      </c>
    </row>
    <row r="57" spans="1:16" x14ac:dyDescent="0.25">
      <c r="A57">
        <v>2.75</v>
      </c>
      <c r="B57">
        <v>-1.7000000000000001E-2</v>
      </c>
      <c r="C57">
        <v>1.4999999999999999E-2</v>
      </c>
      <c r="H57">
        <f t="shared" si="0"/>
        <v>2.75</v>
      </c>
      <c r="I57">
        <f t="shared" si="1"/>
        <v>-1.7000000000000001E-2</v>
      </c>
      <c r="J57">
        <f t="shared" si="2"/>
        <v>1.2427163284029628E-2</v>
      </c>
      <c r="K57">
        <f t="shared" si="3"/>
        <v>-113.8620988703268</v>
      </c>
      <c r="L57">
        <f t="shared" si="4"/>
        <v>1.6569551045372835E-4</v>
      </c>
      <c r="O57">
        <f t="shared" si="5"/>
        <v>-127.25763991389466</v>
      </c>
      <c r="P57">
        <f t="shared" si="6"/>
        <v>-2.8145255730343773E-4</v>
      </c>
    </row>
    <row r="58" spans="1:16" x14ac:dyDescent="0.25">
      <c r="A58">
        <v>2.8</v>
      </c>
      <c r="B58">
        <v>-1.6E-2</v>
      </c>
      <c r="C58">
        <v>1.6E-2</v>
      </c>
      <c r="H58">
        <f t="shared" si="0"/>
        <v>2.8</v>
      </c>
      <c r="I58">
        <f t="shared" si="1"/>
        <v>-1.6E-2</v>
      </c>
      <c r="J58">
        <f t="shared" si="2"/>
        <v>1.3380384434648349E-2</v>
      </c>
      <c r="K58">
        <f t="shared" si="3"/>
        <v>-107.16432834854287</v>
      </c>
      <c r="L58">
        <f t="shared" si="4"/>
        <v>1.7840512579531128E-4</v>
      </c>
      <c r="O58">
        <f t="shared" si="5"/>
        <v>-120.55986939211073</v>
      </c>
      <c r="P58">
        <f t="shared" si="6"/>
        <v>-2.6874294196185485E-4</v>
      </c>
    </row>
    <row r="59" spans="1:16" x14ac:dyDescent="0.25">
      <c r="A59">
        <v>2.85</v>
      </c>
      <c r="B59">
        <v>-1.6E-2</v>
      </c>
      <c r="C59">
        <v>1.4999999999999999E-2</v>
      </c>
      <c r="H59">
        <f t="shared" si="0"/>
        <v>2.85</v>
      </c>
      <c r="I59">
        <f t="shared" si="1"/>
        <v>-1.6E-2</v>
      </c>
      <c r="J59">
        <f t="shared" si="2"/>
        <v>1.2333605585267068E-2</v>
      </c>
      <c r="K59">
        <f t="shared" si="3"/>
        <v>-107.16432834854287</v>
      </c>
      <c r="L59">
        <f t="shared" si="4"/>
        <v>1.6444807447022755E-4</v>
      </c>
      <c r="O59">
        <f t="shared" si="5"/>
        <v>-120.55986939211073</v>
      </c>
      <c r="P59">
        <f t="shared" si="6"/>
        <v>-2.8269999328693857E-4</v>
      </c>
    </row>
    <row r="60" spans="1:16" x14ac:dyDescent="0.25">
      <c r="A60">
        <v>2.9</v>
      </c>
      <c r="B60">
        <v>-1.7000000000000001E-2</v>
      </c>
      <c r="C60">
        <v>1.6E-2</v>
      </c>
      <c r="H60">
        <f t="shared" si="0"/>
        <v>2.9</v>
      </c>
      <c r="I60">
        <f t="shared" si="1"/>
        <v>-1.7000000000000001E-2</v>
      </c>
      <c r="J60">
        <f t="shared" si="2"/>
        <v>1.328682673588579E-2</v>
      </c>
      <c r="K60">
        <f t="shared" si="3"/>
        <v>-113.8620988703268</v>
      </c>
      <c r="L60">
        <f t="shared" si="4"/>
        <v>1.7715768981181048E-4</v>
      </c>
      <c r="O60">
        <f t="shared" si="5"/>
        <v>-127.25763991389466</v>
      </c>
      <c r="P60">
        <f t="shared" si="6"/>
        <v>-2.6999037794535563E-4</v>
      </c>
    </row>
    <row r="61" spans="1:16" x14ac:dyDescent="0.25">
      <c r="A61">
        <v>2.95</v>
      </c>
      <c r="B61">
        <v>-1.6E-2</v>
      </c>
      <c r="C61">
        <v>1.6E-2</v>
      </c>
      <c r="H61">
        <f t="shared" si="0"/>
        <v>2.95</v>
      </c>
      <c r="I61">
        <f t="shared" si="1"/>
        <v>-1.6E-2</v>
      </c>
      <c r="J61">
        <f t="shared" si="2"/>
        <v>1.324004788650451E-2</v>
      </c>
      <c r="K61">
        <f t="shared" si="3"/>
        <v>-107.16432834854287</v>
      </c>
      <c r="L61">
        <f t="shared" si="4"/>
        <v>1.7653397182006009E-4</v>
      </c>
      <c r="O61">
        <f t="shared" si="5"/>
        <v>-120.55986939211073</v>
      </c>
      <c r="P61">
        <f t="shared" si="6"/>
        <v>-2.7061409593710599E-4</v>
      </c>
    </row>
    <row r="62" spans="1:16" x14ac:dyDescent="0.25">
      <c r="A62">
        <v>3</v>
      </c>
      <c r="B62">
        <v>-1.6E-2</v>
      </c>
      <c r="C62">
        <v>1.7000000000000001E-2</v>
      </c>
      <c r="H62">
        <f t="shared" si="0"/>
        <v>3</v>
      </c>
      <c r="I62">
        <f t="shared" si="1"/>
        <v>-1.6E-2</v>
      </c>
      <c r="J62">
        <f t="shared" si="2"/>
        <v>1.4193269037123231E-2</v>
      </c>
      <c r="K62">
        <f t="shared" si="3"/>
        <v>-107.16432834854287</v>
      </c>
      <c r="L62">
        <f t="shared" si="4"/>
        <v>1.8924358716164305E-4</v>
      </c>
      <c r="O62">
        <f t="shared" si="5"/>
        <v>-120.55986939211073</v>
      </c>
      <c r="P62">
        <f t="shared" si="6"/>
        <v>-2.5790448059552306E-4</v>
      </c>
    </row>
    <row r="63" spans="1:16" x14ac:dyDescent="0.25">
      <c r="A63">
        <v>3.05</v>
      </c>
      <c r="B63">
        <v>-1.6E-2</v>
      </c>
      <c r="C63">
        <v>1.6E-2</v>
      </c>
      <c r="H63">
        <f t="shared" si="0"/>
        <v>3.05</v>
      </c>
      <c r="I63">
        <f t="shared" si="1"/>
        <v>-1.6E-2</v>
      </c>
      <c r="J63">
        <f t="shared" si="2"/>
        <v>1.3146490187741951E-2</v>
      </c>
      <c r="K63">
        <f t="shared" si="3"/>
        <v>-107.16432834854287</v>
      </c>
      <c r="L63">
        <f t="shared" si="4"/>
        <v>1.7528653583655932E-4</v>
      </c>
      <c r="O63">
        <f t="shared" si="5"/>
        <v>-120.55986939211073</v>
      </c>
      <c r="P63">
        <f t="shared" si="6"/>
        <v>-2.7186153192060682E-4</v>
      </c>
    </row>
    <row r="64" spans="1:16" x14ac:dyDescent="0.25">
      <c r="A64">
        <v>3.1</v>
      </c>
      <c r="B64">
        <v>-1.6E-2</v>
      </c>
      <c r="C64">
        <v>1.7000000000000001E-2</v>
      </c>
      <c r="H64">
        <f t="shared" si="0"/>
        <v>3.1</v>
      </c>
      <c r="I64">
        <f t="shared" si="1"/>
        <v>-1.6E-2</v>
      </c>
      <c r="J64">
        <f t="shared" si="2"/>
        <v>1.4099711338360672E-2</v>
      </c>
      <c r="K64">
        <f t="shared" si="3"/>
        <v>-107.16432834854287</v>
      </c>
      <c r="L64">
        <f t="shared" si="4"/>
        <v>1.8799615117814225E-4</v>
      </c>
      <c r="O64">
        <f t="shared" si="5"/>
        <v>-120.55986939211073</v>
      </c>
      <c r="P64">
        <f t="shared" si="6"/>
        <v>-2.5915191657902383E-4</v>
      </c>
    </row>
    <row r="65" spans="1:16" x14ac:dyDescent="0.25">
      <c r="A65">
        <v>3.15</v>
      </c>
      <c r="B65">
        <v>-1.4999999999999999E-2</v>
      </c>
      <c r="C65">
        <v>1.7000000000000001E-2</v>
      </c>
      <c r="H65">
        <f t="shared" si="0"/>
        <v>3.15</v>
      </c>
      <c r="I65">
        <f t="shared" si="1"/>
        <v>-1.4999999999999999E-2</v>
      </c>
      <c r="J65">
        <f t="shared" si="2"/>
        <v>1.4052932488979392E-2</v>
      </c>
      <c r="K65">
        <f t="shared" si="3"/>
        <v>-100.46655782675893</v>
      </c>
      <c r="L65">
        <f t="shared" si="4"/>
        <v>1.8737243318639186E-4</v>
      </c>
      <c r="O65">
        <f t="shared" si="5"/>
        <v>-113.86209887032679</v>
      </c>
      <c r="P65">
        <f t="shared" si="6"/>
        <v>-2.5977563457077425E-4</v>
      </c>
    </row>
    <row r="66" spans="1:16" x14ac:dyDescent="0.25">
      <c r="A66">
        <v>3.2</v>
      </c>
      <c r="B66">
        <v>-1.4999999999999999E-2</v>
      </c>
      <c r="C66">
        <v>1.7999999999999999E-2</v>
      </c>
      <c r="H66">
        <f t="shared" si="0"/>
        <v>3.2</v>
      </c>
      <c r="I66">
        <f t="shared" si="1"/>
        <v>-1.4999999999999999E-2</v>
      </c>
      <c r="J66">
        <f t="shared" si="2"/>
        <v>1.500615363959811E-2</v>
      </c>
      <c r="K66">
        <f t="shared" si="3"/>
        <v>-100.46655782675893</v>
      </c>
      <c r="L66">
        <f t="shared" si="4"/>
        <v>2.0008204852797477E-4</v>
      </c>
      <c r="O66">
        <f t="shared" si="5"/>
        <v>-113.86209887032679</v>
      </c>
      <c r="P66">
        <f t="shared" si="6"/>
        <v>-2.4706601922919137E-4</v>
      </c>
    </row>
    <row r="67" spans="1:16" x14ac:dyDescent="0.25">
      <c r="A67">
        <v>3.25</v>
      </c>
      <c r="B67">
        <v>-1.4999999999999999E-2</v>
      </c>
      <c r="C67">
        <v>1.7000000000000001E-2</v>
      </c>
      <c r="H67">
        <f t="shared" ref="H67:H130" si="7">A67</f>
        <v>3.25</v>
      </c>
      <c r="I67">
        <f t="shared" ref="I67:I130" si="8">B67</f>
        <v>-1.4999999999999999E-2</v>
      </c>
      <c r="J67">
        <f t="shared" ref="J67:J130" si="9">C67-E$12*A67</f>
        <v>1.3959374790216833E-2</v>
      </c>
      <c r="K67">
        <f t="shared" ref="K67:K130" si="10">F$24*I67</f>
        <v>-100.46655782675893</v>
      </c>
      <c r="L67">
        <f t="shared" ref="L67:L130" si="11">F$25*J67</f>
        <v>1.8612499720289106E-4</v>
      </c>
      <c r="O67">
        <f t="shared" ref="O67:O130" si="12">K67-N$12</f>
        <v>-113.86209887032679</v>
      </c>
      <c r="P67">
        <f t="shared" ref="P67:P130" si="13">L67-N$15</f>
        <v>-2.6102307055427508E-4</v>
      </c>
    </row>
    <row r="68" spans="1:16" x14ac:dyDescent="0.25">
      <c r="A68">
        <v>3.3</v>
      </c>
      <c r="B68">
        <v>-1.4999999999999999E-2</v>
      </c>
      <c r="C68">
        <v>1.7999999999999999E-2</v>
      </c>
      <c r="H68">
        <f t="shared" si="7"/>
        <v>3.3</v>
      </c>
      <c r="I68">
        <f t="shared" si="8"/>
        <v>-1.4999999999999999E-2</v>
      </c>
      <c r="J68">
        <f t="shared" si="9"/>
        <v>1.4912595940835553E-2</v>
      </c>
      <c r="K68">
        <f t="shared" si="10"/>
        <v>-100.46655782675893</v>
      </c>
      <c r="L68">
        <f t="shared" si="11"/>
        <v>1.9883461254447399E-4</v>
      </c>
      <c r="O68">
        <f t="shared" si="12"/>
        <v>-113.86209887032679</v>
      </c>
      <c r="P68">
        <f t="shared" si="13"/>
        <v>-2.4831345521269209E-4</v>
      </c>
    </row>
    <row r="69" spans="1:16" x14ac:dyDescent="0.25">
      <c r="A69">
        <v>3.35</v>
      </c>
      <c r="B69">
        <v>-1.4999999999999999E-2</v>
      </c>
      <c r="C69">
        <v>1.7999999999999999E-2</v>
      </c>
      <c r="H69">
        <f t="shared" si="7"/>
        <v>3.35</v>
      </c>
      <c r="I69">
        <f t="shared" si="8"/>
        <v>-1.4999999999999999E-2</v>
      </c>
      <c r="J69">
        <f t="shared" si="9"/>
        <v>1.4865817091454271E-2</v>
      </c>
      <c r="K69">
        <f t="shared" si="10"/>
        <v>-100.46655782675893</v>
      </c>
      <c r="L69">
        <f t="shared" si="11"/>
        <v>1.9821089455272358E-4</v>
      </c>
      <c r="O69">
        <f t="shared" si="12"/>
        <v>-113.86209887032679</v>
      </c>
      <c r="P69">
        <f t="shared" si="13"/>
        <v>-2.4893717320444251E-4</v>
      </c>
    </row>
    <row r="70" spans="1:16" x14ac:dyDescent="0.25">
      <c r="A70">
        <v>3.4</v>
      </c>
      <c r="B70">
        <v>-1.4999999999999999E-2</v>
      </c>
      <c r="C70">
        <v>1.9E-2</v>
      </c>
      <c r="H70">
        <f t="shared" si="7"/>
        <v>3.4</v>
      </c>
      <c r="I70">
        <f t="shared" si="8"/>
        <v>-1.4999999999999999E-2</v>
      </c>
      <c r="J70">
        <f t="shared" si="9"/>
        <v>1.5819038242072994E-2</v>
      </c>
      <c r="K70">
        <f t="shared" si="10"/>
        <v>-100.46655782675893</v>
      </c>
      <c r="L70">
        <f t="shared" si="11"/>
        <v>2.1092050989430654E-4</v>
      </c>
      <c r="O70">
        <f t="shared" si="12"/>
        <v>-113.86209887032679</v>
      </c>
      <c r="P70">
        <f t="shared" si="13"/>
        <v>-2.3622755786285957E-4</v>
      </c>
    </row>
    <row r="71" spans="1:16" x14ac:dyDescent="0.25">
      <c r="A71">
        <v>3.45</v>
      </c>
      <c r="B71">
        <v>-1.4999999999999999E-2</v>
      </c>
      <c r="C71">
        <v>1.7999999999999999E-2</v>
      </c>
      <c r="H71">
        <f t="shared" si="7"/>
        <v>3.45</v>
      </c>
      <c r="I71">
        <f t="shared" si="8"/>
        <v>-1.4999999999999999E-2</v>
      </c>
      <c r="J71">
        <f t="shared" si="9"/>
        <v>1.4772259392691712E-2</v>
      </c>
      <c r="K71">
        <f t="shared" si="10"/>
        <v>-100.46655782675893</v>
      </c>
      <c r="L71">
        <f t="shared" si="11"/>
        <v>1.9696345856922277E-4</v>
      </c>
      <c r="O71">
        <f t="shared" si="12"/>
        <v>-113.86209887032679</v>
      </c>
      <c r="P71">
        <f t="shared" si="13"/>
        <v>-2.5018460918794334E-4</v>
      </c>
    </row>
    <row r="72" spans="1:16" x14ac:dyDescent="0.25">
      <c r="A72">
        <v>3.5</v>
      </c>
      <c r="B72">
        <v>-1.4999999999999999E-2</v>
      </c>
      <c r="C72">
        <v>1.9E-2</v>
      </c>
      <c r="H72">
        <f t="shared" si="7"/>
        <v>3.5</v>
      </c>
      <c r="I72">
        <f t="shared" si="8"/>
        <v>-1.4999999999999999E-2</v>
      </c>
      <c r="J72">
        <f t="shared" si="9"/>
        <v>1.5725480543310435E-2</v>
      </c>
      <c r="K72">
        <f t="shared" si="10"/>
        <v>-100.46655782675893</v>
      </c>
      <c r="L72">
        <f t="shared" si="11"/>
        <v>2.0967307391080576E-4</v>
      </c>
      <c r="O72">
        <f t="shared" si="12"/>
        <v>-113.86209887032679</v>
      </c>
      <c r="P72">
        <f t="shared" si="13"/>
        <v>-2.3747499384636035E-4</v>
      </c>
    </row>
    <row r="73" spans="1:16" x14ac:dyDescent="0.25">
      <c r="A73">
        <v>3.55</v>
      </c>
      <c r="B73">
        <v>-1.4999999999999999E-2</v>
      </c>
      <c r="C73">
        <v>1.7999999999999999E-2</v>
      </c>
      <c r="H73">
        <f t="shared" si="7"/>
        <v>3.55</v>
      </c>
      <c r="I73">
        <f t="shared" si="8"/>
        <v>-1.4999999999999999E-2</v>
      </c>
      <c r="J73">
        <f t="shared" si="9"/>
        <v>1.4678701693929154E-2</v>
      </c>
      <c r="K73">
        <f t="shared" si="10"/>
        <v>-100.46655782675893</v>
      </c>
      <c r="L73">
        <f t="shared" si="11"/>
        <v>1.9571602258572202E-4</v>
      </c>
      <c r="O73">
        <f t="shared" si="12"/>
        <v>-113.86209887032679</v>
      </c>
      <c r="P73">
        <f t="shared" si="13"/>
        <v>-2.5143204517144406E-4</v>
      </c>
    </row>
    <row r="74" spans="1:16" x14ac:dyDescent="0.25">
      <c r="A74">
        <v>3.6</v>
      </c>
      <c r="B74">
        <v>-1.4999999999999999E-2</v>
      </c>
      <c r="C74">
        <v>1.9E-2</v>
      </c>
      <c r="H74">
        <f t="shared" si="7"/>
        <v>3.6</v>
      </c>
      <c r="I74">
        <f t="shared" si="8"/>
        <v>-1.4999999999999999E-2</v>
      </c>
      <c r="J74">
        <f t="shared" si="9"/>
        <v>1.5631922844547876E-2</v>
      </c>
      <c r="K74">
        <f t="shared" si="10"/>
        <v>-100.46655782675893</v>
      </c>
      <c r="L74">
        <f t="shared" si="11"/>
        <v>2.0842563792730496E-4</v>
      </c>
      <c r="O74">
        <f t="shared" si="12"/>
        <v>-113.86209887032679</v>
      </c>
      <c r="P74">
        <f t="shared" si="13"/>
        <v>-2.3872242982986115E-4</v>
      </c>
    </row>
    <row r="75" spans="1:16" x14ac:dyDescent="0.25">
      <c r="A75">
        <v>3.65</v>
      </c>
      <c r="B75">
        <v>-1.4999999999999999E-2</v>
      </c>
      <c r="C75">
        <v>1.7999999999999999E-2</v>
      </c>
      <c r="H75">
        <f t="shared" si="7"/>
        <v>3.65</v>
      </c>
      <c r="I75">
        <f t="shared" si="8"/>
        <v>-1.4999999999999999E-2</v>
      </c>
      <c r="J75">
        <f t="shared" si="9"/>
        <v>1.4585143995166595E-2</v>
      </c>
      <c r="K75">
        <f t="shared" si="10"/>
        <v>-100.46655782675893</v>
      </c>
      <c r="L75">
        <f t="shared" si="11"/>
        <v>1.9446858660222122E-4</v>
      </c>
      <c r="O75">
        <f t="shared" si="12"/>
        <v>-113.86209887032679</v>
      </c>
      <c r="P75">
        <f t="shared" si="13"/>
        <v>-2.5267948115494489E-4</v>
      </c>
    </row>
    <row r="76" spans="1:16" x14ac:dyDescent="0.25">
      <c r="A76">
        <v>3.7</v>
      </c>
      <c r="B76">
        <v>-1.4999999999999999E-2</v>
      </c>
      <c r="C76">
        <v>1.9E-2</v>
      </c>
      <c r="H76">
        <f t="shared" si="7"/>
        <v>3.7</v>
      </c>
      <c r="I76">
        <f t="shared" si="8"/>
        <v>-1.4999999999999999E-2</v>
      </c>
      <c r="J76">
        <f t="shared" si="9"/>
        <v>1.5538365145785316E-2</v>
      </c>
      <c r="K76">
        <f t="shared" si="10"/>
        <v>-100.46655782675893</v>
      </c>
      <c r="L76">
        <f t="shared" si="11"/>
        <v>2.0717820194380418E-4</v>
      </c>
      <c r="O76">
        <f t="shared" si="12"/>
        <v>-113.86209887032679</v>
      </c>
      <c r="P76">
        <f t="shared" si="13"/>
        <v>-2.3996986581336193E-4</v>
      </c>
    </row>
    <row r="77" spans="1:16" x14ac:dyDescent="0.25">
      <c r="A77">
        <v>3.75</v>
      </c>
      <c r="B77">
        <v>-1.4999999999999999E-2</v>
      </c>
      <c r="C77">
        <v>1.7999999999999999E-2</v>
      </c>
      <c r="H77">
        <f t="shared" si="7"/>
        <v>3.75</v>
      </c>
      <c r="I77">
        <f t="shared" si="8"/>
        <v>-1.4999999999999999E-2</v>
      </c>
      <c r="J77">
        <f t="shared" si="9"/>
        <v>1.4491586296404036E-2</v>
      </c>
      <c r="K77">
        <f t="shared" si="10"/>
        <v>-100.46655782675893</v>
      </c>
      <c r="L77">
        <f t="shared" si="11"/>
        <v>1.9322115061872044E-4</v>
      </c>
      <c r="O77">
        <f t="shared" si="12"/>
        <v>-113.86209887032679</v>
      </c>
      <c r="P77">
        <f t="shared" si="13"/>
        <v>-2.5392691713844567E-4</v>
      </c>
    </row>
    <row r="78" spans="1:16" x14ac:dyDescent="0.25">
      <c r="A78">
        <v>3.8</v>
      </c>
      <c r="B78">
        <v>-1.4999999999999999E-2</v>
      </c>
      <c r="C78">
        <v>1.9E-2</v>
      </c>
      <c r="H78">
        <f t="shared" si="7"/>
        <v>3.8</v>
      </c>
      <c r="I78">
        <f t="shared" si="8"/>
        <v>-1.4999999999999999E-2</v>
      </c>
      <c r="J78">
        <f t="shared" si="9"/>
        <v>1.5444807447022757E-2</v>
      </c>
      <c r="K78">
        <f t="shared" si="10"/>
        <v>-100.46655782675893</v>
      </c>
      <c r="L78">
        <f t="shared" si="11"/>
        <v>2.0593076596030338E-4</v>
      </c>
      <c r="O78">
        <f t="shared" si="12"/>
        <v>-113.86209887032679</v>
      </c>
      <c r="P78">
        <f t="shared" si="13"/>
        <v>-2.4121730179686273E-4</v>
      </c>
    </row>
    <row r="79" spans="1:16" x14ac:dyDescent="0.25">
      <c r="A79">
        <v>3.85</v>
      </c>
      <c r="B79">
        <v>-1.4999999999999999E-2</v>
      </c>
      <c r="C79">
        <v>1.7999999999999999E-2</v>
      </c>
      <c r="H79">
        <f t="shared" si="7"/>
        <v>3.85</v>
      </c>
      <c r="I79">
        <f t="shared" si="8"/>
        <v>-1.4999999999999999E-2</v>
      </c>
      <c r="J79">
        <f t="shared" si="9"/>
        <v>1.4398028597641476E-2</v>
      </c>
      <c r="K79">
        <f t="shared" si="10"/>
        <v>-100.46655782675893</v>
      </c>
      <c r="L79">
        <f t="shared" si="11"/>
        <v>1.9197371463521964E-4</v>
      </c>
      <c r="O79">
        <f t="shared" si="12"/>
        <v>-113.86209887032679</v>
      </c>
      <c r="P79">
        <f t="shared" si="13"/>
        <v>-2.5517435312194644E-4</v>
      </c>
    </row>
    <row r="80" spans="1:16" x14ac:dyDescent="0.25">
      <c r="A80">
        <v>3.9</v>
      </c>
      <c r="B80">
        <v>-1.4E-2</v>
      </c>
      <c r="C80">
        <v>0.02</v>
      </c>
      <c r="H80">
        <f t="shared" si="7"/>
        <v>3.9</v>
      </c>
      <c r="I80">
        <f t="shared" si="8"/>
        <v>-1.4E-2</v>
      </c>
      <c r="J80">
        <f t="shared" si="9"/>
        <v>1.6351249748260199E-2</v>
      </c>
      <c r="K80">
        <f t="shared" si="10"/>
        <v>-93.768787304975007</v>
      </c>
      <c r="L80">
        <f t="shared" si="11"/>
        <v>2.1801666331013595E-4</v>
      </c>
      <c r="O80">
        <f t="shared" si="12"/>
        <v>-107.16432834854287</v>
      </c>
      <c r="P80">
        <f t="shared" si="13"/>
        <v>-2.2913140444703016E-4</v>
      </c>
    </row>
    <row r="81" spans="1:16" x14ac:dyDescent="0.25">
      <c r="A81">
        <v>3.95</v>
      </c>
      <c r="B81">
        <v>-1.4E-2</v>
      </c>
      <c r="C81">
        <v>1.9E-2</v>
      </c>
      <c r="H81">
        <f t="shared" si="7"/>
        <v>3.95</v>
      </c>
      <c r="I81">
        <f t="shared" si="8"/>
        <v>-1.4E-2</v>
      </c>
      <c r="J81">
        <f t="shared" si="9"/>
        <v>1.5304470898878918E-2</v>
      </c>
      <c r="K81">
        <f t="shared" si="10"/>
        <v>-93.768787304975007</v>
      </c>
      <c r="L81">
        <f t="shared" si="11"/>
        <v>2.0405961198505221E-4</v>
      </c>
      <c r="O81">
        <f t="shared" si="12"/>
        <v>-107.16432834854287</v>
      </c>
      <c r="P81">
        <f t="shared" si="13"/>
        <v>-2.430884557721139E-4</v>
      </c>
    </row>
    <row r="82" spans="1:16" x14ac:dyDescent="0.25">
      <c r="A82">
        <v>4</v>
      </c>
      <c r="B82">
        <v>-1.2999999999999999E-2</v>
      </c>
      <c r="C82">
        <v>2.1000000000000001E-2</v>
      </c>
      <c r="H82">
        <f t="shared" si="7"/>
        <v>4</v>
      </c>
      <c r="I82">
        <f t="shared" si="8"/>
        <v>-1.2999999999999999E-2</v>
      </c>
      <c r="J82">
        <f t="shared" si="9"/>
        <v>1.725769204949764E-2</v>
      </c>
      <c r="K82">
        <f t="shared" si="10"/>
        <v>-87.071016783191084</v>
      </c>
      <c r="L82">
        <f t="shared" si="11"/>
        <v>2.301025606599685E-4</v>
      </c>
      <c r="O82">
        <f t="shared" si="12"/>
        <v>-100.46655782675894</v>
      </c>
      <c r="P82">
        <f t="shared" si="13"/>
        <v>-2.1704550709719761E-4</v>
      </c>
    </row>
    <row r="83" spans="1:16" x14ac:dyDescent="0.25">
      <c r="A83">
        <v>4.05</v>
      </c>
      <c r="B83">
        <v>-1.2999999999999999E-2</v>
      </c>
      <c r="C83">
        <v>0.02</v>
      </c>
      <c r="H83">
        <f t="shared" si="7"/>
        <v>4.05</v>
      </c>
      <c r="I83">
        <f t="shared" si="8"/>
        <v>-1.2999999999999999E-2</v>
      </c>
      <c r="J83">
        <f t="shared" si="9"/>
        <v>1.6210913200116361E-2</v>
      </c>
      <c r="K83">
        <f t="shared" si="10"/>
        <v>-87.071016783191084</v>
      </c>
      <c r="L83">
        <f t="shared" si="11"/>
        <v>2.1614550933488479E-4</v>
      </c>
      <c r="O83">
        <f t="shared" si="12"/>
        <v>-100.46655782675894</v>
      </c>
      <c r="P83">
        <f t="shared" si="13"/>
        <v>-2.3100255842228132E-4</v>
      </c>
    </row>
    <row r="84" spans="1:16" x14ac:dyDescent="0.25">
      <c r="A84">
        <v>4.0999999999999996</v>
      </c>
      <c r="B84">
        <v>-1.2999999999999999E-2</v>
      </c>
      <c r="C84">
        <v>2.1000000000000001E-2</v>
      </c>
      <c r="H84">
        <f t="shared" si="7"/>
        <v>4.0999999999999996</v>
      </c>
      <c r="I84">
        <f t="shared" si="8"/>
        <v>-1.2999999999999999E-2</v>
      </c>
      <c r="J84">
        <f t="shared" si="9"/>
        <v>1.7164134350735081E-2</v>
      </c>
      <c r="K84">
        <f t="shared" si="10"/>
        <v>-87.071016783191084</v>
      </c>
      <c r="L84">
        <f t="shared" si="11"/>
        <v>2.2885512467646769E-4</v>
      </c>
      <c r="O84">
        <f t="shared" si="12"/>
        <v>-100.46655782675894</v>
      </c>
      <c r="P84">
        <f t="shared" si="13"/>
        <v>-2.1829294308069842E-4</v>
      </c>
    </row>
    <row r="85" spans="1:16" x14ac:dyDescent="0.25">
      <c r="A85">
        <v>4.1500000000000004</v>
      </c>
      <c r="B85">
        <v>-1.2999999999999999E-2</v>
      </c>
      <c r="C85">
        <v>2.1000000000000001E-2</v>
      </c>
      <c r="H85">
        <f t="shared" si="7"/>
        <v>4.1500000000000004</v>
      </c>
      <c r="I85">
        <f t="shared" si="8"/>
        <v>-1.2999999999999999E-2</v>
      </c>
      <c r="J85">
        <f t="shared" si="9"/>
        <v>1.7117355501353803E-2</v>
      </c>
      <c r="K85">
        <f t="shared" si="10"/>
        <v>-87.071016783191084</v>
      </c>
      <c r="L85">
        <f t="shared" si="11"/>
        <v>2.2823140668471733E-4</v>
      </c>
      <c r="O85">
        <f t="shared" si="12"/>
        <v>-100.46655782675894</v>
      </c>
      <c r="P85">
        <f t="shared" si="13"/>
        <v>-2.1891666107244878E-4</v>
      </c>
    </row>
    <row r="86" spans="1:16" x14ac:dyDescent="0.25">
      <c r="A86">
        <v>4.2</v>
      </c>
      <c r="B86">
        <v>-1.2999999999999999E-2</v>
      </c>
      <c r="C86">
        <v>2.1999999999999999E-2</v>
      </c>
      <c r="H86">
        <f t="shared" si="7"/>
        <v>4.2</v>
      </c>
      <c r="I86">
        <f t="shared" si="8"/>
        <v>-1.2999999999999999E-2</v>
      </c>
      <c r="J86">
        <f t="shared" si="9"/>
        <v>1.8070576651972519E-2</v>
      </c>
      <c r="K86">
        <f t="shared" si="10"/>
        <v>-87.071016783191084</v>
      </c>
      <c r="L86">
        <f t="shared" si="11"/>
        <v>2.4094102202630021E-4</v>
      </c>
      <c r="O86">
        <f t="shared" si="12"/>
        <v>-100.46655782675894</v>
      </c>
      <c r="P86">
        <f t="shared" si="13"/>
        <v>-2.062070457308659E-4</v>
      </c>
    </row>
    <row r="87" spans="1:16" x14ac:dyDescent="0.25">
      <c r="A87">
        <v>4.25</v>
      </c>
      <c r="B87">
        <v>-1.2E-2</v>
      </c>
      <c r="C87">
        <v>2.1000000000000001E-2</v>
      </c>
      <c r="H87">
        <f t="shared" si="7"/>
        <v>4.25</v>
      </c>
      <c r="I87">
        <f t="shared" si="8"/>
        <v>-1.2E-2</v>
      </c>
      <c r="J87">
        <f t="shared" si="9"/>
        <v>1.7023797802591244E-2</v>
      </c>
      <c r="K87">
        <f t="shared" si="10"/>
        <v>-80.373246261407147</v>
      </c>
      <c r="L87">
        <f t="shared" si="11"/>
        <v>2.2698397070121653E-4</v>
      </c>
      <c r="O87">
        <f t="shared" si="12"/>
        <v>-93.768787304975007</v>
      </c>
      <c r="P87">
        <f t="shared" si="13"/>
        <v>-2.2016409705594958E-4</v>
      </c>
    </row>
    <row r="88" spans="1:16" x14ac:dyDescent="0.25">
      <c r="A88">
        <v>4.3</v>
      </c>
      <c r="B88">
        <v>-1.2999999999999999E-2</v>
      </c>
      <c r="C88">
        <v>2.1999999999999999E-2</v>
      </c>
      <c r="H88">
        <f t="shared" si="7"/>
        <v>4.3</v>
      </c>
      <c r="I88">
        <f t="shared" si="8"/>
        <v>-1.2999999999999999E-2</v>
      </c>
      <c r="J88">
        <f t="shared" si="9"/>
        <v>1.797701895320996E-2</v>
      </c>
      <c r="K88">
        <f t="shared" si="10"/>
        <v>-87.071016783191084</v>
      </c>
      <c r="L88">
        <f t="shared" si="11"/>
        <v>2.3969358604279941E-4</v>
      </c>
      <c r="O88">
        <f t="shared" si="12"/>
        <v>-100.46655782675894</v>
      </c>
      <c r="P88">
        <f t="shared" si="13"/>
        <v>-2.074544817143667E-4</v>
      </c>
    </row>
    <row r="89" spans="1:16" x14ac:dyDescent="0.25">
      <c r="A89">
        <v>4.3499999999999996</v>
      </c>
      <c r="B89">
        <v>-1.2999999999999999E-2</v>
      </c>
      <c r="C89">
        <v>2.1000000000000001E-2</v>
      </c>
      <c r="H89">
        <f t="shared" si="7"/>
        <v>4.3499999999999996</v>
      </c>
      <c r="I89">
        <f t="shared" si="8"/>
        <v>-1.2999999999999999E-2</v>
      </c>
      <c r="J89">
        <f t="shared" si="9"/>
        <v>1.6930240103828684E-2</v>
      </c>
      <c r="K89">
        <f t="shared" si="10"/>
        <v>-87.071016783191084</v>
      </c>
      <c r="L89">
        <f t="shared" si="11"/>
        <v>2.2573653471771575E-4</v>
      </c>
      <c r="O89">
        <f t="shared" si="12"/>
        <v>-100.46655782675894</v>
      </c>
      <c r="P89">
        <f t="shared" si="13"/>
        <v>-2.2141153303945036E-4</v>
      </c>
    </row>
    <row r="90" spans="1:16" x14ac:dyDescent="0.25">
      <c r="A90">
        <v>4.4000000000000004</v>
      </c>
      <c r="B90">
        <v>-1.2999999999999999E-2</v>
      </c>
      <c r="C90">
        <v>2.1999999999999999E-2</v>
      </c>
      <c r="H90">
        <f t="shared" si="7"/>
        <v>4.4000000000000004</v>
      </c>
      <c r="I90">
        <f t="shared" si="8"/>
        <v>-1.2999999999999999E-2</v>
      </c>
      <c r="J90">
        <f t="shared" si="9"/>
        <v>1.7883461254447404E-2</v>
      </c>
      <c r="K90">
        <f t="shared" si="10"/>
        <v>-87.071016783191084</v>
      </c>
      <c r="L90">
        <f t="shared" si="11"/>
        <v>2.3844615005929866E-4</v>
      </c>
      <c r="O90">
        <f t="shared" si="12"/>
        <v>-100.46655782675894</v>
      </c>
      <c r="P90">
        <f t="shared" si="13"/>
        <v>-2.0870191769786745E-4</v>
      </c>
    </row>
    <row r="91" spans="1:16" x14ac:dyDescent="0.25">
      <c r="A91">
        <v>4.45</v>
      </c>
      <c r="B91">
        <v>-1.2999999999999999E-2</v>
      </c>
      <c r="C91">
        <v>2.1000000000000001E-2</v>
      </c>
      <c r="H91">
        <f t="shared" si="7"/>
        <v>4.45</v>
      </c>
      <c r="I91">
        <f t="shared" si="8"/>
        <v>-1.2999999999999999E-2</v>
      </c>
      <c r="J91">
        <f t="shared" si="9"/>
        <v>1.6836682405066125E-2</v>
      </c>
      <c r="K91">
        <f t="shared" si="10"/>
        <v>-87.071016783191084</v>
      </c>
      <c r="L91">
        <f t="shared" si="11"/>
        <v>2.2448909873421495E-4</v>
      </c>
      <c r="O91">
        <f t="shared" si="12"/>
        <v>-100.46655782675894</v>
      </c>
      <c r="P91">
        <f t="shared" si="13"/>
        <v>-2.2265896902295116E-4</v>
      </c>
    </row>
    <row r="92" spans="1:16" x14ac:dyDescent="0.25">
      <c r="A92">
        <v>4.5</v>
      </c>
      <c r="B92">
        <v>-1.2E-2</v>
      </c>
      <c r="C92">
        <v>2.1999999999999999E-2</v>
      </c>
      <c r="H92">
        <f t="shared" si="7"/>
        <v>4.5</v>
      </c>
      <c r="I92">
        <f t="shared" si="8"/>
        <v>-1.2E-2</v>
      </c>
      <c r="J92">
        <f t="shared" si="9"/>
        <v>1.7789903555684845E-2</v>
      </c>
      <c r="K92">
        <f t="shared" si="10"/>
        <v>-80.373246261407147</v>
      </c>
      <c r="L92">
        <f t="shared" si="11"/>
        <v>2.3719871407579788E-4</v>
      </c>
      <c r="O92">
        <f t="shared" si="12"/>
        <v>-93.768787304975007</v>
      </c>
      <c r="P92">
        <f t="shared" si="13"/>
        <v>-2.0994935368136823E-4</v>
      </c>
    </row>
    <row r="93" spans="1:16" x14ac:dyDescent="0.25">
      <c r="A93">
        <v>4.55</v>
      </c>
      <c r="B93">
        <v>-1.2E-2</v>
      </c>
      <c r="C93">
        <v>2.1999999999999999E-2</v>
      </c>
      <c r="H93">
        <f t="shared" si="7"/>
        <v>4.55</v>
      </c>
      <c r="I93">
        <f t="shared" si="8"/>
        <v>-1.2E-2</v>
      </c>
      <c r="J93">
        <f t="shared" si="9"/>
        <v>1.7743124706303563E-2</v>
      </c>
      <c r="K93">
        <f t="shared" si="10"/>
        <v>-80.373246261407147</v>
      </c>
      <c r="L93">
        <f t="shared" si="11"/>
        <v>2.3657499608404747E-4</v>
      </c>
      <c r="O93">
        <f t="shared" si="12"/>
        <v>-93.768787304975007</v>
      </c>
      <c r="P93">
        <f t="shared" si="13"/>
        <v>-2.1057307167311864E-4</v>
      </c>
    </row>
    <row r="94" spans="1:16" x14ac:dyDescent="0.25">
      <c r="A94">
        <v>4.5999999999999996</v>
      </c>
      <c r="B94">
        <v>-1.2E-2</v>
      </c>
      <c r="C94">
        <v>2.3E-2</v>
      </c>
      <c r="H94">
        <f t="shared" si="7"/>
        <v>4.5999999999999996</v>
      </c>
      <c r="I94">
        <f t="shared" si="8"/>
        <v>-1.2E-2</v>
      </c>
      <c r="J94">
        <f t="shared" si="9"/>
        <v>1.8696345856922286E-2</v>
      </c>
      <c r="K94">
        <f t="shared" si="10"/>
        <v>-80.373246261407147</v>
      </c>
      <c r="L94">
        <f t="shared" si="11"/>
        <v>2.4928461142563046E-4</v>
      </c>
      <c r="O94">
        <f t="shared" si="12"/>
        <v>-93.768787304975007</v>
      </c>
      <c r="P94">
        <f t="shared" si="13"/>
        <v>-1.9786345633153565E-4</v>
      </c>
    </row>
    <row r="95" spans="1:16" x14ac:dyDescent="0.25">
      <c r="A95">
        <v>4.6500000000000004</v>
      </c>
      <c r="B95">
        <v>-1.2E-2</v>
      </c>
      <c r="C95">
        <v>2.1999999999999999E-2</v>
      </c>
      <c r="H95">
        <f t="shared" si="7"/>
        <v>4.6500000000000004</v>
      </c>
      <c r="I95">
        <f t="shared" si="8"/>
        <v>-1.2E-2</v>
      </c>
      <c r="J95">
        <f t="shared" si="9"/>
        <v>1.7649567007541004E-2</v>
      </c>
      <c r="K95">
        <f t="shared" si="10"/>
        <v>-80.373246261407147</v>
      </c>
      <c r="L95">
        <f t="shared" si="11"/>
        <v>2.3532756010054666E-4</v>
      </c>
      <c r="O95">
        <f t="shared" si="12"/>
        <v>-93.768787304975007</v>
      </c>
      <c r="P95">
        <f t="shared" si="13"/>
        <v>-2.1182050765661945E-4</v>
      </c>
    </row>
    <row r="96" spans="1:16" x14ac:dyDescent="0.25">
      <c r="A96">
        <v>4.7</v>
      </c>
      <c r="B96">
        <v>-1.2E-2</v>
      </c>
      <c r="C96">
        <v>2.3E-2</v>
      </c>
      <c r="H96">
        <f t="shared" si="7"/>
        <v>4.7</v>
      </c>
      <c r="I96">
        <f t="shared" si="8"/>
        <v>-1.2E-2</v>
      </c>
      <c r="J96">
        <f t="shared" si="9"/>
        <v>1.8602788158159727E-2</v>
      </c>
      <c r="K96">
        <f t="shared" si="10"/>
        <v>-80.373246261407147</v>
      </c>
      <c r="L96">
        <f t="shared" si="11"/>
        <v>2.4803717544212963E-4</v>
      </c>
      <c r="O96">
        <f t="shared" si="12"/>
        <v>-93.768787304975007</v>
      </c>
      <c r="P96">
        <f t="shared" si="13"/>
        <v>-1.9911089231503649E-4</v>
      </c>
    </row>
    <row r="97" spans="1:16" x14ac:dyDescent="0.25">
      <c r="A97">
        <v>4.75</v>
      </c>
      <c r="B97">
        <v>-1.2E-2</v>
      </c>
      <c r="C97">
        <v>2.1999999999999999E-2</v>
      </c>
      <c r="H97">
        <f t="shared" si="7"/>
        <v>4.75</v>
      </c>
      <c r="I97">
        <f t="shared" si="8"/>
        <v>-1.2E-2</v>
      </c>
      <c r="J97">
        <f t="shared" si="9"/>
        <v>1.7556009308778445E-2</v>
      </c>
      <c r="K97">
        <f t="shared" si="10"/>
        <v>-80.373246261407147</v>
      </c>
      <c r="L97">
        <f t="shared" si="11"/>
        <v>2.3408012411704589E-4</v>
      </c>
      <c r="O97">
        <f t="shared" si="12"/>
        <v>-93.768787304975007</v>
      </c>
      <c r="P97">
        <f t="shared" si="13"/>
        <v>-2.1306794364012022E-4</v>
      </c>
    </row>
    <row r="98" spans="1:16" x14ac:dyDescent="0.25">
      <c r="A98">
        <v>4.8</v>
      </c>
      <c r="B98">
        <v>-1.0999999999999999E-2</v>
      </c>
      <c r="C98">
        <v>2.4E-2</v>
      </c>
      <c r="H98">
        <f t="shared" si="7"/>
        <v>4.8</v>
      </c>
      <c r="I98">
        <f t="shared" si="8"/>
        <v>-1.0999999999999999E-2</v>
      </c>
      <c r="J98">
        <f t="shared" si="9"/>
        <v>1.9509230459397169E-2</v>
      </c>
      <c r="K98">
        <f t="shared" si="10"/>
        <v>-73.675475739623224</v>
      </c>
      <c r="L98">
        <f t="shared" si="11"/>
        <v>2.601230727919622E-4</v>
      </c>
      <c r="O98">
        <f t="shared" si="12"/>
        <v>-87.071016783191084</v>
      </c>
      <c r="P98">
        <f t="shared" si="13"/>
        <v>-1.8702499496520391E-4</v>
      </c>
    </row>
    <row r="99" spans="1:16" x14ac:dyDescent="0.25">
      <c r="A99">
        <v>4.8499999999999996</v>
      </c>
      <c r="B99">
        <v>-1.0999999999999999E-2</v>
      </c>
      <c r="C99">
        <v>2.3E-2</v>
      </c>
      <c r="H99">
        <f t="shared" si="7"/>
        <v>4.8499999999999996</v>
      </c>
      <c r="I99">
        <f t="shared" si="8"/>
        <v>-1.0999999999999999E-2</v>
      </c>
      <c r="J99">
        <f t="shared" si="9"/>
        <v>1.846245161001589E-2</v>
      </c>
      <c r="K99">
        <f t="shared" si="10"/>
        <v>-73.675475739623224</v>
      </c>
      <c r="L99">
        <f t="shared" si="11"/>
        <v>2.4616602146687849E-4</v>
      </c>
      <c r="O99">
        <f t="shared" si="12"/>
        <v>-87.071016783191084</v>
      </c>
      <c r="P99">
        <f t="shared" si="13"/>
        <v>-2.0098204629028762E-4</v>
      </c>
    </row>
    <row r="100" spans="1:16" x14ac:dyDescent="0.25">
      <c r="A100">
        <v>4.9000000000000004</v>
      </c>
      <c r="B100">
        <v>-1.0999999999999999E-2</v>
      </c>
      <c r="C100">
        <v>2.5000000000000001E-2</v>
      </c>
      <c r="H100">
        <f t="shared" si="7"/>
        <v>4.9000000000000004</v>
      </c>
      <c r="I100">
        <f t="shared" si="8"/>
        <v>-1.0999999999999999E-2</v>
      </c>
      <c r="J100">
        <f t="shared" si="9"/>
        <v>2.041567276063461E-2</v>
      </c>
      <c r="K100">
        <f t="shared" si="10"/>
        <v>-73.675475739623224</v>
      </c>
      <c r="L100">
        <f t="shared" si="11"/>
        <v>2.7220897014179477E-4</v>
      </c>
      <c r="O100">
        <f t="shared" si="12"/>
        <v>-87.071016783191084</v>
      </c>
      <c r="P100">
        <f t="shared" si="13"/>
        <v>-1.7493909761537134E-4</v>
      </c>
    </row>
    <row r="101" spans="1:16" x14ac:dyDescent="0.25">
      <c r="A101">
        <v>4.95</v>
      </c>
      <c r="B101">
        <v>-0.01</v>
      </c>
      <c r="C101">
        <v>2.4E-2</v>
      </c>
      <c r="H101">
        <f t="shared" si="7"/>
        <v>4.95</v>
      </c>
      <c r="I101">
        <f t="shared" si="8"/>
        <v>-0.01</v>
      </c>
      <c r="J101">
        <f t="shared" si="9"/>
        <v>1.9368893911253328E-2</v>
      </c>
      <c r="K101">
        <f t="shared" si="10"/>
        <v>-66.977705217839301</v>
      </c>
      <c r="L101">
        <f t="shared" si="11"/>
        <v>2.5825191881671101E-4</v>
      </c>
      <c r="O101">
        <f t="shared" si="12"/>
        <v>-80.373246261407161</v>
      </c>
      <c r="P101">
        <f t="shared" si="13"/>
        <v>-1.888961489404551E-4</v>
      </c>
    </row>
    <row r="102" spans="1:16" x14ac:dyDescent="0.25">
      <c r="A102">
        <v>5</v>
      </c>
      <c r="B102">
        <v>-1.0999999999999999E-2</v>
      </c>
      <c r="C102">
        <v>2.5000000000000001E-2</v>
      </c>
      <c r="H102">
        <f t="shared" si="7"/>
        <v>5</v>
      </c>
      <c r="I102">
        <f t="shared" si="8"/>
        <v>-1.0999999999999999E-2</v>
      </c>
      <c r="J102">
        <f t="shared" si="9"/>
        <v>2.0322115061872051E-2</v>
      </c>
      <c r="K102">
        <f t="shared" si="10"/>
        <v>-73.675475739623224</v>
      </c>
      <c r="L102">
        <f t="shared" si="11"/>
        <v>2.7096153415829394E-4</v>
      </c>
      <c r="O102">
        <f t="shared" si="12"/>
        <v>-87.071016783191084</v>
      </c>
      <c r="P102">
        <f t="shared" si="13"/>
        <v>-1.7618653359887217E-4</v>
      </c>
    </row>
    <row r="103" spans="1:16" x14ac:dyDescent="0.25">
      <c r="A103">
        <v>5.05</v>
      </c>
      <c r="B103">
        <v>-1.0999999999999999E-2</v>
      </c>
      <c r="C103">
        <v>2.4E-2</v>
      </c>
      <c r="H103">
        <f t="shared" si="7"/>
        <v>5.05</v>
      </c>
      <c r="I103">
        <f t="shared" si="8"/>
        <v>-1.0999999999999999E-2</v>
      </c>
      <c r="J103">
        <f t="shared" si="9"/>
        <v>1.9275336212490772E-2</v>
      </c>
      <c r="K103">
        <f t="shared" si="10"/>
        <v>-73.675475739623224</v>
      </c>
      <c r="L103">
        <f t="shared" si="11"/>
        <v>2.5700448283321023E-4</v>
      </c>
      <c r="O103">
        <f t="shared" si="12"/>
        <v>-87.071016783191084</v>
      </c>
      <c r="P103">
        <f t="shared" si="13"/>
        <v>-1.9014358492395588E-4</v>
      </c>
    </row>
    <row r="104" spans="1:16" x14ac:dyDescent="0.25">
      <c r="A104">
        <v>5.0999999999999996</v>
      </c>
      <c r="B104">
        <v>-1.0999999999999999E-2</v>
      </c>
      <c r="C104">
        <v>2.5000000000000001E-2</v>
      </c>
      <c r="H104">
        <f t="shared" si="7"/>
        <v>5.0999999999999996</v>
      </c>
      <c r="I104">
        <f t="shared" si="8"/>
        <v>-1.0999999999999999E-2</v>
      </c>
      <c r="J104">
        <f t="shared" si="9"/>
        <v>2.0228557363109492E-2</v>
      </c>
      <c r="K104">
        <f t="shared" si="10"/>
        <v>-73.675475739623224</v>
      </c>
      <c r="L104">
        <f t="shared" si="11"/>
        <v>2.6971409817479316E-4</v>
      </c>
      <c r="O104">
        <f t="shared" si="12"/>
        <v>-87.071016783191084</v>
      </c>
      <c r="P104">
        <f t="shared" si="13"/>
        <v>-1.7743396958237295E-4</v>
      </c>
    </row>
    <row r="105" spans="1:16" x14ac:dyDescent="0.25">
      <c r="A105">
        <v>5.15</v>
      </c>
      <c r="B105">
        <v>-1.0999999999999999E-2</v>
      </c>
      <c r="C105">
        <v>2.4E-2</v>
      </c>
      <c r="H105">
        <f t="shared" si="7"/>
        <v>5.15</v>
      </c>
      <c r="I105">
        <f t="shared" si="8"/>
        <v>-1.0999999999999999E-2</v>
      </c>
      <c r="J105">
        <f t="shared" si="9"/>
        <v>1.9181778513728209E-2</v>
      </c>
      <c r="K105">
        <f t="shared" si="10"/>
        <v>-73.675475739623224</v>
      </c>
      <c r="L105">
        <f t="shared" si="11"/>
        <v>2.557570468497094E-4</v>
      </c>
      <c r="O105">
        <f t="shared" si="12"/>
        <v>-87.071016783191084</v>
      </c>
      <c r="P105">
        <f t="shared" si="13"/>
        <v>-1.9139102090745671E-4</v>
      </c>
    </row>
    <row r="106" spans="1:16" x14ac:dyDescent="0.25">
      <c r="A106">
        <v>5.2</v>
      </c>
      <c r="B106">
        <v>-0.01</v>
      </c>
      <c r="C106">
        <v>2.5000000000000001E-2</v>
      </c>
      <c r="H106">
        <f t="shared" si="7"/>
        <v>5.2</v>
      </c>
      <c r="I106">
        <f t="shared" si="8"/>
        <v>-0.01</v>
      </c>
      <c r="J106">
        <f t="shared" si="9"/>
        <v>2.0134999664346932E-2</v>
      </c>
      <c r="K106">
        <f t="shared" si="10"/>
        <v>-66.977705217839301</v>
      </c>
      <c r="L106">
        <f t="shared" si="11"/>
        <v>2.6846666219129239E-4</v>
      </c>
      <c r="O106">
        <f t="shared" si="12"/>
        <v>-80.373246261407161</v>
      </c>
      <c r="P106">
        <f t="shared" si="13"/>
        <v>-1.7868140556587372E-4</v>
      </c>
    </row>
    <row r="107" spans="1:16" x14ac:dyDescent="0.25">
      <c r="A107">
        <v>5.25</v>
      </c>
      <c r="B107">
        <v>-1.0999999999999999E-2</v>
      </c>
      <c r="C107">
        <v>2.4E-2</v>
      </c>
      <c r="H107">
        <f t="shared" si="7"/>
        <v>5.25</v>
      </c>
      <c r="I107">
        <f t="shared" si="8"/>
        <v>-1.0999999999999999E-2</v>
      </c>
      <c r="J107">
        <f t="shared" si="9"/>
        <v>1.9088220814965653E-2</v>
      </c>
      <c r="K107">
        <f t="shared" si="10"/>
        <v>-73.675475739623224</v>
      </c>
      <c r="L107">
        <f t="shared" si="11"/>
        <v>2.5450961086620868E-4</v>
      </c>
      <c r="O107">
        <f t="shared" si="12"/>
        <v>-87.071016783191084</v>
      </c>
      <c r="P107">
        <f t="shared" si="13"/>
        <v>-1.9263845689095744E-4</v>
      </c>
    </row>
    <row r="108" spans="1:16" x14ac:dyDescent="0.25">
      <c r="A108">
        <v>5.3</v>
      </c>
      <c r="B108">
        <v>-1.0999999999999999E-2</v>
      </c>
      <c r="C108">
        <v>2.5000000000000001E-2</v>
      </c>
      <c r="H108">
        <f t="shared" si="7"/>
        <v>5.3</v>
      </c>
      <c r="I108">
        <f t="shared" si="8"/>
        <v>-1.0999999999999999E-2</v>
      </c>
      <c r="J108">
        <f t="shared" si="9"/>
        <v>2.0041441965584373E-2</v>
      </c>
      <c r="K108">
        <f t="shared" si="10"/>
        <v>-73.675475739623224</v>
      </c>
      <c r="L108">
        <f t="shared" si="11"/>
        <v>2.6721922620779161E-4</v>
      </c>
      <c r="O108">
        <f t="shared" si="12"/>
        <v>-87.071016783191084</v>
      </c>
      <c r="P108">
        <f t="shared" si="13"/>
        <v>-1.799288415493745E-4</v>
      </c>
    </row>
    <row r="109" spans="1:16" x14ac:dyDescent="0.25">
      <c r="A109">
        <v>5.35</v>
      </c>
      <c r="B109">
        <v>-1.0999999999999999E-2</v>
      </c>
      <c r="C109">
        <v>2.4E-2</v>
      </c>
      <c r="H109">
        <f t="shared" si="7"/>
        <v>5.35</v>
      </c>
      <c r="I109">
        <f t="shared" si="8"/>
        <v>-1.0999999999999999E-2</v>
      </c>
      <c r="J109">
        <f t="shared" si="9"/>
        <v>1.8994663116203094E-2</v>
      </c>
      <c r="K109">
        <f t="shared" si="10"/>
        <v>-73.675475739623224</v>
      </c>
      <c r="L109">
        <f t="shared" si="11"/>
        <v>2.532621748827079E-4</v>
      </c>
      <c r="O109">
        <f t="shared" si="12"/>
        <v>-87.071016783191084</v>
      </c>
      <c r="P109">
        <f t="shared" si="13"/>
        <v>-1.9388589287445821E-4</v>
      </c>
    </row>
    <row r="110" spans="1:16" x14ac:dyDescent="0.25">
      <c r="A110">
        <v>5.4</v>
      </c>
      <c r="B110">
        <v>-0.01</v>
      </c>
      <c r="C110">
        <v>2.5000000000000001E-2</v>
      </c>
      <c r="H110">
        <f t="shared" si="7"/>
        <v>5.4</v>
      </c>
      <c r="I110">
        <f t="shared" si="8"/>
        <v>-0.01</v>
      </c>
      <c r="J110">
        <f t="shared" si="9"/>
        <v>1.9947884266821814E-2</v>
      </c>
      <c r="K110">
        <f t="shared" si="10"/>
        <v>-66.977705217839301</v>
      </c>
      <c r="L110">
        <f t="shared" si="11"/>
        <v>2.6597179022429078E-4</v>
      </c>
      <c r="O110">
        <f t="shared" si="12"/>
        <v>-80.373246261407161</v>
      </c>
      <c r="P110">
        <f t="shared" si="13"/>
        <v>-1.8117627753287533E-4</v>
      </c>
    </row>
    <row r="111" spans="1:16" x14ac:dyDescent="0.25">
      <c r="A111">
        <v>5.45</v>
      </c>
      <c r="B111">
        <v>-0.01</v>
      </c>
      <c r="C111">
        <v>2.5000000000000001E-2</v>
      </c>
      <c r="H111">
        <f t="shared" si="7"/>
        <v>5.45</v>
      </c>
      <c r="I111">
        <f t="shared" si="8"/>
        <v>-0.01</v>
      </c>
      <c r="J111">
        <f t="shared" si="9"/>
        <v>1.9901105417440536E-2</v>
      </c>
      <c r="K111">
        <f t="shared" si="10"/>
        <v>-66.977705217839301</v>
      </c>
      <c r="L111">
        <f t="shared" si="11"/>
        <v>2.6534807223254042E-4</v>
      </c>
      <c r="O111">
        <f t="shared" si="12"/>
        <v>-80.373246261407161</v>
      </c>
      <c r="P111">
        <f t="shared" si="13"/>
        <v>-1.8179999552462569E-4</v>
      </c>
    </row>
    <row r="112" spans="1:16" x14ac:dyDescent="0.25">
      <c r="A112">
        <v>5.5</v>
      </c>
      <c r="B112">
        <v>-0.01</v>
      </c>
      <c r="C112">
        <v>2.5999999999999999E-2</v>
      </c>
      <c r="H112">
        <f t="shared" si="7"/>
        <v>5.5</v>
      </c>
      <c r="I112">
        <f t="shared" si="8"/>
        <v>-0.01</v>
      </c>
      <c r="J112">
        <f t="shared" si="9"/>
        <v>2.0854326568059252E-2</v>
      </c>
      <c r="K112">
        <f t="shared" si="10"/>
        <v>-66.977705217839301</v>
      </c>
      <c r="L112">
        <f t="shared" si="11"/>
        <v>2.780576875741233E-4</v>
      </c>
      <c r="O112">
        <f t="shared" si="12"/>
        <v>-80.373246261407161</v>
      </c>
      <c r="P112">
        <f t="shared" si="13"/>
        <v>-1.6909038018304281E-4</v>
      </c>
    </row>
    <row r="113" spans="1:16" x14ac:dyDescent="0.25">
      <c r="A113">
        <v>5.55</v>
      </c>
      <c r="B113">
        <v>-0.01</v>
      </c>
      <c r="C113">
        <v>2.5999999999999999E-2</v>
      </c>
      <c r="H113">
        <f t="shared" si="7"/>
        <v>5.55</v>
      </c>
      <c r="I113">
        <f t="shared" si="8"/>
        <v>-0.01</v>
      </c>
      <c r="J113">
        <f t="shared" si="9"/>
        <v>2.0807547718677974E-2</v>
      </c>
      <c r="K113">
        <f t="shared" si="10"/>
        <v>-66.977705217839301</v>
      </c>
      <c r="L113">
        <f t="shared" si="11"/>
        <v>2.7743396958237294E-4</v>
      </c>
      <c r="O113">
        <f t="shared" si="12"/>
        <v>-80.373246261407161</v>
      </c>
      <c r="P113">
        <f t="shared" si="13"/>
        <v>-1.6971409817479317E-4</v>
      </c>
    </row>
    <row r="114" spans="1:16" x14ac:dyDescent="0.25">
      <c r="A114">
        <v>5.6</v>
      </c>
      <c r="B114">
        <v>-8.9999999999999993E-3</v>
      </c>
      <c r="C114">
        <v>2.7E-2</v>
      </c>
      <c r="H114">
        <f t="shared" si="7"/>
        <v>5.6</v>
      </c>
      <c r="I114">
        <f t="shared" si="8"/>
        <v>-8.9999999999999993E-3</v>
      </c>
      <c r="J114">
        <f t="shared" si="9"/>
        <v>2.1760768869296697E-2</v>
      </c>
      <c r="K114">
        <f t="shared" si="10"/>
        <v>-60.279934696055356</v>
      </c>
      <c r="L114">
        <f t="shared" si="11"/>
        <v>2.9014358492395593E-4</v>
      </c>
      <c r="O114">
        <f t="shared" si="12"/>
        <v>-73.675475739623209</v>
      </c>
      <c r="P114">
        <f t="shared" si="13"/>
        <v>-1.5700448283321018E-4</v>
      </c>
    </row>
    <row r="115" spans="1:16" x14ac:dyDescent="0.25">
      <c r="A115">
        <v>5.65</v>
      </c>
      <c r="B115">
        <v>-8.9999999999999993E-3</v>
      </c>
      <c r="C115">
        <v>2.5999999999999999E-2</v>
      </c>
      <c r="H115">
        <f t="shared" si="7"/>
        <v>5.65</v>
      </c>
      <c r="I115">
        <f t="shared" si="8"/>
        <v>-8.9999999999999993E-3</v>
      </c>
      <c r="J115">
        <f t="shared" si="9"/>
        <v>2.0713990019915415E-2</v>
      </c>
      <c r="K115">
        <f t="shared" si="10"/>
        <v>-60.279934696055356</v>
      </c>
      <c r="L115">
        <f t="shared" si="11"/>
        <v>2.7618653359887216E-4</v>
      </c>
      <c r="O115">
        <f t="shared" si="12"/>
        <v>-73.675475739623209</v>
      </c>
      <c r="P115">
        <f t="shared" si="13"/>
        <v>-1.7096153415829395E-4</v>
      </c>
    </row>
    <row r="116" spans="1:16" x14ac:dyDescent="0.25">
      <c r="A116">
        <v>5.7</v>
      </c>
      <c r="B116">
        <v>-8.9999999999999993E-3</v>
      </c>
      <c r="C116">
        <v>2.8000000000000001E-2</v>
      </c>
      <c r="H116">
        <f t="shared" si="7"/>
        <v>5.7</v>
      </c>
      <c r="I116">
        <f t="shared" si="8"/>
        <v>-8.9999999999999993E-3</v>
      </c>
      <c r="J116">
        <f t="shared" si="9"/>
        <v>2.2667211170534135E-2</v>
      </c>
      <c r="K116">
        <f t="shared" si="10"/>
        <v>-60.279934696055356</v>
      </c>
      <c r="L116">
        <f t="shared" si="11"/>
        <v>3.0222948227378839E-4</v>
      </c>
      <c r="O116">
        <f t="shared" si="12"/>
        <v>-73.675475739623209</v>
      </c>
      <c r="P116">
        <f t="shared" si="13"/>
        <v>-1.4491858548337772E-4</v>
      </c>
    </row>
    <row r="117" spans="1:16" x14ac:dyDescent="0.25">
      <c r="A117">
        <v>5.75</v>
      </c>
      <c r="B117">
        <v>-8.9999999999999993E-3</v>
      </c>
      <c r="C117">
        <v>2.7E-2</v>
      </c>
      <c r="H117">
        <f t="shared" si="7"/>
        <v>5.75</v>
      </c>
      <c r="I117">
        <f t="shared" si="8"/>
        <v>-8.9999999999999993E-3</v>
      </c>
      <c r="J117">
        <f t="shared" si="9"/>
        <v>2.1620432321152856E-2</v>
      </c>
      <c r="K117">
        <f t="shared" si="10"/>
        <v>-60.279934696055356</v>
      </c>
      <c r="L117">
        <f t="shared" si="11"/>
        <v>2.8827243094870468E-4</v>
      </c>
      <c r="O117">
        <f t="shared" si="12"/>
        <v>-73.675475739623209</v>
      </c>
      <c r="P117">
        <f t="shared" si="13"/>
        <v>-1.5887563680846143E-4</v>
      </c>
    </row>
    <row r="118" spans="1:16" x14ac:dyDescent="0.25">
      <c r="A118">
        <v>5.8</v>
      </c>
      <c r="B118">
        <v>-8.0000000000000002E-3</v>
      </c>
      <c r="C118">
        <v>2.8000000000000001E-2</v>
      </c>
      <c r="H118">
        <f t="shared" si="7"/>
        <v>5.8</v>
      </c>
      <c r="I118">
        <f t="shared" si="8"/>
        <v>-8.0000000000000002E-3</v>
      </c>
      <c r="J118">
        <f t="shared" si="9"/>
        <v>2.2573653471771579E-2</v>
      </c>
      <c r="K118">
        <f t="shared" si="10"/>
        <v>-53.582164174271433</v>
      </c>
      <c r="L118">
        <f t="shared" si="11"/>
        <v>3.0098204629028767E-4</v>
      </c>
      <c r="O118">
        <f t="shared" si="12"/>
        <v>-66.977705217839286</v>
      </c>
      <c r="P118">
        <f t="shared" si="13"/>
        <v>-1.4616602146687844E-4</v>
      </c>
    </row>
    <row r="119" spans="1:16" x14ac:dyDescent="0.25">
      <c r="A119">
        <v>5.85</v>
      </c>
      <c r="B119">
        <v>-8.0000000000000002E-3</v>
      </c>
      <c r="C119">
        <v>2.7E-2</v>
      </c>
      <c r="H119">
        <f t="shared" si="7"/>
        <v>5.85</v>
      </c>
      <c r="I119">
        <f t="shared" si="8"/>
        <v>-8.0000000000000002E-3</v>
      </c>
      <c r="J119">
        <f t="shared" si="9"/>
        <v>2.1526874622390297E-2</v>
      </c>
      <c r="K119">
        <f t="shared" si="10"/>
        <v>-53.582164174271433</v>
      </c>
      <c r="L119">
        <f t="shared" si="11"/>
        <v>2.870249949652039E-4</v>
      </c>
      <c r="O119">
        <f t="shared" si="12"/>
        <v>-66.977705217839286</v>
      </c>
      <c r="P119">
        <f t="shared" si="13"/>
        <v>-1.6012307279196221E-4</v>
      </c>
    </row>
    <row r="120" spans="1:16" x14ac:dyDescent="0.25">
      <c r="A120">
        <v>5.9</v>
      </c>
      <c r="B120">
        <v>-8.0000000000000002E-3</v>
      </c>
      <c r="C120">
        <v>2.8000000000000001E-2</v>
      </c>
      <c r="H120">
        <f t="shared" si="7"/>
        <v>5.9</v>
      </c>
      <c r="I120">
        <f t="shared" si="8"/>
        <v>-8.0000000000000002E-3</v>
      </c>
      <c r="J120">
        <f t="shared" si="9"/>
        <v>2.248009577300902E-2</v>
      </c>
      <c r="K120">
        <f t="shared" si="10"/>
        <v>-53.582164174271433</v>
      </c>
      <c r="L120">
        <f t="shared" si="11"/>
        <v>2.9973461030678689E-4</v>
      </c>
      <c r="O120">
        <f t="shared" si="12"/>
        <v>-66.977705217839286</v>
      </c>
      <c r="P120">
        <f t="shared" si="13"/>
        <v>-1.4741345745037922E-4</v>
      </c>
    </row>
    <row r="121" spans="1:16" x14ac:dyDescent="0.25">
      <c r="A121">
        <v>5.95</v>
      </c>
      <c r="B121">
        <v>-8.0000000000000002E-3</v>
      </c>
      <c r="C121">
        <v>2.7E-2</v>
      </c>
      <c r="H121">
        <f t="shared" si="7"/>
        <v>5.95</v>
      </c>
      <c r="I121">
        <f t="shared" si="8"/>
        <v>-8.0000000000000002E-3</v>
      </c>
      <c r="J121">
        <f t="shared" si="9"/>
        <v>2.1433316923627738E-2</v>
      </c>
      <c r="K121">
        <f t="shared" si="10"/>
        <v>-53.582164174271433</v>
      </c>
      <c r="L121">
        <f t="shared" si="11"/>
        <v>2.8577755898170313E-4</v>
      </c>
      <c r="O121">
        <f t="shared" si="12"/>
        <v>-66.977705217839286</v>
      </c>
      <c r="P121">
        <f t="shared" si="13"/>
        <v>-1.6137050877546298E-4</v>
      </c>
    </row>
    <row r="122" spans="1:16" x14ac:dyDescent="0.25">
      <c r="A122">
        <v>6</v>
      </c>
      <c r="B122">
        <v>-8.0000000000000002E-3</v>
      </c>
      <c r="C122">
        <v>2.8000000000000001E-2</v>
      </c>
      <c r="H122">
        <f t="shared" si="7"/>
        <v>6</v>
      </c>
      <c r="I122">
        <f t="shared" si="8"/>
        <v>-8.0000000000000002E-3</v>
      </c>
      <c r="J122">
        <f t="shared" si="9"/>
        <v>2.2386538074246461E-2</v>
      </c>
      <c r="K122">
        <f t="shared" si="10"/>
        <v>-53.582164174271433</v>
      </c>
      <c r="L122">
        <f t="shared" si="11"/>
        <v>2.9848717432328606E-4</v>
      </c>
      <c r="O122">
        <f t="shared" si="12"/>
        <v>-66.977705217839286</v>
      </c>
      <c r="P122">
        <f t="shared" si="13"/>
        <v>-1.4866089343388005E-4</v>
      </c>
    </row>
    <row r="123" spans="1:16" x14ac:dyDescent="0.25">
      <c r="A123">
        <v>6.05</v>
      </c>
      <c r="B123">
        <v>-8.0000000000000002E-3</v>
      </c>
      <c r="C123">
        <v>2.7E-2</v>
      </c>
      <c r="H123">
        <f t="shared" si="7"/>
        <v>6.05</v>
      </c>
      <c r="I123">
        <f t="shared" si="8"/>
        <v>-8.0000000000000002E-3</v>
      </c>
      <c r="J123">
        <f t="shared" si="9"/>
        <v>2.1339759224865182E-2</v>
      </c>
      <c r="K123">
        <f t="shared" si="10"/>
        <v>-53.582164174271433</v>
      </c>
      <c r="L123">
        <f t="shared" si="11"/>
        <v>2.8453012299820235E-4</v>
      </c>
      <c r="O123">
        <f t="shared" si="12"/>
        <v>-66.977705217839286</v>
      </c>
      <c r="P123">
        <f t="shared" si="13"/>
        <v>-1.6261794475896376E-4</v>
      </c>
    </row>
    <row r="124" spans="1:16" x14ac:dyDescent="0.25">
      <c r="A124">
        <v>6.1</v>
      </c>
      <c r="B124">
        <v>-8.0000000000000002E-3</v>
      </c>
      <c r="C124">
        <v>2.9000000000000001E-2</v>
      </c>
      <c r="H124">
        <f t="shared" si="7"/>
        <v>6.1</v>
      </c>
      <c r="I124">
        <f t="shared" si="8"/>
        <v>-8.0000000000000002E-3</v>
      </c>
      <c r="J124">
        <f t="shared" si="9"/>
        <v>2.3292980375483902E-2</v>
      </c>
      <c r="K124">
        <f t="shared" si="10"/>
        <v>-53.582164174271433</v>
      </c>
      <c r="L124">
        <f t="shared" si="11"/>
        <v>3.1057307167311864E-4</v>
      </c>
      <c r="O124">
        <f t="shared" si="12"/>
        <v>-66.977705217839286</v>
      </c>
      <c r="P124">
        <f t="shared" si="13"/>
        <v>-1.3657499608404748E-4</v>
      </c>
    </row>
    <row r="125" spans="1:16" x14ac:dyDescent="0.25">
      <c r="A125">
        <v>6.15</v>
      </c>
      <c r="B125">
        <v>-8.0000000000000002E-3</v>
      </c>
      <c r="C125">
        <v>2.8000000000000001E-2</v>
      </c>
      <c r="H125">
        <f t="shared" si="7"/>
        <v>6.15</v>
      </c>
      <c r="I125">
        <f t="shared" si="8"/>
        <v>-8.0000000000000002E-3</v>
      </c>
      <c r="J125">
        <f t="shared" si="9"/>
        <v>2.224620152610262E-2</v>
      </c>
      <c r="K125">
        <f t="shared" si="10"/>
        <v>-53.582164174271433</v>
      </c>
      <c r="L125">
        <f t="shared" si="11"/>
        <v>2.9661602034803487E-4</v>
      </c>
      <c r="O125">
        <f t="shared" si="12"/>
        <v>-66.977705217839286</v>
      </c>
      <c r="P125">
        <f t="shared" si="13"/>
        <v>-1.5053204740913124E-4</v>
      </c>
    </row>
    <row r="126" spans="1:16" x14ac:dyDescent="0.25">
      <c r="A126">
        <v>6.2</v>
      </c>
      <c r="B126">
        <v>-8.0000000000000002E-3</v>
      </c>
      <c r="C126">
        <v>2.9000000000000001E-2</v>
      </c>
      <c r="H126">
        <f t="shared" si="7"/>
        <v>6.2</v>
      </c>
      <c r="I126">
        <f t="shared" si="8"/>
        <v>-8.0000000000000002E-3</v>
      </c>
      <c r="J126">
        <f t="shared" si="9"/>
        <v>2.3199422676721343E-2</v>
      </c>
      <c r="K126">
        <f t="shared" si="10"/>
        <v>-53.582164174271433</v>
      </c>
      <c r="L126">
        <f t="shared" si="11"/>
        <v>3.0932563568961786E-4</v>
      </c>
      <c r="O126">
        <f t="shared" si="12"/>
        <v>-66.977705217839286</v>
      </c>
      <c r="P126">
        <f t="shared" si="13"/>
        <v>-1.3782243206754825E-4</v>
      </c>
    </row>
    <row r="127" spans="1:16" x14ac:dyDescent="0.25">
      <c r="A127">
        <v>6.25</v>
      </c>
      <c r="B127">
        <v>-8.0000000000000002E-3</v>
      </c>
      <c r="C127">
        <v>2.8000000000000001E-2</v>
      </c>
      <c r="H127">
        <f t="shared" si="7"/>
        <v>6.25</v>
      </c>
      <c r="I127">
        <f t="shared" si="8"/>
        <v>-8.0000000000000002E-3</v>
      </c>
      <c r="J127">
        <f t="shared" si="9"/>
        <v>2.2152643827340064E-2</v>
      </c>
      <c r="K127">
        <f t="shared" si="10"/>
        <v>-53.582164174271433</v>
      </c>
      <c r="L127">
        <f t="shared" si="11"/>
        <v>2.9536858436453415E-4</v>
      </c>
      <c r="O127">
        <f t="shared" si="12"/>
        <v>-66.977705217839286</v>
      </c>
      <c r="P127">
        <f t="shared" si="13"/>
        <v>-1.5177948339263196E-4</v>
      </c>
    </row>
    <row r="128" spans="1:16" x14ac:dyDescent="0.25">
      <c r="A128">
        <v>6.3</v>
      </c>
      <c r="B128">
        <v>-7.0000000000000001E-3</v>
      </c>
      <c r="C128">
        <v>0.03</v>
      </c>
      <c r="H128">
        <f t="shared" si="7"/>
        <v>6.3</v>
      </c>
      <c r="I128">
        <f t="shared" si="8"/>
        <v>-7.0000000000000001E-3</v>
      </c>
      <c r="J128">
        <f t="shared" si="9"/>
        <v>2.4105864977958781E-2</v>
      </c>
      <c r="K128">
        <f t="shared" si="10"/>
        <v>-46.884393652487503</v>
      </c>
      <c r="L128">
        <f t="shared" si="11"/>
        <v>3.2141153303945038E-4</v>
      </c>
      <c r="O128">
        <f t="shared" si="12"/>
        <v>-60.279934696055363</v>
      </c>
      <c r="P128">
        <f t="shared" si="13"/>
        <v>-1.2573653471771573E-4</v>
      </c>
    </row>
    <row r="129" spans="1:16" x14ac:dyDescent="0.25">
      <c r="A129">
        <v>6.35</v>
      </c>
      <c r="B129">
        <v>-8.0000000000000002E-3</v>
      </c>
      <c r="C129">
        <v>2.9000000000000001E-2</v>
      </c>
      <c r="H129">
        <f t="shared" si="7"/>
        <v>6.35</v>
      </c>
      <c r="I129">
        <f t="shared" si="8"/>
        <v>-8.0000000000000002E-3</v>
      </c>
      <c r="J129">
        <f t="shared" si="9"/>
        <v>2.3059086128577506E-2</v>
      </c>
      <c r="K129">
        <f t="shared" si="10"/>
        <v>-53.582164174271433</v>
      </c>
      <c r="L129">
        <f t="shared" si="11"/>
        <v>3.0745448171436667E-4</v>
      </c>
      <c r="O129">
        <f t="shared" si="12"/>
        <v>-66.977705217839286</v>
      </c>
      <c r="P129">
        <f t="shared" si="13"/>
        <v>-1.3969358604279945E-4</v>
      </c>
    </row>
    <row r="130" spans="1:16" x14ac:dyDescent="0.25">
      <c r="A130">
        <v>6.4</v>
      </c>
      <c r="B130">
        <v>-7.0000000000000001E-3</v>
      </c>
      <c r="C130">
        <v>0.03</v>
      </c>
      <c r="H130">
        <f t="shared" si="7"/>
        <v>6.4</v>
      </c>
      <c r="I130">
        <f t="shared" si="8"/>
        <v>-7.0000000000000001E-3</v>
      </c>
      <c r="J130">
        <f t="shared" si="9"/>
        <v>2.4012307279196222E-2</v>
      </c>
      <c r="K130">
        <f t="shared" si="10"/>
        <v>-46.884393652487503</v>
      </c>
      <c r="L130">
        <f t="shared" si="11"/>
        <v>3.2016409705594955E-4</v>
      </c>
      <c r="O130">
        <f t="shared" si="12"/>
        <v>-60.279934696055363</v>
      </c>
      <c r="P130">
        <f t="shared" si="13"/>
        <v>-1.2698397070121656E-4</v>
      </c>
    </row>
    <row r="131" spans="1:16" x14ac:dyDescent="0.25">
      <c r="A131">
        <v>6.45</v>
      </c>
      <c r="B131">
        <v>-7.0000000000000001E-3</v>
      </c>
      <c r="C131">
        <v>2.9000000000000001E-2</v>
      </c>
      <c r="H131">
        <f t="shared" ref="H131:H194" si="14">A131</f>
        <v>6.45</v>
      </c>
      <c r="I131">
        <f t="shared" ref="I131:I194" si="15">B131</f>
        <v>-7.0000000000000001E-3</v>
      </c>
      <c r="J131">
        <f t="shared" ref="J131:J194" si="16">C131-E$12*A131</f>
        <v>2.2965528429814946E-2</v>
      </c>
      <c r="K131">
        <f t="shared" ref="K131:K194" si="17">F$24*I131</f>
        <v>-46.884393652487503</v>
      </c>
      <c r="L131">
        <f t="shared" ref="L131:L194" si="18">F$25*J131</f>
        <v>3.0620704573086589E-4</v>
      </c>
      <c r="O131">
        <f t="shared" ref="O131:O194" si="19">K131-N$12</f>
        <v>-60.279934696055363</v>
      </c>
      <c r="P131">
        <f t="shared" ref="P131:P194" si="20">L131-N$15</f>
        <v>-1.4094102202630022E-4</v>
      </c>
    </row>
    <row r="132" spans="1:16" x14ac:dyDescent="0.25">
      <c r="A132">
        <v>6.5</v>
      </c>
      <c r="B132">
        <v>-7.0000000000000001E-3</v>
      </c>
      <c r="C132">
        <v>0.03</v>
      </c>
      <c r="H132">
        <f t="shared" si="14"/>
        <v>6.5</v>
      </c>
      <c r="I132">
        <f t="shared" si="15"/>
        <v>-7.0000000000000001E-3</v>
      </c>
      <c r="J132">
        <f t="shared" si="16"/>
        <v>2.3918749580433663E-2</v>
      </c>
      <c r="K132">
        <f t="shared" si="17"/>
        <v>-46.884393652487503</v>
      </c>
      <c r="L132">
        <f t="shared" si="18"/>
        <v>3.1891666107244877E-4</v>
      </c>
      <c r="O132">
        <f t="shared" si="19"/>
        <v>-60.279934696055363</v>
      </c>
      <c r="P132">
        <f t="shared" si="20"/>
        <v>-1.2823140668471734E-4</v>
      </c>
    </row>
    <row r="133" spans="1:16" x14ac:dyDescent="0.25">
      <c r="A133">
        <v>6.55</v>
      </c>
      <c r="B133">
        <v>-7.0000000000000001E-3</v>
      </c>
      <c r="C133">
        <v>0.03</v>
      </c>
      <c r="H133">
        <f t="shared" si="14"/>
        <v>6.55</v>
      </c>
      <c r="I133">
        <f t="shared" si="15"/>
        <v>-7.0000000000000001E-3</v>
      </c>
      <c r="J133">
        <f t="shared" si="16"/>
        <v>2.3871970731052385E-2</v>
      </c>
      <c r="K133">
        <f t="shared" si="17"/>
        <v>-46.884393652487503</v>
      </c>
      <c r="L133">
        <f t="shared" si="18"/>
        <v>3.1829294308069841E-4</v>
      </c>
      <c r="O133">
        <f t="shared" si="19"/>
        <v>-60.279934696055363</v>
      </c>
      <c r="P133">
        <f t="shared" si="20"/>
        <v>-1.288551246764677E-4</v>
      </c>
    </row>
    <row r="134" spans="1:16" x14ac:dyDescent="0.25">
      <c r="A134">
        <v>6.6</v>
      </c>
      <c r="B134">
        <v>-6.0000000000000001E-3</v>
      </c>
      <c r="C134">
        <v>3.1E-2</v>
      </c>
      <c r="H134">
        <f t="shared" si="14"/>
        <v>6.6</v>
      </c>
      <c r="I134">
        <f t="shared" si="15"/>
        <v>-6.0000000000000001E-3</v>
      </c>
      <c r="J134">
        <f t="shared" si="16"/>
        <v>2.4825191881671108E-2</v>
      </c>
      <c r="K134">
        <f t="shared" si="17"/>
        <v>-40.186623130703573</v>
      </c>
      <c r="L134">
        <f t="shared" si="18"/>
        <v>3.3100255842228134E-4</v>
      </c>
      <c r="O134">
        <f t="shared" si="19"/>
        <v>-53.582164174271433</v>
      </c>
      <c r="P134">
        <f t="shared" si="20"/>
        <v>-1.1614550933488477E-4</v>
      </c>
    </row>
    <row r="135" spans="1:16" x14ac:dyDescent="0.25">
      <c r="A135">
        <v>6.65</v>
      </c>
      <c r="B135">
        <v>-6.0000000000000001E-3</v>
      </c>
      <c r="C135">
        <v>3.1E-2</v>
      </c>
      <c r="H135">
        <f t="shared" si="14"/>
        <v>6.65</v>
      </c>
      <c r="I135">
        <f t="shared" si="15"/>
        <v>-6.0000000000000001E-3</v>
      </c>
      <c r="J135">
        <f t="shared" si="16"/>
        <v>2.4778413032289826E-2</v>
      </c>
      <c r="K135">
        <f t="shared" si="17"/>
        <v>-40.186623130703573</v>
      </c>
      <c r="L135">
        <f t="shared" si="18"/>
        <v>3.3037884043053093E-4</v>
      </c>
      <c r="O135">
        <f t="shared" si="19"/>
        <v>-53.582164174271433</v>
      </c>
      <c r="P135">
        <f t="shared" si="20"/>
        <v>-1.1676922732663518E-4</v>
      </c>
    </row>
    <row r="136" spans="1:16" x14ac:dyDescent="0.25">
      <c r="A136">
        <v>6.7</v>
      </c>
      <c r="B136">
        <v>-6.0000000000000001E-3</v>
      </c>
      <c r="C136">
        <v>3.1E-2</v>
      </c>
      <c r="H136">
        <f t="shared" si="14"/>
        <v>6.7</v>
      </c>
      <c r="I136">
        <f t="shared" si="15"/>
        <v>-6.0000000000000001E-3</v>
      </c>
      <c r="J136">
        <f t="shared" si="16"/>
        <v>2.4731634182908545E-2</v>
      </c>
      <c r="K136">
        <f t="shared" si="17"/>
        <v>-40.186623130703573</v>
      </c>
      <c r="L136">
        <f t="shared" si="18"/>
        <v>3.2975512243878051E-4</v>
      </c>
      <c r="O136">
        <f t="shared" si="19"/>
        <v>-53.582164174271433</v>
      </c>
      <c r="P136">
        <f t="shared" si="20"/>
        <v>-1.173929453183856E-4</v>
      </c>
    </row>
    <row r="137" spans="1:16" x14ac:dyDescent="0.25">
      <c r="A137">
        <v>6.75</v>
      </c>
      <c r="B137">
        <v>-6.0000000000000001E-3</v>
      </c>
      <c r="C137">
        <v>0.03</v>
      </c>
      <c r="H137">
        <f t="shared" si="14"/>
        <v>6.75</v>
      </c>
      <c r="I137">
        <f t="shared" si="15"/>
        <v>-6.0000000000000001E-3</v>
      </c>
      <c r="J137">
        <f t="shared" si="16"/>
        <v>2.3684855333527266E-2</v>
      </c>
      <c r="K137">
        <f t="shared" si="17"/>
        <v>-40.186623130703573</v>
      </c>
      <c r="L137">
        <f t="shared" si="18"/>
        <v>3.157980711136968E-4</v>
      </c>
      <c r="O137">
        <f t="shared" si="19"/>
        <v>-53.582164174271433</v>
      </c>
      <c r="P137">
        <f t="shared" si="20"/>
        <v>-1.3134999664346931E-4</v>
      </c>
    </row>
    <row r="138" spans="1:16" x14ac:dyDescent="0.25">
      <c r="A138">
        <v>6.8</v>
      </c>
      <c r="B138">
        <v>-6.0000000000000001E-3</v>
      </c>
      <c r="C138">
        <v>3.1E-2</v>
      </c>
      <c r="H138">
        <f t="shared" si="14"/>
        <v>6.8</v>
      </c>
      <c r="I138">
        <f t="shared" si="15"/>
        <v>-6.0000000000000001E-3</v>
      </c>
      <c r="J138">
        <f t="shared" si="16"/>
        <v>2.4638076484145989E-2</v>
      </c>
      <c r="K138">
        <f t="shared" si="17"/>
        <v>-40.186623130703573</v>
      </c>
      <c r="L138">
        <f t="shared" si="18"/>
        <v>3.2850768645527979E-4</v>
      </c>
      <c r="O138">
        <f t="shared" si="19"/>
        <v>-53.582164174271433</v>
      </c>
      <c r="P138">
        <f t="shared" si="20"/>
        <v>-1.1864038130188632E-4</v>
      </c>
    </row>
    <row r="139" spans="1:16" x14ac:dyDescent="0.25">
      <c r="A139">
        <v>6.85</v>
      </c>
      <c r="B139">
        <v>-6.0000000000000001E-3</v>
      </c>
      <c r="C139">
        <v>3.1E-2</v>
      </c>
      <c r="H139">
        <f t="shared" si="14"/>
        <v>6.85</v>
      </c>
      <c r="I139">
        <f t="shared" si="15"/>
        <v>-6.0000000000000001E-3</v>
      </c>
      <c r="J139">
        <f t="shared" si="16"/>
        <v>2.4591297634764708E-2</v>
      </c>
      <c r="K139">
        <f t="shared" si="17"/>
        <v>-40.186623130703573</v>
      </c>
      <c r="L139">
        <f t="shared" si="18"/>
        <v>3.2788396846352937E-4</v>
      </c>
      <c r="O139">
        <f t="shared" si="19"/>
        <v>-53.582164174271433</v>
      </c>
      <c r="P139">
        <f t="shared" si="20"/>
        <v>-1.1926409929363674E-4</v>
      </c>
    </row>
    <row r="140" spans="1:16" x14ac:dyDescent="0.25">
      <c r="A140">
        <v>6.9</v>
      </c>
      <c r="B140">
        <v>-6.0000000000000001E-3</v>
      </c>
      <c r="C140">
        <v>3.2000000000000001E-2</v>
      </c>
      <c r="H140">
        <f t="shared" si="14"/>
        <v>6.9</v>
      </c>
      <c r="I140">
        <f t="shared" si="15"/>
        <v>-6.0000000000000001E-3</v>
      </c>
      <c r="J140">
        <f t="shared" si="16"/>
        <v>2.5544518785383427E-2</v>
      </c>
      <c r="K140">
        <f t="shared" si="17"/>
        <v>-40.186623130703573</v>
      </c>
      <c r="L140">
        <f t="shared" si="18"/>
        <v>3.4059358380511231E-4</v>
      </c>
      <c r="O140">
        <f t="shared" si="19"/>
        <v>-53.582164174271433</v>
      </c>
      <c r="P140">
        <f t="shared" si="20"/>
        <v>-1.065544839520538E-4</v>
      </c>
    </row>
    <row r="141" spans="1:16" x14ac:dyDescent="0.25">
      <c r="A141">
        <v>6.95</v>
      </c>
      <c r="B141">
        <v>-6.0000000000000001E-3</v>
      </c>
      <c r="C141">
        <v>3.1E-2</v>
      </c>
      <c r="H141">
        <f t="shared" si="14"/>
        <v>6.95</v>
      </c>
      <c r="I141">
        <f t="shared" si="15"/>
        <v>-6.0000000000000001E-3</v>
      </c>
      <c r="J141">
        <f t="shared" si="16"/>
        <v>2.4497739936002148E-2</v>
      </c>
      <c r="K141">
        <f t="shared" si="17"/>
        <v>-40.186623130703573</v>
      </c>
      <c r="L141">
        <f t="shared" si="18"/>
        <v>3.266365324800286E-4</v>
      </c>
      <c r="O141">
        <f t="shared" si="19"/>
        <v>-53.582164174271433</v>
      </c>
      <c r="P141">
        <f t="shared" si="20"/>
        <v>-1.2051153527713751E-4</v>
      </c>
    </row>
    <row r="142" spans="1:16" x14ac:dyDescent="0.25">
      <c r="A142">
        <v>7</v>
      </c>
      <c r="B142">
        <v>-6.0000000000000001E-3</v>
      </c>
      <c r="C142">
        <v>3.1E-2</v>
      </c>
      <c r="H142">
        <f t="shared" si="14"/>
        <v>7</v>
      </c>
      <c r="I142">
        <f t="shared" si="15"/>
        <v>-6.0000000000000001E-3</v>
      </c>
      <c r="J142">
        <f t="shared" si="16"/>
        <v>2.445096108662087E-2</v>
      </c>
      <c r="K142">
        <f t="shared" si="17"/>
        <v>-40.186623130703573</v>
      </c>
      <c r="L142">
        <f t="shared" si="18"/>
        <v>3.2601281448827818E-4</v>
      </c>
      <c r="O142">
        <f t="shared" si="19"/>
        <v>-53.582164174271433</v>
      </c>
      <c r="P142">
        <f t="shared" si="20"/>
        <v>-1.2113525326888793E-4</v>
      </c>
    </row>
    <row r="143" spans="1:16" x14ac:dyDescent="0.25">
      <c r="A143">
        <v>7.05</v>
      </c>
      <c r="B143">
        <v>-6.0000000000000001E-3</v>
      </c>
      <c r="C143">
        <v>3.1E-2</v>
      </c>
      <c r="H143">
        <f t="shared" si="14"/>
        <v>7.05</v>
      </c>
      <c r="I143">
        <f t="shared" si="15"/>
        <v>-6.0000000000000001E-3</v>
      </c>
      <c r="J143">
        <f t="shared" si="16"/>
        <v>2.4404182237239589E-2</v>
      </c>
      <c r="K143">
        <f t="shared" si="17"/>
        <v>-40.186623130703573</v>
      </c>
      <c r="L143">
        <f t="shared" si="18"/>
        <v>3.2538909649652777E-4</v>
      </c>
      <c r="O143">
        <f t="shared" si="19"/>
        <v>-53.582164174271433</v>
      </c>
      <c r="P143">
        <f t="shared" si="20"/>
        <v>-1.2175897126063834E-4</v>
      </c>
    </row>
    <row r="144" spans="1:16" x14ac:dyDescent="0.25">
      <c r="A144">
        <v>7.1</v>
      </c>
      <c r="B144">
        <v>-6.0000000000000001E-3</v>
      </c>
      <c r="C144">
        <v>3.2000000000000001E-2</v>
      </c>
      <c r="H144">
        <f t="shared" si="14"/>
        <v>7.1</v>
      </c>
      <c r="I144">
        <f t="shared" si="15"/>
        <v>-6.0000000000000001E-3</v>
      </c>
      <c r="J144">
        <f t="shared" si="16"/>
        <v>2.5357403387858312E-2</v>
      </c>
      <c r="K144">
        <f t="shared" si="17"/>
        <v>-40.186623130703573</v>
      </c>
      <c r="L144">
        <f t="shared" si="18"/>
        <v>3.3809871183811076E-4</v>
      </c>
      <c r="O144">
        <f t="shared" si="19"/>
        <v>-53.582164174271433</v>
      </c>
      <c r="P144">
        <f t="shared" si="20"/>
        <v>-1.0904935591905536E-4</v>
      </c>
    </row>
    <row r="145" spans="1:16" x14ac:dyDescent="0.25">
      <c r="A145">
        <v>7.15</v>
      </c>
      <c r="B145">
        <v>-6.0000000000000001E-3</v>
      </c>
      <c r="C145">
        <v>3.1E-2</v>
      </c>
      <c r="H145">
        <f t="shared" si="14"/>
        <v>7.15</v>
      </c>
      <c r="I145">
        <f t="shared" si="15"/>
        <v>-6.0000000000000001E-3</v>
      </c>
      <c r="J145">
        <f t="shared" si="16"/>
        <v>2.431062453847703E-2</v>
      </c>
      <c r="K145">
        <f t="shared" si="17"/>
        <v>-40.186623130703573</v>
      </c>
      <c r="L145">
        <f t="shared" si="18"/>
        <v>3.2414166051302699E-4</v>
      </c>
      <c r="O145">
        <f t="shared" si="19"/>
        <v>-53.582164174271433</v>
      </c>
      <c r="P145">
        <f t="shared" si="20"/>
        <v>-1.2300640724413912E-4</v>
      </c>
    </row>
    <row r="146" spans="1:16" x14ac:dyDescent="0.25">
      <c r="A146">
        <v>7.2</v>
      </c>
      <c r="B146">
        <v>-6.0000000000000001E-3</v>
      </c>
      <c r="C146">
        <v>3.2000000000000001E-2</v>
      </c>
      <c r="H146">
        <f t="shared" si="14"/>
        <v>7.2</v>
      </c>
      <c r="I146">
        <f t="shared" si="15"/>
        <v>-6.0000000000000001E-3</v>
      </c>
      <c r="J146">
        <f t="shared" si="16"/>
        <v>2.5263845689095753E-2</v>
      </c>
      <c r="K146">
        <f t="shared" si="17"/>
        <v>-40.186623130703573</v>
      </c>
      <c r="L146">
        <f t="shared" si="18"/>
        <v>3.3685127585460998E-4</v>
      </c>
      <c r="O146">
        <f t="shared" si="19"/>
        <v>-53.582164174271433</v>
      </c>
      <c r="P146">
        <f t="shared" si="20"/>
        <v>-1.1029679190255613E-4</v>
      </c>
    </row>
    <row r="147" spans="1:16" x14ac:dyDescent="0.25">
      <c r="A147">
        <v>7.25</v>
      </c>
      <c r="B147">
        <v>-6.0000000000000001E-3</v>
      </c>
      <c r="C147">
        <v>3.2000000000000001E-2</v>
      </c>
      <c r="H147">
        <f t="shared" si="14"/>
        <v>7.25</v>
      </c>
      <c r="I147">
        <f t="shared" si="15"/>
        <v>-6.0000000000000001E-3</v>
      </c>
      <c r="J147">
        <f t="shared" si="16"/>
        <v>2.5217066839714475E-2</v>
      </c>
      <c r="K147">
        <f t="shared" si="17"/>
        <v>-40.186623130703573</v>
      </c>
      <c r="L147">
        <f t="shared" si="18"/>
        <v>3.3622755786285962E-4</v>
      </c>
      <c r="O147">
        <f t="shared" si="19"/>
        <v>-53.582164174271433</v>
      </c>
      <c r="P147">
        <f t="shared" si="20"/>
        <v>-1.1092050989430649E-4</v>
      </c>
    </row>
    <row r="148" spans="1:16" x14ac:dyDescent="0.25">
      <c r="A148">
        <v>7.3</v>
      </c>
      <c r="B148">
        <v>-5.0000000000000001E-3</v>
      </c>
      <c r="C148">
        <v>3.3000000000000002E-2</v>
      </c>
      <c r="H148">
        <f t="shared" si="14"/>
        <v>7.3</v>
      </c>
      <c r="I148">
        <f t="shared" si="15"/>
        <v>-5.0000000000000001E-3</v>
      </c>
      <c r="J148">
        <f t="shared" si="16"/>
        <v>2.6170287990333194E-2</v>
      </c>
      <c r="K148">
        <f t="shared" si="17"/>
        <v>-33.48885260891965</v>
      </c>
      <c r="L148">
        <f t="shared" si="18"/>
        <v>3.489371732044425E-4</v>
      </c>
      <c r="O148">
        <f t="shared" si="19"/>
        <v>-46.88439365248751</v>
      </c>
      <c r="P148">
        <f t="shared" si="20"/>
        <v>-9.8210894552723613E-5</v>
      </c>
    </row>
    <row r="149" spans="1:16" x14ac:dyDescent="0.25">
      <c r="A149">
        <v>7.35</v>
      </c>
      <c r="B149">
        <v>-5.0000000000000001E-3</v>
      </c>
      <c r="C149">
        <v>3.3000000000000002E-2</v>
      </c>
      <c r="H149">
        <f t="shared" si="14"/>
        <v>7.35</v>
      </c>
      <c r="I149">
        <f t="shared" si="15"/>
        <v>-5.0000000000000001E-3</v>
      </c>
      <c r="J149">
        <f t="shared" si="16"/>
        <v>2.6123509140951913E-2</v>
      </c>
      <c r="K149">
        <f t="shared" si="17"/>
        <v>-33.48885260891965</v>
      </c>
      <c r="L149">
        <f t="shared" si="18"/>
        <v>3.4831345521269208E-4</v>
      </c>
      <c r="O149">
        <f t="shared" si="19"/>
        <v>-46.88439365248751</v>
      </c>
      <c r="P149">
        <f t="shared" si="20"/>
        <v>-9.8834612544474029E-5</v>
      </c>
    </row>
    <row r="150" spans="1:16" x14ac:dyDescent="0.25">
      <c r="A150">
        <v>7.4</v>
      </c>
      <c r="B150">
        <v>-5.0000000000000001E-3</v>
      </c>
      <c r="C150">
        <v>3.4000000000000002E-2</v>
      </c>
      <c r="H150">
        <f t="shared" si="14"/>
        <v>7.4</v>
      </c>
      <c r="I150">
        <f t="shared" si="15"/>
        <v>-5.0000000000000001E-3</v>
      </c>
      <c r="J150">
        <f t="shared" si="16"/>
        <v>2.7076730291570636E-2</v>
      </c>
      <c r="K150">
        <f t="shared" si="17"/>
        <v>-33.48885260891965</v>
      </c>
      <c r="L150">
        <f t="shared" si="18"/>
        <v>3.6102307055427507E-4</v>
      </c>
      <c r="O150">
        <f t="shared" si="19"/>
        <v>-46.88439365248751</v>
      </c>
      <c r="P150">
        <f t="shared" si="20"/>
        <v>-8.612499720289104E-5</v>
      </c>
    </row>
    <row r="151" spans="1:16" x14ac:dyDescent="0.25">
      <c r="A151">
        <v>7.45</v>
      </c>
      <c r="B151">
        <v>-4.0000000000000001E-3</v>
      </c>
      <c r="C151">
        <v>3.4000000000000002E-2</v>
      </c>
      <c r="H151">
        <f t="shared" si="14"/>
        <v>7.45</v>
      </c>
      <c r="I151">
        <f t="shared" si="15"/>
        <v>-4.0000000000000001E-3</v>
      </c>
      <c r="J151">
        <f t="shared" si="16"/>
        <v>2.7029951442189358E-2</v>
      </c>
      <c r="K151">
        <f t="shared" si="17"/>
        <v>-26.791082087135717</v>
      </c>
      <c r="L151">
        <f t="shared" si="18"/>
        <v>3.6039935256252471E-4</v>
      </c>
      <c r="O151">
        <f t="shared" si="19"/>
        <v>-40.18662313070358</v>
      </c>
      <c r="P151">
        <f t="shared" si="20"/>
        <v>-8.6748715194641401E-5</v>
      </c>
    </row>
    <row r="152" spans="1:16" x14ac:dyDescent="0.25">
      <c r="A152">
        <v>7.5</v>
      </c>
      <c r="B152">
        <v>-4.0000000000000001E-3</v>
      </c>
      <c r="C152">
        <v>3.4000000000000002E-2</v>
      </c>
      <c r="H152">
        <f t="shared" si="14"/>
        <v>7.5</v>
      </c>
      <c r="I152">
        <f t="shared" si="15"/>
        <v>-4.0000000000000001E-3</v>
      </c>
      <c r="J152">
        <f t="shared" si="16"/>
        <v>2.6983172592808077E-2</v>
      </c>
      <c r="K152">
        <f t="shared" si="17"/>
        <v>-26.791082087135717</v>
      </c>
      <c r="L152">
        <f t="shared" si="18"/>
        <v>3.5977563457077429E-4</v>
      </c>
      <c r="O152">
        <f t="shared" si="19"/>
        <v>-40.18662313070358</v>
      </c>
      <c r="P152">
        <f t="shared" si="20"/>
        <v>-8.7372433186391817E-5</v>
      </c>
    </row>
    <row r="153" spans="1:16" x14ac:dyDescent="0.25">
      <c r="A153">
        <v>7.55</v>
      </c>
      <c r="B153">
        <v>-5.0000000000000001E-3</v>
      </c>
      <c r="C153">
        <v>3.3000000000000002E-2</v>
      </c>
      <c r="H153">
        <f t="shared" si="14"/>
        <v>7.55</v>
      </c>
      <c r="I153">
        <f t="shared" si="15"/>
        <v>-5.0000000000000001E-3</v>
      </c>
      <c r="J153">
        <f t="shared" si="16"/>
        <v>2.5936393743426798E-2</v>
      </c>
      <c r="K153">
        <f t="shared" si="17"/>
        <v>-33.48885260891965</v>
      </c>
      <c r="L153">
        <f t="shared" si="18"/>
        <v>3.4581858324569058E-4</v>
      </c>
      <c r="O153">
        <f t="shared" si="19"/>
        <v>-46.88439365248751</v>
      </c>
      <c r="P153">
        <f t="shared" si="20"/>
        <v>-1.0132948451147553E-4</v>
      </c>
    </row>
    <row r="154" spans="1:16" x14ac:dyDescent="0.25">
      <c r="A154">
        <v>7.6</v>
      </c>
      <c r="B154">
        <v>-5.0000000000000001E-3</v>
      </c>
      <c r="C154">
        <v>3.4000000000000002E-2</v>
      </c>
      <c r="H154">
        <f t="shared" si="14"/>
        <v>7.6</v>
      </c>
      <c r="I154">
        <f t="shared" si="15"/>
        <v>-5.0000000000000001E-3</v>
      </c>
      <c r="J154">
        <f t="shared" si="16"/>
        <v>2.6889614894045517E-2</v>
      </c>
      <c r="K154">
        <f t="shared" si="17"/>
        <v>-33.48885260891965</v>
      </c>
      <c r="L154">
        <f t="shared" si="18"/>
        <v>3.5852819858727352E-4</v>
      </c>
      <c r="O154">
        <f t="shared" si="19"/>
        <v>-46.88439365248751</v>
      </c>
      <c r="P154">
        <f t="shared" si="20"/>
        <v>-8.8619869169892593E-5</v>
      </c>
    </row>
    <row r="155" spans="1:16" x14ac:dyDescent="0.25">
      <c r="A155">
        <v>7.65</v>
      </c>
      <c r="B155">
        <v>-4.0000000000000001E-3</v>
      </c>
      <c r="C155">
        <v>3.4000000000000002E-2</v>
      </c>
      <c r="H155">
        <f t="shared" si="14"/>
        <v>7.65</v>
      </c>
      <c r="I155">
        <f t="shared" si="15"/>
        <v>-4.0000000000000001E-3</v>
      </c>
      <c r="J155">
        <f t="shared" si="16"/>
        <v>2.6842836044664239E-2</v>
      </c>
      <c r="K155">
        <f t="shared" si="17"/>
        <v>-26.791082087135717</v>
      </c>
      <c r="L155">
        <f t="shared" si="18"/>
        <v>3.579044805955231E-4</v>
      </c>
      <c r="O155">
        <f t="shared" si="19"/>
        <v>-40.18662313070358</v>
      </c>
      <c r="P155">
        <f t="shared" si="20"/>
        <v>-8.9243587161643009E-5</v>
      </c>
    </row>
    <row r="156" spans="1:16" x14ac:dyDescent="0.25">
      <c r="A156">
        <v>7.7</v>
      </c>
      <c r="B156">
        <v>-4.0000000000000001E-3</v>
      </c>
      <c r="C156" s="1">
        <v>3.4000000000000002E-2</v>
      </c>
      <c r="H156">
        <f t="shared" si="14"/>
        <v>7.7</v>
      </c>
      <c r="I156">
        <f t="shared" si="15"/>
        <v>-4.0000000000000001E-3</v>
      </c>
      <c r="J156">
        <f t="shared" si="16"/>
        <v>2.6796057195282958E-2</v>
      </c>
      <c r="K156">
        <f t="shared" si="17"/>
        <v>-26.791082087135717</v>
      </c>
      <c r="L156">
        <f t="shared" si="18"/>
        <v>3.5728076260377269E-4</v>
      </c>
      <c r="O156">
        <f t="shared" si="19"/>
        <v>-40.18662313070358</v>
      </c>
      <c r="P156">
        <f t="shared" si="20"/>
        <v>-8.9867305153393424E-5</v>
      </c>
    </row>
    <row r="157" spans="1:16" x14ac:dyDescent="0.25">
      <c r="A157">
        <v>7.75</v>
      </c>
      <c r="B157">
        <v>-5.0000000000000001E-3</v>
      </c>
      <c r="C157">
        <v>3.3000000000000002E-2</v>
      </c>
      <c r="H157">
        <f t="shared" si="14"/>
        <v>7.75</v>
      </c>
      <c r="I157">
        <f t="shared" si="15"/>
        <v>-5.0000000000000001E-3</v>
      </c>
      <c r="J157">
        <f t="shared" si="16"/>
        <v>2.5749278345901679E-2</v>
      </c>
      <c r="K157">
        <f t="shared" si="17"/>
        <v>-33.48885260891965</v>
      </c>
      <c r="L157">
        <f t="shared" si="18"/>
        <v>3.4332371127868898E-4</v>
      </c>
      <c r="O157">
        <f t="shared" si="19"/>
        <v>-46.88439365248751</v>
      </c>
      <c r="P157">
        <f t="shared" si="20"/>
        <v>-1.0382435647847714E-4</v>
      </c>
    </row>
    <row r="158" spans="1:16" x14ac:dyDescent="0.25">
      <c r="A158">
        <v>7.8</v>
      </c>
      <c r="B158">
        <v>-5.0000000000000001E-3</v>
      </c>
      <c r="C158">
        <v>3.4000000000000002E-2</v>
      </c>
      <c r="H158">
        <f t="shared" si="14"/>
        <v>7.8</v>
      </c>
      <c r="I158">
        <f t="shared" si="15"/>
        <v>-5.0000000000000001E-3</v>
      </c>
      <c r="J158">
        <f t="shared" si="16"/>
        <v>2.6702499496520399E-2</v>
      </c>
      <c r="K158">
        <f t="shared" si="17"/>
        <v>-33.48885260891965</v>
      </c>
      <c r="L158">
        <f t="shared" si="18"/>
        <v>3.5603332662027191E-4</v>
      </c>
      <c r="O158">
        <f t="shared" si="19"/>
        <v>-46.88439365248751</v>
      </c>
      <c r="P158">
        <f t="shared" si="20"/>
        <v>-9.1114741136894201E-5</v>
      </c>
    </row>
    <row r="159" spans="1:16" x14ac:dyDescent="0.25">
      <c r="A159">
        <v>7.85</v>
      </c>
      <c r="B159">
        <v>-5.0000000000000001E-3</v>
      </c>
      <c r="C159">
        <v>3.4000000000000002E-2</v>
      </c>
      <c r="H159">
        <f t="shared" si="14"/>
        <v>7.85</v>
      </c>
      <c r="I159">
        <f t="shared" si="15"/>
        <v>-5.0000000000000001E-3</v>
      </c>
      <c r="J159">
        <f t="shared" si="16"/>
        <v>2.6655720647139121E-2</v>
      </c>
      <c r="K159">
        <f t="shared" si="17"/>
        <v>-33.48885260891965</v>
      </c>
      <c r="L159">
        <f t="shared" si="18"/>
        <v>3.5540960862852155E-4</v>
      </c>
      <c r="O159">
        <f t="shared" si="19"/>
        <v>-46.88439365248751</v>
      </c>
      <c r="P159">
        <f t="shared" si="20"/>
        <v>-9.1738459128644563E-5</v>
      </c>
    </row>
    <row r="160" spans="1:16" x14ac:dyDescent="0.25">
      <c r="A160">
        <v>7.9</v>
      </c>
      <c r="B160">
        <v>-4.0000000000000001E-3</v>
      </c>
      <c r="C160">
        <v>3.5000000000000003E-2</v>
      </c>
      <c r="H160">
        <f t="shared" si="14"/>
        <v>7.9</v>
      </c>
      <c r="I160">
        <f t="shared" si="15"/>
        <v>-4.0000000000000001E-3</v>
      </c>
      <c r="J160">
        <f t="shared" si="16"/>
        <v>2.760894179775784E-2</v>
      </c>
      <c r="K160">
        <f t="shared" si="17"/>
        <v>-26.791082087135717</v>
      </c>
      <c r="L160">
        <f t="shared" si="18"/>
        <v>3.6811922397010448E-4</v>
      </c>
      <c r="O160">
        <f t="shared" si="19"/>
        <v>-40.18662313070358</v>
      </c>
      <c r="P160">
        <f t="shared" si="20"/>
        <v>-7.9028843787061628E-5</v>
      </c>
    </row>
    <row r="161" spans="1:16" x14ac:dyDescent="0.25">
      <c r="A161">
        <v>7.95</v>
      </c>
      <c r="B161">
        <v>-4.0000000000000001E-3</v>
      </c>
      <c r="C161">
        <v>3.4000000000000002E-2</v>
      </c>
      <c r="H161">
        <f t="shared" si="14"/>
        <v>7.95</v>
      </c>
      <c r="I161">
        <f t="shared" si="15"/>
        <v>-4.0000000000000001E-3</v>
      </c>
      <c r="J161">
        <f t="shared" si="16"/>
        <v>2.6562162948376562E-2</v>
      </c>
      <c r="K161">
        <f t="shared" si="17"/>
        <v>-26.791082087135717</v>
      </c>
      <c r="L161">
        <f t="shared" si="18"/>
        <v>3.5416217264502077E-4</v>
      </c>
      <c r="O161">
        <f t="shared" si="19"/>
        <v>-40.18662313070358</v>
      </c>
      <c r="P161">
        <f t="shared" si="20"/>
        <v>-9.2985895112145339E-5</v>
      </c>
    </row>
    <row r="162" spans="1:16" x14ac:dyDescent="0.25">
      <c r="A162">
        <v>8</v>
      </c>
      <c r="B162">
        <v>-4.0000000000000001E-3</v>
      </c>
      <c r="C162">
        <v>3.4000000000000002E-2</v>
      </c>
      <c r="H162">
        <f t="shared" si="14"/>
        <v>8</v>
      </c>
      <c r="I162">
        <f t="shared" si="15"/>
        <v>-4.0000000000000001E-3</v>
      </c>
      <c r="J162">
        <f t="shared" si="16"/>
        <v>2.651538409899528E-2</v>
      </c>
      <c r="K162">
        <f t="shared" si="17"/>
        <v>-26.791082087135717</v>
      </c>
      <c r="L162">
        <f t="shared" si="18"/>
        <v>3.5353845465327036E-4</v>
      </c>
      <c r="O162">
        <f t="shared" si="19"/>
        <v>-40.18662313070358</v>
      </c>
      <c r="P162">
        <f t="shared" si="20"/>
        <v>-9.3609613103895755E-5</v>
      </c>
    </row>
    <row r="163" spans="1:16" x14ac:dyDescent="0.25">
      <c r="A163">
        <v>8.0500000000000007</v>
      </c>
      <c r="B163">
        <v>-4.0000000000000001E-3</v>
      </c>
      <c r="C163">
        <v>3.4000000000000002E-2</v>
      </c>
      <c r="H163">
        <f t="shared" si="14"/>
        <v>8.0500000000000007</v>
      </c>
      <c r="I163">
        <f t="shared" si="15"/>
        <v>-4.0000000000000001E-3</v>
      </c>
      <c r="J163">
        <f t="shared" si="16"/>
        <v>2.6468605249614002E-2</v>
      </c>
      <c r="K163">
        <f t="shared" si="17"/>
        <v>-26.791082087135717</v>
      </c>
      <c r="L163">
        <f t="shared" si="18"/>
        <v>3.5291473666151994E-4</v>
      </c>
      <c r="O163">
        <f t="shared" si="19"/>
        <v>-40.18662313070358</v>
      </c>
      <c r="P163">
        <f t="shared" si="20"/>
        <v>-9.423333109564617E-5</v>
      </c>
    </row>
    <row r="164" spans="1:16" x14ac:dyDescent="0.25">
      <c r="A164">
        <v>8.1</v>
      </c>
      <c r="B164">
        <v>-4.0000000000000001E-3</v>
      </c>
      <c r="C164">
        <v>3.5999999999999997E-2</v>
      </c>
      <c r="H164">
        <f t="shared" si="14"/>
        <v>8.1</v>
      </c>
      <c r="I164">
        <f t="shared" si="15"/>
        <v>-4.0000000000000001E-3</v>
      </c>
      <c r="J164">
        <f t="shared" si="16"/>
        <v>2.8421826400232719E-2</v>
      </c>
      <c r="K164">
        <f t="shared" si="17"/>
        <v>-26.791082087135717</v>
      </c>
      <c r="L164">
        <f t="shared" si="18"/>
        <v>3.7895768533643617E-4</v>
      </c>
      <c r="O164">
        <f t="shared" si="19"/>
        <v>-40.18662313070358</v>
      </c>
      <c r="P164">
        <f t="shared" si="20"/>
        <v>-6.819038242072994E-5</v>
      </c>
    </row>
    <row r="165" spans="1:16" x14ac:dyDescent="0.25">
      <c r="A165">
        <v>8.15</v>
      </c>
      <c r="B165">
        <v>-4.0000000000000001E-3</v>
      </c>
      <c r="C165">
        <v>3.5000000000000003E-2</v>
      </c>
      <c r="H165">
        <f t="shared" si="14"/>
        <v>8.15</v>
      </c>
      <c r="I165">
        <f t="shared" si="15"/>
        <v>-4.0000000000000001E-3</v>
      </c>
      <c r="J165">
        <f t="shared" si="16"/>
        <v>2.7375047550851444E-2</v>
      </c>
      <c r="K165">
        <f t="shared" si="17"/>
        <v>-26.791082087135717</v>
      </c>
      <c r="L165">
        <f t="shared" si="18"/>
        <v>3.6500063401135251E-4</v>
      </c>
      <c r="O165">
        <f t="shared" si="19"/>
        <v>-40.18662313070358</v>
      </c>
      <c r="P165">
        <f t="shared" si="20"/>
        <v>-8.2147433745813597E-5</v>
      </c>
    </row>
    <row r="166" spans="1:16" x14ac:dyDescent="0.25">
      <c r="A166">
        <v>8.1999999999999993</v>
      </c>
      <c r="B166">
        <v>-4.0000000000000001E-3</v>
      </c>
      <c r="C166">
        <v>3.5999999999999997E-2</v>
      </c>
      <c r="H166">
        <f t="shared" si="14"/>
        <v>8.1999999999999993</v>
      </c>
      <c r="I166">
        <f t="shared" si="15"/>
        <v>-4.0000000000000001E-3</v>
      </c>
      <c r="J166">
        <f t="shared" si="16"/>
        <v>2.832826870147016E-2</v>
      </c>
      <c r="K166">
        <f t="shared" si="17"/>
        <v>-26.791082087135717</v>
      </c>
      <c r="L166">
        <f t="shared" si="18"/>
        <v>3.7771024935293539E-4</v>
      </c>
      <c r="O166">
        <f t="shared" si="19"/>
        <v>-40.18662313070358</v>
      </c>
      <c r="P166">
        <f t="shared" si="20"/>
        <v>-6.9437818404230716E-5</v>
      </c>
    </row>
    <row r="167" spans="1:16" x14ac:dyDescent="0.25">
      <c r="A167">
        <v>8.25</v>
      </c>
      <c r="B167">
        <v>-4.0000000000000001E-3</v>
      </c>
      <c r="C167">
        <v>3.5000000000000003E-2</v>
      </c>
      <c r="H167">
        <f t="shared" si="14"/>
        <v>8.25</v>
      </c>
      <c r="I167">
        <f t="shared" si="15"/>
        <v>-4.0000000000000001E-3</v>
      </c>
      <c r="J167">
        <f t="shared" si="16"/>
        <v>2.7281489852088885E-2</v>
      </c>
      <c r="K167">
        <f t="shared" si="17"/>
        <v>-26.791082087135717</v>
      </c>
      <c r="L167">
        <f t="shared" si="18"/>
        <v>3.6375319802785174E-4</v>
      </c>
      <c r="O167">
        <f t="shared" si="19"/>
        <v>-40.18662313070358</v>
      </c>
      <c r="P167">
        <f t="shared" si="20"/>
        <v>-8.3394869729314374E-5</v>
      </c>
    </row>
    <row r="168" spans="1:16" x14ac:dyDescent="0.25">
      <c r="A168">
        <v>8.3000000000000007</v>
      </c>
      <c r="B168">
        <v>-3.0000000000000001E-3</v>
      </c>
      <c r="C168">
        <v>3.5999999999999997E-2</v>
      </c>
      <c r="H168">
        <f t="shared" si="14"/>
        <v>8.3000000000000007</v>
      </c>
      <c r="I168">
        <f t="shared" si="15"/>
        <v>-3.0000000000000001E-3</v>
      </c>
      <c r="J168">
        <f t="shared" si="16"/>
        <v>2.8234711002707601E-2</v>
      </c>
      <c r="K168">
        <f t="shared" si="17"/>
        <v>-20.093311565351787</v>
      </c>
      <c r="L168">
        <f t="shared" si="18"/>
        <v>3.7646281336943462E-4</v>
      </c>
      <c r="O168">
        <f t="shared" si="19"/>
        <v>-33.488852608919643</v>
      </c>
      <c r="P168">
        <f t="shared" si="20"/>
        <v>-7.0685254387731493E-5</v>
      </c>
    </row>
    <row r="169" spans="1:16" x14ac:dyDescent="0.25">
      <c r="A169">
        <v>8.35</v>
      </c>
      <c r="B169">
        <v>-3.0000000000000001E-3</v>
      </c>
      <c r="C169">
        <v>3.5999999999999997E-2</v>
      </c>
      <c r="H169">
        <f t="shared" si="14"/>
        <v>8.35</v>
      </c>
      <c r="I169">
        <f t="shared" si="15"/>
        <v>-3.0000000000000001E-3</v>
      </c>
      <c r="J169">
        <f t="shared" si="16"/>
        <v>2.8187932153326323E-2</v>
      </c>
      <c r="K169">
        <f t="shared" si="17"/>
        <v>-20.093311565351787</v>
      </c>
      <c r="L169">
        <f t="shared" si="18"/>
        <v>3.758390953776842E-4</v>
      </c>
      <c r="O169">
        <f t="shared" si="19"/>
        <v>-33.488852608919643</v>
      </c>
      <c r="P169">
        <f t="shared" si="20"/>
        <v>-7.1308972379481909E-5</v>
      </c>
    </row>
    <row r="170" spans="1:16" x14ac:dyDescent="0.25">
      <c r="A170">
        <v>8.4</v>
      </c>
      <c r="B170">
        <v>-3.0000000000000001E-3</v>
      </c>
      <c r="C170">
        <v>3.5999999999999997E-2</v>
      </c>
      <c r="H170">
        <f t="shared" si="14"/>
        <v>8.4</v>
      </c>
      <c r="I170">
        <f t="shared" si="15"/>
        <v>-3.0000000000000001E-3</v>
      </c>
      <c r="J170">
        <f t="shared" si="16"/>
        <v>2.8141153303945038E-2</v>
      </c>
      <c r="K170">
        <f t="shared" si="17"/>
        <v>-20.093311565351787</v>
      </c>
      <c r="L170">
        <f t="shared" si="18"/>
        <v>3.7521537738593379E-4</v>
      </c>
      <c r="O170">
        <f t="shared" si="19"/>
        <v>-33.488852608919643</v>
      </c>
      <c r="P170">
        <f t="shared" si="20"/>
        <v>-7.1932690371232324E-5</v>
      </c>
    </row>
    <row r="171" spans="1:16" x14ac:dyDescent="0.25">
      <c r="A171">
        <v>8.4499999999999993</v>
      </c>
      <c r="B171">
        <v>-3.0000000000000001E-3</v>
      </c>
      <c r="C171">
        <v>3.5999999999999997E-2</v>
      </c>
      <c r="H171">
        <f t="shared" si="14"/>
        <v>8.4499999999999993</v>
      </c>
      <c r="I171">
        <f t="shared" si="15"/>
        <v>-3.0000000000000001E-3</v>
      </c>
      <c r="J171">
        <f t="shared" si="16"/>
        <v>2.809437445456376E-2</v>
      </c>
      <c r="K171">
        <f t="shared" si="17"/>
        <v>-20.093311565351787</v>
      </c>
      <c r="L171">
        <f t="shared" si="18"/>
        <v>3.7459165939418337E-4</v>
      </c>
      <c r="O171">
        <f t="shared" si="19"/>
        <v>-33.488852608919643</v>
      </c>
      <c r="P171">
        <f t="shared" si="20"/>
        <v>-7.255640836298274E-5</v>
      </c>
    </row>
    <row r="172" spans="1:16" x14ac:dyDescent="0.25">
      <c r="A172">
        <v>8.5</v>
      </c>
      <c r="B172">
        <v>-3.0000000000000001E-3</v>
      </c>
      <c r="C172">
        <v>3.5999999999999997E-2</v>
      </c>
      <c r="H172">
        <f t="shared" si="14"/>
        <v>8.5</v>
      </c>
      <c r="I172">
        <f t="shared" si="15"/>
        <v>-3.0000000000000001E-3</v>
      </c>
      <c r="J172">
        <f t="shared" si="16"/>
        <v>2.8047595605182482E-2</v>
      </c>
      <c r="K172">
        <f t="shared" si="17"/>
        <v>-20.093311565351787</v>
      </c>
      <c r="L172">
        <f t="shared" si="18"/>
        <v>3.7396794140243301E-4</v>
      </c>
      <c r="O172">
        <f t="shared" si="19"/>
        <v>-33.488852608919643</v>
      </c>
      <c r="P172">
        <f t="shared" si="20"/>
        <v>-7.3180126354733101E-5</v>
      </c>
    </row>
    <row r="173" spans="1:16" x14ac:dyDescent="0.25">
      <c r="A173">
        <v>8.5500000000000007</v>
      </c>
      <c r="B173">
        <v>-3.0000000000000001E-3</v>
      </c>
      <c r="C173">
        <v>3.5999999999999997E-2</v>
      </c>
      <c r="H173">
        <f t="shared" si="14"/>
        <v>8.5500000000000007</v>
      </c>
      <c r="I173">
        <f t="shared" si="15"/>
        <v>-3.0000000000000001E-3</v>
      </c>
      <c r="J173">
        <f t="shared" si="16"/>
        <v>2.8000816755801204E-2</v>
      </c>
      <c r="K173">
        <f t="shared" si="17"/>
        <v>-20.093311565351787</v>
      </c>
      <c r="L173">
        <f t="shared" si="18"/>
        <v>3.7334422341068265E-4</v>
      </c>
      <c r="O173">
        <f t="shared" si="19"/>
        <v>-33.488852608919643</v>
      </c>
      <c r="P173">
        <f t="shared" si="20"/>
        <v>-7.3803844346483462E-5</v>
      </c>
    </row>
    <row r="174" spans="1:16" x14ac:dyDescent="0.25">
      <c r="A174">
        <v>8.6</v>
      </c>
      <c r="B174">
        <v>-3.0000000000000001E-3</v>
      </c>
      <c r="C174">
        <v>3.5999999999999997E-2</v>
      </c>
      <c r="H174">
        <f t="shared" si="14"/>
        <v>8.6</v>
      </c>
      <c r="I174">
        <f t="shared" si="15"/>
        <v>-3.0000000000000001E-3</v>
      </c>
      <c r="J174">
        <f t="shared" si="16"/>
        <v>2.7954037906419923E-2</v>
      </c>
      <c r="K174">
        <f t="shared" si="17"/>
        <v>-20.093311565351787</v>
      </c>
      <c r="L174">
        <f t="shared" si="18"/>
        <v>3.7272050541893223E-4</v>
      </c>
      <c r="O174">
        <f t="shared" si="19"/>
        <v>-33.488852608919643</v>
      </c>
      <c r="P174">
        <f t="shared" si="20"/>
        <v>-7.4427562338233878E-5</v>
      </c>
    </row>
    <row r="175" spans="1:16" x14ac:dyDescent="0.25">
      <c r="A175">
        <v>8.65</v>
      </c>
      <c r="B175">
        <v>-3.0000000000000001E-3</v>
      </c>
      <c r="C175">
        <v>3.5999999999999997E-2</v>
      </c>
      <c r="H175">
        <f t="shared" si="14"/>
        <v>8.65</v>
      </c>
      <c r="I175">
        <f t="shared" si="15"/>
        <v>-3.0000000000000001E-3</v>
      </c>
      <c r="J175">
        <f t="shared" si="16"/>
        <v>2.7907259057038641E-2</v>
      </c>
      <c r="K175">
        <f t="shared" si="17"/>
        <v>-20.093311565351787</v>
      </c>
      <c r="L175">
        <f t="shared" si="18"/>
        <v>3.7209678742718182E-4</v>
      </c>
      <c r="O175">
        <f t="shared" si="19"/>
        <v>-33.488852608919643</v>
      </c>
      <c r="P175">
        <f t="shared" si="20"/>
        <v>-7.5051280329984293E-5</v>
      </c>
    </row>
    <row r="176" spans="1:16" x14ac:dyDescent="0.25">
      <c r="A176">
        <v>8.6999999999999993</v>
      </c>
      <c r="B176">
        <v>-3.0000000000000001E-3</v>
      </c>
      <c r="C176">
        <v>3.6999999999999998E-2</v>
      </c>
      <c r="H176">
        <f t="shared" si="14"/>
        <v>8.6999999999999993</v>
      </c>
      <c r="I176">
        <f t="shared" si="15"/>
        <v>-3.0000000000000001E-3</v>
      </c>
      <c r="J176">
        <f t="shared" si="16"/>
        <v>2.8860480207657364E-2</v>
      </c>
      <c r="K176">
        <f t="shared" si="17"/>
        <v>-20.093311565351787</v>
      </c>
      <c r="L176">
        <f t="shared" si="18"/>
        <v>3.8480640276876481E-4</v>
      </c>
      <c r="O176">
        <f t="shared" si="19"/>
        <v>-33.488852608919643</v>
      </c>
      <c r="P176">
        <f t="shared" si="20"/>
        <v>-6.2341664988401304E-5</v>
      </c>
    </row>
    <row r="177" spans="1:16" x14ac:dyDescent="0.25">
      <c r="A177">
        <v>8.75</v>
      </c>
      <c r="B177">
        <v>-3.0000000000000001E-3</v>
      </c>
      <c r="C177">
        <v>3.5999999999999997E-2</v>
      </c>
      <c r="H177">
        <f t="shared" si="14"/>
        <v>8.75</v>
      </c>
      <c r="I177">
        <f t="shared" si="15"/>
        <v>-3.0000000000000001E-3</v>
      </c>
      <c r="J177">
        <f t="shared" si="16"/>
        <v>2.7813701358276086E-2</v>
      </c>
      <c r="K177">
        <f t="shared" si="17"/>
        <v>-20.093311565351787</v>
      </c>
      <c r="L177">
        <f t="shared" si="18"/>
        <v>3.7084935144368104E-4</v>
      </c>
      <c r="O177">
        <f t="shared" si="19"/>
        <v>-33.488852608919643</v>
      </c>
      <c r="P177">
        <f t="shared" si="20"/>
        <v>-7.629871631348507E-5</v>
      </c>
    </row>
    <row r="178" spans="1:16" x14ac:dyDescent="0.25">
      <c r="A178">
        <v>8.8000000000000007</v>
      </c>
      <c r="B178">
        <v>-3.0000000000000001E-3</v>
      </c>
      <c r="C178">
        <v>3.6999999999999998E-2</v>
      </c>
      <c r="H178">
        <f t="shared" si="14"/>
        <v>8.8000000000000007</v>
      </c>
      <c r="I178">
        <f t="shared" si="15"/>
        <v>-3.0000000000000001E-3</v>
      </c>
      <c r="J178">
        <f t="shared" si="16"/>
        <v>2.8766922508894805E-2</v>
      </c>
      <c r="K178">
        <f t="shared" si="17"/>
        <v>-20.093311565351787</v>
      </c>
      <c r="L178">
        <f t="shared" si="18"/>
        <v>3.8355896678526398E-4</v>
      </c>
      <c r="O178">
        <f t="shared" si="19"/>
        <v>-33.488852608919643</v>
      </c>
      <c r="P178">
        <f t="shared" si="20"/>
        <v>-6.3589100971902135E-5</v>
      </c>
    </row>
    <row r="179" spans="1:16" x14ac:dyDescent="0.25">
      <c r="A179">
        <v>8.85</v>
      </c>
      <c r="B179">
        <v>-3.0000000000000001E-3</v>
      </c>
      <c r="C179">
        <v>3.5999999999999997E-2</v>
      </c>
      <c r="H179">
        <f t="shared" si="14"/>
        <v>8.85</v>
      </c>
      <c r="I179">
        <f t="shared" si="15"/>
        <v>-3.0000000000000001E-3</v>
      </c>
      <c r="J179">
        <f t="shared" si="16"/>
        <v>2.7720143659513526E-2</v>
      </c>
      <c r="K179">
        <f t="shared" si="17"/>
        <v>-20.093311565351787</v>
      </c>
      <c r="L179">
        <f t="shared" si="18"/>
        <v>3.6960191546018026E-4</v>
      </c>
      <c r="O179">
        <f t="shared" si="19"/>
        <v>-33.488852608919643</v>
      </c>
      <c r="P179">
        <f t="shared" si="20"/>
        <v>-7.7546152296985847E-5</v>
      </c>
    </row>
    <row r="180" spans="1:16" x14ac:dyDescent="0.25">
      <c r="A180">
        <v>8.9</v>
      </c>
      <c r="B180">
        <v>-3.0000000000000001E-3</v>
      </c>
      <c r="C180">
        <v>3.6999999999999998E-2</v>
      </c>
      <c r="H180">
        <f t="shared" si="14"/>
        <v>8.9</v>
      </c>
      <c r="I180">
        <f t="shared" si="15"/>
        <v>-3.0000000000000001E-3</v>
      </c>
      <c r="J180">
        <f t="shared" si="16"/>
        <v>2.8673364810132246E-2</v>
      </c>
      <c r="K180">
        <f t="shared" si="17"/>
        <v>-20.093311565351787</v>
      </c>
      <c r="L180">
        <f t="shared" si="18"/>
        <v>3.823115308017632E-4</v>
      </c>
      <c r="O180">
        <f t="shared" si="19"/>
        <v>-33.488852608919643</v>
      </c>
      <c r="P180">
        <f t="shared" si="20"/>
        <v>-6.4836536955402912E-5</v>
      </c>
    </row>
    <row r="181" spans="1:16" x14ac:dyDescent="0.25">
      <c r="A181">
        <v>8.9499999999999993</v>
      </c>
      <c r="B181">
        <v>-3.0000000000000001E-3</v>
      </c>
      <c r="C181">
        <v>3.6999999999999998E-2</v>
      </c>
      <c r="H181">
        <f t="shared" si="14"/>
        <v>8.9499999999999993</v>
      </c>
      <c r="I181">
        <f t="shared" si="15"/>
        <v>-3.0000000000000001E-3</v>
      </c>
      <c r="J181">
        <f t="shared" si="16"/>
        <v>2.8626585960750968E-2</v>
      </c>
      <c r="K181">
        <f t="shared" si="17"/>
        <v>-20.093311565351787</v>
      </c>
      <c r="L181">
        <f t="shared" si="18"/>
        <v>3.8168781281001284E-4</v>
      </c>
      <c r="O181">
        <f t="shared" si="19"/>
        <v>-33.488852608919643</v>
      </c>
      <c r="P181">
        <f t="shared" si="20"/>
        <v>-6.5460254947153273E-5</v>
      </c>
    </row>
    <row r="182" spans="1:16" x14ac:dyDescent="0.25">
      <c r="A182">
        <v>9</v>
      </c>
      <c r="B182">
        <v>-2E-3</v>
      </c>
      <c r="C182">
        <v>3.7999999999999999E-2</v>
      </c>
      <c r="H182">
        <f t="shared" si="14"/>
        <v>9</v>
      </c>
      <c r="I182">
        <f t="shared" si="15"/>
        <v>-2E-3</v>
      </c>
      <c r="J182">
        <f t="shared" si="16"/>
        <v>2.9579807111369691E-2</v>
      </c>
      <c r="K182">
        <f t="shared" si="17"/>
        <v>-13.395541043567858</v>
      </c>
      <c r="L182">
        <f t="shared" si="18"/>
        <v>3.9439742815159583E-4</v>
      </c>
      <c r="O182">
        <f t="shared" si="19"/>
        <v>-26.79108208713572</v>
      </c>
      <c r="P182">
        <f t="shared" si="20"/>
        <v>-5.2750639605570284E-5</v>
      </c>
    </row>
    <row r="183" spans="1:16" x14ac:dyDescent="0.25">
      <c r="A183">
        <v>9.0500000000000007</v>
      </c>
      <c r="B183">
        <v>-2E-3</v>
      </c>
      <c r="C183">
        <v>3.7999999999999999E-2</v>
      </c>
      <c r="H183">
        <f t="shared" si="14"/>
        <v>9.0500000000000007</v>
      </c>
      <c r="I183">
        <f t="shared" si="15"/>
        <v>-2E-3</v>
      </c>
      <c r="J183">
        <f t="shared" si="16"/>
        <v>2.9533028261988406E-2</v>
      </c>
      <c r="K183">
        <f t="shared" si="17"/>
        <v>-13.395541043567858</v>
      </c>
      <c r="L183">
        <f t="shared" si="18"/>
        <v>3.9377371015984536E-4</v>
      </c>
      <c r="O183">
        <f t="shared" si="19"/>
        <v>-26.79108208713572</v>
      </c>
      <c r="P183">
        <f t="shared" si="20"/>
        <v>-5.3374357597320754E-5</v>
      </c>
    </row>
    <row r="184" spans="1:16" x14ac:dyDescent="0.25">
      <c r="A184">
        <v>9.1</v>
      </c>
      <c r="B184">
        <v>-2E-3</v>
      </c>
      <c r="C184">
        <v>3.7999999999999999E-2</v>
      </c>
      <c r="H184">
        <f t="shared" si="14"/>
        <v>9.1</v>
      </c>
      <c r="I184">
        <f t="shared" si="15"/>
        <v>-2E-3</v>
      </c>
      <c r="J184">
        <f t="shared" si="16"/>
        <v>2.9486249412607128E-2</v>
      </c>
      <c r="K184">
        <f t="shared" si="17"/>
        <v>-13.395541043567858</v>
      </c>
      <c r="L184">
        <f t="shared" si="18"/>
        <v>3.9314999216809494E-4</v>
      </c>
      <c r="O184">
        <f t="shared" si="19"/>
        <v>-26.79108208713572</v>
      </c>
      <c r="P184">
        <f t="shared" si="20"/>
        <v>-5.3998075589071169E-5</v>
      </c>
    </row>
    <row r="185" spans="1:16" x14ac:dyDescent="0.25">
      <c r="A185">
        <v>9.15</v>
      </c>
      <c r="B185">
        <v>-2E-3</v>
      </c>
      <c r="C185">
        <v>3.7999999999999999E-2</v>
      </c>
      <c r="H185">
        <f t="shared" si="14"/>
        <v>9.15</v>
      </c>
      <c r="I185">
        <f t="shared" si="15"/>
        <v>-2E-3</v>
      </c>
      <c r="J185">
        <f t="shared" si="16"/>
        <v>2.943947056322585E-2</v>
      </c>
      <c r="K185">
        <f t="shared" si="17"/>
        <v>-13.395541043567858</v>
      </c>
      <c r="L185">
        <f t="shared" si="18"/>
        <v>3.9252627417634458E-4</v>
      </c>
      <c r="O185">
        <f t="shared" si="19"/>
        <v>-26.79108208713572</v>
      </c>
      <c r="P185">
        <f t="shared" si="20"/>
        <v>-5.4621793580821531E-5</v>
      </c>
    </row>
    <row r="186" spans="1:16" x14ac:dyDescent="0.25">
      <c r="A186">
        <v>9.1999999999999993</v>
      </c>
      <c r="B186">
        <v>-2E-3</v>
      </c>
      <c r="C186" s="1">
        <v>3.7999999999999999E-2</v>
      </c>
      <c r="H186">
        <f t="shared" si="14"/>
        <v>9.1999999999999993</v>
      </c>
      <c r="I186">
        <f t="shared" si="15"/>
        <v>-2E-3</v>
      </c>
      <c r="J186">
        <f t="shared" si="16"/>
        <v>2.9392691713844572E-2</v>
      </c>
      <c r="K186">
        <f t="shared" si="17"/>
        <v>-13.395541043567858</v>
      </c>
      <c r="L186">
        <f t="shared" si="18"/>
        <v>3.9190255618459422E-4</v>
      </c>
      <c r="O186">
        <f t="shared" si="19"/>
        <v>-26.79108208713572</v>
      </c>
      <c r="P186">
        <f t="shared" si="20"/>
        <v>-5.5245511572571892E-5</v>
      </c>
    </row>
    <row r="187" spans="1:16" x14ac:dyDescent="0.25">
      <c r="A187">
        <v>9.25</v>
      </c>
      <c r="B187">
        <v>-2E-3</v>
      </c>
      <c r="C187">
        <v>3.7999999999999999E-2</v>
      </c>
      <c r="H187">
        <f t="shared" si="14"/>
        <v>9.25</v>
      </c>
      <c r="I187">
        <f t="shared" si="15"/>
        <v>-2E-3</v>
      </c>
      <c r="J187">
        <f t="shared" si="16"/>
        <v>2.9345912864463291E-2</v>
      </c>
      <c r="K187">
        <f t="shared" si="17"/>
        <v>-13.395541043567858</v>
      </c>
      <c r="L187">
        <f t="shared" si="18"/>
        <v>3.912788381928438E-4</v>
      </c>
      <c r="O187">
        <f t="shared" si="19"/>
        <v>-26.79108208713572</v>
      </c>
      <c r="P187">
        <f t="shared" si="20"/>
        <v>-5.5869229564322307E-5</v>
      </c>
    </row>
    <row r="188" spans="1:16" x14ac:dyDescent="0.25">
      <c r="A188">
        <v>9.3000000000000007</v>
      </c>
      <c r="B188">
        <v>-2E-3</v>
      </c>
      <c r="C188">
        <v>3.7999999999999999E-2</v>
      </c>
      <c r="H188">
        <f t="shared" si="14"/>
        <v>9.3000000000000007</v>
      </c>
      <c r="I188">
        <f t="shared" si="15"/>
        <v>-2E-3</v>
      </c>
      <c r="J188">
        <f t="shared" si="16"/>
        <v>2.929913401508201E-2</v>
      </c>
      <c r="K188">
        <f t="shared" si="17"/>
        <v>-13.395541043567858</v>
      </c>
      <c r="L188">
        <f t="shared" si="18"/>
        <v>3.9065512020109339E-4</v>
      </c>
      <c r="O188">
        <f t="shared" si="19"/>
        <v>-26.79108208713572</v>
      </c>
      <c r="P188">
        <f t="shared" si="20"/>
        <v>-5.6492947556072723E-5</v>
      </c>
    </row>
    <row r="189" spans="1:16" x14ac:dyDescent="0.25">
      <c r="A189">
        <v>9.35</v>
      </c>
      <c r="B189">
        <v>-2E-3</v>
      </c>
      <c r="C189">
        <v>3.7999999999999999E-2</v>
      </c>
      <c r="H189">
        <f t="shared" si="14"/>
        <v>9.35</v>
      </c>
      <c r="I189">
        <f t="shared" si="15"/>
        <v>-2E-3</v>
      </c>
      <c r="J189">
        <f t="shared" si="16"/>
        <v>2.9252355165700732E-2</v>
      </c>
      <c r="K189">
        <f t="shared" si="17"/>
        <v>-13.395541043567858</v>
      </c>
      <c r="L189">
        <f t="shared" si="18"/>
        <v>3.9003140220934303E-4</v>
      </c>
      <c r="O189">
        <f t="shared" si="19"/>
        <v>-26.79108208713572</v>
      </c>
      <c r="P189">
        <f t="shared" si="20"/>
        <v>-5.7116665547823084E-5</v>
      </c>
    </row>
    <row r="190" spans="1:16" x14ac:dyDescent="0.25">
      <c r="A190">
        <v>9.4</v>
      </c>
      <c r="B190">
        <v>-2E-3</v>
      </c>
      <c r="C190" s="1">
        <v>3.9E-2</v>
      </c>
      <c r="H190">
        <f t="shared" si="14"/>
        <v>9.4</v>
      </c>
      <c r="I190">
        <f t="shared" si="15"/>
        <v>-2E-3</v>
      </c>
      <c r="J190">
        <f t="shared" si="16"/>
        <v>3.0205576316319455E-2</v>
      </c>
      <c r="K190">
        <f t="shared" si="17"/>
        <v>-13.395541043567858</v>
      </c>
      <c r="L190">
        <f t="shared" si="18"/>
        <v>4.0274101755092596E-4</v>
      </c>
      <c r="O190">
        <f t="shared" si="19"/>
        <v>-26.79108208713572</v>
      </c>
      <c r="P190">
        <f t="shared" si="20"/>
        <v>-4.440705020624015E-5</v>
      </c>
    </row>
    <row r="191" spans="1:16" x14ac:dyDescent="0.25">
      <c r="A191">
        <v>9.4499999999999993</v>
      </c>
      <c r="B191">
        <v>-2E-3</v>
      </c>
      <c r="C191">
        <v>3.7999999999999999E-2</v>
      </c>
      <c r="H191">
        <f t="shared" si="14"/>
        <v>9.4499999999999993</v>
      </c>
      <c r="I191">
        <f t="shared" si="15"/>
        <v>-2E-3</v>
      </c>
      <c r="J191">
        <f t="shared" si="16"/>
        <v>2.9158797466938176E-2</v>
      </c>
      <c r="K191">
        <f t="shared" si="17"/>
        <v>-13.395541043567858</v>
      </c>
      <c r="L191">
        <f t="shared" si="18"/>
        <v>3.8878396622584225E-4</v>
      </c>
      <c r="O191">
        <f t="shared" si="19"/>
        <v>-26.79108208713572</v>
      </c>
      <c r="P191">
        <f t="shared" si="20"/>
        <v>-5.8364101531323861E-5</v>
      </c>
    </row>
    <row r="192" spans="1:16" x14ac:dyDescent="0.25">
      <c r="A192">
        <v>9.5</v>
      </c>
      <c r="B192">
        <v>-2E-3</v>
      </c>
      <c r="C192" s="1">
        <v>3.9E-2</v>
      </c>
      <c r="H192">
        <f t="shared" si="14"/>
        <v>9.5</v>
      </c>
      <c r="I192">
        <f t="shared" si="15"/>
        <v>-2E-3</v>
      </c>
      <c r="J192">
        <f t="shared" si="16"/>
        <v>3.0112018617556892E-2</v>
      </c>
      <c r="K192">
        <f t="shared" si="17"/>
        <v>-13.395541043567858</v>
      </c>
      <c r="L192">
        <f t="shared" si="18"/>
        <v>4.0149358156742513E-4</v>
      </c>
      <c r="O192">
        <f t="shared" si="19"/>
        <v>-26.79108208713572</v>
      </c>
      <c r="P192">
        <f t="shared" si="20"/>
        <v>-4.5654486189740981E-5</v>
      </c>
    </row>
    <row r="193" spans="1:16" x14ac:dyDescent="0.25">
      <c r="A193">
        <v>9.5500000000000007</v>
      </c>
      <c r="B193">
        <v>-2E-3</v>
      </c>
      <c r="C193">
        <v>3.7999999999999999E-2</v>
      </c>
      <c r="H193">
        <f t="shared" si="14"/>
        <v>9.5500000000000007</v>
      </c>
      <c r="I193">
        <f t="shared" si="15"/>
        <v>-2E-3</v>
      </c>
      <c r="J193">
        <f t="shared" si="16"/>
        <v>2.9065239768175613E-2</v>
      </c>
      <c r="K193">
        <f t="shared" si="17"/>
        <v>-13.395541043567858</v>
      </c>
      <c r="L193">
        <f t="shared" si="18"/>
        <v>3.8753653024234142E-4</v>
      </c>
      <c r="O193">
        <f t="shared" si="19"/>
        <v>-26.79108208713572</v>
      </c>
      <c r="P193">
        <f t="shared" si="20"/>
        <v>-5.9611537514824692E-5</v>
      </c>
    </row>
    <row r="194" spans="1:16" x14ac:dyDescent="0.25">
      <c r="A194">
        <v>9.6</v>
      </c>
      <c r="B194">
        <v>-2E-3</v>
      </c>
      <c r="C194" s="1">
        <v>3.9E-2</v>
      </c>
      <c r="H194">
        <f t="shared" si="14"/>
        <v>9.6</v>
      </c>
      <c r="I194">
        <f t="shared" si="15"/>
        <v>-2E-3</v>
      </c>
      <c r="J194">
        <f t="shared" si="16"/>
        <v>3.0018460918794336E-2</v>
      </c>
      <c r="K194">
        <f t="shared" si="17"/>
        <v>-13.395541043567858</v>
      </c>
      <c r="L194">
        <f t="shared" si="18"/>
        <v>4.0024614558392441E-4</v>
      </c>
      <c r="O194">
        <f t="shared" si="19"/>
        <v>-26.79108208713572</v>
      </c>
      <c r="P194">
        <f t="shared" si="20"/>
        <v>-4.6901922173241703E-5</v>
      </c>
    </row>
    <row r="195" spans="1:16" x14ac:dyDescent="0.25">
      <c r="A195">
        <v>9.65</v>
      </c>
      <c r="B195">
        <v>-1E-3</v>
      </c>
      <c r="C195">
        <v>3.9E-2</v>
      </c>
      <c r="H195">
        <f t="shared" ref="H195:H258" si="21">A195</f>
        <v>9.65</v>
      </c>
      <c r="I195">
        <f t="shared" ref="I195:I258" si="22">B195</f>
        <v>-1E-3</v>
      </c>
      <c r="J195">
        <f t="shared" ref="J195:J258" si="23">C195-E$12*A195</f>
        <v>2.9971682069413055E-2</v>
      </c>
      <c r="K195">
        <f t="shared" ref="K195:K258" si="24">F$24*I195</f>
        <v>-6.6977705217839292</v>
      </c>
      <c r="L195">
        <f t="shared" ref="L195:L258" si="25">F$25*J195</f>
        <v>3.9962242759217399E-4</v>
      </c>
      <c r="O195">
        <f t="shared" ref="O195:O258" si="26">K195-N$12</f>
        <v>-20.09331156535179</v>
      </c>
      <c r="P195">
        <f t="shared" ref="P195:P258" si="27">L195-N$15</f>
        <v>-4.7525640164992119E-5</v>
      </c>
    </row>
    <row r="196" spans="1:16" x14ac:dyDescent="0.25">
      <c r="A196">
        <v>9.6999999999999993</v>
      </c>
      <c r="B196">
        <v>-1E-3</v>
      </c>
      <c r="C196" s="1">
        <v>0.04</v>
      </c>
      <c r="H196">
        <f t="shared" si="21"/>
        <v>9.6999999999999993</v>
      </c>
      <c r="I196">
        <f t="shared" si="22"/>
        <v>-1E-3</v>
      </c>
      <c r="J196">
        <f t="shared" si="23"/>
        <v>3.0924903220031778E-2</v>
      </c>
      <c r="K196">
        <f t="shared" si="24"/>
        <v>-6.6977705217839292</v>
      </c>
      <c r="L196">
        <f t="shared" si="25"/>
        <v>4.1233204293375693E-4</v>
      </c>
      <c r="O196">
        <f t="shared" si="26"/>
        <v>-20.09331156535179</v>
      </c>
      <c r="P196">
        <f t="shared" si="27"/>
        <v>-3.4816024823409184E-5</v>
      </c>
    </row>
    <row r="197" spans="1:16" x14ac:dyDescent="0.25">
      <c r="A197">
        <v>9.75</v>
      </c>
      <c r="B197">
        <v>-1E-3</v>
      </c>
      <c r="C197">
        <v>3.9E-2</v>
      </c>
      <c r="H197">
        <f t="shared" si="21"/>
        <v>9.75</v>
      </c>
      <c r="I197">
        <f t="shared" si="22"/>
        <v>-1E-3</v>
      </c>
      <c r="J197">
        <f t="shared" si="23"/>
        <v>2.9878124370650495E-2</v>
      </c>
      <c r="K197">
        <f t="shared" si="24"/>
        <v>-6.6977705217839292</v>
      </c>
      <c r="L197">
        <f t="shared" si="25"/>
        <v>3.9837499160867322E-4</v>
      </c>
      <c r="O197">
        <f t="shared" si="26"/>
        <v>-20.09331156535179</v>
      </c>
      <c r="P197">
        <f t="shared" si="27"/>
        <v>-4.8773076148492895E-5</v>
      </c>
    </row>
    <row r="198" spans="1:16" x14ac:dyDescent="0.25">
      <c r="A198">
        <v>9.8000000000000007</v>
      </c>
      <c r="B198" s="1">
        <v>-5.9800000000000001E-4</v>
      </c>
      <c r="C198" s="1">
        <v>0.04</v>
      </c>
      <c r="H198">
        <f t="shared" si="21"/>
        <v>9.8000000000000007</v>
      </c>
      <c r="I198">
        <f t="shared" si="22"/>
        <v>-5.9800000000000001E-4</v>
      </c>
      <c r="J198">
        <f t="shared" si="23"/>
        <v>3.0831345521269218E-2</v>
      </c>
      <c r="K198">
        <f t="shared" si="24"/>
        <v>-4.0052667720267898</v>
      </c>
      <c r="L198">
        <f t="shared" si="25"/>
        <v>4.1108460695025615E-4</v>
      </c>
      <c r="O198">
        <f t="shared" si="26"/>
        <v>-17.40080781559465</v>
      </c>
      <c r="P198">
        <f t="shared" si="27"/>
        <v>-3.6063460806909961E-5</v>
      </c>
    </row>
    <row r="199" spans="1:16" x14ac:dyDescent="0.25">
      <c r="A199">
        <v>9.85</v>
      </c>
      <c r="B199" s="1">
        <v>-8.9400000000000005E-4</v>
      </c>
      <c r="C199">
        <v>0.04</v>
      </c>
      <c r="H199">
        <f t="shared" si="21"/>
        <v>9.85</v>
      </c>
      <c r="I199">
        <f t="shared" si="22"/>
        <v>-8.9400000000000005E-4</v>
      </c>
      <c r="J199">
        <f t="shared" si="23"/>
        <v>3.078456667188794E-2</v>
      </c>
      <c r="K199">
        <f t="shared" si="24"/>
        <v>-5.9878068464748333</v>
      </c>
      <c r="L199">
        <f t="shared" si="25"/>
        <v>4.1046088895850579E-4</v>
      </c>
      <c r="O199">
        <f t="shared" si="26"/>
        <v>-19.383347890042693</v>
      </c>
      <c r="P199">
        <f t="shared" si="27"/>
        <v>-3.6687178798660322E-5</v>
      </c>
    </row>
    <row r="200" spans="1:16" x14ac:dyDescent="0.25">
      <c r="A200">
        <v>9.9</v>
      </c>
      <c r="B200" s="1">
        <v>-7.2800000000000002E-4</v>
      </c>
      <c r="C200" s="1">
        <v>0.04</v>
      </c>
      <c r="H200">
        <f t="shared" si="21"/>
        <v>9.9</v>
      </c>
      <c r="I200">
        <f t="shared" si="22"/>
        <v>-7.2800000000000002E-4</v>
      </c>
      <c r="J200">
        <f t="shared" si="23"/>
        <v>3.0737787822506659E-2</v>
      </c>
      <c r="K200">
        <f t="shared" si="24"/>
        <v>-4.8759769398587007</v>
      </c>
      <c r="L200">
        <f t="shared" si="25"/>
        <v>4.0983717096675537E-4</v>
      </c>
      <c r="O200">
        <f t="shared" si="26"/>
        <v>-18.271517983426563</v>
      </c>
      <c r="P200">
        <f t="shared" si="27"/>
        <v>-3.7310896790410737E-5</v>
      </c>
    </row>
    <row r="201" spans="1:16" x14ac:dyDescent="0.25">
      <c r="A201">
        <v>9.9499999999999993</v>
      </c>
      <c r="B201" s="1">
        <v>-3.6400000000000001E-4</v>
      </c>
      <c r="C201">
        <v>0.04</v>
      </c>
      <c r="H201">
        <f t="shared" si="21"/>
        <v>9.9499999999999993</v>
      </c>
      <c r="I201">
        <f t="shared" si="22"/>
        <v>-3.6400000000000001E-4</v>
      </c>
      <c r="J201">
        <f t="shared" si="23"/>
        <v>3.0691008973125381E-2</v>
      </c>
      <c r="K201">
        <f t="shared" si="24"/>
        <v>-2.4379884699293504</v>
      </c>
      <c r="L201">
        <f t="shared" si="25"/>
        <v>4.0921345297500501E-4</v>
      </c>
      <c r="O201">
        <f t="shared" si="26"/>
        <v>-15.833529513497211</v>
      </c>
      <c r="P201">
        <f t="shared" si="27"/>
        <v>-3.7934614782161099E-5</v>
      </c>
    </row>
    <row r="202" spans="1:16" x14ac:dyDescent="0.25">
      <c r="A202">
        <v>10</v>
      </c>
      <c r="B202" s="1">
        <v>-4.95E-4</v>
      </c>
      <c r="C202">
        <v>4.1000000000000002E-2</v>
      </c>
      <c r="H202">
        <f t="shared" si="21"/>
        <v>10</v>
      </c>
      <c r="I202">
        <f t="shared" si="22"/>
        <v>-4.95E-4</v>
      </c>
      <c r="J202">
        <f t="shared" si="23"/>
        <v>3.1644230123744101E-2</v>
      </c>
      <c r="K202">
        <f t="shared" si="24"/>
        <v>-3.3153964082830449</v>
      </c>
      <c r="L202">
        <f t="shared" si="25"/>
        <v>4.2192306831658795E-4</v>
      </c>
      <c r="O202">
        <f t="shared" si="26"/>
        <v>-16.710937451850906</v>
      </c>
      <c r="P202">
        <f t="shared" si="27"/>
        <v>-2.5224999440578164E-5</v>
      </c>
    </row>
    <row r="203" spans="1:16" x14ac:dyDescent="0.25">
      <c r="A203">
        <v>10.050000000000001</v>
      </c>
      <c r="B203" s="1">
        <v>-5.6099999999999998E-4</v>
      </c>
      <c r="C203">
        <v>0.04</v>
      </c>
      <c r="H203">
        <f t="shared" si="21"/>
        <v>10.050000000000001</v>
      </c>
      <c r="I203">
        <f t="shared" si="22"/>
        <v>-5.6099999999999998E-4</v>
      </c>
      <c r="J203">
        <f t="shared" si="23"/>
        <v>3.0597451274362822E-2</v>
      </c>
      <c r="K203">
        <f t="shared" si="24"/>
        <v>-3.7574492627207841</v>
      </c>
      <c r="L203">
        <f t="shared" si="25"/>
        <v>4.0796601699150424E-4</v>
      </c>
      <c r="O203">
        <f t="shared" si="26"/>
        <v>-17.152990306288643</v>
      </c>
      <c r="P203">
        <f t="shared" si="27"/>
        <v>-3.9182050765661875E-5</v>
      </c>
    </row>
    <row r="204" spans="1:16" x14ac:dyDescent="0.25">
      <c r="A204">
        <v>10.1</v>
      </c>
      <c r="B204" s="1">
        <v>-4.3800000000000002E-4</v>
      </c>
      <c r="C204" s="1">
        <v>4.1000000000000002E-2</v>
      </c>
      <c r="H204">
        <f t="shared" si="21"/>
        <v>10.1</v>
      </c>
      <c r="I204">
        <f t="shared" si="22"/>
        <v>-4.3800000000000002E-4</v>
      </c>
      <c r="J204">
        <f t="shared" si="23"/>
        <v>3.1550672424981545E-2</v>
      </c>
      <c r="K204">
        <f t="shared" si="24"/>
        <v>-2.933623488541361</v>
      </c>
      <c r="L204">
        <f t="shared" si="25"/>
        <v>4.2067563233308717E-4</v>
      </c>
      <c r="O204">
        <f t="shared" si="26"/>
        <v>-16.329164532109221</v>
      </c>
      <c r="P204">
        <f t="shared" si="27"/>
        <v>-2.6472435424078941E-5</v>
      </c>
    </row>
    <row r="205" spans="1:16" x14ac:dyDescent="0.25">
      <c r="A205">
        <v>10.15</v>
      </c>
      <c r="B205" s="1">
        <v>-4.7399999999999997E-4</v>
      </c>
      <c r="C205">
        <v>4.1000000000000002E-2</v>
      </c>
      <c r="H205">
        <f t="shared" si="21"/>
        <v>10.15</v>
      </c>
      <c r="I205">
        <f t="shared" si="22"/>
        <v>-4.7399999999999997E-4</v>
      </c>
      <c r="J205">
        <f t="shared" si="23"/>
        <v>3.150389357560026E-2</v>
      </c>
      <c r="K205">
        <f t="shared" si="24"/>
        <v>-3.1747432273255822</v>
      </c>
      <c r="L205">
        <f t="shared" si="25"/>
        <v>4.200519143413367E-4</v>
      </c>
      <c r="O205">
        <f t="shared" si="26"/>
        <v>-16.570284270893442</v>
      </c>
      <c r="P205">
        <f t="shared" si="27"/>
        <v>-2.709615341582941E-5</v>
      </c>
    </row>
    <row r="206" spans="1:16" x14ac:dyDescent="0.25">
      <c r="A206">
        <v>10.199999999999999</v>
      </c>
      <c r="B206" s="1">
        <v>-3.2000000000000003E-4</v>
      </c>
      <c r="C206" s="1">
        <v>4.1000000000000002E-2</v>
      </c>
      <c r="H206">
        <f t="shared" si="21"/>
        <v>10.199999999999999</v>
      </c>
      <c r="I206">
        <f t="shared" si="22"/>
        <v>-3.2000000000000003E-4</v>
      </c>
      <c r="J206">
        <f t="shared" si="23"/>
        <v>3.1457114726218982E-2</v>
      </c>
      <c r="K206">
        <f t="shared" si="24"/>
        <v>-2.1432865669708576</v>
      </c>
      <c r="L206">
        <f t="shared" si="25"/>
        <v>4.1942819634958634E-4</v>
      </c>
      <c r="O206">
        <f t="shared" si="26"/>
        <v>-15.538827610538718</v>
      </c>
      <c r="P206">
        <f t="shared" si="27"/>
        <v>-2.7719871407579772E-5</v>
      </c>
    </row>
    <row r="207" spans="1:16" x14ac:dyDescent="0.25">
      <c r="A207">
        <v>10.25</v>
      </c>
      <c r="B207" s="1">
        <v>-5.7200000000000003E-4</v>
      </c>
      <c r="C207" s="1">
        <v>4.1000000000000002E-2</v>
      </c>
      <c r="H207">
        <f t="shared" si="21"/>
        <v>10.25</v>
      </c>
      <c r="I207">
        <f t="shared" si="22"/>
        <v>-5.7200000000000003E-4</v>
      </c>
      <c r="J207">
        <f t="shared" si="23"/>
        <v>3.1410335876837704E-2</v>
      </c>
      <c r="K207">
        <f t="shared" si="24"/>
        <v>-3.8311247384604079</v>
      </c>
      <c r="L207">
        <f t="shared" si="25"/>
        <v>4.1880447835783598E-4</v>
      </c>
      <c r="O207">
        <f t="shared" si="26"/>
        <v>-17.226665782028267</v>
      </c>
      <c r="P207">
        <f t="shared" si="27"/>
        <v>-2.8343589399330133E-5</v>
      </c>
    </row>
    <row r="208" spans="1:16" x14ac:dyDescent="0.25">
      <c r="A208">
        <v>10.3</v>
      </c>
      <c r="B208" s="1">
        <v>-3.1199999999999999E-4</v>
      </c>
      <c r="C208" s="1">
        <v>4.1000000000000002E-2</v>
      </c>
      <c r="H208">
        <f t="shared" si="21"/>
        <v>10.3</v>
      </c>
      <c r="I208">
        <f t="shared" si="22"/>
        <v>-3.1199999999999999E-4</v>
      </c>
      <c r="J208">
        <f t="shared" si="23"/>
        <v>3.1363557027456426E-2</v>
      </c>
      <c r="K208">
        <f t="shared" si="24"/>
        <v>-2.0897044027965861</v>
      </c>
      <c r="L208">
        <f t="shared" si="25"/>
        <v>4.1818076036608562E-4</v>
      </c>
      <c r="O208">
        <f t="shared" si="26"/>
        <v>-15.485245446364447</v>
      </c>
      <c r="P208">
        <f t="shared" si="27"/>
        <v>-2.8967307391080494E-5</v>
      </c>
    </row>
    <row r="209" spans="1:16" x14ac:dyDescent="0.25">
      <c r="A209">
        <v>10.35</v>
      </c>
      <c r="B209" s="1">
        <v>-3.5500000000000001E-4</v>
      </c>
      <c r="C209" s="1">
        <v>4.1000000000000002E-2</v>
      </c>
      <c r="H209">
        <f t="shared" si="21"/>
        <v>10.35</v>
      </c>
      <c r="I209">
        <f t="shared" si="22"/>
        <v>-3.5500000000000001E-4</v>
      </c>
      <c r="J209">
        <f t="shared" si="23"/>
        <v>3.1316778178075141E-2</v>
      </c>
      <c r="K209">
        <f t="shared" si="24"/>
        <v>-2.3777085352332952</v>
      </c>
      <c r="L209">
        <f t="shared" si="25"/>
        <v>4.1755704237433515E-4</v>
      </c>
      <c r="O209">
        <f t="shared" si="26"/>
        <v>-15.773249578801156</v>
      </c>
      <c r="P209">
        <f t="shared" si="27"/>
        <v>-2.9591025382830964E-5</v>
      </c>
    </row>
    <row r="210" spans="1:16" x14ac:dyDescent="0.25">
      <c r="A210">
        <v>10.4</v>
      </c>
      <c r="B210" s="1">
        <v>2.13E-4</v>
      </c>
      <c r="C210" s="1">
        <v>4.2000000000000003E-2</v>
      </c>
      <c r="H210">
        <f t="shared" si="21"/>
        <v>10.4</v>
      </c>
      <c r="I210">
        <f t="shared" si="22"/>
        <v>2.13E-4</v>
      </c>
      <c r="J210">
        <f t="shared" si="23"/>
        <v>3.2269999328693864E-2</v>
      </c>
      <c r="K210">
        <f t="shared" si="24"/>
        <v>1.426625121139977</v>
      </c>
      <c r="L210">
        <f t="shared" si="25"/>
        <v>4.3026665771591808E-4</v>
      </c>
      <c r="O210">
        <f t="shared" si="26"/>
        <v>-11.968915922427882</v>
      </c>
      <c r="P210">
        <f t="shared" si="27"/>
        <v>-1.6881410041248029E-5</v>
      </c>
    </row>
    <row r="211" spans="1:16" x14ac:dyDescent="0.25">
      <c r="A211">
        <v>10.45</v>
      </c>
      <c r="B211" s="1">
        <v>-2.7799999999999998E-4</v>
      </c>
      <c r="C211" s="1">
        <v>4.1000000000000002E-2</v>
      </c>
      <c r="H211">
        <f t="shared" si="21"/>
        <v>10.45</v>
      </c>
      <c r="I211">
        <f t="shared" si="22"/>
        <v>-2.7799999999999998E-4</v>
      </c>
      <c r="J211">
        <f t="shared" si="23"/>
        <v>3.1223220479312586E-2</v>
      </c>
      <c r="K211">
        <f t="shared" si="24"/>
        <v>-1.8619802050559322</v>
      </c>
      <c r="L211">
        <f t="shared" si="25"/>
        <v>4.1630960639083437E-4</v>
      </c>
      <c r="O211">
        <f t="shared" si="26"/>
        <v>-15.257521248623792</v>
      </c>
      <c r="P211">
        <f t="shared" si="27"/>
        <v>-3.0838461366331741E-5</v>
      </c>
    </row>
    <row r="212" spans="1:16" x14ac:dyDescent="0.25">
      <c r="A212">
        <v>10.5</v>
      </c>
      <c r="B212" s="1">
        <v>1.15E-4</v>
      </c>
      <c r="C212" s="1">
        <v>4.2000000000000003E-2</v>
      </c>
      <c r="H212">
        <f t="shared" si="21"/>
        <v>10.5</v>
      </c>
      <c r="I212">
        <f t="shared" si="22"/>
        <v>1.15E-4</v>
      </c>
      <c r="J212">
        <f t="shared" si="23"/>
        <v>3.2176441629931309E-2</v>
      </c>
      <c r="K212">
        <f t="shared" si="24"/>
        <v>0.77024361000515185</v>
      </c>
      <c r="L212">
        <f t="shared" si="25"/>
        <v>4.2901922173241736E-4</v>
      </c>
      <c r="O212">
        <f t="shared" si="26"/>
        <v>-12.625297433562709</v>
      </c>
      <c r="P212">
        <f t="shared" si="27"/>
        <v>-1.8128846024748752E-5</v>
      </c>
    </row>
    <row r="213" spans="1:16" x14ac:dyDescent="0.25">
      <c r="A213">
        <v>10.55</v>
      </c>
      <c r="B213" s="1">
        <v>3.0200000000000002E-4</v>
      </c>
      <c r="C213" s="1">
        <v>4.2000000000000003E-2</v>
      </c>
      <c r="H213">
        <f t="shared" si="21"/>
        <v>10.55</v>
      </c>
      <c r="I213">
        <f t="shared" si="22"/>
        <v>3.0200000000000002E-4</v>
      </c>
      <c r="J213">
        <f t="shared" si="23"/>
        <v>3.2129662780550031E-2</v>
      </c>
      <c r="K213">
        <f t="shared" si="24"/>
        <v>2.0227266975787468</v>
      </c>
      <c r="L213">
        <f t="shared" si="25"/>
        <v>4.28395503740667E-4</v>
      </c>
      <c r="O213">
        <f t="shared" si="26"/>
        <v>-11.372814345989113</v>
      </c>
      <c r="P213">
        <f t="shared" si="27"/>
        <v>-1.8752564016499113E-5</v>
      </c>
    </row>
    <row r="214" spans="1:16" x14ac:dyDescent="0.25">
      <c r="A214">
        <v>10.6</v>
      </c>
      <c r="B214" s="1">
        <v>5.49E-6</v>
      </c>
      <c r="C214" s="1">
        <v>4.2000000000000003E-2</v>
      </c>
      <c r="H214">
        <f t="shared" si="21"/>
        <v>10.6</v>
      </c>
      <c r="I214">
        <f t="shared" si="22"/>
        <v>5.49E-6</v>
      </c>
      <c r="J214">
        <f t="shared" si="23"/>
        <v>3.2082883931168746E-2</v>
      </c>
      <c r="K214">
        <f t="shared" si="24"/>
        <v>3.6770760164593769E-2</v>
      </c>
      <c r="L214">
        <f t="shared" si="25"/>
        <v>4.2777178574891653E-4</v>
      </c>
      <c r="O214">
        <f t="shared" si="26"/>
        <v>-13.358770283403267</v>
      </c>
      <c r="P214">
        <f t="shared" si="27"/>
        <v>-1.9376282008249583E-5</v>
      </c>
    </row>
    <row r="215" spans="1:16" x14ac:dyDescent="0.25">
      <c r="A215">
        <v>10.65</v>
      </c>
      <c r="B215" s="1">
        <v>3.5500000000000001E-4</v>
      </c>
      <c r="C215" s="1">
        <v>4.2000000000000003E-2</v>
      </c>
      <c r="H215">
        <f t="shared" si="21"/>
        <v>10.65</v>
      </c>
      <c r="I215">
        <f t="shared" si="22"/>
        <v>3.5500000000000001E-4</v>
      </c>
      <c r="J215">
        <f t="shared" si="23"/>
        <v>3.2036105081787468E-2</v>
      </c>
      <c r="K215">
        <f t="shared" si="24"/>
        <v>2.3777085352332952</v>
      </c>
      <c r="L215">
        <f t="shared" si="25"/>
        <v>4.2714806775716617E-4</v>
      </c>
      <c r="O215">
        <f t="shared" si="26"/>
        <v>-11.017832508334564</v>
      </c>
      <c r="P215">
        <f t="shared" si="27"/>
        <v>-1.9999999999999944E-5</v>
      </c>
    </row>
    <row r="216" spans="1:16" x14ac:dyDescent="0.25">
      <c r="A216">
        <v>10.7</v>
      </c>
      <c r="B216" s="1">
        <v>8.61E-4</v>
      </c>
      <c r="C216" s="1">
        <v>4.2999999999999997E-2</v>
      </c>
      <c r="H216">
        <f t="shared" si="21"/>
        <v>10.7</v>
      </c>
      <c r="I216">
        <f t="shared" si="22"/>
        <v>8.61E-4</v>
      </c>
      <c r="J216">
        <f t="shared" si="23"/>
        <v>3.2989326232406184E-2</v>
      </c>
      <c r="K216">
        <f t="shared" si="24"/>
        <v>5.7667804192559631</v>
      </c>
      <c r="L216">
        <f t="shared" si="25"/>
        <v>4.3985768309874905E-4</v>
      </c>
      <c r="O216">
        <f t="shared" si="26"/>
        <v>-7.6287606243118971</v>
      </c>
      <c r="P216">
        <f t="shared" si="27"/>
        <v>-7.2903846584170635E-6</v>
      </c>
    </row>
    <row r="217" spans="1:16" x14ac:dyDescent="0.25">
      <c r="A217">
        <v>10.75</v>
      </c>
      <c r="B217" s="1">
        <v>6.2399999999999999E-4</v>
      </c>
      <c r="C217" s="1">
        <v>4.2000000000000003E-2</v>
      </c>
      <c r="H217">
        <f t="shared" si="21"/>
        <v>10.75</v>
      </c>
      <c r="I217">
        <f t="shared" si="22"/>
        <v>6.2399999999999999E-4</v>
      </c>
      <c r="J217">
        <f t="shared" si="23"/>
        <v>3.1942547383024905E-2</v>
      </c>
      <c r="K217">
        <f t="shared" si="24"/>
        <v>4.1794088055931722</v>
      </c>
      <c r="L217">
        <f t="shared" si="25"/>
        <v>4.2590063177366534E-4</v>
      </c>
      <c r="O217">
        <f t="shared" si="26"/>
        <v>-9.2161322379746871</v>
      </c>
      <c r="P217">
        <f t="shared" si="27"/>
        <v>-2.1247435983500775E-5</v>
      </c>
    </row>
    <row r="218" spans="1:16" x14ac:dyDescent="0.25">
      <c r="A218">
        <v>10.8</v>
      </c>
      <c r="B218">
        <v>1E-3</v>
      </c>
      <c r="C218" s="1">
        <v>4.2999999999999997E-2</v>
      </c>
      <c r="H218">
        <f t="shared" si="21"/>
        <v>10.8</v>
      </c>
      <c r="I218">
        <f t="shared" si="22"/>
        <v>1E-3</v>
      </c>
      <c r="J218">
        <f t="shared" si="23"/>
        <v>3.2895768533643621E-2</v>
      </c>
      <c r="K218">
        <f t="shared" si="24"/>
        <v>6.6977705217839292</v>
      </c>
      <c r="L218">
        <f t="shared" si="25"/>
        <v>4.3861024711524822E-4</v>
      </c>
      <c r="O218">
        <f t="shared" si="26"/>
        <v>-6.697770521783931</v>
      </c>
      <c r="P218">
        <f t="shared" si="27"/>
        <v>-8.5378206419178945E-6</v>
      </c>
    </row>
    <row r="219" spans="1:16" x14ac:dyDescent="0.25">
      <c r="A219">
        <v>10.85</v>
      </c>
      <c r="B219" s="1">
        <v>8.5300000000000003E-4</v>
      </c>
      <c r="C219" s="1">
        <v>4.2999999999999997E-2</v>
      </c>
      <c r="H219">
        <f t="shared" si="21"/>
        <v>10.85</v>
      </c>
      <c r="I219">
        <f t="shared" si="22"/>
        <v>8.5300000000000003E-4</v>
      </c>
      <c r="J219">
        <f t="shared" si="23"/>
        <v>3.2848989684262343E-2</v>
      </c>
      <c r="K219">
        <f t="shared" si="24"/>
        <v>5.713198255081692</v>
      </c>
      <c r="L219">
        <f t="shared" si="25"/>
        <v>4.379865291234978E-4</v>
      </c>
      <c r="O219">
        <f t="shared" si="26"/>
        <v>-7.6823427884861681</v>
      </c>
      <c r="P219">
        <f t="shared" si="27"/>
        <v>-9.16153863366831E-6</v>
      </c>
    </row>
    <row r="220" spans="1:16" x14ac:dyDescent="0.25">
      <c r="A220">
        <v>10.9</v>
      </c>
      <c r="B220" s="1">
        <v>9.5799999999999998E-4</v>
      </c>
      <c r="C220" s="1">
        <v>4.2999999999999997E-2</v>
      </c>
      <c r="H220">
        <f t="shared" si="21"/>
        <v>10.9</v>
      </c>
      <c r="I220">
        <f t="shared" si="22"/>
        <v>9.5799999999999998E-4</v>
      </c>
      <c r="J220">
        <f t="shared" si="23"/>
        <v>3.2802210834881065E-2</v>
      </c>
      <c r="K220">
        <f t="shared" si="24"/>
        <v>6.4164641598690038</v>
      </c>
      <c r="L220">
        <f t="shared" si="25"/>
        <v>4.3736281113174744E-4</v>
      </c>
      <c r="O220">
        <f t="shared" si="26"/>
        <v>-6.9790768836988564</v>
      </c>
      <c r="P220">
        <f t="shared" si="27"/>
        <v>-9.7852566254186713E-6</v>
      </c>
    </row>
    <row r="221" spans="1:16" x14ac:dyDescent="0.25">
      <c r="A221">
        <v>10.95</v>
      </c>
      <c r="B221">
        <v>1E-3</v>
      </c>
      <c r="C221" s="1">
        <v>4.2999999999999997E-2</v>
      </c>
      <c r="H221">
        <f t="shared" si="21"/>
        <v>10.95</v>
      </c>
      <c r="I221">
        <f t="shared" si="22"/>
        <v>1E-3</v>
      </c>
      <c r="J221">
        <f t="shared" si="23"/>
        <v>3.2755431985499787E-2</v>
      </c>
      <c r="K221">
        <f t="shared" si="24"/>
        <v>6.6977705217839292</v>
      </c>
      <c r="L221">
        <f t="shared" si="25"/>
        <v>4.3673909313999708E-4</v>
      </c>
      <c r="O221">
        <f t="shared" si="26"/>
        <v>-6.697770521783931</v>
      </c>
      <c r="P221">
        <f t="shared" si="27"/>
        <v>-1.0408974617169033E-5</v>
      </c>
    </row>
    <row r="222" spans="1:16" x14ac:dyDescent="0.25">
      <c r="A222">
        <v>11</v>
      </c>
      <c r="B222">
        <v>2E-3</v>
      </c>
      <c r="C222" s="1">
        <v>4.3999999999999997E-2</v>
      </c>
      <c r="H222">
        <f t="shared" si="21"/>
        <v>11</v>
      </c>
      <c r="I222">
        <f t="shared" si="22"/>
        <v>2E-3</v>
      </c>
      <c r="J222">
        <f t="shared" si="23"/>
        <v>3.370865313611851E-2</v>
      </c>
      <c r="K222">
        <f t="shared" si="24"/>
        <v>13.395541043567858</v>
      </c>
      <c r="L222">
        <f t="shared" si="25"/>
        <v>4.4944870848158007E-4</v>
      </c>
      <c r="O222">
        <f t="shared" si="26"/>
        <v>0</v>
      </c>
      <c r="P222">
        <f t="shared" si="27"/>
        <v>2.3006407244139564E-6</v>
      </c>
    </row>
    <row r="223" spans="1:16" x14ac:dyDescent="0.25">
      <c r="A223">
        <v>11.05</v>
      </c>
      <c r="B223">
        <v>2E-3</v>
      </c>
      <c r="C223" s="1">
        <v>4.3999999999999997E-2</v>
      </c>
      <c r="H223">
        <f t="shared" si="21"/>
        <v>11.05</v>
      </c>
      <c r="I223">
        <f t="shared" si="22"/>
        <v>2E-3</v>
      </c>
      <c r="J223">
        <f t="shared" si="23"/>
        <v>3.3661874286737226E-2</v>
      </c>
      <c r="K223">
        <f t="shared" si="24"/>
        <v>13.395541043567858</v>
      </c>
      <c r="L223">
        <f t="shared" si="25"/>
        <v>4.488249904898296E-4</v>
      </c>
      <c r="O223">
        <f t="shared" si="26"/>
        <v>0</v>
      </c>
      <c r="P223">
        <f t="shared" si="27"/>
        <v>1.6769227326634867E-6</v>
      </c>
    </row>
    <row r="224" spans="1:16" x14ac:dyDescent="0.25">
      <c r="A224">
        <v>11.1</v>
      </c>
      <c r="B224">
        <v>2E-3</v>
      </c>
      <c r="C224" s="1">
        <v>4.3999999999999997E-2</v>
      </c>
      <c r="H224">
        <f t="shared" si="21"/>
        <v>11.1</v>
      </c>
      <c r="I224">
        <f t="shared" si="22"/>
        <v>2E-3</v>
      </c>
      <c r="J224">
        <f t="shared" si="23"/>
        <v>3.3615095437355948E-2</v>
      </c>
      <c r="K224">
        <f t="shared" si="24"/>
        <v>13.395541043567858</v>
      </c>
      <c r="L224">
        <f t="shared" si="25"/>
        <v>4.4820127249807924E-4</v>
      </c>
      <c r="O224">
        <f t="shared" si="26"/>
        <v>0</v>
      </c>
      <c r="P224">
        <f t="shared" si="27"/>
        <v>1.0532047409131254E-6</v>
      </c>
    </row>
    <row r="225" spans="1:16" x14ac:dyDescent="0.25">
      <c r="A225">
        <v>11.15</v>
      </c>
      <c r="B225">
        <v>2E-3</v>
      </c>
      <c r="C225" s="1">
        <v>4.3999999999999997E-2</v>
      </c>
      <c r="H225">
        <f t="shared" si="21"/>
        <v>11.15</v>
      </c>
      <c r="I225">
        <f t="shared" si="22"/>
        <v>2E-3</v>
      </c>
      <c r="J225">
        <f t="shared" si="23"/>
        <v>3.356831658797467E-2</v>
      </c>
      <c r="K225">
        <f t="shared" si="24"/>
        <v>13.395541043567858</v>
      </c>
      <c r="L225">
        <f t="shared" si="25"/>
        <v>4.4757755450632882E-4</v>
      </c>
      <c r="O225">
        <f t="shared" si="26"/>
        <v>0</v>
      </c>
      <c r="P225">
        <f t="shared" si="27"/>
        <v>4.2948674916270992E-7</v>
      </c>
    </row>
    <row r="226" spans="1:16" x14ac:dyDescent="0.25">
      <c r="A226">
        <v>11.2</v>
      </c>
      <c r="B226">
        <v>2E-3</v>
      </c>
      <c r="C226" s="1">
        <v>4.3999999999999997E-2</v>
      </c>
      <c r="H226">
        <f t="shared" si="21"/>
        <v>11.2</v>
      </c>
      <c r="I226">
        <f t="shared" si="22"/>
        <v>2E-3</v>
      </c>
      <c r="J226">
        <f t="shared" si="23"/>
        <v>3.3521537738593392E-2</v>
      </c>
      <c r="K226">
        <f t="shared" si="24"/>
        <v>13.395541043567858</v>
      </c>
      <c r="L226">
        <f t="shared" si="25"/>
        <v>4.4695383651457846E-4</v>
      </c>
      <c r="O226">
        <f t="shared" si="26"/>
        <v>0</v>
      </c>
      <c r="P226">
        <f t="shared" si="27"/>
        <v>-1.9423124258765136E-7</v>
      </c>
    </row>
    <row r="227" spans="1:16" x14ac:dyDescent="0.25">
      <c r="A227">
        <v>11.25</v>
      </c>
      <c r="B227">
        <v>2E-3</v>
      </c>
      <c r="C227" s="1">
        <v>4.3999999999999997E-2</v>
      </c>
      <c r="H227">
        <f t="shared" si="21"/>
        <v>11.25</v>
      </c>
      <c r="I227">
        <f t="shared" si="22"/>
        <v>2E-3</v>
      </c>
      <c r="J227">
        <f t="shared" si="23"/>
        <v>3.3474758889212107E-2</v>
      </c>
      <c r="K227">
        <f t="shared" si="24"/>
        <v>13.395541043567858</v>
      </c>
      <c r="L227">
        <f t="shared" si="25"/>
        <v>4.4633011852282799E-4</v>
      </c>
      <c r="O227">
        <f t="shared" si="26"/>
        <v>0</v>
      </c>
      <c r="P227">
        <f t="shared" si="27"/>
        <v>-8.1794923433812106E-7</v>
      </c>
    </row>
    <row r="228" spans="1:16" x14ac:dyDescent="0.25">
      <c r="A228">
        <v>11.3</v>
      </c>
      <c r="B228">
        <v>2E-3</v>
      </c>
      <c r="C228" s="1">
        <v>4.3999999999999997E-2</v>
      </c>
      <c r="H228">
        <f t="shared" si="21"/>
        <v>11.3</v>
      </c>
      <c r="I228">
        <f t="shared" si="22"/>
        <v>2E-3</v>
      </c>
      <c r="J228">
        <f t="shared" si="23"/>
        <v>3.3427980039830829E-2</v>
      </c>
      <c r="K228">
        <f t="shared" si="24"/>
        <v>13.395541043567858</v>
      </c>
      <c r="L228">
        <f t="shared" si="25"/>
        <v>4.4570640053107763E-4</v>
      </c>
      <c r="O228">
        <f t="shared" si="26"/>
        <v>0</v>
      </c>
      <c r="P228">
        <f t="shared" si="27"/>
        <v>-1.4416672260884823E-6</v>
      </c>
    </row>
    <row r="229" spans="1:16" x14ac:dyDescent="0.25">
      <c r="A229">
        <v>11.35</v>
      </c>
      <c r="B229">
        <v>2E-3</v>
      </c>
      <c r="C229" s="1">
        <v>4.3999999999999997E-2</v>
      </c>
      <c r="H229">
        <f t="shared" si="21"/>
        <v>11.35</v>
      </c>
      <c r="I229">
        <f t="shared" si="22"/>
        <v>2E-3</v>
      </c>
      <c r="J229">
        <f t="shared" si="23"/>
        <v>3.3381201190449551E-2</v>
      </c>
      <c r="K229">
        <f t="shared" si="24"/>
        <v>13.395541043567858</v>
      </c>
      <c r="L229">
        <f t="shared" si="25"/>
        <v>4.4508268253932727E-4</v>
      </c>
      <c r="O229">
        <f t="shared" si="26"/>
        <v>0</v>
      </c>
      <c r="P229">
        <f t="shared" si="27"/>
        <v>-2.0653852178388436E-6</v>
      </c>
    </row>
    <row r="230" spans="1:16" x14ac:dyDescent="0.25">
      <c r="A230">
        <v>11.4</v>
      </c>
      <c r="B230">
        <v>2E-3</v>
      </c>
      <c r="C230" s="1">
        <v>4.3999999999999997E-2</v>
      </c>
      <c r="H230">
        <f t="shared" si="21"/>
        <v>11.4</v>
      </c>
      <c r="I230">
        <f t="shared" si="22"/>
        <v>2E-3</v>
      </c>
      <c r="J230">
        <f t="shared" si="23"/>
        <v>3.3334422341068273E-2</v>
      </c>
      <c r="K230">
        <f t="shared" si="24"/>
        <v>13.395541043567858</v>
      </c>
      <c r="L230">
        <f t="shared" si="25"/>
        <v>4.4445896454757691E-4</v>
      </c>
      <c r="O230">
        <f t="shared" si="26"/>
        <v>0</v>
      </c>
      <c r="P230">
        <f t="shared" si="27"/>
        <v>-2.6891032095892049E-6</v>
      </c>
    </row>
    <row r="231" spans="1:16" x14ac:dyDescent="0.25">
      <c r="A231">
        <v>11.45</v>
      </c>
      <c r="B231">
        <v>2E-3</v>
      </c>
      <c r="C231" s="1">
        <v>4.3999999999999997E-2</v>
      </c>
      <c r="H231">
        <f t="shared" si="21"/>
        <v>11.45</v>
      </c>
      <c r="I231">
        <f t="shared" si="22"/>
        <v>2E-3</v>
      </c>
      <c r="J231">
        <f t="shared" si="23"/>
        <v>3.3287643491686988E-2</v>
      </c>
      <c r="K231">
        <f t="shared" si="24"/>
        <v>13.395541043567858</v>
      </c>
      <c r="L231">
        <f t="shared" si="25"/>
        <v>4.4383524655582644E-4</v>
      </c>
      <c r="O231">
        <f t="shared" si="26"/>
        <v>0</v>
      </c>
      <c r="P231">
        <f t="shared" si="27"/>
        <v>-3.3128212013396746E-6</v>
      </c>
    </row>
    <row r="232" spans="1:16" x14ac:dyDescent="0.25">
      <c r="A232">
        <v>11.5</v>
      </c>
      <c r="B232">
        <v>2E-3</v>
      </c>
      <c r="C232" s="1">
        <v>4.3999999999999997E-2</v>
      </c>
      <c r="H232">
        <f t="shared" si="21"/>
        <v>11.5</v>
      </c>
      <c r="I232">
        <f t="shared" si="22"/>
        <v>2E-3</v>
      </c>
      <c r="J232">
        <f t="shared" si="23"/>
        <v>3.3240864642305711E-2</v>
      </c>
      <c r="K232">
        <f t="shared" si="24"/>
        <v>13.395541043567858</v>
      </c>
      <c r="L232">
        <f t="shared" si="25"/>
        <v>4.4321152856407608E-4</v>
      </c>
      <c r="O232">
        <f t="shared" si="26"/>
        <v>0</v>
      </c>
      <c r="P232">
        <f t="shared" si="27"/>
        <v>-3.9365391930900359E-6</v>
      </c>
    </row>
    <row r="233" spans="1:16" x14ac:dyDescent="0.25">
      <c r="A233">
        <v>11.55</v>
      </c>
      <c r="B233">
        <v>2E-3</v>
      </c>
      <c r="C233" s="1">
        <v>4.3999999999999997E-2</v>
      </c>
      <c r="H233">
        <f t="shared" si="21"/>
        <v>11.55</v>
      </c>
      <c r="I233">
        <f t="shared" si="22"/>
        <v>2E-3</v>
      </c>
      <c r="J233">
        <f t="shared" si="23"/>
        <v>3.3194085792924433E-2</v>
      </c>
      <c r="K233">
        <f t="shared" si="24"/>
        <v>13.395541043567858</v>
      </c>
      <c r="L233">
        <f t="shared" si="25"/>
        <v>4.4258781057232566E-4</v>
      </c>
      <c r="O233">
        <f t="shared" si="26"/>
        <v>0</v>
      </c>
      <c r="P233">
        <f t="shared" si="27"/>
        <v>-4.5602571848404514E-6</v>
      </c>
    </row>
    <row r="234" spans="1:16" x14ac:dyDescent="0.25">
      <c r="A234">
        <v>11.6</v>
      </c>
      <c r="B234">
        <v>2E-3</v>
      </c>
      <c r="C234" s="1">
        <v>4.4999999999999998E-2</v>
      </c>
      <c r="H234">
        <f t="shared" si="21"/>
        <v>11.6</v>
      </c>
      <c r="I234">
        <f t="shared" si="22"/>
        <v>2E-3</v>
      </c>
      <c r="J234">
        <f t="shared" si="23"/>
        <v>3.4147306943543156E-2</v>
      </c>
      <c r="K234">
        <f t="shared" si="24"/>
        <v>13.395541043567858</v>
      </c>
      <c r="L234">
        <f t="shared" si="25"/>
        <v>4.5529742591390865E-4</v>
      </c>
      <c r="O234">
        <f t="shared" si="26"/>
        <v>0</v>
      </c>
      <c r="P234">
        <f t="shared" si="27"/>
        <v>8.1493581567425376E-6</v>
      </c>
    </row>
    <row r="235" spans="1:16" x14ac:dyDescent="0.25">
      <c r="A235">
        <v>11.65</v>
      </c>
      <c r="B235">
        <v>1E-3</v>
      </c>
      <c r="C235" s="1">
        <v>4.4999999999999998E-2</v>
      </c>
      <c r="H235">
        <f t="shared" si="21"/>
        <v>11.65</v>
      </c>
      <c r="I235">
        <f t="shared" si="22"/>
        <v>1E-3</v>
      </c>
      <c r="J235">
        <f t="shared" si="23"/>
        <v>3.4100528094161878E-2</v>
      </c>
      <c r="K235">
        <f t="shared" si="24"/>
        <v>6.6977705217839292</v>
      </c>
      <c r="L235">
        <f t="shared" si="25"/>
        <v>4.5467370792215829E-4</v>
      </c>
      <c r="O235">
        <f t="shared" si="26"/>
        <v>-6.697770521783931</v>
      </c>
      <c r="P235">
        <f t="shared" si="27"/>
        <v>7.5256401649921763E-6</v>
      </c>
    </row>
    <row r="236" spans="1:16" x14ac:dyDescent="0.25">
      <c r="A236">
        <v>11.7</v>
      </c>
      <c r="B236">
        <v>2E-3</v>
      </c>
      <c r="C236" s="1">
        <v>4.4999999999999998E-2</v>
      </c>
      <c r="H236">
        <f t="shared" si="21"/>
        <v>11.7</v>
      </c>
      <c r="I236">
        <f t="shared" si="22"/>
        <v>2E-3</v>
      </c>
      <c r="J236">
        <f t="shared" si="23"/>
        <v>3.4053749244780593E-2</v>
      </c>
      <c r="K236">
        <f t="shared" si="24"/>
        <v>13.395541043567858</v>
      </c>
      <c r="L236">
        <f t="shared" si="25"/>
        <v>4.5404998993040782E-4</v>
      </c>
      <c r="O236">
        <f t="shared" si="26"/>
        <v>0</v>
      </c>
      <c r="P236">
        <f t="shared" si="27"/>
        <v>6.9019221732417066E-6</v>
      </c>
    </row>
    <row r="237" spans="1:16" x14ac:dyDescent="0.25">
      <c r="A237">
        <v>11.75</v>
      </c>
      <c r="B237">
        <v>2E-3</v>
      </c>
      <c r="C237" s="1">
        <v>4.4999999999999998E-2</v>
      </c>
      <c r="H237">
        <f t="shared" si="21"/>
        <v>11.75</v>
      </c>
      <c r="I237">
        <f t="shared" si="22"/>
        <v>2E-3</v>
      </c>
      <c r="J237">
        <f t="shared" si="23"/>
        <v>3.4006970395399315E-2</v>
      </c>
      <c r="K237">
        <f t="shared" si="24"/>
        <v>13.395541043567858</v>
      </c>
      <c r="L237">
        <f t="shared" si="25"/>
        <v>4.5342627193865746E-4</v>
      </c>
      <c r="O237">
        <f t="shared" si="26"/>
        <v>0</v>
      </c>
      <c r="P237">
        <f t="shared" si="27"/>
        <v>6.2782041814913453E-6</v>
      </c>
    </row>
    <row r="238" spans="1:16" x14ac:dyDescent="0.25">
      <c r="A238">
        <v>11.8</v>
      </c>
      <c r="B238">
        <v>2E-3</v>
      </c>
      <c r="C238" s="1">
        <v>4.4999999999999998E-2</v>
      </c>
      <c r="H238">
        <f t="shared" si="21"/>
        <v>11.8</v>
      </c>
      <c r="I238">
        <f t="shared" si="22"/>
        <v>2E-3</v>
      </c>
      <c r="J238">
        <f t="shared" si="23"/>
        <v>3.3960191546018037E-2</v>
      </c>
      <c r="K238">
        <f t="shared" si="24"/>
        <v>13.395541043567858</v>
      </c>
      <c r="L238">
        <f t="shared" si="25"/>
        <v>4.528025539469071E-4</v>
      </c>
      <c r="O238">
        <f t="shared" si="26"/>
        <v>0</v>
      </c>
      <c r="P238">
        <f t="shared" si="27"/>
        <v>5.654486189740984E-6</v>
      </c>
    </row>
    <row r="239" spans="1:16" x14ac:dyDescent="0.25">
      <c r="A239">
        <v>11.85</v>
      </c>
      <c r="B239">
        <v>2E-3</v>
      </c>
      <c r="C239" s="1">
        <v>4.4999999999999998E-2</v>
      </c>
      <c r="H239">
        <f t="shared" si="21"/>
        <v>11.85</v>
      </c>
      <c r="I239">
        <f t="shared" si="22"/>
        <v>2E-3</v>
      </c>
      <c r="J239">
        <f t="shared" si="23"/>
        <v>3.3913412696636752E-2</v>
      </c>
      <c r="K239">
        <f t="shared" si="24"/>
        <v>13.395541043567858</v>
      </c>
      <c r="L239">
        <f t="shared" si="25"/>
        <v>4.5217883595515663E-4</v>
      </c>
      <c r="O239">
        <f t="shared" si="26"/>
        <v>0</v>
      </c>
      <c r="P239">
        <f t="shared" si="27"/>
        <v>5.0307681979905143E-6</v>
      </c>
    </row>
    <row r="240" spans="1:16" x14ac:dyDescent="0.25">
      <c r="A240">
        <v>11.9</v>
      </c>
      <c r="B240">
        <v>1E-3</v>
      </c>
      <c r="C240" s="1">
        <v>4.4999999999999998E-2</v>
      </c>
      <c r="H240">
        <f t="shared" si="21"/>
        <v>11.9</v>
      </c>
      <c r="I240">
        <f t="shared" si="22"/>
        <v>1E-3</v>
      </c>
      <c r="J240">
        <f t="shared" si="23"/>
        <v>3.3866633847255474E-2</v>
      </c>
      <c r="K240">
        <f t="shared" si="24"/>
        <v>6.6977705217839292</v>
      </c>
      <c r="L240">
        <f t="shared" si="25"/>
        <v>4.5155511796340621E-4</v>
      </c>
      <c r="O240">
        <f t="shared" si="26"/>
        <v>-6.697770521783931</v>
      </c>
      <c r="P240">
        <f t="shared" si="27"/>
        <v>4.4070502062400988E-6</v>
      </c>
    </row>
    <row r="241" spans="1:16" x14ac:dyDescent="0.25">
      <c r="A241">
        <v>11.95</v>
      </c>
      <c r="B241">
        <v>2E-3</v>
      </c>
      <c r="C241" s="1">
        <v>4.4999999999999998E-2</v>
      </c>
      <c r="H241">
        <f t="shared" si="21"/>
        <v>11.95</v>
      </c>
      <c r="I241">
        <f t="shared" si="22"/>
        <v>2E-3</v>
      </c>
      <c r="J241">
        <f t="shared" si="23"/>
        <v>3.3819854997874196E-2</v>
      </c>
      <c r="K241">
        <f t="shared" si="24"/>
        <v>13.395541043567858</v>
      </c>
      <c r="L241">
        <f t="shared" si="25"/>
        <v>4.5093139997165585E-4</v>
      </c>
      <c r="O241">
        <f t="shared" si="26"/>
        <v>0</v>
      </c>
      <c r="P241">
        <f t="shared" si="27"/>
        <v>3.7833322144897375E-6</v>
      </c>
    </row>
    <row r="242" spans="1:16" x14ac:dyDescent="0.25">
      <c r="A242">
        <v>12</v>
      </c>
      <c r="B242">
        <v>2E-3</v>
      </c>
      <c r="C242" s="1">
        <v>4.4999999999999998E-2</v>
      </c>
      <c r="H242">
        <f t="shared" si="21"/>
        <v>12</v>
      </c>
      <c r="I242">
        <f t="shared" si="22"/>
        <v>2E-3</v>
      </c>
      <c r="J242">
        <f t="shared" si="23"/>
        <v>3.3773076148492918E-2</v>
      </c>
      <c r="K242">
        <f t="shared" si="24"/>
        <v>13.395541043567858</v>
      </c>
      <c r="L242">
        <f t="shared" si="25"/>
        <v>4.5030768197990549E-4</v>
      </c>
      <c r="O242">
        <f t="shared" si="26"/>
        <v>0</v>
      </c>
      <c r="P242">
        <f t="shared" si="27"/>
        <v>3.1596142227393762E-6</v>
      </c>
    </row>
    <row r="243" spans="1:16" x14ac:dyDescent="0.25">
      <c r="A243">
        <v>12.05</v>
      </c>
      <c r="B243">
        <v>2E-3</v>
      </c>
      <c r="C243" s="1">
        <v>4.4999999999999998E-2</v>
      </c>
      <c r="H243">
        <f t="shared" si="21"/>
        <v>12.05</v>
      </c>
      <c r="I243">
        <f t="shared" si="22"/>
        <v>2E-3</v>
      </c>
      <c r="J243">
        <f t="shared" si="23"/>
        <v>3.3726297299111641E-2</v>
      </c>
      <c r="K243">
        <f t="shared" si="24"/>
        <v>13.395541043567858</v>
      </c>
      <c r="L243">
        <f t="shared" si="25"/>
        <v>4.4968396398815513E-4</v>
      </c>
      <c r="O243">
        <f t="shared" si="26"/>
        <v>0</v>
      </c>
      <c r="P243">
        <f t="shared" si="27"/>
        <v>2.535896230989015E-6</v>
      </c>
    </row>
    <row r="244" spans="1:16" x14ac:dyDescent="0.25">
      <c r="A244">
        <v>12.1</v>
      </c>
      <c r="B244">
        <v>2E-3</v>
      </c>
      <c r="C244" s="1">
        <v>4.5999999999999999E-2</v>
      </c>
      <c r="H244">
        <f t="shared" si="21"/>
        <v>12.1</v>
      </c>
      <c r="I244">
        <f t="shared" si="22"/>
        <v>2E-3</v>
      </c>
      <c r="J244">
        <f t="shared" si="23"/>
        <v>3.4679518449730357E-2</v>
      </c>
      <c r="K244">
        <f t="shared" si="24"/>
        <v>13.395541043567858</v>
      </c>
      <c r="L244">
        <f t="shared" si="25"/>
        <v>4.6239357932973801E-4</v>
      </c>
      <c r="O244">
        <f t="shared" si="26"/>
        <v>0</v>
      </c>
      <c r="P244">
        <f t="shared" si="27"/>
        <v>1.5245511572571895E-5</v>
      </c>
    </row>
    <row r="245" spans="1:16" x14ac:dyDescent="0.25">
      <c r="A245">
        <v>12.15</v>
      </c>
      <c r="B245">
        <v>2E-3</v>
      </c>
      <c r="C245" s="1">
        <v>4.5999999999999999E-2</v>
      </c>
      <c r="H245">
        <f t="shared" si="21"/>
        <v>12.15</v>
      </c>
      <c r="I245">
        <f t="shared" si="22"/>
        <v>2E-3</v>
      </c>
      <c r="J245">
        <f t="shared" si="23"/>
        <v>3.4632739600349079E-2</v>
      </c>
      <c r="K245">
        <f t="shared" si="24"/>
        <v>13.395541043567858</v>
      </c>
      <c r="L245">
        <f t="shared" si="25"/>
        <v>4.6176986133798765E-4</v>
      </c>
      <c r="O245">
        <f t="shared" si="26"/>
        <v>0</v>
      </c>
      <c r="P245">
        <f t="shared" si="27"/>
        <v>1.4621793580821534E-5</v>
      </c>
    </row>
    <row r="246" spans="1:16" x14ac:dyDescent="0.25">
      <c r="A246">
        <v>12.2</v>
      </c>
      <c r="B246">
        <v>2E-3</v>
      </c>
      <c r="C246" s="1">
        <v>4.5999999999999999E-2</v>
      </c>
      <c r="H246">
        <f t="shared" si="21"/>
        <v>12.2</v>
      </c>
      <c r="I246">
        <f t="shared" si="22"/>
        <v>2E-3</v>
      </c>
      <c r="J246">
        <f t="shared" si="23"/>
        <v>3.4585960750967801E-2</v>
      </c>
      <c r="K246">
        <f t="shared" si="24"/>
        <v>13.395541043567858</v>
      </c>
      <c r="L246">
        <f t="shared" si="25"/>
        <v>4.6114614334623723E-4</v>
      </c>
      <c r="O246">
        <f t="shared" si="26"/>
        <v>0</v>
      </c>
      <c r="P246">
        <f t="shared" si="27"/>
        <v>1.3998075589071119E-5</v>
      </c>
    </row>
    <row r="247" spans="1:16" x14ac:dyDescent="0.25">
      <c r="A247">
        <v>12.25</v>
      </c>
      <c r="B247">
        <v>3.0000000000000001E-3</v>
      </c>
      <c r="C247" s="1">
        <v>4.5999999999999999E-2</v>
      </c>
      <c r="H247">
        <f t="shared" si="21"/>
        <v>12.25</v>
      </c>
      <c r="I247">
        <f t="shared" si="22"/>
        <v>3.0000000000000001E-3</v>
      </c>
      <c r="J247">
        <f t="shared" si="23"/>
        <v>3.4539181901586523E-2</v>
      </c>
      <c r="K247">
        <f t="shared" si="24"/>
        <v>20.093311565351787</v>
      </c>
      <c r="L247">
        <f t="shared" si="25"/>
        <v>4.6052242535448687E-4</v>
      </c>
      <c r="O247">
        <f t="shared" si="26"/>
        <v>6.6977705217839265</v>
      </c>
      <c r="P247">
        <f t="shared" si="27"/>
        <v>1.3374357597320757E-5</v>
      </c>
    </row>
    <row r="248" spans="1:16" x14ac:dyDescent="0.25">
      <c r="A248">
        <v>12.3</v>
      </c>
      <c r="B248">
        <v>3.0000000000000001E-3</v>
      </c>
      <c r="C248" s="1">
        <v>4.5999999999999999E-2</v>
      </c>
      <c r="H248">
        <f t="shared" si="21"/>
        <v>12.3</v>
      </c>
      <c r="I248">
        <f t="shared" si="22"/>
        <v>3.0000000000000001E-3</v>
      </c>
      <c r="J248">
        <f t="shared" si="23"/>
        <v>3.4492403052205245E-2</v>
      </c>
      <c r="K248">
        <f t="shared" si="24"/>
        <v>20.093311565351787</v>
      </c>
      <c r="L248">
        <f t="shared" si="25"/>
        <v>4.5989870736273651E-4</v>
      </c>
      <c r="O248">
        <f t="shared" si="26"/>
        <v>6.6977705217839265</v>
      </c>
      <c r="P248">
        <f t="shared" si="27"/>
        <v>1.2750639605570396E-5</v>
      </c>
    </row>
    <row r="249" spans="1:16" x14ac:dyDescent="0.25">
      <c r="A249">
        <v>12.35</v>
      </c>
      <c r="B249">
        <v>3.0000000000000001E-3</v>
      </c>
      <c r="C249" s="1">
        <v>4.7E-2</v>
      </c>
      <c r="H249">
        <f t="shared" si="21"/>
        <v>12.35</v>
      </c>
      <c r="I249">
        <f t="shared" si="22"/>
        <v>3.0000000000000001E-3</v>
      </c>
      <c r="J249">
        <f t="shared" si="23"/>
        <v>3.5445624202823961E-2</v>
      </c>
      <c r="K249">
        <f t="shared" si="24"/>
        <v>20.093311565351787</v>
      </c>
      <c r="L249">
        <f t="shared" si="25"/>
        <v>4.7260832270431939E-4</v>
      </c>
      <c r="O249">
        <f t="shared" si="26"/>
        <v>6.6977705217839265</v>
      </c>
      <c r="P249">
        <f t="shared" si="27"/>
        <v>2.5460254947153277E-5</v>
      </c>
    </row>
    <row r="250" spans="1:16" x14ac:dyDescent="0.25">
      <c r="A250">
        <v>12.4</v>
      </c>
      <c r="B250">
        <v>3.0000000000000001E-3</v>
      </c>
      <c r="C250" s="1">
        <v>4.7E-2</v>
      </c>
      <c r="H250">
        <f t="shared" si="21"/>
        <v>12.4</v>
      </c>
      <c r="I250">
        <f t="shared" si="22"/>
        <v>3.0000000000000001E-3</v>
      </c>
      <c r="J250">
        <f t="shared" si="23"/>
        <v>3.5398845353442683E-2</v>
      </c>
      <c r="K250">
        <f t="shared" si="24"/>
        <v>20.093311565351787</v>
      </c>
      <c r="L250">
        <f t="shared" si="25"/>
        <v>4.7198460471256903E-4</v>
      </c>
      <c r="O250">
        <f t="shared" si="26"/>
        <v>6.6977705217839265</v>
      </c>
      <c r="P250">
        <f t="shared" si="27"/>
        <v>2.4836536955402915E-5</v>
      </c>
    </row>
    <row r="251" spans="1:16" x14ac:dyDescent="0.25">
      <c r="A251">
        <v>12.45</v>
      </c>
      <c r="B251">
        <v>4.0000000000000001E-3</v>
      </c>
      <c r="C251" s="1">
        <v>4.8000000000000001E-2</v>
      </c>
      <c r="H251">
        <f t="shared" si="21"/>
        <v>12.45</v>
      </c>
      <c r="I251">
        <f t="shared" si="22"/>
        <v>4.0000000000000001E-3</v>
      </c>
      <c r="J251">
        <f t="shared" si="23"/>
        <v>3.6352066504061406E-2</v>
      </c>
      <c r="K251">
        <f t="shared" si="24"/>
        <v>26.791082087135717</v>
      </c>
      <c r="L251">
        <f t="shared" si="25"/>
        <v>4.8469422005415196E-4</v>
      </c>
      <c r="O251">
        <f t="shared" si="26"/>
        <v>13.395541043567857</v>
      </c>
      <c r="P251">
        <f t="shared" si="27"/>
        <v>3.754615229698585E-5</v>
      </c>
    </row>
    <row r="252" spans="1:16" x14ac:dyDescent="0.25">
      <c r="A252">
        <v>12.5</v>
      </c>
      <c r="B252">
        <v>4.0000000000000001E-3</v>
      </c>
      <c r="C252" s="1">
        <v>4.8000000000000001E-2</v>
      </c>
      <c r="H252">
        <f t="shared" si="21"/>
        <v>12.5</v>
      </c>
      <c r="I252">
        <f t="shared" si="22"/>
        <v>4.0000000000000001E-3</v>
      </c>
      <c r="J252">
        <f t="shared" si="23"/>
        <v>3.6305287654680121E-2</v>
      </c>
      <c r="K252">
        <f t="shared" si="24"/>
        <v>26.791082087135717</v>
      </c>
      <c r="L252">
        <f t="shared" si="25"/>
        <v>4.8407050206240155E-4</v>
      </c>
      <c r="O252">
        <f t="shared" si="26"/>
        <v>13.395541043567857</v>
      </c>
      <c r="P252">
        <f t="shared" si="27"/>
        <v>3.6922434305235435E-5</v>
      </c>
    </row>
    <row r="253" spans="1:16" x14ac:dyDescent="0.25">
      <c r="A253">
        <v>12.55</v>
      </c>
      <c r="B253">
        <v>4.0000000000000001E-3</v>
      </c>
      <c r="C253" s="1">
        <v>4.8000000000000001E-2</v>
      </c>
      <c r="H253">
        <f t="shared" si="21"/>
        <v>12.55</v>
      </c>
      <c r="I253">
        <f t="shared" si="22"/>
        <v>4.0000000000000001E-3</v>
      </c>
      <c r="J253">
        <f t="shared" si="23"/>
        <v>3.6258508805298843E-2</v>
      </c>
      <c r="K253">
        <f t="shared" si="24"/>
        <v>26.791082087135717</v>
      </c>
      <c r="L253">
        <f t="shared" si="25"/>
        <v>4.8344678407065113E-4</v>
      </c>
      <c r="O253">
        <f t="shared" si="26"/>
        <v>13.395541043567857</v>
      </c>
      <c r="P253">
        <f t="shared" si="27"/>
        <v>3.6298716313485019E-5</v>
      </c>
    </row>
    <row r="254" spans="1:16" x14ac:dyDescent="0.25">
      <c r="A254">
        <v>12.6</v>
      </c>
      <c r="B254">
        <v>4.0000000000000001E-3</v>
      </c>
      <c r="C254" s="1">
        <v>4.8000000000000001E-2</v>
      </c>
      <c r="H254">
        <f t="shared" si="21"/>
        <v>12.6</v>
      </c>
      <c r="I254">
        <f t="shared" si="22"/>
        <v>4.0000000000000001E-3</v>
      </c>
      <c r="J254">
        <f t="shared" si="23"/>
        <v>3.6211729955917565E-2</v>
      </c>
      <c r="K254">
        <f t="shared" si="24"/>
        <v>26.791082087135717</v>
      </c>
      <c r="L254">
        <f t="shared" si="25"/>
        <v>4.8282306607890077E-4</v>
      </c>
      <c r="O254">
        <f t="shared" si="26"/>
        <v>13.395541043567857</v>
      </c>
      <c r="P254">
        <f t="shared" si="27"/>
        <v>3.5674998321734658E-5</v>
      </c>
    </row>
    <row r="255" spans="1:16" x14ac:dyDescent="0.25">
      <c r="A255">
        <v>12.65</v>
      </c>
      <c r="B255">
        <v>4.0000000000000001E-3</v>
      </c>
      <c r="C255" s="1">
        <v>4.8000000000000001E-2</v>
      </c>
      <c r="H255">
        <f t="shared" si="21"/>
        <v>12.65</v>
      </c>
      <c r="I255">
        <f t="shared" si="22"/>
        <v>4.0000000000000001E-3</v>
      </c>
      <c r="J255">
        <f t="shared" si="23"/>
        <v>3.6164951106536287E-2</v>
      </c>
      <c r="K255">
        <f t="shared" si="24"/>
        <v>26.791082087135717</v>
      </c>
      <c r="L255">
        <f t="shared" si="25"/>
        <v>4.8219934808715041E-4</v>
      </c>
      <c r="O255">
        <f t="shared" si="26"/>
        <v>13.395541043567857</v>
      </c>
      <c r="P255">
        <f t="shared" si="27"/>
        <v>3.5051280329984297E-5</v>
      </c>
    </row>
    <row r="256" spans="1:16" x14ac:dyDescent="0.25">
      <c r="A256">
        <v>12.7</v>
      </c>
      <c r="B256">
        <v>4.0000000000000001E-3</v>
      </c>
      <c r="C256" s="1">
        <v>4.8000000000000001E-2</v>
      </c>
      <c r="H256">
        <f t="shared" si="21"/>
        <v>12.7</v>
      </c>
      <c r="I256">
        <f t="shared" si="22"/>
        <v>4.0000000000000001E-3</v>
      </c>
      <c r="J256">
        <f t="shared" si="23"/>
        <v>3.611817225715501E-2</v>
      </c>
      <c r="K256">
        <f t="shared" si="24"/>
        <v>26.791082087135717</v>
      </c>
      <c r="L256">
        <f t="shared" si="25"/>
        <v>4.8157563009540005E-4</v>
      </c>
      <c r="O256">
        <f t="shared" si="26"/>
        <v>13.395541043567857</v>
      </c>
      <c r="P256">
        <f t="shared" si="27"/>
        <v>3.4427562338233935E-5</v>
      </c>
    </row>
    <row r="257" spans="1:16" x14ac:dyDescent="0.25">
      <c r="A257">
        <v>12.75</v>
      </c>
      <c r="B257">
        <v>4.0000000000000001E-3</v>
      </c>
      <c r="C257" s="1">
        <v>4.8000000000000001E-2</v>
      </c>
      <c r="H257">
        <f t="shared" si="21"/>
        <v>12.75</v>
      </c>
      <c r="I257">
        <f t="shared" si="22"/>
        <v>4.0000000000000001E-3</v>
      </c>
      <c r="J257">
        <f t="shared" si="23"/>
        <v>3.6071393407773725E-2</v>
      </c>
      <c r="K257">
        <f t="shared" si="24"/>
        <v>26.791082087135717</v>
      </c>
      <c r="L257">
        <f t="shared" si="25"/>
        <v>4.8095191210364958E-4</v>
      </c>
      <c r="O257">
        <f t="shared" si="26"/>
        <v>13.395541043567857</v>
      </c>
      <c r="P257">
        <f t="shared" si="27"/>
        <v>3.3803844346483466E-5</v>
      </c>
    </row>
    <row r="258" spans="1:16" x14ac:dyDescent="0.25">
      <c r="A258">
        <v>12.8</v>
      </c>
      <c r="B258">
        <v>4.0000000000000001E-3</v>
      </c>
      <c r="C258" s="1">
        <v>4.8000000000000001E-2</v>
      </c>
      <c r="H258">
        <f t="shared" si="21"/>
        <v>12.8</v>
      </c>
      <c r="I258">
        <f t="shared" si="22"/>
        <v>4.0000000000000001E-3</v>
      </c>
      <c r="J258">
        <f t="shared" si="23"/>
        <v>3.6024614558392447E-2</v>
      </c>
      <c r="K258">
        <f t="shared" si="24"/>
        <v>26.791082087135717</v>
      </c>
      <c r="L258">
        <f t="shared" si="25"/>
        <v>4.8032819411189922E-4</v>
      </c>
      <c r="O258">
        <f t="shared" si="26"/>
        <v>13.395541043567857</v>
      </c>
      <c r="P258">
        <f t="shared" si="27"/>
        <v>3.3180126354733104E-5</v>
      </c>
    </row>
    <row r="259" spans="1:16" x14ac:dyDescent="0.25">
      <c r="A259">
        <v>12.85</v>
      </c>
      <c r="B259">
        <v>4.0000000000000001E-3</v>
      </c>
      <c r="C259" s="1">
        <v>4.8000000000000001E-2</v>
      </c>
      <c r="H259">
        <f t="shared" ref="H259:H322" si="28">A259</f>
        <v>12.85</v>
      </c>
      <c r="I259">
        <f t="shared" ref="I259:I322" si="29">B259</f>
        <v>4.0000000000000001E-3</v>
      </c>
      <c r="J259">
        <f t="shared" ref="J259:J322" si="30">C259-E$12*A259</f>
        <v>3.5977835709011169E-2</v>
      </c>
      <c r="K259">
        <f t="shared" ref="K259:K322" si="31">F$24*I259</f>
        <v>26.791082087135717</v>
      </c>
      <c r="L259">
        <f t="shared" ref="L259:L322" si="32">F$25*J259</f>
        <v>4.797044761201488E-4</v>
      </c>
      <c r="O259">
        <f t="shared" ref="O259:O322" si="33">K259-N$12</f>
        <v>13.395541043567857</v>
      </c>
      <c r="P259">
        <f t="shared" ref="P259:P322" si="34">L259-N$15</f>
        <v>3.2556408362982689E-5</v>
      </c>
    </row>
    <row r="260" spans="1:16" x14ac:dyDescent="0.25">
      <c r="A260">
        <v>12.9</v>
      </c>
      <c r="B260">
        <v>4.0000000000000001E-3</v>
      </c>
      <c r="C260" s="1">
        <v>4.8000000000000001E-2</v>
      </c>
      <c r="H260">
        <f t="shared" si="28"/>
        <v>12.9</v>
      </c>
      <c r="I260">
        <f t="shared" si="29"/>
        <v>4.0000000000000001E-3</v>
      </c>
      <c r="J260">
        <f t="shared" si="30"/>
        <v>3.5931056859629891E-2</v>
      </c>
      <c r="K260">
        <f t="shared" si="31"/>
        <v>26.791082087135717</v>
      </c>
      <c r="L260">
        <f t="shared" si="32"/>
        <v>4.7908075812839844E-4</v>
      </c>
      <c r="O260">
        <f t="shared" si="33"/>
        <v>13.395541043567857</v>
      </c>
      <c r="P260">
        <f t="shared" si="34"/>
        <v>3.1932690371232328E-5</v>
      </c>
    </row>
    <row r="261" spans="1:16" x14ac:dyDescent="0.25">
      <c r="A261">
        <v>12.95</v>
      </c>
      <c r="B261">
        <v>4.0000000000000001E-3</v>
      </c>
      <c r="C261" s="1">
        <v>4.8000000000000001E-2</v>
      </c>
      <c r="H261">
        <f t="shared" si="28"/>
        <v>12.95</v>
      </c>
      <c r="I261">
        <f t="shared" si="29"/>
        <v>4.0000000000000001E-3</v>
      </c>
      <c r="J261">
        <f t="shared" si="30"/>
        <v>3.5884278010248613E-2</v>
      </c>
      <c r="K261">
        <f t="shared" si="31"/>
        <v>26.791082087135717</v>
      </c>
      <c r="L261">
        <f t="shared" si="32"/>
        <v>4.7845704013664808E-4</v>
      </c>
      <c r="O261">
        <f t="shared" si="33"/>
        <v>13.395541043567857</v>
      </c>
      <c r="P261">
        <f t="shared" si="34"/>
        <v>3.1308972379481966E-5</v>
      </c>
    </row>
    <row r="262" spans="1:16" x14ac:dyDescent="0.25">
      <c r="A262">
        <v>13</v>
      </c>
      <c r="B262">
        <v>4.0000000000000001E-3</v>
      </c>
      <c r="C262" s="1">
        <v>4.9000000000000002E-2</v>
      </c>
      <c r="H262">
        <f t="shared" si="28"/>
        <v>13</v>
      </c>
      <c r="I262">
        <f t="shared" si="29"/>
        <v>4.0000000000000001E-3</v>
      </c>
      <c r="J262">
        <f t="shared" si="30"/>
        <v>3.6837499160867329E-2</v>
      </c>
      <c r="K262">
        <f t="shared" si="31"/>
        <v>26.791082087135717</v>
      </c>
      <c r="L262">
        <f t="shared" si="32"/>
        <v>4.9116665547823096E-4</v>
      </c>
      <c r="O262">
        <f t="shared" si="33"/>
        <v>13.395541043567857</v>
      </c>
      <c r="P262">
        <f t="shared" si="34"/>
        <v>4.4018587721064847E-5</v>
      </c>
    </row>
    <row r="263" spans="1:16" x14ac:dyDescent="0.25">
      <c r="A263">
        <v>13.05</v>
      </c>
      <c r="B263">
        <v>4.0000000000000001E-3</v>
      </c>
      <c r="C263" s="1">
        <v>4.9000000000000002E-2</v>
      </c>
      <c r="H263">
        <f t="shared" si="28"/>
        <v>13.05</v>
      </c>
      <c r="I263">
        <f t="shared" si="29"/>
        <v>4.0000000000000001E-3</v>
      </c>
      <c r="J263">
        <f t="shared" si="30"/>
        <v>3.6790720311486051E-2</v>
      </c>
      <c r="K263">
        <f t="shared" si="31"/>
        <v>26.791082087135717</v>
      </c>
      <c r="L263">
        <f t="shared" si="32"/>
        <v>4.9054293748648054E-4</v>
      </c>
      <c r="O263">
        <f t="shared" si="33"/>
        <v>13.395541043567857</v>
      </c>
      <c r="P263">
        <f t="shared" si="34"/>
        <v>4.3394869729314431E-5</v>
      </c>
    </row>
    <row r="264" spans="1:16" x14ac:dyDescent="0.25">
      <c r="A264">
        <v>13.1</v>
      </c>
      <c r="B264">
        <v>4.0000000000000001E-3</v>
      </c>
      <c r="C264" s="1">
        <v>4.9000000000000002E-2</v>
      </c>
      <c r="H264">
        <f t="shared" si="28"/>
        <v>13.1</v>
      </c>
      <c r="I264">
        <f t="shared" si="29"/>
        <v>4.0000000000000001E-3</v>
      </c>
      <c r="J264">
        <f t="shared" si="30"/>
        <v>3.6743941462104773E-2</v>
      </c>
      <c r="K264">
        <f t="shared" si="31"/>
        <v>26.791082087135717</v>
      </c>
      <c r="L264">
        <f t="shared" si="32"/>
        <v>4.8991921949473024E-4</v>
      </c>
      <c r="O264">
        <f t="shared" si="33"/>
        <v>13.395541043567857</v>
      </c>
      <c r="P264">
        <f t="shared" si="34"/>
        <v>4.2771151737564124E-5</v>
      </c>
    </row>
    <row r="265" spans="1:16" x14ac:dyDescent="0.25">
      <c r="A265">
        <v>13.15</v>
      </c>
      <c r="B265">
        <v>4.0000000000000001E-3</v>
      </c>
      <c r="C265" s="1">
        <v>4.9000000000000002E-2</v>
      </c>
      <c r="H265">
        <f t="shared" si="28"/>
        <v>13.15</v>
      </c>
      <c r="I265">
        <f t="shared" si="29"/>
        <v>4.0000000000000001E-3</v>
      </c>
      <c r="J265">
        <f t="shared" si="30"/>
        <v>3.6697162612723488E-2</v>
      </c>
      <c r="K265">
        <f t="shared" si="31"/>
        <v>26.791082087135717</v>
      </c>
      <c r="L265">
        <f t="shared" si="32"/>
        <v>4.8929550150297971E-4</v>
      </c>
      <c r="O265">
        <f t="shared" si="33"/>
        <v>13.395541043567857</v>
      </c>
      <c r="P265">
        <f t="shared" si="34"/>
        <v>4.21474337458136E-5</v>
      </c>
    </row>
    <row r="266" spans="1:16" x14ac:dyDescent="0.25">
      <c r="A266">
        <v>13.2</v>
      </c>
      <c r="B266">
        <v>4.0000000000000001E-3</v>
      </c>
      <c r="C266" s="1">
        <v>4.9000000000000002E-2</v>
      </c>
      <c r="H266">
        <f t="shared" si="28"/>
        <v>13.2</v>
      </c>
      <c r="I266">
        <f t="shared" si="29"/>
        <v>4.0000000000000001E-3</v>
      </c>
      <c r="J266">
        <f t="shared" si="30"/>
        <v>3.6650383763342217E-2</v>
      </c>
      <c r="K266">
        <f t="shared" si="31"/>
        <v>26.791082087135717</v>
      </c>
      <c r="L266">
        <f t="shared" si="32"/>
        <v>4.8867178351122951E-4</v>
      </c>
      <c r="O266">
        <f t="shared" si="33"/>
        <v>13.395541043567857</v>
      </c>
      <c r="P266">
        <f t="shared" si="34"/>
        <v>4.1523715754063402E-5</v>
      </c>
    </row>
    <row r="267" spans="1:16" x14ac:dyDescent="0.25">
      <c r="A267">
        <v>13.25</v>
      </c>
      <c r="B267">
        <v>5.0000000000000001E-3</v>
      </c>
      <c r="C267" s="1">
        <v>0.05</v>
      </c>
      <c r="H267">
        <f t="shared" si="28"/>
        <v>13.25</v>
      </c>
      <c r="I267">
        <f t="shared" si="29"/>
        <v>5.0000000000000001E-3</v>
      </c>
      <c r="J267">
        <f t="shared" si="30"/>
        <v>3.7603604913960934E-2</v>
      </c>
      <c r="K267">
        <f t="shared" si="31"/>
        <v>33.48885260891965</v>
      </c>
      <c r="L267">
        <f t="shared" si="32"/>
        <v>5.0138139885281239E-4</v>
      </c>
      <c r="O267">
        <f t="shared" si="33"/>
        <v>20.09331156535179</v>
      </c>
      <c r="P267">
        <f t="shared" si="34"/>
        <v>5.4233331095646282E-5</v>
      </c>
    </row>
    <row r="268" spans="1:16" x14ac:dyDescent="0.25">
      <c r="A268">
        <v>13.3</v>
      </c>
      <c r="B268">
        <v>4.0000000000000001E-3</v>
      </c>
      <c r="C268" s="1">
        <v>0.05</v>
      </c>
      <c r="H268">
        <f t="shared" si="28"/>
        <v>13.3</v>
      </c>
      <c r="I268">
        <f t="shared" si="29"/>
        <v>4.0000000000000001E-3</v>
      </c>
      <c r="J268">
        <f t="shared" si="30"/>
        <v>3.7556826064579656E-2</v>
      </c>
      <c r="K268">
        <f t="shared" si="31"/>
        <v>26.791082087135717</v>
      </c>
      <c r="L268">
        <f t="shared" si="32"/>
        <v>5.0075768086106198E-4</v>
      </c>
      <c r="O268">
        <f t="shared" si="33"/>
        <v>13.395541043567857</v>
      </c>
      <c r="P268">
        <f t="shared" si="34"/>
        <v>5.3609613103895867E-5</v>
      </c>
    </row>
    <row r="269" spans="1:16" x14ac:dyDescent="0.25">
      <c r="A269">
        <v>13.35</v>
      </c>
      <c r="B269">
        <v>5.0000000000000001E-3</v>
      </c>
      <c r="C269" s="1">
        <v>0.05</v>
      </c>
      <c r="H269">
        <f t="shared" si="28"/>
        <v>13.35</v>
      </c>
      <c r="I269">
        <f t="shared" si="29"/>
        <v>5.0000000000000001E-3</v>
      </c>
      <c r="J269">
        <f t="shared" si="30"/>
        <v>3.7510047215198378E-2</v>
      </c>
      <c r="K269">
        <f t="shared" si="31"/>
        <v>33.48885260891965</v>
      </c>
      <c r="L269">
        <f t="shared" si="32"/>
        <v>5.0013396286931156E-4</v>
      </c>
      <c r="O269">
        <f t="shared" si="33"/>
        <v>20.09331156535179</v>
      </c>
      <c r="P269">
        <f t="shared" si="34"/>
        <v>5.2985895112145451E-5</v>
      </c>
    </row>
    <row r="270" spans="1:16" x14ac:dyDescent="0.25">
      <c r="A270">
        <v>13.4</v>
      </c>
      <c r="B270">
        <v>5.0000000000000001E-3</v>
      </c>
      <c r="C270" s="1">
        <v>0.05</v>
      </c>
      <c r="H270">
        <f t="shared" si="28"/>
        <v>13.4</v>
      </c>
      <c r="I270">
        <f t="shared" si="29"/>
        <v>5.0000000000000001E-3</v>
      </c>
      <c r="J270">
        <f t="shared" si="30"/>
        <v>3.7463268365817093E-2</v>
      </c>
      <c r="K270">
        <f t="shared" si="31"/>
        <v>33.48885260891965</v>
      </c>
      <c r="L270">
        <f t="shared" si="32"/>
        <v>4.9951024487756115E-4</v>
      </c>
      <c r="O270">
        <f t="shared" si="33"/>
        <v>20.09331156535179</v>
      </c>
      <c r="P270">
        <f t="shared" si="34"/>
        <v>5.2362177120395036E-5</v>
      </c>
    </row>
    <row r="271" spans="1:16" x14ac:dyDescent="0.25">
      <c r="A271">
        <v>13.45</v>
      </c>
      <c r="B271">
        <v>5.0000000000000001E-3</v>
      </c>
      <c r="C271" s="1">
        <v>0.05</v>
      </c>
      <c r="H271">
        <f t="shared" si="28"/>
        <v>13.45</v>
      </c>
      <c r="I271">
        <f t="shared" si="29"/>
        <v>5.0000000000000001E-3</v>
      </c>
      <c r="J271">
        <f t="shared" si="30"/>
        <v>3.7416489516435815E-2</v>
      </c>
      <c r="K271">
        <f t="shared" si="31"/>
        <v>33.48885260891965</v>
      </c>
      <c r="L271">
        <f t="shared" si="32"/>
        <v>4.9888652688581073E-4</v>
      </c>
      <c r="O271">
        <f t="shared" si="33"/>
        <v>20.09331156535179</v>
      </c>
      <c r="P271">
        <f t="shared" si="34"/>
        <v>5.173845912864462E-5</v>
      </c>
    </row>
    <row r="272" spans="1:16" x14ac:dyDescent="0.25">
      <c r="A272">
        <v>13.5</v>
      </c>
      <c r="B272">
        <v>5.0000000000000001E-3</v>
      </c>
      <c r="C272" s="1">
        <v>5.0999999999999997E-2</v>
      </c>
      <c r="H272">
        <f t="shared" si="28"/>
        <v>13.5</v>
      </c>
      <c r="I272">
        <f t="shared" si="29"/>
        <v>5.0000000000000001E-3</v>
      </c>
      <c r="J272">
        <f t="shared" si="30"/>
        <v>3.8369710667054531E-2</v>
      </c>
      <c r="K272">
        <f t="shared" si="31"/>
        <v>33.48885260891965</v>
      </c>
      <c r="L272">
        <f t="shared" si="32"/>
        <v>5.1159614222739361E-4</v>
      </c>
      <c r="O272">
        <f t="shared" si="33"/>
        <v>20.09331156535179</v>
      </c>
      <c r="P272">
        <f t="shared" si="34"/>
        <v>6.4448074470227501E-5</v>
      </c>
    </row>
    <row r="273" spans="1:16" x14ac:dyDescent="0.25">
      <c r="A273">
        <v>13.55</v>
      </c>
      <c r="B273">
        <v>5.0000000000000001E-3</v>
      </c>
      <c r="C273" s="1">
        <v>5.0999999999999997E-2</v>
      </c>
      <c r="H273">
        <f t="shared" si="28"/>
        <v>13.55</v>
      </c>
      <c r="I273">
        <f t="shared" si="29"/>
        <v>5.0000000000000001E-3</v>
      </c>
      <c r="J273">
        <f t="shared" si="30"/>
        <v>3.8322931817673253E-2</v>
      </c>
      <c r="K273">
        <f t="shared" si="31"/>
        <v>33.48885260891965</v>
      </c>
      <c r="L273">
        <f t="shared" si="32"/>
        <v>5.109724242356433E-4</v>
      </c>
      <c r="O273">
        <f t="shared" si="33"/>
        <v>20.09331156535179</v>
      </c>
      <c r="P273">
        <f t="shared" si="34"/>
        <v>6.3824356478477194E-5</v>
      </c>
    </row>
    <row r="274" spans="1:16" x14ac:dyDescent="0.25">
      <c r="A274">
        <v>13.6</v>
      </c>
      <c r="B274">
        <v>5.0000000000000001E-3</v>
      </c>
      <c r="C274" s="1">
        <v>5.0999999999999997E-2</v>
      </c>
      <c r="H274">
        <f t="shared" si="28"/>
        <v>13.6</v>
      </c>
      <c r="I274">
        <f t="shared" si="29"/>
        <v>5.0000000000000001E-3</v>
      </c>
      <c r="J274">
        <f t="shared" si="30"/>
        <v>3.8276152968291968E-2</v>
      </c>
      <c r="K274">
        <f t="shared" si="31"/>
        <v>33.48885260891965</v>
      </c>
      <c r="L274">
        <f t="shared" si="32"/>
        <v>5.1034870624389278E-4</v>
      </c>
      <c r="O274">
        <f t="shared" si="33"/>
        <v>20.09331156535179</v>
      </c>
      <c r="P274">
        <f t="shared" si="34"/>
        <v>6.320063848672667E-5</v>
      </c>
    </row>
    <row r="275" spans="1:16" x14ac:dyDescent="0.25">
      <c r="A275">
        <v>13.65</v>
      </c>
      <c r="B275">
        <v>6.0000000000000001E-3</v>
      </c>
      <c r="C275" s="1">
        <v>5.0999999999999997E-2</v>
      </c>
      <c r="H275">
        <f t="shared" si="28"/>
        <v>13.65</v>
      </c>
      <c r="I275">
        <f t="shared" si="29"/>
        <v>6.0000000000000001E-3</v>
      </c>
      <c r="J275">
        <f t="shared" si="30"/>
        <v>3.822937411891069E-2</v>
      </c>
      <c r="K275">
        <f t="shared" si="31"/>
        <v>40.186623130703573</v>
      </c>
      <c r="L275">
        <f t="shared" si="32"/>
        <v>5.0972498825214247E-4</v>
      </c>
      <c r="O275">
        <f t="shared" si="33"/>
        <v>26.791082087135713</v>
      </c>
      <c r="P275">
        <f t="shared" si="34"/>
        <v>6.2576920494976363E-5</v>
      </c>
    </row>
    <row r="276" spans="1:16" x14ac:dyDescent="0.25">
      <c r="A276">
        <v>13.7</v>
      </c>
      <c r="B276">
        <v>5.0000000000000001E-3</v>
      </c>
      <c r="C276" s="1">
        <v>5.0999999999999997E-2</v>
      </c>
      <c r="H276">
        <f t="shared" si="28"/>
        <v>13.7</v>
      </c>
      <c r="I276">
        <f t="shared" si="29"/>
        <v>5.0000000000000001E-3</v>
      </c>
      <c r="J276">
        <f t="shared" si="30"/>
        <v>3.8182595269529412E-2</v>
      </c>
      <c r="K276">
        <f t="shared" si="31"/>
        <v>33.48885260891965</v>
      </c>
      <c r="L276">
        <f t="shared" si="32"/>
        <v>5.0910127026039206E-4</v>
      </c>
      <c r="O276">
        <f t="shared" si="33"/>
        <v>20.09331156535179</v>
      </c>
      <c r="P276">
        <f t="shared" si="34"/>
        <v>6.1953202503225947E-5</v>
      </c>
    </row>
    <row r="277" spans="1:16" x14ac:dyDescent="0.25">
      <c r="A277">
        <v>13.75</v>
      </c>
      <c r="B277">
        <v>5.0000000000000001E-3</v>
      </c>
      <c r="C277" s="1">
        <v>5.0999999999999997E-2</v>
      </c>
      <c r="H277">
        <f t="shared" si="28"/>
        <v>13.75</v>
      </c>
      <c r="I277">
        <f t="shared" si="29"/>
        <v>5.0000000000000001E-3</v>
      </c>
      <c r="J277">
        <f t="shared" si="30"/>
        <v>3.8135816420148134E-2</v>
      </c>
      <c r="K277">
        <f t="shared" si="31"/>
        <v>33.48885260891965</v>
      </c>
      <c r="L277">
        <f t="shared" si="32"/>
        <v>5.0847755226864164E-4</v>
      </c>
      <c r="O277">
        <f t="shared" si="33"/>
        <v>20.09331156535179</v>
      </c>
      <c r="P277">
        <f t="shared" si="34"/>
        <v>6.1329484511475532E-5</v>
      </c>
    </row>
    <row r="278" spans="1:16" x14ac:dyDescent="0.25">
      <c r="A278">
        <v>13.8</v>
      </c>
      <c r="B278">
        <v>6.0000000000000001E-3</v>
      </c>
      <c r="C278" s="1">
        <v>5.0999999999999997E-2</v>
      </c>
      <c r="H278">
        <f t="shared" si="28"/>
        <v>13.8</v>
      </c>
      <c r="I278">
        <f t="shared" si="29"/>
        <v>6.0000000000000001E-3</v>
      </c>
      <c r="J278">
        <f t="shared" si="30"/>
        <v>3.8089037570766857E-2</v>
      </c>
      <c r="K278">
        <f t="shared" si="31"/>
        <v>40.186623130703573</v>
      </c>
      <c r="L278">
        <f t="shared" si="32"/>
        <v>5.0785383427689134E-4</v>
      </c>
      <c r="O278">
        <f t="shared" si="33"/>
        <v>26.791082087135713</v>
      </c>
      <c r="P278">
        <f t="shared" si="34"/>
        <v>6.0705766519725225E-5</v>
      </c>
    </row>
    <row r="279" spans="1:16" x14ac:dyDescent="0.25">
      <c r="A279">
        <v>13.85</v>
      </c>
      <c r="B279">
        <v>5.0000000000000001E-3</v>
      </c>
      <c r="C279" s="1">
        <v>5.0999999999999997E-2</v>
      </c>
      <c r="H279">
        <f t="shared" si="28"/>
        <v>13.85</v>
      </c>
      <c r="I279">
        <f t="shared" si="29"/>
        <v>5.0000000000000001E-3</v>
      </c>
      <c r="J279">
        <f t="shared" si="30"/>
        <v>3.8042258721385572E-2</v>
      </c>
      <c r="K279">
        <f t="shared" si="31"/>
        <v>33.48885260891965</v>
      </c>
      <c r="L279">
        <f t="shared" si="32"/>
        <v>5.0723011628514081E-4</v>
      </c>
      <c r="O279">
        <f t="shared" si="33"/>
        <v>20.09331156535179</v>
      </c>
      <c r="P279">
        <f t="shared" si="34"/>
        <v>6.0082048527974701E-5</v>
      </c>
    </row>
    <row r="280" spans="1:16" x14ac:dyDescent="0.25">
      <c r="A280">
        <v>13.9</v>
      </c>
      <c r="B280">
        <v>6.0000000000000001E-3</v>
      </c>
      <c r="C280" s="1">
        <v>5.0999999999999997E-2</v>
      </c>
      <c r="H280">
        <f t="shared" si="28"/>
        <v>13.9</v>
      </c>
      <c r="I280">
        <f t="shared" si="29"/>
        <v>6.0000000000000001E-3</v>
      </c>
      <c r="J280">
        <f t="shared" si="30"/>
        <v>3.7995479872004294E-2</v>
      </c>
      <c r="K280">
        <f t="shared" si="31"/>
        <v>40.186623130703573</v>
      </c>
      <c r="L280">
        <f t="shared" si="32"/>
        <v>5.066063982933905E-4</v>
      </c>
      <c r="O280">
        <f t="shared" si="33"/>
        <v>26.791082087135713</v>
      </c>
      <c r="P280">
        <f t="shared" si="34"/>
        <v>5.9458330536224394E-5</v>
      </c>
    </row>
    <row r="281" spans="1:16" x14ac:dyDescent="0.25">
      <c r="A281">
        <v>13.95</v>
      </c>
      <c r="B281">
        <v>6.0000000000000001E-3</v>
      </c>
      <c r="C281">
        <v>5.1999999999999998E-2</v>
      </c>
      <c r="H281">
        <f t="shared" si="28"/>
        <v>13.95</v>
      </c>
      <c r="I281">
        <f t="shared" si="29"/>
        <v>6.0000000000000001E-3</v>
      </c>
      <c r="J281">
        <f t="shared" si="30"/>
        <v>3.8948701022623017E-2</v>
      </c>
      <c r="K281">
        <f t="shared" si="31"/>
        <v>40.186623130703573</v>
      </c>
      <c r="L281">
        <f t="shared" si="32"/>
        <v>5.1931601363497349E-4</v>
      </c>
      <c r="O281">
        <f t="shared" si="33"/>
        <v>26.791082087135713</v>
      </c>
      <c r="P281">
        <f t="shared" si="34"/>
        <v>7.2167945877807383E-5</v>
      </c>
    </row>
    <row r="282" spans="1:16" x14ac:dyDescent="0.25">
      <c r="A282">
        <v>14</v>
      </c>
      <c r="B282">
        <v>6.0000000000000001E-3</v>
      </c>
      <c r="C282" s="1">
        <v>5.1999999999999998E-2</v>
      </c>
      <c r="H282">
        <f t="shared" si="28"/>
        <v>14</v>
      </c>
      <c r="I282">
        <f t="shared" si="29"/>
        <v>6.0000000000000001E-3</v>
      </c>
      <c r="J282">
        <f t="shared" si="30"/>
        <v>3.8901922173241739E-2</v>
      </c>
      <c r="K282">
        <f t="shared" si="31"/>
        <v>40.186623130703573</v>
      </c>
      <c r="L282">
        <f t="shared" si="32"/>
        <v>5.1869229564322308E-4</v>
      </c>
      <c r="O282">
        <f t="shared" si="33"/>
        <v>26.791082087135713</v>
      </c>
      <c r="P282">
        <f t="shared" si="34"/>
        <v>7.1544227886056967E-5</v>
      </c>
    </row>
    <row r="283" spans="1:16" x14ac:dyDescent="0.25">
      <c r="A283">
        <v>14.05</v>
      </c>
      <c r="B283">
        <v>6.0000000000000001E-3</v>
      </c>
      <c r="C283" s="1">
        <v>5.1999999999999998E-2</v>
      </c>
      <c r="H283">
        <f t="shared" si="28"/>
        <v>14.05</v>
      </c>
      <c r="I283">
        <f t="shared" si="29"/>
        <v>6.0000000000000001E-3</v>
      </c>
      <c r="J283">
        <f t="shared" si="30"/>
        <v>3.8855143323860454E-2</v>
      </c>
      <c r="K283">
        <f t="shared" si="31"/>
        <v>40.186623130703573</v>
      </c>
      <c r="L283">
        <f t="shared" si="32"/>
        <v>5.1806857765147266E-4</v>
      </c>
      <c r="O283">
        <f t="shared" si="33"/>
        <v>26.791082087135713</v>
      </c>
      <c r="P283">
        <f t="shared" si="34"/>
        <v>7.0920509894306552E-5</v>
      </c>
    </row>
    <row r="284" spans="1:16" x14ac:dyDescent="0.25">
      <c r="A284">
        <v>14.1</v>
      </c>
      <c r="B284">
        <v>6.0000000000000001E-3</v>
      </c>
      <c r="C284" s="1">
        <v>5.1999999999999998E-2</v>
      </c>
      <c r="H284">
        <f t="shared" si="28"/>
        <v>14.1</v>
      </c>
      <c r="I284">
        <f t="shared" si="29"/>
        <v>6.0000000000000001E-3</v>
      </c>
      <c r="J284">
        <f t="shared" si="30"/>
        <v>3.8808364474479176E-2</v>
      </c>
      <c r="K284">
        <f t="shared" si="31"/>
        <v>40.186623130703573</v>
      </c>
      <c r="L284">
        <f t="shared" si="32"/>
        <v>5.1744485965972225E-4</v>
      </c>
      <c r="O284">
        <f t="shared" si="33"/>
        <v>26.791082087135713</v>
      </c>
      <c r="P284">
        <f t="shared" si="34"/>
        <v>7.0296791902556136E-5</v>
      </c>
    </row>
    <row r="285" spans="1:16" x14ac:dyDescent="0.25">
      <c r="A285">
        <v>14.15</v>
      </c>
      <c r="B285">
        <v>6.0000000000000001E-3</v>
      </c>
      <c r="C285">
        <v>5.2999999999999999E-2</v>
      </c>
      <c r="H285">
        <f t="shared" si="28"/>
        <v>14.15</v>
      </c>
      <c r="I285">
        <f t="shared" si="29"/>
        <v>6.0000000000000001E-3</v>
      </c>
      <c r="J285">
        <f t="shared" si="30"/>
        <v>3.9761585625097899E-2</v>
      </c>
      <c r="K285">
        <f t="shared" si="31"/>
        <v>40.186623130703573</v>
      </c>
      <c r="L285">
        <f t="shared" si="32"/>
        <v>5.3015447500130524E-4</v>
      </c>
      <c r="O285">
        <f t="shared" si="33"/>
        <v>26.791082087135713</v>
      </c>
      <c r="P285">
        <f t="shared" si="34"/>
        <v>8.3006407244139125E-5</v>
      </c>
    </row>
    <row r="286" spans="1:16" x14ac:dyDescent="0.25">
      <c r="A286">
        <v>14.2</v>
      </c>
      <c r="B286">
        <v>7.0000000000000001E-3</v>
      </c>
      <c r="C286">
        <v>5.2999999999999999E-2</v>
      </c>
      <c r="H286">
        <f t="shared" si="28"/>
        <v>14.2</v>
      </c>
      <c r="I286">
        <f t="shared" si="29"/>
        <v>7.0000000000000001E-3</v>
      </c>
      <c r="J286">
        <f t="shared" si="30"/>
        <v>3.9714806775716621E-2</v>
      </c>
      <c r="K286">
        <f t="shared" si="31"/>
        <v>46.884393652487503</v>
      </c>
      <c r="L286">
        <f t="shared" si="32"/>
        <v>5.2953075700955482E-4</v>
      </c>
      <c r="O286">
        <f t="shared" si="33"/>
        <v>33.488852608919643</v>
      </c>
      <c r="P286">
        <f t="shared" si="34"/>
        <v>8.238268925238871E-5</v>
      </c>
    </row>
    <row r="287" spans="1:16" x14ac:dyDescent="0.25">
      <c r="A287">
        <v>14.25</v>
      </c>
      <c r="B287">
        <v>7.0000000000000001E-3</v>
      </c>
      <c r="C287">
        <v>5.2999999999999999E-2</v>
      </c>
      <c r="H287">
        <f t="shared" si="28"/>
        <v>14.25</v>
      </c>
      <c r="I287">
        <f t="shared" si="29"/>
        <v>7.0000000000000001E-3</v>
      </c>
      <c r="J287">
        <f t="shared" si="30"/>
        <v>3.9668027926335336E-2</v>
      </c>
      <c r="K287">
        <f t="shared" si="31"/>
        <v>46.884393652487503</v>
      </c>
      <c r="L287">
        <f t="shared" si="32"/>
        <v>5.2890703901780441E-4</v>
      </c>
      <c r="O287">
        <f t="shared" si="33"/>
        <v>33.488852608919643</v>
      </c>
      <c r="P287">
        <f t="shared" si="34"/>
        <v>8.1758971260638294E-5</v>
      </c>
    </row>
    <row r="288" spans="1:16" x14ac:dyDescent="0.25">
      <c r="A288">
        <v>14.3</v>
      </c>
      <c r="B288">
        <v>7.0000000000000001E-3</v>
      </c>
      <c r="C288" s="1">
        <v>5.2999999999999999E-2</v>
      </c>
      <c r="H288">
        <f t="shared" si="28"/>
        <v>14.3</v>
      </c>
      <c r="I288">
        <f t="shared" si="29"/>
        <v>7.0000000000000001E-3</v>
      </c>
      <c r="J288">
        <f t="shared" si="30"/>
        <v>3.9621249076954058E-2</v>
      </c>
      <c r="K288">
        <f t="shared" si="31"/>
        <v>46.884393652487503</v>
      </c>
      <c r="L288">
        <f t="shared" si="32"/>
        <v>5.2828332102605399E-4</v>
      </c>
      <c r="O288">
        <f t="shared" si="33"/>
        <v>33.488852608919643</v>
      </c>
      <c r="P288">
        <f t="shared" si="34"/>
        <v>8.1135253268887879E-5</v>
      </c>
    </row>
    <row r="289" spans="1:16" x14ac:dyDescent="0.25">
      <c r="A289">
        <v>14.35</v>
      </c>
      <c r="B289">
        <v>8.0000000000000002E-3</v>
      </c>
      <c r="C289">
        <v>5.3999999999999999E-2</v>
      </c>
      <c r="H289">
        <f t="shared" si="28"/>
        <v>14.35</v>
      </c>
      <c r="I289">
        <f t="shared" si="29"/>
        <v>8.0000000000000002E-3</v>
      </c>
      <c r="J289">
        <f t="shared" si="30"/>
        <v>4.0574470227572781E-2</v>
      </c>
      <c r="K289">
        <f t="shared" si="31"/>
        <v>53.582164174271433</v>
      </c>
      <c r="L289">
        <f t="shared" si="32"/>
        <v>5.4099293636763698E-4</v>
      </c>
      <c r="O289">
        <f t="shared" si="33"/>
        <v>40.186623130703573</v>
      </c>
      <c r="P289">
        <f t="shared" si="34"/>
        <v>9.3844868610470868E-5</v>
      </c>
    </row>
    <row r="290" spans="1:16" x14ac:dyDescent="0.25">
      <c r="A290">
        <v>14.4</v>
      </c>
      <c r="B290">
        <v>8.0000000000000002E-3</v>
      </c>
      <c r="C290">
        <v>5.3999999999999999E-2</v>
      </c>
      <c r="H290">
        <f t="shared" si="28"/>
        <v>14.4</v>
      </c>
      <c r="I290">
        <f t="shared" si="29"/>
        <v>8.0000000000000002E-3</v>
      </c>
      <c r="J290">
        <f t="shared" si="30"/>
        <v>4.0527691378191504E-2</v>
      </c>
      <c r="K290">
        <f t="shared" si="31"/>
        <v>53.582164174271433</v>
      </c>
      <c r="L290">
        <f t="shared" si="32"/>
        <v>5.4036921837588656E-4</v>
      </c>
      <c r="O290">
        <f t="shared" si="33"/>
        <v>40.186623130703573</v>
      </c>
      <c r="P290">
        <f t="shared" si="34"/>
        <v>9.3221150618720452E-5</v>
      </c>
    </row>
    <row r="291" spans="1:16" x14ac:dyDescent="0.25">
      <c r="A291">
        <v>14.45</v>
      </c>
      <c r="B291">
        <v>8.0000000000000002E-3</v>
      </c>
      <c r="C291">
        <v>5.5E-2</v>
      </c>
      <c r="H291">
        <f t="shared" si="28"/>
        <v>14.45</v>
      </c>
      <c r="I291">
        <f t="shared" si="29"/>
        <v>8.0000000000000002E-3</v>
      </c>
      <c r="J291">
        <f t="shared" si="30"/>
        <v>4.1480912528810227E-2</v>
      </c>
      <c r="K291">
        <f t="shared" si="31"/>
        <v>53.582164174271433</v>
      </c>
      <c r="L291">
        <f t="shared" si="32"/>
        <v>5.5307883371746955E-4</v>
      </c>
      <c r="O291">
        <f t="shared" si="33"/>
        <v>40.186623130703573</v>
      </c>
      <c r="P291">
        <f t="shared" si="34"/>
        <v>1.0593076596030344E-4</v>
      </c>
    </row>
    <row r="292" spans="1:16" x14ac:dyDescent="0.25">
      <c r="A292">
        <v>14.5</v>
      </c>
      <c r="B292">
        <v>8.0000000000000002E-3</v>
      </c>
      <c r="C292">
        <v>5.5E-2</v>
      </c>
      <c r="H292">
        <f t="shared" si="28"/>
        <v>14.5</v>
      </c>
      <c r="I292">
        <f t="shared" si="29"/>
        <v>8.0000000000000002E-3</v>
      </c>
      <c r="J292">
        <f t="shared" si="30"/>
        <v>4.1434133679428942E-2</v>
      </c>
      <c r="K292">
        <f t="shared" si="31"/>
        <v>53.582164174271433</v>
      </c>
      <c r="L292">
        <f t="shared" si="32"/>
        <v>5.5245511572571914E-4</v>
      </c>
      <c r="O292">
        <f t="shared" si="33"/>
        <v>40.186623130703573</v>
      </c>
      <c r="P292">
        <f t="shared" si="34"/>
        <v>1.0530704796855303E-4</v>
      </c>
    </row>
    <row r="293" spans="1:16" x14ac:dyDescent="0.25">
      <c r="A293">
        <v>14.55</v>
      </c>
      <c r="B293">
        <v>8.0000000000000002E-3</v>
      </c>
      <c r="C293">
        <v>5.5E-2</v>
      </c>
      <c r="H293">
        <f t="shared" si="28"/>
        <v>14.55</v>
      </c>
      <c r="I293">
        <f t="shared" si="29"/>
        <v>8.0000000000000002E-3</v>
      </c>
      <c r="J293">
        <f t="shared" si="30"/>
        <v>4.1387354830047664E-2</v>
      </c>
      <c r="K293">
        <f t="shared" si="31"/>
        <v>53.582164174271433</v>
      </c>
      <c r="L293">
        <f t="shared" si="32"/>
        <v>5.5183139773396872E-4</v>
      </c>
      <c r="O293">
        <f t="shared" si="33"/>
        <v>40.186623130703573</v>
      </c>
      <c r="P293">
        <f t="shared" si="34"/>
        <v>1.0468332997680261E-4</v>
      </c>
    </row>
    <row r="294" spans="1:16" x14ac:dyDescent="0.25">
      <c r="A294">
        <v>14.6</v>
      </c>
      <c r="B294">
        <v>8.0000000000000002E-3</v>
      </c>
      <c r="C294" s="1">
        <v>5.5E-2</v>
      </c>
      <c r="H294">
        <f t="shared" si="28"/>
        <v>14.6</v>
      </c>
      <c r="I294">
        <f t="shared" si="29"/>
        <v>8.0000000000000002E-3</v>
      </c>
      <c r="J294">
        <f t="shared" si="30"/>
        <v>4.1340575980666386E-2</v>
      </c>
      <c r="K294">
        <f t="shared" si="31"/>
        <v>53.582164174271433</v>
      </c>
      <c r="L294">
        <f t="shared" si="32"/>
        <v>5.5120767974221841E-4</v>
      </c>
      <c r="O294">
        <f t="shared" si="33"/>
        <v>40.186623130703573</v>
      </c>
      <c r="P294">
        <f t="shared" si="34"/>
        <v>1.040596119850523E-4</v>
      </c>
    </row>
    <row r="295" spans="1:16" x14ac:dyDescent="0.25">
      <c r="A295">
        <v>14.65</v>
      </c>
      <c r="B295">
        <v>8.0000000000000002E-3</v>
      </c>
      <c r="C295">
        <v>5.5E-2</v>
      </c>
      <c r="H295">
        <f t="shared" si="28"/>
        <v>14.65</v>
      </c>
      <c r="I295">
        <f t="shared" si="29"/>
        <v>8.0000000000000002E-3</v>
      </c>
      <c r="J295">
        <f t="shared" si="30"/>
        <v>4.1293797131285108E-2</v>
      </c>
      <c r="K295">
        <f t="shared" si="31"/>
        <v>53.582164174271433</v>
      </c>
      <c r="L295">
        <f t="shared" si="32"/>
        <v>5.50583961750468E-4</v>
      </c>
      <c r="O295">
        <f t="shared" si="33"/>
        <v>40.186623130703573</v>
      </c>
      <c r="P295">
        <f t="shared" si="34"/>
        <v>1.0343589399330189E-4</v>
      </c>
    </row>
    <row r="296" spans="1:16" x14ac:dyDescent="0.25">
      <c r="A296">
        <v>14.7</v>
      </c>
      <c r="B296">
        <v>8.0000000000000002E-3</v>
      </c>
      <c r="C296">
        <v>5.5E-2</v>
      </c>
      <c r="H296">
        <f t="shared" si="28"/>
        <v>14.7</v>
      </c>
      <c r="I296">
        <f t="shared" si="29"/>
        <v>8.0000000000000002E-3</v>
      </c>
      <c r="J296">
        <f t="shared" si="30"/>
        <v>4.124701828190383E-2</v>
      </c>
      <c r="K296">
        <f t="shared" si="31"/>
        <v>53.582164174271433</v>
      </c>
      <c r="L296">
        <f t="shared" si="32"/>
        <v>5.4996024375871758E-4</v>
      </c>
      <c r="O296">
        <f t="shared" si="33"/>
        <v>40.186623130703573</v>
      </c>
      <c r="P296">
        <f t="shared" si="34"/>
        <v>1.0281217600155147E-4</v>
      </c>
    </row>
    <row r="297" spans="1:16" x14ac:dyDescent="0.25">
      <c r="A297">
        <v>14.75</v>
      </c>
      <c r="B297">
        <v>8.0000000000000002E-3</v>
      </c>
      <c r="C297">
        <v>5.5E-2</v>
      </c>
      <c r="H297">
        <f t="shared" si="28"/>
        <v>14.75</v>
      </c>
      <c r="I297">
        <f t="shared" si="29"/>
        <v>8.0000000000000002E-3</v>
      </c>
      <c r="J297">
        <f t="shared" si="30"/>
        <v>4.1200239432522545E-2</v>
      </c>
      <c r="K297">
        <f t="shared" si="31"/>
        <v>53.582164174271433</v>
      </c>
      <c r="L297">
        <f t="shared" si="32"/>
        <v>5.4933652576696717E-4</v>
      </c>
      <c r="O297">
        <f t="shared" si="33"/>
        <v>40.186623130703573</v>
      </c>
      <c r="P297">
        <f t="shared" si="34"/>
        <v>1.0218845800980106E-4</v>
      </c>
    </row>
    <row r="298" spans="1:16" x14ac:dyDescent="0.25">
      <c r="A298">
        <v>14.8</v>
      </c>
      <c r="B298">
        <v>8.0000000000000002E-3</v>
      </c>
      <c r="C298">
        <v>5.5E-2</v>
      </c>
      <c r="H298">
        <f t="shared" si="28"/>
        <v>14.8</v>
      </c>
      <c r="I298">
        <f t="shared" si="29"/>
        <v>8.0000000000000002E-3</v>
      </c>
      <c r="J298">
        <f t="shared" si="30"/>
        <v>4.1153460583141267E-2</v>
      </c>
      <c r="K298">
        <f t="shared" si="31"/>
        <v>53.582164174271433</v>
      </c>
      <c r="L298">
        <f t="shared" si="32"/>
        <v>5.4871280777521675E-4</v>
      </c>
      <c r="O298">
        <f t="shared" si="33"/>
        <v>40.186623130703573</v>
      </c>
      <c r="P298">
        <f t="shared" si="34"/>
        <v>1.0156474001805064E-4</v>
      </c>
    </row>
    <row r="299" spans="1:16" x14ac:dyDescent="0.25">
      <c r="A299">
        <v>14.85</v>
      </c>
      <c r="B299">
        <v>8.0000000000000002E-3</v>
      </c>
      <c r="C299">
        <v>5.6000000000000001E-2</v>
      </c>
      <c r="H299">
        <f t="shared" si="28"/>
        <v>14.85</v>
      </c>
      <c r="I299">
        <f t="shared" si="29"/>
        <v>8.0000000000000002E-3</v>
      </c>
      <c r="J299">
        <f t="shared" si="30"/>
        <v>4.210668173375999E-2</v>
      </c>
      <c r="K299">
        <f t="shared" si="31"/>
        <v>53.582164174271433</v>
      </c>
      <c r="L299">
        <f t="shared" si="32"/>
        <v>5.6142242311679974E-4</v>
      </c>
      <c r="O299">
        <f t="shared" si="33"/>
        <v>40.186623130703573</v>
      </c>
      <c r="P299">
        <f t="shared" si="34"/>
        <v>1.1427435535963363E-4</v>
      </c>
    </row>
    <row r="300" spans="1:16" x14ac:dyDescent="0.25">
      <c r="A300">
        <v>14.9</v>
      </c>
      <c r="B300">
        <v>8.0000000000000002E-3</v>
      </c>
      <c r="C300">
        <v>5.5E-2</v>
      </c>
      <c r="H300">
        <f t="shared" si="28"/>
        <v>14.9</v>
      </c>
      <c r="I300">
        <f t="shared" si="29"/>
        <v>8.0000000000000002E-3</v>
      </c>
      <c r="J300">
        <f t="shared" si="30"/>
        <v>4.1059902884378705E-2</v>
      </c>
      <c r="K300">
        <f t="shared" si="31"/>
        <v>53.582164174271433</v>
      </c>
      <c r="L300">
        <f t="shared" si="32"/>
        <v>5.4746537179171592E-4</v>
      </c>
      <c r="O300">
        <f t="shared" si="33"/>
        <v>40.186623130703573</v>
      </c>
      <c r="P300">
        <f t="shared" si="34"/>
        <v>1.0031730403454981E-4</v>
      </c>
    </row>
    <row r="301" spans="1:16" x14ac:dyDescent="0.25">
      <c r="A301">
        <v>14.95</v>
      </c>
      <c r="B301">
        <v>8.0000000000000002E-3</v>
      </c>
      <c r="C301">
        <v>5.6000000000000001E-2</v>
      </c>
      <c r="H301">
        <f t="shared" si="28"/>
        <v>14.95</v>
      </c>
      <c r="I301">
        <f t="shared" si="29"/>
        <v>8.0000000000000002E-3</v>
      </c>
      <c r="J301">
        <f t="shared" si="30"/>
        <v>4.2013124034997434E-2</v>
      </c>
      <c r="K301">
        <f t="shared" si="31"/>
        <v>53.582164174271433</v>
      </c>
      <c r="L301">
        <f t="shared" si="32"/>
        <v>5.6017498713329902E-4</v>
      </c>
      <c r="O301">
        <f t="shared" si="33"/>
        <v>40.186623130703573</v>
      </c>
      <c r="P301">
        <f t="shared" si="34"/>
        <v>1.1302691937613291E-4</v>
      </c>
    </row>
    <row r="302" spans="1:16" x14ac:dyDescent="0.25">
      <c r="A302">
        <v>15</v>
      </c>
      <c r="B302">
        <v>8.9999999999999993E-3</v>
      </c>
      <c r="C302">
        <v>5.6000000000000001E-2</v>
      </c>
      <c r="H302">
        <f t="shared" si="28"/>
        <v>15</v>
      </c>
      <c r="I302">
        <f t="shared" si="29"/>
        <v>8.9999999999999993E-3</v>
      </c>
      <c r="J302">
        <f t="shared" si="30"/>
        <v>4.196634518561615E-2</v>
      </c>
      <c r="K302">
        <f t="shared" si="31"/>
        <v>60.279934696055356</v>
      </c>
      <c r="L302">
        <f t="shared" si="32"/>
        <v>5.595512691415486E-4</v>
      </c>
      <c r="O302">
        <f t="shared" si="33"/>
        <v>46.884393652487496</v>
      </c>
      <c r="P302">
        <f t="shared" si="34"/>
        <v>1.1240320138438249E-4</v>
      </c>
    </row>
    <row r="303" spans="1:16" x14ac:dyDescent="0.25">
      <c r="A303">
        <v>15.05</v>
      </c>
      <c r="B303">
        <v>8.9999999999999993E-3</v>
      </c>
      <c r="C303">
        <v>5.6000000000000001E-2</v>
      </c>
      <c r="H303">
        <f t="shared" si="28"/>
        <v>15.05</v>
      </c>
      <c r="I303">
        <f t="shared" si="29"/>
        <v>8.9999999999999993E-3</v>
      </c>
      <c r="J303">
        <f t="shared" si="30"/>
        <v>4.1919566336234872E-2</v>
      </c>
      <c r="K303">
        <f t="shared" si="31"/>
        <v>60.279934696055356</v>
      </c>
      <c r="L303">
        <f t="shared" si="32"/>
        <v>5.5892755114979819E-4</v>
      </c>
      <c r="O303">
        <f t="shared" si="33"/>
        <v>46.884393652487496</v>
      </c>
      <c r="P303">
        <f t="shared" si="34"/>
        <v>1.1177948339263208E-4</v>
      </c>
    </row>
    <row r="304" spans="1:16" x14ac:dyDescent="0.25">
      <c r="A304">
        <v>15.1</v>
      </c>
      <c r="B304">
        <v>8.9999999999999993E-3</v>
      </c>
      <c r="C304">
        <v>5.7000000000000002E-2</v>
      </c>
      <c r="H304">
        <f t="shared" si="28"/>
        <v>15.1</v>
      </c>
      <c r="I304">
        <f t="shared" si="29"/>
        <v>8.9999999999999993E-3</v>
      </c>
      <c r="J304">
        <f t="shared" si="30"/>
        <v>4.2872787486853595E-2</v>
      </c>
      <c r="K304">
        <f t="shared" si="31"/>
        <v>60.279934696055356</v>
      </c>
      <c r="L304">
        <f t="shared" si="32"/>
        <v>5.7163716649138118E-4</v>
      </c>
      <c r="O304">
        <f t="shared" si="33"/>
        <v>46.884393652487496</v>
      </c>
      <c r="P304">
        <f t="shared" si="34"/>
        <v>1.2448909873421507E-4</v>
      </c>
    </row>
    <row r="305" spans="1:16" x14ac:dyDescent="0.25">
      <c r="A305">
        <v>15.15</v>
      </c>
      <c r="B305">
        <v>8.9999999999999993E-3</v>
      </c>
      <c r="C305">
        <v>5.7000000000000002E-2</v>
      </c>
      <c r="H305">
        <f t="shared" si="28"/>
        <v>15.15</v>
      </c>
      <c r="I305">
        <f t="shared" si="29"/>
        <v>8.9999999999999993E-3</v>
      </c>
      <c r="J305">
        <f t="shared" si="30"/>
        <v>4.282600863747231E-2</v>
      </c>
      <c r="K305">
        <f t="shared" si="31"/>
        <v>60.279934696055356</v>
      </c>
      <c r="L305">
        <f t="shared" si="32"/>
        <v>5.7101344849963065E-4</v>
      </c>
      <c r="O305">
        <f t="shared" si="33"/>
        <v>46.884393652487496</v>
      </c>
      <c r="P305">
        <f t="shared" si="34"/>
        <v>1.2386538074246454E-4</v>
      </c>
    </row>
    <row r="306" spans="1:16" x14ac:dyDescent="0.25">
      <c r="A306">
        <v>15.2</v>
      </c>
      <c r="B306">
        <v>0.01</v>
      </c>
      <c r="C306">
        <v>5.7000000000000002E-2</v>
      </c>
      <c r="H306">
        <f t="shared" si="28"/>
        <v>15.2</v>
      </c>
      <c r="I306">
        <f t="shared" si="29"/>
        <v>0.01</v>
      </c>
      <c r="J306">
        <f t="shared" si="30"/>
        <v>4.2779229788091032E-2</v>
      </c>
      <c r="K306">
        <f t="shared" si="31"/>
        <v>66.977705217839301</v>
      </c>
      <c r="L306">
        <f t="shared" si="32"/>
        <v>5.7038973050788035E-4</v>
      </c>
      <c r="O306">
        <f t="shared" si="33"/>
        <v>53.582164174271441</v>
      </c>
      <c r="P306">
        <f t="shared" si="34"/>
        <v>1.2324166275071423E-4</v>
      </c>
    </row>
    <row r="307" spans="1:16" x14ac:dyDescent="0.25">
      <c r="A307">
        <v>15.25</v>
      </c>
      <c r="B307">
        <v>0.01</v>
      </c>
      <c r="C307">
        <v>5.8000000000000003E-2</v>
      </c>
      <c r="H307">
        <f t="shared" si="28"/>
        <v>15.25</v>
      </c>
      <c r="I307">
        <f t="shared" si="29"/>
        <v>0.01</v>
      </c>
      <c r="J307">
        <f t="shared" si="30"/>
        <v>4.3732450938709755E-2</v>
      </c>
      <c r="K307">
        <f t="shared" si="31"/>
        <v>66.977705217839301</v>
      </c>
      <c r="L307">
        <f t="shared" si="32"/>
        <v>5.8309934584946333E-4</v>
      </c>
      <c r="O307">
        <f t="shared" si="33"/>
        <v>53.582164174271441</v>
      </c>
      <c r="P307">
        <f t="shared" si="34"/>
        <v>1.3595127809229722E-4</v>
      </c>
    </row>
    <row r="308" spans="1:16" x14ac:dyDescent="0.25">
      <c r="A308">
        <v>15.3</v>
      </c>
      <c r="B308">
        <v>0.01</v>
      </c>
      <c r="C308">
        <v>5.8000000000000003E-2</v>
      </c>
      <c r="H308">
        <f t="shared" si="28"/>
        <v>15.3</v>
      </c>
      <c r="I308">
        <f t="shared" si="29"/>
        <v>0.01</v>
      </c>
      <c r="J308">
        <f t="shared" si="30"/>
        <v>4.368567208932847E-2</v>
      </c>
      <c r="K308">
        <f t="shared" si="31"/>
        <v>66.977705217839301</v>
      </c>
      <c r="L308">
        <f t="shared" si="32"/>
        <v>5.8247562785771281E-4</v>
      </c>
      <c r="O308">
        <f t="shared" si="33"/>
        <v>53.582164174271441</v>
      </c>
      <c r="P308">
        <f t="shared" si="34"/>
        <v>1.353275601005467E-4</v>
      </c>
    </row>
    <row r="309" spans="1:16" x14ac:dyDescent="0.25">
      <c r="A309">
        <v>15.35</v>
      </c>
      <c r="B309">
        <v>0.01</v>
      </c>
      <c r="C309">
        <v>5.8000000000000003E-2</v>
      </c>
      <c r="H309">
        <f t="shared" si="28"/>
        <v>15.35</v>
      </c>
      <c r="I309">
        <f t="shared" si="29"/>
        <v>0.01</v>
      </c>
      <c r="J309">
        <f t="shared" si="30"/>
        <v>4.3638893239947199E-2</v>
      </c>
      <c r="K309">
        <f t="shared" si="31"/>
        <v>66.977705217839301</v>
      </c>
      <c r="L309">
        <f t="shared" si="32"/>
        <v>5.818519098659625E-4</v>
      </c>
      <c r="O309">
        <f t="shared" si="33"/>
        <v>53.582164174271441</v>
      </c>
      <c r="P309">
        <f t="shared" si="34"/>
        <v>1.3470384210879639E-4</v>
      </c>
    </row>
    <row r="310" spans="1:16" x14ac:dyDescent="0.25">
      <c r="A310">
        <v>15.4</v>
      </c>
      <c r="B310">
        <v>0.01</v>
      </c>
      <c r="C310">
        <v>5.8000000000000003E-2</v>
      </c>
      <c r="H310">
        <f t="shared" si="28"/>
        <v>15.4</v>
      </c>
      <c r="I310">
        <f t="shared" si="29"/>
        <v>0.01</v>
      </c>
      <c r="J310">
        <f t="shared" si="30"/>
        <v>4.3592114390565914E-2</v>
      </c>
      <c r="K310">
        <f t="shared" si="31"/>
        <v>66.977705217839301</v>
      </c>
      <c r="L310">
        <f t="shared" si="32"/>
        <v>5.8122819187421209E-4</v>
      </c>
      <c r="O310">
        <f t="shared" si="33"/>
        <v>53.582164174271441</v>
      </c>
      <c r="P310">
        <f t="shared" si="34"/>
        <v>1.3408012411704598E-4</v>
      </c>
    </row>
    <row r="311" spans="1:16" x14ac:dyDescent="0.25">
      <c r="A311">
        <v>15.45</v>
      </c>
      <c r="B311">
        <v>0.01</v>
      </c>
      <c r="C311">
        <v>5.8999999999999997E-2</v>
      </c>
      <c r="H311">
        <f t="shared" si="28"/>
        <v>15.45</v>
      </c>
      <c r="I311">
        <f t="shared" si="29"/>
        <v>0.01</v>
      </c>
      <c r="J311">
        <f t="shared" si="30"/>
        <v>4.454533554118463E-2</v>
      </c>
      <c r="K311">
        <f t="shared" si="31"/>
        <v>66.977705217839301</v>
      </c>
      <c r="L311">
        <f t="shared" si="32"/>
        <v>5.9393780721579497E-4</v>
      </c>
      <c r="O311">
        <f t="shared" si="33"/>
        <v>53.582164174271441</v>
      </c>
      <c r="P311">
        <f t="shared" si="34"/>
        <v>1.4678973945862886E-4</v>
      </c>
    </row>
    <row r="312" spans="1:16" x14ac:dyDescent="0.25">
      <c r="A312">
        <v>15.5</v>
      </c>
      <c r="B312">
        <v>0.01</v>
      </c>
      <c r="C312">
        <v>5.8000000000000003E-2</v>
      </c>
      <c r="H312">
        <f t="shared" si="28"/>
        <v>15.5</v>
      </c>
      <c r="I312">
        <f t="shared" si="29"/>
        <v>0.01</v>
      </c>
      <c r="J312">
        <f t="shared" si="30"/>
        <v>4.3498556691803358E-2</v>
      </c>
      <c r="K312">
        <f t="shared" si="31"/>
        <v>66.977705217839301</v>
      </c>
      <c r="L312">
        <f t="shared" si="32"/>
        <v>5.7998075589071137E-4</v>
      </c>
      <c r="O312">
        <f t="shared" si="33"/>
        <v>53.582164174271441</v>
      </c>
      <c r="P312">
        <f t="shared" si="34"/>
        <v>1.3283268813354525E-4</v>
      </c>
    </row>
    <row r="313" spans="1:16" x14ac:dyDescent="0.25">
      <c r="A313">
        <v>15.55</v>
      </c>
      <c r="B313">
        <v>0.01</v>
      </c>
      <c r="C313">
        <v>5.8000000000000003E-2</v>
      </c>
      <c r="H313">
        <f t="shared" si="28"/>
        <v>15.55</v>
      </c>
      <c r="I313">
        <f t="shared" si="29"/>
        <v>0.01</v>
      </c>
      <c r="J313">
        <f t="shared" si="30"/>
        <v>4.3451777842422074E-2</v>
      </c>
      <c r="K313">
        <f t="shared" si="31"/>
        <v>66.977705217839301</v>
      </c>
      <c r="L313">
        <f t="shared" si="32"/>
        <v>5.7935703789896084E-4</v>
      </c>
      <c r="O313">
        <f t="shared" si="33"/>
        <v>53.582164174271441</v>
      </c>
      <c r="P313">
        <f t="shared" si="34"/>
        <v>1.3220897014179473E-4</v>
      </c>
    </row>
    <row r="314" spans="1:16" x14ac:dyDescent="0.25">
      <c r="A314">
        <v>15.6</v>
      </c>
      <c r="B314">
        <v>0.01</v>
      </c>
      <c r="C314">
        <v>5.8000000000000003E-2</v>
      </c>
      <c r="H314">
        <f t="shared" si="28"/>
        <v>15.6</v>
      </c>
      <c r="I314">
        <f t="shared" si="29"/>
        <v>0.01</v>
      </c>
      <c r="J314">
        <f t="shared" si="30"/>
        <v>4.3404998993040803E-2</v>
      </c>
      <c r="K314">
        <f t="shared" si="31"/>
        <v>66.977705217839301</v>
      </c>
      <c r="L314">
        <f t="shared" si="32"/>
        <v>5.7873331990721053E-4</v>
      </c>
      <c r="O314">
        <f t="shared" si="33"/>
        <v>53.582164174271441</v>
      </c>
      <c r="P314">
        <f t="shared" si="34"/>
        <v>1.3158525215004442E-4</v>
      </c>
    </row>
    <row r="315" spans="1:16" x14ac:dyDescent="0.25">
      <c r="A315">
        <v>15.65</v>
      </c>
      <c r="B315">
        <v>0.01</v>
      </c>
      <c r="C315">
        <v>5.8999999999999997E-2</v>
      </c>
      <c r="H315">
        <f t="shared" si="28"/>
        <v>15.65</v>
      </c>
      <c r="I315">
        <f t="shared" si="29"/>
        <v>0.01</v>
      </c>
      <c r="J315">
        <f t="shared" si="30"/>
        <v>4.4358220143659512E-2</v>
      </c>
      <c r="K315">
        <f t="shared" si="31"/>
        <v>66.977705217839301</v>
      </c>
      <c r="L315">
        <f t="shared" si="32"/>
        <v>5.9144293524879342E-4</v>
      </c>
      <c r="O315">
        <f t="shared" si="33"/>
        <v>53.582164174271441</v>
      </c>
      <c r="P315">
        <f t="shared" si="34"/>
        <v>1.442948674916273E-4</v>
      </c>
    </row>
    <row r="316" spans="1:16" x14ac:dyDescent="0.25">
      <c r="A316">
        <v>15.7</v>
      </c>
      <c r="B316">
        <v>0.01</v>
      </c>
      <c r="C316">
        <v>5.8000000000000003E-2</v>
      </c>
      <c r="H316">
        <f t="shared" si="28"/>
        <v>15.7</v>
      </c>
      <c r="I316">
        <f t="shared" si="29"/>
        <v>0.01</v>
      </c>
      <c r="J316">
        <f t="shared" si="30"/>
        <v>4.331144129427824E-2</v>
      </c>
      <c r="K316">
        <f t="shared" si="31"/>
        <v>66.977705217839301</v>
      </c>
      <c r="L316">
        <f t="shared" si="32"/>
        <v>5.774858839237097E-4</v>
      </c>
      <c r="O316">
        <f t="shared" si="33"/>
        <v>53.582164174271441</v>
      </c>
      <c r="P316">
        <f t="shared" si="34"/>
        <v>1.3033781616654359E-4</v>
      </c>
    </row>
    <row r="317" spans="1:16" x14ac:dyDescent="0.25">
      <c r="A317">
        <v>15.75</v>
      </c>
      <c r="B317">
        <v>1.0999999999999999E-2</v>
      </c>
      <c r="C317">
        <v>5.8999999999999997E-2</v>
      </c>
      <c r="H317">
        <f t="shared" si="28"/>
        <v>15.75</v>
      </c>
      <c r="I317">
        <f t="shared" si="29"/>
        <v>1.0999999999999999E-2</v>
      </c>
      <c r="J317">
        <f t="shared" si="30"/>
        <v>4.4264662444896956E-2</v>
      </c>
      <c r="K317">
        <f t="shared" si="31"/>
        <v>73.675475739623224</v>
      </c>
      <c r="L317">
        <f t="shared" si="32"/>
        <v>5.9019549926529258E-4</v>
      </c>
      <c r="O317">
        <f t="shared" si="33"/>
        <v>60.279934696055363</v>
      </c>
      <c r="P317">
        <f t="shared" si="34"/>
        <v>1.4304743150812647E-4</v>
      </c>
    </row>
    <row r="318" spans="1:16" x14ac:dyDescent="0.25">
      <c r="A318">
        <v>15.8</v>
      </c>
      <c r="B318">
        <v>1.0999999999999999E-2</v>
      </c>
      <c r="C318">
        <v>5.8999999999999997E-2</v>
      </c>
      <c r="H318">
        <f t="shared" si="28"/>
        <v>15.8</v>
      </c>
      <c r="I318">
        <f t="shared" si="29"/>
        <v>1.0999999999999999E-2</v>
      </c>
      <c r="J318">
        <f t="shared" si="30"/>
        <v>4.4217883595515671E-2</v>
      </c>
      <c r="K318">
        <f t="shared" si="31"/>
        <v>73.675475739623224</v>
      </c>
      <c r="L318">
        <f t="shared" si="32"/>
        <v>5.8957178127354217E-4</v>
      </c>
      <c r="O318">
        <f t="shared" si="33"/>
        <v>60.279934696055363</v>
      </c>
      <c r="P318">
        <f t="shared" si="34"/>
        <v>1.4242371351637606E-4</v>
      </c>
    </row>
    <row r="319" spans="1:16" x14ac:dyDescent="0.25">
      <c r="A319">
        <v>15.85</v>
      </c>
      <c r="B319">
        <v>1.0999999999999999E-2</v>
      </c>
      <c r="C319">
        <v>5.8999999999999997E-2</v>
      </c>
      <c r="H319">
        <f t="shared" si="28"/>
        <v>15.85</v>
      </c>
      <c r="I319">
        <f t="shared" si="29"/>
        <v>1.0999999999999999E-2</v>
      </c>
      <c r="J319">
        <f t="shared" si="30"/>
        <v>4.4171104746134393E-2</v>
      </c>
      <c r="K319">
        <f t="shared" si="31"/>
        <v>73.675475739623224</v>
      </c>
      <c r="L319">
        <f t="shared" si="32"/>
        <v>5.8894806328179175E-4</v>
      </c>
      <c r="O319">
        <f t="shared" si="33"/>
        <v>60.279934696055363</v>
      </c>
      <c r="P319">
        <f t="shared" si="34"/>
        <v>1.4179999552462564E-4</v>
      </c>
    </row>
    <row r="320" spans="1:16" x14ac:dyDescent="0.25">
      <c r="A320">
        <v>15.9</v>
      </c>
      <c r="B320">
        <v>1.0999999999999999E-2</v>
      </c>
      <c r="C320">
        <v>0.06</v>
      </c>
      <c r="H320">
        <f t="shared" si="28"/>
        <v>15.9</v>
      </c>
      <c r="I320">
        <f t="shared" si="29"/>
        <v>1.0999999999999999E-2</v>
      </c>
      <c r="J320">
        <f t="shared" si="30"/>
        <v>4.5124325896753116E-2</v>
      </c>
      <c r="K320">
        <f t="shared" si="31"/>
        <v>73.675475739623224</v>
      </c>
      <c r="L320">
        <f t="shared" si="32"/>
        <v>6.0165767862337474E-4</v>
      </c>
      <c r="O320">
        <f t="shared" si="33"/>
        <v>60.279934696055363</v>
      </c>
      <c r="P320">
        <f t="shared" si="34"/>
        <v>1.5450961086620863E-4</v>
      </c>
    </row>
    <row r="321" spans="1:16" x14ac:dyDescent="0.25">
      <c r="A321">
        <v>15.95</v>
      </c>
      <c r="B321">
        <v>1.0999999999999999E-2</v>
      </c>
      <c r="C321">
        <v>0.06</v>
      </c>
      <c r="H321">
        <f t="shared" si="28"/>
        <v>15.95</v>
      </c>
      <c r="I321">
        <f t="shared" si="29"/>
        <v>1.0999999999999999E-2</v>
      </c>
      <c r="J321">
        <f t="shared" si="30"/>
        <v>4.5077547047371838E-2</v>
      </c>
      <c r="K321">
        <f t="shared" si="31"/>
        <v>73.675475739623224</v>
      </c>
      <c r="L321">
        <f t="shared" si="32"/>
        <v>6.0103396063162443E-4</v>
      </c>
      <c r="O321">
        <f t="shared" si="33"/>
        <v>60.279934696055363</v>
      </c>
      <c r="P321">
        <f t="shared" si="34"/>
        <v>1.5388589287445832E-4</v>
      </c>
    </row>
    <row r="322" spans="1:16" x14ac:dyDescent="0.25">
      <c r="A322">
        <v>16</v>
      </c>
      <c r="B322">
        <v>1.0999999999999999E-2</v>
      </c>
      <c r="C322">
        <v>0.06</v>
      </c>
      <c r="H322">
        <f t="shared" si="28"/>
        <v>16</v>
      </c>
      <c r="I322">
        <f t="shared" si="29"/>
        <v>1.0999999999999999E-2</v>
      </c>
      <c r="J322">
        <f t="shared" si="30"/>
        <v>4.5030768197990553E-2</v>
      </c>
      <c r="K322">
        <f t="shared" si="31"/>
        <v>73.675475739623224</v>
      </c>
      <c r="L322">
        <f t="shared" si="32"/>
        <v>6.0041024263987391E-4</v>
      </c>
      <c r="O322">
        <f t="shared" si="33"/>
        <v>60.279934696055363</v>
      </c>
      <c r="P322">
        <f t="shared" si="34"/>
        <v>1.532621748827078E-4</v>
      </c>
    </row>
    <row r="323" spans="1:16" x14ac:dyDescent="0.25">
      <c r="A323">
        <v>16.05</v>
      </c>
      <c r="B323">
        <v>1.2E-2</v>
      </c>
      <c r="C323">
        <v>6.0999999999999999E-2</v>
      </c>
      <c r="H323">
        <f t="shared" ref="H323:H386" si="35">A323</f>
        <v>16.05</v>
      </c>
      <c r="I323">
        <f t="shared" ref="I323:I386" si="36">B323</f>
        <v>1.2E-2</v>
      </c>
      <c r="J323">
        <f t="shared" ref="J323:J386" si="37">C323-E$12*A323</f>
        <v>4.5983989348609276E-2</v>
      </c>
      <c r="K323">
        <f t="shared" ref="K323:K386" si="38">F$24*I323</f>
        <v>80.373246261407147</v>
      </c>
      <c r="L323">
        <f t="shared" ref="L323:L386" si="39">F$25*J323</f>
        <v>6.131198579814569E-4</v>
      </c>
      <c r="O323">
        <f t="shared" ref="O323:O386" si="40">K323-N$12</f>
        <v>66.977705217839286</v>
      </c>
      <c r="P323">
        <f t="shared" ref="P323:P386" si="41">L323-N$15</f>
        <v>1.6597179022429079E-4</v>
      </c>
    </row>
    <row r="324" spans="1:16" x14ac:dyDescent="0.25">
      <c r="A324">
        <v>16.100000000000001</v>
      </c>
      <c r="B324">
        <v>1.2E-2</v>
      </c>
      <c r="C324">
        <v>6.0999999999999999E-2</v>
      </c>
      <c r="H324">
        <f t="shared" si="35"/>
        <v>16.100000000000001</v>
      </c>
      <c r="I324">
        <f t="shared" si="36"/>
        <v>1.2E-2</v>
      </c>
      <c r="J324">
        <f t="shared" si="37"/>
        <v>4.5937210499227998E-2</v>
      </c>
      <c r="K324">
        <f t="shared" si="38"/>
        <v>80.373246261407147</v>
      </c>
      <c r="L324">
        <f t="shared" si="39"/>
        <v>6.1249613998970648E-4</v>
      </c>
      <c r="O324">
        <f t="shared" si="40"/>
        <v>66.977705217839286</v>
      </c>
      <c r="P324">
        <f t="shared" si="41"/>
        <v>1.6534807223254037E-4</v>
      </c>
    </row>
    <row r="325" spans="1:16" x14ac:dyDescent="0.25">
      <c r="A325">
        <v>16.149999999999999</v>
      </c>
      <c r="B325">
        <v>1.2E-2</v>
      </c>
      <c r="C325">
        <v>6.2E-2</v>
      </c>
      <c r="H325">
        <f t="shared" si="35"/>
        <v>16.149999999999999</v>
      </c>
      <c r="I325">
        <f t="shared" si="36"/>
        <v>1.2E-2</v>
      </c>
      <c r="J325">
        <f t="shared" si="37"/>
        <v>4.6890431649846721E-2</v>
      </c>
      <c r="K325">
        <f t="shared" si="38"/>
        <v>80.373246261407147</v>
      </c>
      <c r="L325">
        <f t="shared" si="39"/>
        <v>6.2520575533128947E-4</v>
      </c>
      <c r="O325">
        <f t="shared" si="40"/>
        <v>66.977705217839286</v>
      </c>
      <c r="P325">
        <f t="shared" si="41"/>
        <v>1.7805768757412336E-4</v>
      </c>
    </row>
    <row r="326" spans="1:16" x14ac:dyDescent="0.25">
      <c r="A326">
        <v>16.2</v>
      </c>
      <c r="B326">
        <v>1.2999999999999999E-2</v>
      </c>
      <c r="C326">
        <v>6.0999999999999999E-2</v>
      </c>
      <c r="H326">
        <f t="shared" si="35"/>
        <v>16.2</v>
      </c>
      <c r="I326">
        <f t="shared" si="36"/>
        <v>1.2999999999999999E-2</v>
      </c>
      <c r="J326">
        <f t="shared" si="37"/>
        <v>4.5843652800465443E-2</v>
      </c>
      <c r="K326">
        <f t="shared" si="38"/>
        <v>87.071016783191084</v>
      </c>
      <c r="L326">
        <f t="shared" si="39"/>
        <v>6.1124870400620576E-4</v>
      </c>
      <c r="O326">
        <f t="shared" si="40"/>
        <v>73.675475739623224</v>
      </c>
      <c r="P326">
        <f t="shared" si="41"/>
        <v>1.6410063624903965E-4</v>
      </c>
    </row>
    <row r="327" spans="1:16" x14ac:dyDescent="0.25">
      <c r="A327">
        <v>16.25</v>
      </c>
      <c r="B327">
        <v>1.2999999999999999E-2</v>
      </c>
      <c r="C327">
        <v>6.2E-2</v>
      </c>
      <c r="H327">
        <f t="shared" si="35"/>
        <v>16.25</v>
      </c>
      <c r="I327">
        <f t="shared" si="36"/>
        <v>1.2999999999999999E-2</v>
      </c>
      <c r="J327">
        <f t="shared" si="37"/>
        <v>4.6796873951084159E-2</v>
      </c>
      <c r="K327">
        <f t="shared" si="38"/>
        <v>87.071016783191084</v>
      </c>
      <c r="L327">
        <f t="shared" si="39"/>
        <v>6.2395831934778864E-4</v>
      </c>
      <c r="O327">
        <f t="shared" si="40"/>
        <v>73.675475739623224</v>
      </c>
      <c r="P327">
        <f t="shared" si="41"/>
        <v>1.7681025159062253E-4</v>
      </c>
    </row>
    <row r="328" spans="1:16" x14ac:dyDescent="0.25">
      <c r="A328">
        <v>16.3</v>
      </c>
      <c r="B328">
        <v>1.2999999999999999E-2</v>
      </c>
      <c r="C328">
        <v>6.0999999999999999E-2</v>
      </c>
      <c r="H328">
        <f t="shared" si="35"/>
        <v>16.3</v>
      </c>
      <c r="I328">
        <f t="shared" si="36"/>
        <v>1.2999999999999999E-2</v>
      </c>
      <c r="J328">
        <f t="shared" si="37"/>
        <v>4.575009510170288E-2</v>
      </c>
      <c r="K328">
        <f t="shared" si="38"/>
        <v>87.071016783191084</v>
      </c>
      <c r="L328">
        <f t="shared" si="39"/>
        <v>6.1000126802270493E-4</v>
      </c>
      <c r="O328">
        <f t="shared" si="40"/>
        <v>73.675475739623224</v>
      </c>
      <c r="P328">
        <f t="shared" si="41"/>
        <v>1.6285320026553882E-4</v>
      </c>
    </row>
    <row r="329" spans="1:16" x14ac:dyDescent="0.25">
      <c r="A329">
        <v>16.350000000000001</v>
      </c>
      <c r="B329">
        <v>1.2999999999999999E-2</v>
      </c>
      <c r="C329">
        <v>6.2E-2</v>
      </c>
      <c r="H329">
        <f t="shared" si="35"/>
        <v>16.350000000000001</v>
      </c>
      <c r="I329">
        <f t="shared" si="36"/>
        <v>1.2999999999999999E-2</v>
      </c>
      <c r="J329">
        <f t="shared" si="37"/>
        <v>4.6703316252321603E-2</v>
      </c>
      <c r="K329">
        <f t="shared" si="38"/>
        <v>87.071016783191084</v>
      </c>
      <c r="L329">
        <f t="shared" si="39"/>
        <v>6.2271088336428792E-4</v>
      </c>
      <c r="O329">
        <f t="shared" si="40"/>
        <v>73.675475739623224</v>
      </c>
      <c r="P329">
        <f t="shared" si="41"/>
        <v>1.7556281560712181E-4</v>
      </c>
    </row>
    <row r="330" spans="1:16" x14ac:dyDescent="0.25">
      <c r="A330">
        <v>16.399999999999999</v>
      </c>
      <c r="B330">
        <v>1.2999999999999999E-2</v>
      </c>
      <c r="C330">
        <v>6.0999999999999999E-2</v>
      </c>
      <c r="H330">
        <f t="shared" si="35"/>
        <v>16.399999999999999</v>
      </c>
      <c r="I330">
        <f t="shared" si="36"/>
        <v>1.2999999999999999E-2</v>
      </c>
      <c r="J330">
        <f t="shared" si="37"/>
        <v>4.5656537402940324E-2</v>
      </c>
      <c r="K330">
        <f t="shared" si="38"/>
        <v>87.071016783191084</v>
      </c>
      <c r="L330">
        <f t="shared" si="39"/>
        <v>6.0875383203920421E-4</v>
      </c>
      <c r="O330">
        <f t="shared" si="40"/>
        <v>73.675475739623224</v>
      </c>
      <c r="P330">
        <f t="shared" si="41"/>
        <v>1.616057642820381E-4</v>
      </c>
    </row>
    <row r="331" spans="1:16" x14ac:dyDescent="0.25">
      <c r="A331">
        <v>16.45</v>
      </c>
      <c r="B331">
        <v>1.2E-2</v>
      </c>
      <c r="C331">
        <v>6.2E-2</v>
      </c>
      <c r="H331">
        <f t="shared" si="35"/>
        <v>16.45</v>
      </c>
      <c r="I331">
        <f t="shared" si="36"/>
        <v>1.2E-2</v>
      </c>
      <c r="J331">
        <f t="shared" si="37"/>
        <v>4.6609758553559047E-2</v>
      </c>
      <c r="K331">
        <f t="shared" si="38"/>
        <v>80.373246261407147</v>
      </c>
      <c r="L331">
        <f t="shared" si="39"/>
        <v>6.214634473807872E-4</v>
      </c>
      <c r="O331">
        <f t="shared" si="40"/>
        <v>66.977705217839286</v>
      </c>
      <c r="P331">
        <f t="shared" si="41"/>
        <v>1.7431537962362109E-4</v>
      </c>
    </row>
    <row r="332" spans="1:16" x14ac:dyDescent="0.25">
      <c r="A332">
        <v>16.5</v>
      </c>
      <c r="B332">
        <v>1.2999999999999999E-2</v>
      </c>
      <c r="C332">
        <v>6.2E-2</v>
      </c>
      <c r="H332">
        <f t="shared" si="35"/>
        <v>16.5</v>
      </c>
      <c r="I332">
        <f t="shared" si="36"/>
        <v>1.2999999999999999E-2</v>
      </c>
      <c r="J332">
        <f t="shared" si="37"/>
        <v>4.6562979704177762E-2</v>
      </c>
      <c r="K332">
        <f t="shared" si="38"/>
        <v>87.071016783191084</v>
      </c>
      <c r="L332">
        <f t="shared" si="39"/>
        <v>6.2083972938903667E-4</v>
      </c>
      <c r="O332">
        <f t="shared" si="40"/>
        <v>73.675475739623224</v>
      </c>
      <c r="P332">
        <f t="shared" si="41"/>
        <v>1.7369166163187056E-4</v>
      </c>
    </row>
    <row r="333" spans="1:16" x14ac:dyDescent="0.25">
      <c r="A333">
        <v>16.55</v>
      </c>
      <c r="B333">
        <v>1.2999999999999999E-2</v>
      </c>
      <c r="C333">
        <v>6.2E-2</v>
      </c>
      <c r="H333">
        <f t="shared" si="35"/>
        <v>16.55</v>
      </c>
      <c r="I333">
        <f t="shared" si="36"/>
        <v>1.2999999999999999E-2</v>
      </c>
      <c r="J333">
        <f t="shared" si="37"/>
        <v>4.6516200854796484E-2</v>
      </c>
      <c r="K333">
        <f t="shared" si="38"/>
        <v>87.071016783191084</v>
      </c>
      <c r="L333">
        <f t="shared" si="39"/>
        <v>6.2021601139728637E-4</v>
      </c>
      <c r="O333">
        <f t="shared" si="40"/>
        <v>73.675475739623224</v>
      </c>
      <c r="P333">
        <f t="shared" si="41"/>
        <v>1.7306794364012026E-4</v>
      </c>
    </row>
    <row r="334" spans="1:16" x14ac:dyDescent="0.25">
      <c r="A334">
        <v>16.600000000000001</v>
      </c>
      <c r="B334">
        <v>1.2E-2</v>
      </c>
      <c r="C334">
        <v>6.0999999999999999E-2</v>
      </c>
      <c r="H334">
        <f t="shared" si="35"/>
        <v>16.600000000000001</v>
      </c>
      <c r="I334">
        <f t="shared" si="36"/>
        <v>1.2E-2</v>
      </c>
      <c r="J334">
        <f t="shared" si="37"/>
        <v>4.5469422005415205E-2</v>
      </c>
      <c r="K334">
        <f t="shared" si="38"/>
        <v>80.373246261407147</v>
      </c>
      <c r="L334">
        <f t="shared" si="39"/>
        <v>6.0625896007220265E-4</v>
      </c>
      <c r="O334">
        <f t="shared" si="40"/>
        <v>66.977705217839286</v>
      </c>
      <c r="P334">
        <f t="shared" si="41"/>
        <v>1.5911089231503654E-4</v>
      </c>
    </row>
    <row r="335" spans="1:16" x14ac:dyDescent="0.25">
      <c r="A335">
        <v>16.649999999999999</v>
      </c>
      <c r="B335">
        <v>1.2999999999999999E-2</v>
      </c>
      <c r="C335">
        <v>6.2E-2</v>
      </c>
      <c r="H335">
        <f t="shared" si="35"/>
        <v>16.649999999999999</v>
      </c>
      <c r="I335">
        <f t="shared" si="36"/>
        <v>1.2999999999999999E-2</v>
      </c>
      <c r="J335">
        <f t="shared" si="37"/>
        <v>4.6422643156033928E-2</v>
      </c>
      <c r="K335">
        <f t="shared" si="38"/>
        <v>87.071016783191084</v>
      </c>
      <c r="L335">
        <f t="shared" si="39"/>
        <v>6.1896857541378564E-4</v>
      </c>
      <c r="O335">
        <f t="shared" si="40"/>
        <v>73.675475739623224</v>
      </c>
      <c r="P335">
        <f t="shared" si="41"/>
        <v>1.7182050765661953E-4</v>
      </c>
    </row>
    <row r="336" spans="1:16" x14ac:dyDescent="0.25">
      <c r="A336">
        <v>16.7</v>
      </c>
      <c r="B336">
        <v>1.2999999999999999E-2</v>
      </c>
      <c r="C336">
        <v>6.2E-2</v>
      </c>
      <c r="H336">
        <f t="shared" si="35"/>
        <v>16.7</v>
      </c>
      <c r="I336">
        <f t="shared" si="36"/>
        <v>1.2999999999999999E-2</v>
      </c>
      <c r="J336">
        <f t="shared" si="37"/>
        <v>4.637586430665265E-2</v>
      </c>
      <c r="K336">
        <f t="shared" si="38"/>
        <v>87.071016783191084</v>
      </c>
      <c r="L336">
        <f t="shared" si="39"/>
        <v>6.1834485742203523E-4</v>
      </c>
      <c r="O336">
        <f t="shared" si="40"/>
        <v>73.675475739623224</v>
      </c>
      <c r="P336">
        <f t="shared" si="41"/>
        <v>1.7119678966486912E-4</v>
      </c>
    </row>
    <row r="337" spans="1:16" x14ac:dyDescent="0.25">
      <c r="A337">
        <v>16.75</v>
      </c>
      <c r="B337">
        <v>1.2999999999999999E-2</v>
      </c>
      <c r="C337">
        <v>6.3E-2</v>
      </c>
      <c r="H337">
        <f t="shared" si="35"/>
        <v>16.75</v>
      </c>
      <c r="I337">
        <f t="shared" si="36"/>
        <v>1.2999999999999999E-2</v>
      </c>
      <c r="J337">
        <f t="shared" si="37"/>
        <v>4.7329085457271367E-2</v>
      </c>
      <c r="K337">
        <f t="shared" si="38"/>
        <v>87.071016783191084</v>
      </c>
      <c r="L337">
        <f t="shared" si="39"/>
        <v>6.3105447276361811E-4</v>
      </c>
      <c r="O337">
        <f t="shared" si="40"/>
        <v>73.675475739623224</v>
      </c>
      <c r="P337">
        <f t="shared" si="41"/>
        <v>1.83906405006452E-4</v>
      </c>
    </row>
    <row r="338" spans="1:16" x14ac:dyDescent="0.25">
      <c r="A338">
        <v>16.8</v>
      </c>
      <c r="B338">
        <v>1.2999999999999999E-2</v>
      </c>
      <c r="C338">
        <v>6.3E-2</v>
      </c>
      <c r="H338">
        <f t="shared" si="35"/>
        <v>16.8</v>
      </c>
      <c r="I338">
        <f t="shared" si="36"/>
        <v>1.2999999999999999E-2</v>
      </c>
      <c r="J338">
        <f t="shared" si="37"/>
        <v>4.7282306607890082E-2</v>
      </c>
      <c r="K338">
        <f t="shared" si="38"/>
        <v>87.071016783191084</v>
      </c>
      <c r="L338">
        <f t="shared" si="39"/>
        <v>6.3043075477186758E-4</v>
      </c>
      <c r="O338">
        <f t="shared" si="40"/>
        <v>73.675475739623224</v>
      </c>
      <c r="P338">
        <f t="shared" si="41"/>
        <v>1.8328268701470147E-4</v>
      </c>
    </row>
    <row r="339" spans="1:16" x14ac:dyDescent="0.25">
      <c r="A339">
        <v>16.850000000000001</v>
      </c>
      <c r="B339">
        <v>1.2999999999999999E-2</v>
      </c>
      <c r="C339">
        <v>6.3E-2</v>
      </c>
      <c r="H339">
        <f t="shared" si="35"/>
        <v>16.850000000000001</v>
      </c>
      <c r="I339">
        <f t="shared" si="36"/>
        <v>1.2999999999999999E-2</v>
      </c>
      <c r="J339">
        <f t="shared" si="37"/>
        <v>4.7235527758508811E-2</v>
      </c>
      <c r="K339">
        <f t="shared" si="38"/>
        <v>87.071016783191084</v>
      </c>
      <c r="L339">
        <f t="shared" si="39"/>
        <v>6.2980703678011739E-4</v>
      </c>
      <c r="O339">
        <f t="shared" si="40"/>
        <v>73.675475739623224</v>
      </c>
      <c r="P339">
        <f t="shared" si="41"/>
        <v>1.8265896902295128E-4</v>
      </c>
    </row>
    <row r="340" spans="1:16" x14ac:dyDescent="0.25">
      <c r="A340">
        <v>16.899999999999999</v>
      </c>
      <c r="B340">
        <v>1.2999999999999999E-2</v>
      </c>
      <c r="C340">
        <v>6.3E-2</v>
      </c>
      <c r="H340">
        <f t="shared" si="35"/>
        <v>16.899999999999999</v>
      </c>
      <c r="I340">
        <f t="shared" si="36"/>
        <v>1.2999999999999999E-2</v>
      </c>
      <c r="J340">
        <f t="shared" si="37"/>
        <v>4.7188748909127526E-2</v>
      </c>
      <c r="K340">
        <f t="shared" si="38"/>
        <v>87.071016783191084</v>
      </c>
      <c r="L340">
        <f t="shared" si="39"/>
        <v>6.2918331878836686E-4</v>
      </c>
      <c r="O340">
        <f t="shared" si="40"/>
        <v>73.675475739623224</v>
      </c>
      <c r="P340">
        <f t="shared" si="41"/>
        <v>1.8203525103120075E-4</v>
      </c>
    </row>
    <row r="341" spans="1:16" x14ac:dyDescent="0.25">
      <c r="A341">
        <v>16.95</v>
      </c>
      <c r="B341">
        <v>1.4E-2</v>
      </c>
      <c r="C341">
        <v>6.4000000000000001E-2</v>
      </c>
      <c r="H341">
        <f t="shared" si="35"/>
        <v>16.95</v>
      </c>
      <c r="I341">
        <f t="shared" si="36"/>
        <v>1.4E-2</v>
      </c>
      <c r="J341">
        <f t="shared" si="37"/>
        <v>4.8141970059746249E-2</v>
      </c>
      <c r="K341">
        <f t="shared" si="38"/>
        <v>93.768787304975007</v>
      </c>
      <c r="L341">
        <f t="shared" si="39"/>
        <v>6.4189293412994985E-4</v>
      </c>
      <c r="O341">
        <f t="shared" si="40"/>
        <v>80.373246261407147</v>
      </c>
      <c r="P341">
        <f t="shared" si="41"/>
        <v>1.9474486637278374E-4</v>
      </c>
    </row>
    <row r="342" spans="1:16" x14ac:dyDescent="0.25">
      <c r="A342">
        <v>17</v>
      </c>
      <c r="B342">
        <v>1.4E-2</v>
      </c>
      <c r="C342">
        <v>6.3E-2</v>
      </c>
      <c r="H342">
        <f t="shared" si="35"/>
        <v>17</v>
      </c>
      <c r="I342">
        <f t="shared" si="36"/>
        <v>1.4E-2</v>
      </c>
      <c r="J342">
        <f t="shared" si="37"/>
        <v>4.709519121036497E-2</v>
      </c>
      <c r="K342">
        <f t="shared" si="38"/>
        <v>93.768787304975007</v>
      </c>
      <c r="L342">
        <f t="shared" si="39"/>
        <v>6.2793588280486614E-4</v>
      </c>
      <c r="O342">
        <f t="shared" si="40"/>
        <v>80.373246261407147</v>
      </c>
      <c r="P342">
        <f t="shared" si="41"/>
        <v>1.8078781504770003E-4</v>
      </c>
    </row>
    <row r="343" spans="1:16" x14ac:dyDescent="0.25">
      <c r="A343">
        <v>17.05</v>
      </c>
      <c r="B343">
        <v>1.4E-2</v>
      </c>
      <c r="C343">
        <v>6.4000000000000001E-2</v>
      </c>
      <c r="H343">
        <f t="shared" si="35"/>
        <v>17.05</v>
      </c>
      <c r="I343">
        <f t="shared" si="36"/>
        <v>1.4E-2</v>
      </c>
      <c r="J343">
        <f t="shared" si="37"/>
        <v>4.8048412360983686E-2</v>
      </c>
      <c r="K343">
        <f t="shared" si="38"/>
        <v>93.768787304975007</v>
      </c>
      <c r="L343">
        <f t="shared" si="39"/>
        <v>6.4064549814644902E-4</v>
      </c>
      <c r="O343">
        <f t="shared" si="40"/>
        <v>80.373246261407147</v>
      </c>
      <c r="P343">
        <f t="shared" si="41"/>
        <v>1.9349743038928291E-4</v>
      </c>
    </row>
    <row r="344" spans="1:16" x14ac:dyDescent="0.25">
      <c r="A344">
        <v>17.100000000000001</v>
      </c>
      <c r="B344">
        <v>1.4E-2</v>
      </c>
      <c r="C344">
        <v>6.4000000000000001E-2</v>
      </c>
      <c r="H344">
        <f t="shared" si="35"/>
        <v>17.100000000000001</v>
      </c>
      <c r="I344">
        <f t="shared" si="36"/>
        <v>1.4E-2</v>
      </c>
      <c r="J344">
        <f t="shared" si="37"/>
        <v>4.8001633511602415E-2</v>
      </c>
      <c r="K344">
        <f t="shared" si="38"/>
        <v>93.768787304975007</v>
      </c>
      <c r="L344">
        <f t="shared" si="39"/>
        <v>6.4002178015469871E-4</v>
      </c>
      <c r="O344">
        <f t="shared" si="40"/>
        <v>80.373246261407147</v>
      </c>
      <c r="P344">
        <f t="shared" si="41"/>
        <v>1.928737123975326E-4</v>
      </c>
    </row>
    <row r="345" spans="1:16" x14ac:dyDescent="0.25">
      <c r="A345">
        <v>17.149999999999999</v>
      </c>
      <c r="B345">
        <v>1.4E-2</v>
      </c>
      <c r="C345">
        <v>6.4000000000000001E-2</v>
      </c>
      <c r="H345">
        <f t="shared" si="35"/>
        <v>17.149999999999999</v>
      </c>
      <c r="I345">
        <f t="shared" si="36"/>
        <v>1.4E-2</v>
      </c>
      <c r="J345">
        <f t="shared" si="37"/>
        <v>4.795485466222113E-2</v>
      </c>
      <c r="K345">
        <f t="shared" si="38"/>
        <v>93.768787304975007</v>
      </c>
      <c r="L345">
        <f t="shared" si="39"/>
        <v>6.393980621629483E-4</v>
      </c>
      <c r="O345">
        <f t="shared" si="40"/>
        <v>80.373246261407147</v>
      </c>
      <c r="P345">
        <f t="shared" si="41"/>
        <v>1.9224999440578219E-4</v>
      </c>
    </row>
    <row r="346" spans="1:16" x14ac:dyDescent="0.25">
      <c r="A346">
        <v>17.2</v>
      </c>
      <c r="B346">
        <v>1.4E-2</v>
      </c>
      <c r="C346">
        <v>6.4000000000000001E-2</v>
      </c>
      <c r="H346">
        <f t="shared" si="35"/>
        <v>17.2</v>
      </c>
      <c r="I346">
        <f t="shared" si="36"/>
        <v>1.4E-2</v>
      </c>
      <c r="J346">
        <f t="shared" si="37"/>
        <v>4.7908075812839852E-2</v>
      </c>
      <c r="K346">
        <f t="shared" si="38"/>
        <v>93.768787304975007</v>
      </c>
      <c r="L346">
        <f t="shared" si="39"/>
        <v>6.3877434417119788E-4</v>
      </c>
      <c r="O346">
        <f t="shared" si="40"/>
        <v>80.373246261407147</v>
      </c>
      <c r="P346">
        <f t="shared" si="41"/>
        <v>1.9162627641403177E-4</v>
      </c>
    </row>
    <row r="347" spans="1:16" x14ac:dyDescent="0.25">
      <c r="A347">
        <v>17.25</v>
      </c>
      <c r="B347">
        <v>1.4E-2</v>
      </c>
      <c r="C347">
        <v>6.5000000000000002E-2</v>
      </c>
      <c r="H347">
        <f t="shared" si="35"/>
        <v>17.25</v>
      </c>
      <c r="I347">
        <f t="shared" si="36"/>
        <v>1.4E-2</v>
      </c>
      <c r="J347">
        <f t="shared" si="37"/>
        <v>4.8861296963458575E-2</v>
      </c>
      <c r="K347">
        <f t="shared" si="38"/>
        <v>93.768787304975007</v>
      </c>
      <c r="L347">
        <f t="shared" si="39"/>
        <v>6.5148395951278087E-4</v>
      </c>
      <c r="O347">
        <f t="shared" si="40"/>
        <v>80.373246261407147</v>
      </c>
      <c r="P347">
        <f t="shared" si="41"/>
        <v>2.0433589175561476E-4</v>
      </c>
    </row>
    <row r="348" spans="1:16" x14ac:dyDescent="0.25">
      <c r="A348">
        <v>17.3</v>
      </c>
      <c r="B348">
        <v>1.4E-2</v>
      </c>
      <c r="C348">
        <v>6.4000000000000001E-2</v>
      </c>
      <c r="H348">
        <f t="shared" si="35"/>
        <v>17.3</v>
      </c>
      <c r="I348">
        <f t="shared" si="36"/>
        <v>1.4E-2</v>
      </c>
      <c r="J348">
        <f t="shared" si="37"/>
        <v>4.781451811407729E-2</v>
      </c>
      <c r="K348">
        <f t="shared" si="38"/>
        <v>93.768787304975007</v>
      </c>
      <c r="L348">
        <f t="shared" si="39"/>
        <v>6.3752690818769705E-4</v>
      </c>
      <c r="O348">
        <f t="shared" si="40"/>
        <v>80.373246261407147</v>
      </c>
      <c r="P348">
        <f t="shared" si="41"/>
        <v>1.9037884043053094E-4</v>
      </c>
    </row>
    <row r="349" spans="1:16" x14ac:dyDescent="0.25">
      <c r="A349">
        <v>17.350000000000001</v>
      </c>
      <c r="B349">
        <v>1.4E-2</v>
      </c>
      <c r="C349">
        <v>6.4000000000000001E-2</v>
      </c>
      <c r="H349">
        <f t="shared" si="35"/>
        <v>17.350000000000001</v>
      </c>
      <c r="I349">
        <f t="shared" si="36"/>
        <v>1.4E-2</v>
      </c>
      <c r="J349">
        <f t="shared" si="37"/>
        <v>4.7767739264696012E-2</v>
      </c>
      <c r="K349">
        <f t="shared" si="38"/>
        <v>93.768787304975007</v>
      </c>
      <c r="L349">
        <f t="shared" si="39"/>
        <v>6.3690319019594674E-4</v>
      </c>
      <c r="O349">
        <f t="shared" si="40"/>
        <v>80.373246261407147</v>
      </c>
      <c r="P349">
        <f t="shared" si="41"/>
        <v>1.8975512243878063E-4</v>
      </c>
    </row>
    <row r="350" spans="1:16" x14ac:dyDescent="0.25">
      <c r="A350">
        <v>17.399999999999999</v>
      </c>
      <c r="B350">
        <v>1.4E-2</v>
      </c>
      <c r="C350">
        <v>6.4000000000000001E-2</v>
      </c>
      <c r="H350">
        <f t="shared" si="35"/>
        <v>17.399999999999999</v>
      </c>
      <c r="I350">
        <f t="shared" si="36"/>
        <v>1.4E-2</v>
      </c>
      <c r="J350">
        <f t="shared" si="37"/>
        <v>4.7720960415314734E-2</v>
      </c>
      <c r="K350">
        <f t="shared" si="38"/>
        <v>93.768787304975007</v>
      </c>
      <c r="L350">
        <f t="shared" si="39"/>
        <v>6.3627947220419633E-4</v>
      </c>
      <c r="O350">
        <f t="shared" si="40"/>
        <v>80.373246261407147</v>
      </c>
      <c r="P350">
        <f t="shared" si="41"/>
        <v>1.8913140444703022E-4</v>
      </c>
    </row>
    <row r="351" spans="1:16" x14ac:dyDescent="0.25">
      <c r="A351">
        <v>17.45</v>
      </c>
      <c r="B351">
        <v>1.4E-2</v>
      </c>
      <c r="C351">
        <v>6.5000000000000002E-2</v>
      </c>
      <c r="H351">
        <f t="shared" si="35"/>
        <v>17.45</v>
      </c>
      <c r="I351">
        <f t="shared" si="36"/>
        <v>1.4E-2</v>
      </c>
      <c r="J351">
        <f t="shared" si="37"/>
        <v>4.8674181565933457E-2</v>
      </c>
      <c r="K351">
        <f t="shared" si="38"/>
        <v>93.768787304975007</v>
      </c>
      <c r="L351">
        <f t="shared" si="39"/>
        <v>6.4898908754577932E-4</v>
      </c>
      <c r="O351">
        <f t="shared" si="40"/>
        <v>80.373246261407147</v>
      </c>
      <c r="P351">
        <f t="shared" si="41"/>
        <v>2.0184101978861321E-4</v>
      </c>
    </row>
    <row r="352" spans="1:16" x14ac:dyDescent="0.25">
      <c r="A352">
        <v>17.5</v>
      </c>
      <c r="B352">
        <v>1.4E-2</v>
      </c>
      <c r="C352">
        <v>6.4000000000000001E-2</v>
      </c>
      <c r="H352">
        <f t="shared" si="35"/>
        <v>17.5</v>
      </c>
      <c r="I352">
        <f t="shared" si="36"/>
        <v>1.4E-2</v>
      </c>
      <c r="J352">
        <f t="shared" si="37"/>
        <v>4.7627402716552178E-2</v>
      </c>
      <c r="K352">
        <f t="shared" si="38"/>
        <v>93.768787304975007</v>
      </c>
      <c r="L352">
        <f t="shared" si="39"/>
        <v>6.3503203622069561E-4</v>
      </c>
      <c r="O352">
        <f t="shared" si="40"/>
        <v>80.373246261407147</v>
      </c>
      <c r="P352">
        <f t="shared" si="41"/>
        <v>1.8788396846352949E-4</v>
      </c>
    </row>
    <row r="353" spans="1:16" x14ac:dyDescent="0.25">
      <c r="A353">
        <v>17.55</v>
      </c>
      <c r="B353">
        <v>1.4E-2</v>
      </c>
      <c r="C353">
        <v>6.5000000000000002E-2</v>
      </c>
      <c r="H353">
        <f t="shared" si="35"/>
        <v>17.55</v>
      </c>
      <c r="I353">
        <f t="shared" si="36"/>
        <v>1.4E-2</v>
      </c>
      <c r="J353">
        <f t="shared" si="37"/>
        <v>4.8580623867170894E-2</v>
      </c>
      <c r="K353">
        <f t="shared" si="38"/>
        <v>93.768787304975007</v>
      </c>
      <c r="L353">
        <f t="shared" si="39"/>
        <v>6.4774165156227849E-4</v>
      </c>
      <c r="O353">
        <f t="shared" si="40"/>
        <v>80.373246261407147</v>
      </c>
      <c r="P353">
        <f t="shared" si="41"/>
        <v>2.0059358380511238E-4</v>
      </c>
    </row>
    <row r="354" spans="1:16" x14ac:dyDescent="0.25">
      <c r="A354">
        <v>17.600000000000001</v>
      </c>
      <c r="B354">
        <v>1.4999999999999999E-2</v>
      </c>
      <c r="C354">
        <v>6.5000000000000002E-2</v>
      </c>
      <c r="H354">
        <f t="shared" si="35"/>
        <v>17.600000000000001</v>
      </c>
      <c r="I354">
        <f t="shared" si="36"/>
        <v>1.4999999999999999E-2</v>
      </c>
      <c r="J354">
        <f t="shared" si="37"/>
        <v>4.8533845017789616E-2</v>
      </c>
      <c r="K354">
        <f t="shared" si="38"/>
        <v>100.46655782675893</v>
      </c>
      <c r="L354">
        <f t="shared" si="39"/>
        <v>6.4711793357052807E-4</v>
      </c>
      <c r="O354">
        <f t="shared" si="40"/>
        <v>87.07101678319107</v>
      </c>
      <c r="P354">
        <f t="shared" si="41"/>
        <v>1.9996986581336196E-4</v>
      </c>
    </row>
    <row r="355" spans="1:16" x14ac:dyDescent="0.25">
      <c r="A355">
        <v>17.649999999999999</v>
      </c>
      <c r="B355">
        <v>1.4E-2</v>
      </c>
      <c r="C355">
        <v>6.5000000000000002E-2</v>
      </c>
      <c r="H355">
        <f t="shared" si="35"/>
        <v>17.649999999999999</v>
      </c>
      <c r="I355">
        <f t="shared" si="36"/>
        <v>1.4E-2</v>
      </c>
      <c r="J355">
        <f t="shared" si="37"/>
        <v>4.8487066168408338E-2</v>
      </c>
      <c r="K355">
        <f t="shared" si="38"/>
        <v>93.768787304975007</v>
      </c>
      <c r="L355">
        <f t="shared" si="39"/>
        <v>6.4649421557877776E-4</v>
      </c>
      <c r="O355">
        <f t="shared" si="40"/>
        <v>80.373246261407147</v>
      </c>
      <c r="P355">
        <f t="shared" si="41"/>
        <v>1.9934614782161165E-4</v>
      </c>
    </row>
    <row r="356" spans="1:16" x14ac:dyDescent="0.25">
      <c r="A356">
        <v>17.7</v>
      </c>
      <c r="B356">
        <v>1.4999999999999999E-2</v>
      </c>
      <c r="C356">
        <v>6.5000000000000002E-2</v>
      </c>
      <c r="H356">
        <f t="shared" si="35"/>
        <v>17.7</v>
      </c>
      <c r="I356">
        <f t="shared" si="36"/>
        <v>1.4999999999999999E-2</v>
      </c>
      <c r="J356">
        <f t="shared" si="37"/>
        <v>4.844028731902706E-2</v>
      </c>
      <c r="K356">
        <f t="shared" si="38"/>
        <v>100.46655782675893</v>
      </c>
      <c r="L356">
        <f t="shared" si="39"/>
        <v>6.4587049758702735E-4</v>
      </c>
      <c r="O356">
        <f t="shared" si="40"/>
        <v>87.07101678319107</v>
      </c>
      <c r="P356">
        <f t="shared" si="41"/>
        <v>1.9872242982986124E-4</v>
      </c>
    </row>
    <row r="357" spans="1:16" x14ac:dyDescent="0.25">
      <c r="A357">
        <v>17.75</v>
      </c>
      <c r="B357">
        <v>1.4999999999999999E-2</v>
      </c>
      <c r="C357">
        <v>6.6000000000000003E-2</v>
      </c>
      <c r="H357">
        <f t="shared" si="35"/>
        <v>17.75</v>
      </c>
      <c r="I357">
        <f t="shared" si="36"/>
        <v>1.4999999999999999E-2</v>
      </c>
      <c r="J357">
        <f t="shared" si="37"/>
        <v>4.9393508469645783E-2</v>
      </c>
      <c r="K357">
        <f t="shared" si="38"/>
        <v>100.46655782675893</v>
      </c>
      <c r="L357">
        <f t="shared" si="39"/>
        <v>6.5858011292861034E-4</v>
      </c>
      <c r="O357">
        <f t="shared" si="40"/>
        <v>87.07101678319107</v>
      </c>
      <c r="P357">
        <f t="shared" si="41"/>
        <v>2.1143204517144423E-4</v>
      </c>
    </row>
    <row r="358" spans="1:16" x14ac:dyDescent="0.25">
      <c r="A358">
        <v>17.8</v>
      </c>
      <c r="B358">
        <v>1.4999999999999999E-2</v>
      </c>
      <c r="C358">
        <v>6.6000000000000003E-2</v>
      </c>
      <c r="H358">
        <f t="shared" si="35"/>
        <v>17.8</v>
      </c>
      <c r="I358">
        <f t="shared" si="36"/>
        <v>1.4999999999999999E-2</v>
      </c>
      <c r="J358">
        <f t="shared" si="37"/>
        <v>4.9346729620264498E-2</v>
      </c>
      <c r="K358">
        <f t="shared" si="38"/>
        <v>100.46655782675893</v>
      </c>
      <c r="L358">
        <f t="shared" si="39"/>
        <v>6.5795639493685981E-4</v>
      </c>
      <c r="O358">
        <f t="shared" si="40"/>
        <v>87.07101678319107</v>
      </c>
      <c r="P358">
        <f t="shared" si="41"/>
        <v>2.108083271796937E-4</v>
      </c>
    </row>
    <row r="359" spans="1:16" x14ac:dyDescent="0.25">
      <c r="A359">
        <v>17.850000000000001</v>
      </c>
      <c r="B359">
        <v>1.4999999999999999E-2</v>
      </c>
      <c r="C359">
        <v>6.6000000000000003E-2</v>
      </c>
      <c r="H359">
        <f t="shared" si="35"/>
        <v>17.850000000000001</v>
      </c>
      <c r="I359">
        <f t="shared" si="36"/>
        <v>1.4999999999999999E-2</v>
      </c>
      <c r="J359">
        <f t="shared" si="37"/>
        <v>4.929995077088322E-2</v>
      </c>
      <c r="K359">
        <f t="shared" si="38"/>
        <v>100.46655782675893</v>
      </c>
      <c r="L359">
        <f t="shared" si="39"/>
        <v>6.5733267694510951E-4</v>
      </c>
      <c r="O359">
        <f t="shared" si="40"/>
        <v>87.07101678319107</v>
      </c>
      <c r="P359">
        <f t="shared" si="41"/>
        <v>2.101846091879434E-4</v>
      </c>
    </row>
    <row r="360" spans="1:16" x14ac:dyDescent="0.25">
      <c r="A360">
        <v>17.899999999999999</v>
      </c>
      <c r="B360">
        <v>1.6E-2</v>
      </c>
      <c r="C360">
        <v>6.6000000000000003E-2</v>
      </c>
      <c r="H360">
        <f t="shared" si="35"/>
        <v>17.899999999999999</v>
      </c>
      <c r="I360">
        <f t="shared" si="36"/>
        <v>1.6E-2</v>
      </c>
      <c r="J360">
        <f t="shared" si="37"/>
        <v>4.9253171921501943E-2</v>
      </c>
      <c r="K360">
        <f t="shared" si="38"/>
        <v>107.16432834854287</v>
      </c>
      <c r="L360">
        <f t="shared" si="39"/>
        <v>6.5670895895335909E-4</v>
      </c>
      <c r="O360">
        <f t="shared" si="40"/>
        <v>93.768787304975007</v>
      </c>
      <c r="P360">
        <f t="shared" si="41"/>
        <v>2.0956089119619298E-4</v>
      </c>
    </row>
    <row r="361" spans="1:16" x14ac:dyDescent="0.25">
      <c r="A361">
        <v>17.95</v>
      </c>
      <c r="B361">
        <v>1.6E-2</v>
      </c>
      <c r="C361">
        <v>6.7000000000000004E-2</v>
      </c>
      <c r="H361">
        <f t="shared" si="35"/>
        <v>17.95</v>
      </c>
      <c r="I361">
        <f t="shared" si="36"/>
        <v>1.6E-2</v>
      </c>
      <c r="J361">
        <f t="shared" si="37"/>
        <v>5.0206393072120659E-2</v>
      </c>
      <c r="K361">
        <f t="shared" si="38"/>
        <v>107.16432834854287</v>
      </c>
      <c r="L361">
        <f t="shared" si="39"/>
        <v>6.6941857429494197E-4</v>
      </c>
      <c r="O361">
        <f t="shared" si="40"/>
        <v>93.768787304975007</v>
      </c>
      <c r="P361">
        <f t="shared" si="41"/>
        <v>2.2227050653777586E-4</v>
      </c>
    </row>
    <row r="362" spans="1:16" x14ac:dyDescent="0.25">
      <c r="A362">
        <v>18</v>
      </c>
      <c r="B362">
        <v>1.6E-2</v>
      </c>
      <c r="C362">
        <v>6.7000000000000004E-2</v>
      </c>
      <c r="H362">
        <f t="shared" si="35"/>
        <v>18</v>
      </c>
      <c r="I362">
        <f t="shared" si="36"/>
        <v>1.6E-2</v>
      </c>
      <c r="J362">
        <f t="shared" si="37"/>
        <v>5.0159614222739388E-2</v>
      </c>
      <c r="K362">
        <f t="shared" si="38"/>
        <v>107.16432834854287</v>
      </c>
      <c r="L362">
        <f t="shared" si="39"/>
        <v>6.6879485630319166E-4</v>
      </c>
      <c r="O362">
        <f t="shared" si="40"/>
        <v>93.768787304975007</v>
      </c>
      <c r="P362">
        <f t="shared" si="41"/>
        <v>2.2164678854602555E-4</v>
      </c>
    </row>
    <row r="363" spans="1:16" x14ac:dyDescent="0.25">
      <c r="A363">
        <v>18.05</v>
      </c>
      <c r="B363">
        <v>1.6E-2</v>
      </c>
      <c r="C363">
        <v>6.7000000000000004E-2</v>
      </c>
      <c r="H363">
        <f t="shared" si="35"/>
        <v>18.05</v>
      </c>
      <c r="I363">
        <f t="shared" si="36"/>
        <v>1.6E-2</v>
      </c>
      <c r="J363">
        <f t="shared" si="37"/>
        <v>5.0112835373358103E-2</v>
      </c>
      <c r="K363">
        <f t="shared" si="38"/>
        <v>107.16432834854287</v>
      </c>
      <c r="L363">
        <f t="shared" si="39"/>
        <v>6.6817113831144125E-4</v>
      </c>
      <c r="O363">
        <f t="shared" si="40"/>
        <v>93.768787304975007</v>
      </c>
      <c r="P363">
        <f t="shared" si="41"/>
        <v>2.2102307055427514E-4</v>
      </c>
    </row>
    <row r="364" spans="1:16" x14ac:dyDescent="0.25">
      <c r="A364">
        <v>18.100000000000001</v>
      </c>
      <c r="B364">
        <v>1.6E-2</v>
      </c>
      <c r="C364">
        <v>6.7000000000000004E-2</v>
      </c>
      <c r="H364">
        <f t="shared" si="35"/>
        <v>18.100000000000001</v>
      </c>
      <c r="I364">
        <f t="shared" si="36"/>
        <v>1.6E-2</v>
      </c>
      <c r="J364">
        <f t="shared" si="37"/>
        <v>5.0066056523976818E-2</v>
      </c>
      <c r="K364">
        <f t="shared" si="38"/>
        <v>107.16432834854287</v>
      </c>
      <c r="L364">
        <f t="shared" si="39"/>
        <v>6.6754742031969073E-4</v>
      </c>
      <c r="O364">
        <f t="shared" si="40"/>
        <v>93.768787304975007</v>
      </c>
      <c r="P364">
        <f t="shared" si="41"/>
        <v>2.2039935256252461E-4</v>
      </c>
    </row>
    <row r="365" spans="1:16" x14ac:dyDescent="0.25">
      <c r="A365">
        <v>18.149999999999999</v>
      </c>
      <c r="B365">
        <v>1.6E-2</v>
      </c>
      <c r="C365">
        <v>6.8000000000000005E-2</v>
      </c>
      <c r="H365">
        <f t="shared" si="35"/>
        <v>18.149999999999999</v>
      </c>
      <c r="I365">
        <f t="shared" si="36"/>
        <v>1.6E-2</v>
      </c>
      <c r="J365">
        <f t="shared" si="37"/>
        <v>5.1019277674595548E-2</v>
      </c>
      <c r="K365">
        <f t="shared" si="38"/>
        <v>107.16432834854287</v>
      </c>
      <c r="L365">
        <f t="shared" si="39"/>
        <v>6.8025703566127382E-4</v>
      </c>
      <c r="O365">
        <f t="shared" si="40"/>
        <v>93.768787304975007</v>
      </c>
      <c r="P365">
        <f t="shared" si="41"/>
        <v>2.3310896790410771E-4</v>
      </c>
    </row>
    <row r="366" spans="1:16" x14ac:dyDescent="0.25">
      <c r="A366">
        <v>18.2</v>
      </c>
      <c r="B366">
        <v>1.6E-2</v>
      </c>
      <c r="C366">
        <v>6.7000000000000004E-2</v>
      </c>
      <c r="H366">
        <f t="shared" si="35"/>
        <v>18.2</v>
      </c>
      <c r="I366">
        <f t="shared" si="36"/>
        <v>1.6E-2</v>
      </c>
      <c r="J366">
        <f t="shared" si="37"/>
        <v>4.9972498825214262E-2</v>
      </c>
      <c r="K366">
        <f t="shared" si="38"/>
        <v>107.16432834854287</v>
      </c>
      <c r="L366">
        <f t="shared" si="39"/>
        <v>6.6629998433619E-4</v>
      </c>
      <c r="O366">
        <f t="shared" si="40"/>
        <v>93.768787304975007</v>
      </c>
      <c r="P366">
        <f t="shared" si="41"/>
        <v>2.1915191657902389E-4</v>
      </c>
    </row>
    <row r="367" spans="1:16" x14ac:dyDescent="0.25">
      <c r="A367">
        <v>18.25</v>
      </c>
      <c r="B367">
        <v>1.6E-2</v>
      </c>
      <c r="C367">
        <v>6.8000000000000005E-2</v>
      </c>
      <c r="H367">
        <f t="shared" si="35"/>
        <v>18.25</v>
      </c>
      <c r="I367">
        <f t="shared" si="36"/>
        <v>1.6E-2</v>
      </c>
      <c r="J367">
        <f t="shared" si="37"/>
        <v>5.0925719975832985E-2</v>
      </c>
      <c r="K367">
        <f t="shared" si="38"/>
        <v>107.16432834854287</v>
      </c>
      <c r="L367">
        <f t="shared" si="39"/>
        <v>6.7900959967777299E-4</v>
      </c>
      <c r="O367">
        <f t="shared" si="40"/>
        <v>93.768787304975007</v>
      </c>
      <c r="P367">
        <f t="shared" si="41"/>
        <v>2.3186153192060688E-4</v>
      </c>
    </row>
    <row r="368" spans="1:16" x14ac:dyDescent="0.25">
      <c r="A368">
        <v>18.3</v>
      </c>
      <c r="B368">
        <v>1.6E-2</v>
      </c>
      <c r="C368">
        <v>6.7000000000000004E-2</v>
      </c>
      <c r="H368">
        <f t="shared" si="35"/>
        <v>18.3</v>
      </c>
      <c r="I368">
        <f t="shared" si="36"/>
        <v>1.6E-2</v>
      </c>
      <c r="J368">
        <f t="shared" si="37"/>
        <v>4.9878941126451706E-2</v>
      </c>
      <c r="K368">
        <f t="shared" si="38"/>
        <v>107.16432834854287</v>
      </c>
      <c r="L368">
        <f t="shared" si="39"/>
        <v>6.6505254835268928E-4</v>
      </c>
      <c r="O368">
        <f t="shared" si="40"/>
        <v>93.768787304975007</v>
      </c>
      <c r="P368">
        <f t="shared" si="41"/>
        <v>2.1790448059552317E-4</v>
      </c>
    </row>
    <row r="369" spans="1:16" x14ac:dyDescent="0.25">
      <c r="A369">
        <v>18.350000000000001</v>
      </c>
      <c r="B369">
        <v>1.6E-2</v>
      </c>
      <c r="C369">
        <v>6.8000000000000005E-2</v>
      </c>
      <c r="H369">
        <f t="shared" si="35"/>
        <v>18.350000000000001</v>
      </c>
      <c r="I369">
        <f t="shared" si="36"/>
        <v>1.6E-2</v>
      </c>
      <c r="J369">
        <f t="shared" si="37"/>
        <v>5.0832162277070422E-2</v>
      </c>
      <c r="K369">
        <f t="shared" si="38"/>
        <v>107.16432834854287</v>
      </c>
      <c r="L369">
        <f t="shared" si="39"/>
        <v>6.7776216369427216E-4</v>
      </c>
      <c r="O369">
        <f t="shared" si="40"/>
        <v>93.768787304975007</v>
      </c>
      <c r="P369">
        <f t="shared" si="41"/>
        <v>2.3061409593710605E-4</v>
      </c>
    </row>
    <row r="370" spans="1:16" x14ac:dyDescent="0.25">
      <c r="A370">
        <v>18.399999999999999</v>
      </c>
      <c r="B370">
        <v>1.6E-2</v>
      </c>
      <c r="C370">
        <v>6.7000000000000004E-2</v>
      </c>
      <c r="H370">
        <f t="shared" si="35"/>
        <v>18.399999999999999</v>
      </c>
      <c r="I370">
        <f t="shared" si="36"/>
        <v>1.6E-2</v>
      </c>
      <c r="J370">
        <f t="shared" si="37"/>
        <v>4.978538342768915E-2</v>
      </c>
      <c r="K370">
        <f t="shared" si="38"/>
        <v>107.16432834854287</v>
      </c>
      <c r="L370">
        <f t="shared" si="39"/>
        <v>6.6380511236918856E-4</v>
      </c>
      <c r="O370">
        <f t="shared" si="40"/>
        <v>93.768787304975007</v>
      </c>
      <c r="P370">
        <f t="shared" si="41"/>
        <v>2.1665704461202245E-4</v>
      </c>
    </row>
    <row r="371" spans="1:16" x14ac:dyDescent="0.25">
      <c r="A371">
        <v>18.45</v>
      </c>
      <c r="B371">
        <v>1.6E-2</v>
      </c>
      <c r="C371">
        <v>6.8000000000000005E-2</v>
      </c>
      <c r="H371">
        <f t="shared" si="35"/>
        <v>18.45</v>
      </c>
      <c r="I371">
        <f t="shared" si="36"/>
        <v>1.6E-2</v>
      </c>
      <c r="J371">
        <f t="shared" si="37"/>
        <v>5.0738604578307867E-2</v>
      </c>
      <c r="K371">
        <f t="shared" si="38"/>
        <v>107.16432834854287</v>
      </c>
      <c r="L371">
        <f t="shared" si="39"/>
        <v>6.7651472771077144E-4</v>
      </c>
      <c r="O371">
        <f t="shared" si="40"/>
        <v>93.768787304975007</v>
      </c>
      <c r="P371">
        <f t="shared" si="41"/>
        <v>2.2936665995360533E-4</v>
      </c>
    </row>
    <row r="372" spans="1:16" x14ac:dyDescent="0.25">
      <c r="A372">
        <v>18.5</v>
      </c>
      <c r="B372">
        <v>1.6E-2</v>
      </c>
      <c r="C372">
        <v>6.8000000000000005E-2</v>
      </c>
      <c r="H372">
        <f t="shared" si="35"/>
        <v>18.5</v>
      </c>
      <c r="I372">
        <f t="shared" si="36"/>
        <v>1.6E-2</v>
      </c>
      <c r="J372">
        <f t="shared" si="37"/>
        <v>5.0691825728926589E-2</v>
      </c>
      <c r="K372">
        <f t="shared" si="38"/>
        <v>107.16432834854287</v>
      </c>
      <c r="L372">
        <f t="shared" si="39"/>
        <v>6.7589100971902102E-4</v>
      </c>
      <c r="O372">
        <f t="shared" si="40"/>
        <v>93.768787304975007</v>
      </c>
      <c r="P372">
        <f t="shared" si="41"/>
        <v>2.2874294196185491E-4</v>
      </c>
    </row>
    <row r="373" spans="1:16" x14ac:dyDescent="0.25">
      <c r="A373">
        <v>18.55</v>
      </c>
      <c r="B373">
        <v>1.7000000000000001E-2</v>
      </c>
      <c r="C373">
        <v>6.9000000000000006E-2</v>
      </c>
      <c r="H373">
        <f t="shared" si="35"/>
        <v>18.55</v>
      </c>
      <c r="I373">
        <f t="shared" si="36"/>
        <v>1.7000000000000001E-2</v>
      </c>
      <c r="J373">
        <f t="shared" si="37"/>
        <v>5.1645046879545312E-2</v>
      </c>
      <c r="K373">
        <f t="shared" si="38"/>
        <v>113.8620988703268</v>
      </c>
      <c r="L373">
        <f t="shared" si="39"/>
        <v>6.8860062506060401E-4</v>
      </c>
      <c r="O373">
        <f t="shared" si="40"/>
        <v>100.46655782675894</v>
      </c>
      <c r="P373">
        <f t="shared" si="41"/>
        <v>2.414525573034379E-4</v>
      </c>
    </row>
    <row r="374" spans="1:16" x14ac:dyDescent="0.25">
      <c r="A374">
        <v>18.600000000000001</v>
      </c>
      <c r="B374">
        <v>1.7000000000000001E-2</v>
      </c>
      <c r="C374">
        <v>6.8000000000000005E-2</v>
      </c>
      <c r="H374">
        <f t="shared" si="35"/>
        <v>18.600000000000001</v>
      </c>
      <c r="I374">
        <f t="shared" si="36"/>
        <v>1.7000000000000001E-2</v>
      </c>
      <c r="J374">
        <f t="shared" si="37"/>
        <v>5.0598268030164026E-2</v>
      </c>
      <c r="K374">
        <f t="shared" si="38"/>
        <v>113.8620988703268</v>
      </c>
      <c r="L374">
        <f t="shared" si="39"/>
        <v>6.7464357373552019E-4</v>
      </c>
      <c r="O374">
        <f t="shared" si="40"/>
        <v>100.46655782675894</v>
      </c>
      <c r="P374">
        <f t="shared" si="41"/>
        <v>2.2749550597835408E-4</v>
      </c>
    </row>
    <row r="375" spans="1:16" x14ac:dyDescent="0.25">
      <c r="A375">
        <v>18.649999999999999</v>
      </c>
      <c r="B375">
        <v>1.7000000000000001E-2</v>
      </c>
      <c r="C375">
        <v>6.9000000000000006E-2</v>
      </c>
      <c r="H375">
        <f t="shared" si="35"/>
        <v>18.649999999999999</v>
      </c>
      <c r="I375">
        <f t="shared" si="36"/>
        <v>1.7000000000000001E-2</v>
      </c>
      <c r="J375">
        <f t="shared" si="37"/>
        <v>5.1551489180782756E-2</v>
      </c>
      <c r="K375">
        <f t="shared" si="38"/>
        <v>113.8620988703268</v>
      </c>
      <c r="L375">
        <f t="shared" si="39"/>
        <v>6.8735318907710329E-4</v>
      </c>
      <c r="O375">
        <f t="shared" si="40"/>
        <v>100.46655782675894</v>
      </c>
      <c r="P375">
        <f t="shared" si="41"/>
        <v>2.4020512131993718E-4</v>
      </c>
    </row>
    <row r="376" spans="1:16" x14ac:dyDescent="0.25">
      <c r="A376">
        <v>18.7</v>
      </c>
      <c r="B376">
        <v>1.7000000000000001E-2</v>
      </c>
      <c r="C376">
        <v>6.8000000000000005E-2</v>
      </c>
      <c r="H376">
        <f t="shared" si="35"/>
        <v>18.7</v>
      </c>
      <c r="I376">
        <f t="shared" si="36"/>
        <v>1.7000000000000001E-2</v>
      </c>
      <c r="J376">
        <f t="shared" si="37"/>
        <v>5.050471033140147E-2</v>
      </c>
      <c r="K376">
        <f t="shared" si="38"/>
        <v>113.8620988703268</v>
      </c>
      <c r="L376">
        <f t="shared" si="39"/>
        <v>6.7339613775201947E-4</v>
      </c>
      <c r="O376">
        <f t="shared" si="40"/>
        <v>100.46655782675894</v>
      </c>
      <c r="P376">
        <f t="shared" si="41"/>
        <v>2.2624806999485336E-4</v>
      </c>
    </row>
    <row r="377" spans="1:16" x14ac:dyDescent="0.25">
      <c r="A377">
        <v>18.75</v>
      </c>
      <c r="B377">
        <v>1.7000000000000001E-2</v>
      </c>
      <c r="C377">
        <v>7.0000000000000007E-2</v>
      </c>
      <c r="H377">
        <f t="shared" si="35"/>
        <v>18.75</v>
      </c>
      <c r="I377">
        <f t="shared" si="36"/>
        <v>1.7000000000000001E-2</v>
      </c>
      <c r="J377">
        <f t="shared" si="37"/>
        <v>5.2457931482020194E-2</v>
      </c>
      <c r="K377">
        <f t="shared" si="38"/>
        <v>113.8620988703268</v>
      </c>
      <c r="L377">
        <f t="shared" si="39"/>
        <v>6.9943908642693575E-4</v>
      </c>
      <c r="O377">
        <f t="shared" si="40"/>
        <v>100.46655782675894</v>
      </c>
      <c r="P377">
        <f t="shared" si="41"/>
        <v>2.5229101866976964E-4</v>
      </c>
    </row>
    <row r="378" spans="1:16" x14ac:dyDescent="0.25">
      <c r="A378">
        <v>18.8</v>
      </c>
      <c r="B378">
        <v>1.7000000000000001E-2</v>
      </c>
      <c r="C378">
        <v>6.9000000000000006E-2</v>
      </c>
      <c r="H378">
        <f t="shared" si="35"/>
        <v>18.8</v>
      </c>
      <c r="I378">
        <f t="shared" si="36"/>
        <v>1.7000000000000001E-2</v>
      </c>
      <c r="J378">
        <f t="shared" si="37"/>
        <v>5.1411152632638915E-2</v>
      </c>
      <c r="K378">
        <f t="shared" si="38"/>
        <v>113.8620988703268</v>
      </c>
      <c r="L378">
        <f t="shared" si="39"/>
        <v>6.8548203510185204E-4</v>
      </c>
      <c r="O378">
        <f t="shared" si="40"/>
        <v>100.46655782675894</v>
      </c>
      <c r="P378">
        <f t="shared" si="41"/>
        <v>2.3833396734468593E-4</v>
      </c>
    </row>
    <row r="379" spans="1:16" x14ac:dyDescent="0.25">
      <c r="A379">
        <v>18.850000000000001</v>
      </c>
      <c r="B379">
        <v>1.7999999999999999E-2</v>
      </c>
      <c r="C379">
        <v>7.0000000000000007E-2</v>
      </c>
      <c r="H379">
        <f t="shared" si="35"/>
        <v>18.850000000000001</v>
      </c>
      <c r="I379">
        <f t="shared" si="36"/>
        <v>1.7999999999999999E-2</v>
      </c>
      <c r="J379">
        <f t="shared" si="37"/>
        <v>5.2364373783257631E-2</v>
      </c>
      <c r="K379">
        <f t="shared" si="38"/>
        <v>120.55986939211071</v>
      </c>
      <c r="L379">
        <f t="shared" si="39"/>
        <v>6.9819165044343492E-4</v>
      </c>
      <c r="O379">
        <f t="shared" si="40"/>
        <v>107.16432834854285</v>
      </c>
      <c r="P379">
        <f t="shared" si="41"/>
        <v>2.5104358268626881E-4</v>
      </c>
    </row>
    <row r="380" spans="1:16" x14ac:dyDescent="0.25">
      <c r="A380">
        <v>18.899999999999999</v>
      </c>
      <c r="B380">
        <v>1.7999999999999999E-2</v>
      </c>
      <c r="C380">
        <v>7.0000000000000007E-2</v>
      </c>
      <c r="H380">
        <f t="shared" si="35"/>
        <v>18.899999999999999</v>
      </c>
      <c r="I380">
        <f t="shared" si="36"/>
        <v>1.7999999999999999E-2</v>
      </c>
      <c r="J380">
        <f t="shared" si="37"/>
        <v>5.231759493387636E-2</v>
      </c>
      <c r="K380">
        <f t="shared" si="38"/>
        <v>120.55986939211071</v>
      </c>
      <c r="L380">
        <f t="shared" si="39"/>
        <v>6.9756793245168462E-4</v>
      </c>
      <c r="O380">
        <f t="shared" si="40"/>
        <v>107.16432834854285</v>
      </c>
      <c r="P380">
        <f t="shared" si="41"/>
        <v>2.504198646945185E-4</v>
      </c>
    </row>
    <row r="381" spans="1:16" x14ac:dyDescent="0.25">
      <c r="A381">
        <v>18.95</v>
      </c>
      <c r="B381">
        <v>1.7999999999999999E-2</v>
      </c>
      <c r="C381">
        <v>7.0999999999999994E-2</v>
      </c>
      <c r="H381">
        <f t="shared" si="35"/>
        <v>18.95</v>
      </c>
      <c r="I381">
        <f t="shared" si="36"/>
        <v>1.7999999999999999E-2</v>
      </c>
      <c r="J381">
        <f t="shared" si="37"/>
        <v>5.3270816084495062E-2</v>
      </c>
      <c r="K381">
        <f t="shared" si="38"/>
        <v>120.55986939211071</v>
      </c>
      <c r="L381">
        <f t="shared" si="39"/>
        <v>7.1027754779326739E-4</v>
      </c>
      <c r="O381">
        <f t="shared" si="40"/>
        <v>107.16432834854285</v>
      </c>
      <c r="P381">
        <f t="shared" si="41"/>
        <v>2.6312948003610128E-4</v>
      </c>
    </row>
    <row r="382" spans="1:16" x14ac:dyDescent="0.25">
      <c r="A382">
        <v>19</v>
      </c>
      <c r="B382">
        <v>1.9E-2</v>
      </c>
      <c r="C382">
        <v>7.0999999999999994E-2</v>
      </c>
      <c r="H382">
        <f t="shared" si="35"/>
        <v>19</v>
      </c>
      <c r="I382">
        <f t="shared" si="36"/>
        <v>1.9E-2</v>
      </c>
      <c r="J382">
        <f t="shared" si="37"/>
        <v>5.3224037235113777E-2</v>
      </c>
      <c r="K382">
        <f t="shared" si="38"/>
        <v>127.25763991389465</v>
      </c>
      <c r="L382">
        <f t="shared" si="39"/>
        <v>7.0965382980151686E-4</v>
      </c>
      <c r="O382">
        <f t="shared" si="40"/>
        <v>113.86209887032679</v>
      </c>
      <c r="P382">
        <f t="shared" si="41"/>
        <v>2.6250576204435075E-4</v>
      </c>
    </row>
    <row r="383" spans="1:16" x14ac:dyDescent="0.25">
      <c r="A383">
        <v>19.05</v>
      </c>
      <c r="B383">
        <v>1.9E-2</v>
      </c>
      <c r="C383">
        <v>7.1999999999999995E-2</v>
      </c>
      <c r="H383">
        <f t="shared" si="35"/>
        <v>19.05</v>
      </c>
      <c r="I383">
        <f t="shared" si="36"/>
        <v>1.9E-2</v>
      </c>
      <c r="J383">
        <f t="shared" si="37"/>
        <v>5.4177258385732507E-2</v>
      </c>
      <c r="K383">
        <f t="shared" si="38"/>
        <v>127.25763991389465</v>
      </c>
      <c r="L383">
        <f t="shared" si="39"/>
        <v>7.2236344514309996E-4</v>
      </c>
      <c r="O383">
        <f t="shared" si="40"/>
        <v>113.86209887032679</v>
      </c>
      <c r="P383">
        <f t="shared" si="41"/>
        <v>2.7521537738593385E-4</v>
      </c>
    </row>
    <row r="384" spans="1:16" x14ac:dyDescent="0.25">
      <c r="A384">
        <v>19.100000000000001</v>
      </c>
      <c r="B384">
        <v>1.9E-2</v>
      </c>
      <c r="C384">
        <v>7.0999999999999994E-2</v>
      </c>
      <c r="H384">
        <f t="shared" si="35"/>
        <v>19.100000000000001</v>
      </c>
      <c r="I384">
        <f t="shared" si="36"/>
        <v>1.9E-2</v>
      </c>
      <c r="J384">
        <f t="shared" si="37"/>
        <v>5.3130479536351222E-2</v>
      </c>
      <c r="K384">
        <f t="shared" si="38"/>
        <v>127.25763991389465</v>
      </c>
      <c r="L384">
        <f t="shared" si="39"/>
        <v>7.0840639381801614E-4</v>
      </c>
      <c r="O384">
        <f t="shared" si="40"/>
        <v>113.86209887032679</v>
      </c>
      <c r="P384">
        <f t="shared" si="41"/>
        <v>2.6125832606085003E-4</v>
      </c>
    </row>
    <row r="385" spans="1:16" x14ac:dyDescent="0.25">
      <c r="A385">
        <v>19.149999999999999</v>
      </c>
      <c r="B385">
        <v>1.9E-2</v>
      </c>
      <c r="C385">
        <v>7.0999999999999994E-2</v>
      </c>
      <c r="H385">
        <f t="shared" si="35"/>
        <v>19.149999999999999</v>
      </c>
      <c r="I385">
        <f t="shared" si="36"/>
        <v>1.9E-2</v>
      </c>
      <c r="J385">
        <f t="shared" si="37"/>
        <v>5.3083700686969944E-2</v>
      </c>
      <c r="K385">
        <f t="shared" si="38"/>
        <v>127.25763991389465</v>
      </c>
      <c r="L385">
        <f t="shared" si="39"/>
        <v>7.0778267582626573E-4</v>
      </c>
      <c r="O385">
        <f t="shared" si="40"/>
        <v>113.86209887032679</v>
      </c>
      <c r="P385">
        <f t="shared" si="41"/>
        <v>2.6063460806909961E-4</v>
      </c>
    </row>
    <row r="386" spans="1:16" x14ac:dyDescent="0.25">
      <c r="A386">
        <v>19.2</v>
      </c>
      <c r="B386">
        <v>1.9E-2</v>
      </c>
      <c r="C386">
        <v>7.0999999999999994E-2</v>
      </c>
      <c r="H386">
        <f t="shared" si="35"/>
        <v>19.2</v>
      </c>
      <c r="I386">
        <f t="shared" si="36"/>
        <v>1.9E-2</v>
      </c>
      <c r="J386">
        <f t="shared" si="37"/>
        <v>5.3036921837588666E-2</v>
      </c>
      <c r="K386">
        <f t="shared" si="38"/>
        <v>127.25763991389465</v>
      </c>
      <c r="L386">
        <f t="shared" si="39"/>
        <v>7.0715895783451542E-4</v>
      </c>
      <c r="O386">
        <f t="shared" si="40"/>
        <v>113.86209887032679</v>
      </c>
      <c r="P386">
        <f t="shared" si="41"/>
        <v>2.6001089007734931E-4</v>
      </c>
    </row>
    <row r="387" spans="1:16" x14ac:dyDescent="0.25">
      <c r="A387">
        <v>19.25</v>
      </c>
      <c r="B387">
        <v>1.9E-2</v>
      </c>
      <c r="C387">
        <v>7.1999999999999995E-2</v>
      </c>
      <c r="H387">
        <f t="shared" ref="H387:H450" si="42">A387</f>
        <v>19.25</v>
      </c>
      <c r="I387">
        <f t="shared" ref="I387:I450" si="43">B387</f>
        <v>1.9E-2</v>
      </c>
      <c r="J387">
        <f t="shared" ref="J387:J450" si="44">C387-E$12*A387</f>
        <v>5.3990142988207382E-2</v>
      </c>
      <c r="K387">
        <f t="shared" ref="K387:K450" si="45">F$24*I387</f>
        <v>127.25763991389465</v>
      </c>
      <c r="L387">
        <f t="shared" ref="L387:L450" si="46">F$25*J387</f>
        <v>7.198685731760983E-4</v>
      </c>
      <c r="O387">
        <f t="shared" ref="O387:O450" si="47">K387-N$12</f>
        <v>113.86209887032679</v>
      </c>
      <c r="P387">
        <f t="shared" ref="P387:P450" si="48">L387-N$15</f>
        <v>2.7272050541893219E-4</v>
      </c>
    </row>
    <row r="388" spans="1:16" x14ac:dyDescent="0.25">
      <c r="A388">
        <v>19.3</v>
      </c>
      <c r="B388">
        <v>1.9E-2</v>
      </c>
      <c r="C388">
        <v>7.0999999999999994E-2</v>
      </c>
      <c r="H388">
        <f t="shared" si="42"/>
        <v>19.3</v>
      </c>
      <c r="I388">
        <f t="shared" si="43"/>
        <v>1.9E-2</v>
      </c>
      <c r="J388">
        <f t="shared" si="44"/>
        <v>5.2943364138826103E-2</v>
      </c>
      <c r="K388">
        <f t="shared" si="45"/>
        <v>127.25763991389465</v>
      </c>
      <c r="L388">
        <f t="shared" si="46"/>
        <v>7.0591152185101459E-4</v>
      </c>
      <c r="O388">
        <f t="shared" si="47"/>
        <v>113.86209887032679</v>
      </c>
      <c r="P388">
        <f t="shared" si="48"/>
        <v>2.5876345409384848E-4</v>
      </c>
    </row>
    <row r="389" spans="1:16" x14ac:dyDescent="0.25">
      <c r="A389">
        <v>19.350000000000001</v>
      </c>
      <c r="B389">
        <v>1.7999999999999999E-2</v>
      </c>
      <c r="C389">
        <v>7.1999999999999995E-2</v>
      </c>
      <c r="H389">
        <f t="shared" si="42"/>
        <v>19.350000000000001</v>
      </c>
      <c r="I389">
        <f t="shared" si="43"/>
        <v>1.7999999999999999E-2</v>
      </c>
      <c r="J389">
        <f t="shared" si="44"/>
        <v>5.3896585289444826E-2</v>
      </c>
      <c r="K389">
        <f t="shared" si="45"/>
        <v>120.55986939211071</v>
      </c>
      <c r="L389">
        <f t="shared" si="46"/>
        <v>7.1862113719259758E-4</v>
      </c>
      <c r="O389">
        <f t="shared" si="47"/>
        <v>107.16432834854285</v>
      </c>
      <c r="P389">
        <f t="shared" si="48"/>
        <v>2.7147306943543147E-4</v>
      </c>
    </row>
    <row r="390" spans="1:16" x14ac:dyDescent="0.25">
      <c r="A390">
        <v>19.399999999999999</v>
      </c>
      <c r="B390">
        <v>1.9E-2</v>
      </c>
      <c r="C390">
        <v>7.0999999999999994E-2</v>
      </c>
      <c r="H390">
        <f t="shared" si="42"/>
        <v>19.399999999999999</v>
      </c>
      <c r="I390">
        <f t="shared" si="43"/>
        <v>1.9E-2</v>
      </c>
      <c r="J390">
        <f t="shared" si="44"/>
        <v>5.2849806440063547E-2</v>
      </c>
      <c r="K390">
        <f t="shared" si="45"/>
        <v>127.25763991389465</v>
      </c>
      <c r="L390">
        <f t="shared" si="46"/>
        <v>7.0466408586751387E-4</v>
      </c>
      <c r="O390">
        <f t="shared" si="47"/>
        <v>113.86209887032679</v>
      </c>
      <c r="P390">
        <f t="shared" si="48"/>
        <v>2.5751601811034775E-4</v>
      </c>
    </row>
    <row r="391" spans="1:16" x14ac:dyDescent="0.25">
      <c r="A391">
        <v>19.45</v>
      </c>
      <c r="B391">
        <v>1.9E-2</v>
      </c>
      <c r="C391">
        <v>7.1999999999999995E-2</v>
      </c>
      <c r="H391">
        <f t="shared" si="42"/>
        <v>19.45</v>
      </c>
      <c r="I391">
        <f t="shared" si="43"/>
        <v>1.9E-2</v>
      </c>
      <c r="J391">
        <f t="shared" si="44"/>
        <v>5.380302759068227E-2</v>
      </c>
      <c r="K391">
        <f t="shared" si="45"/>
        <v>127.25763991389465</v>
      </c>
      <c r="L391">
        <f t="shared" si="46"/>
        <v>7.1737370120909675E-4</v>
      </c>
      <c r="O391">
        <f t="shared" si="47"/>
        <v>113.86209887032679</v>
      </c>
      <c r="P391">
        <f t="shared" si="48"/>
        <v>2.7022563345193063E-4</v>
      </c>
    </row>
    <row r="392" spans="1:16" x14ac:dyDescent="0.25">
      <c r="A392">
        <v>19.5</v>
      </c>
      <c r="B392">
        <v>1.9E-2</v>
      </c>
      <c r="C392">
        <v>7.0999999999999994E-2</v>
      </c>
      <c r="H392">
        <f t="shared" si="42"/>
        <v>19.5</v>
      </c>
      <c r="I392">
        <f t="shared" si="43"/>
        <v>1.9E-2</v>
      </c>
      <c r="J392">
        <f t="shared" si="44"/>
        <v>5.2756248741300985E-2</v>
      </c>
      <c r="K392">
        <f t="shared" si="45"/>
        <v>127.25763991389465</v>
      </c>
      <c r="L392">
        <f t="shared" si="46"/>
        <v>7.0341664988401303E-4</v>
      </c>
      <c r="O392">
        <f t="shared" si="47"/>
        <v>113.86209887032679</v>
      </c>
      <c r="P392">
        <f t="shared" si="48"/>
        <v>2.5626858212684692E-4</v>
      </c>
    </row>
    <row r="393" spans="1:16" x14ac:dyDescent="0.25">
      <c r="A393">
        <v>19.55</v>
      </c>
      <c r="B393">
        <v>1.9E-2</v>
      </c>
      <c r="C393">
        <v>7.1999999999999995E-2</v>
      </c>
      <c r="H393">
        <f t="shared" si="42"/>
        <v>19.55</v>
      </c>
      <c r="I393">
        <f t="shared" si="43"/>
        <v>1.9E-2</v>
      </c>
      <c r="J393">
        <f t="shared" si="44"/>
        <v>5.3709469891919707E-2</v>
      </c>
      <c r="K393">
        <f t="shared" si="45"/>
        <v>127.25763991389465</v>
      </c>
      <c r="L393">
        <f t="shared" si="46"/>
        <v>7.1612626522559591E-4</v>
      </c>
      <c r="O393">
        <f t="shared" si="47"/>
        <v>113.86209887032679</v>
      </c>
      <c r="P393">
        <f t="shared" si="48"/>
        <v>2.689781974684298E-4</v>
      </c>
    </row>
    <row r="394" spans="1:16" x14ac:dyDescent="0.25">
      <c r="A394">
        <v>19.600000000000001</v>
      </c>
      <c r="B394">
        <v>1.9E-2</v>
      </c>
      <c r="C394">
        <v>7.1999999999999995E-2</v>
      </c>
      <c r="H394">
        <f t="shared" si="42"/>
        <v>19.600000000000001</v>
      </c>
      <c r="I394">
        <f t="shared" si="43"/>
        <v>1.9E-2</v>
      </c>
      <c r="J394">
        <f t="shared" si="44"/>
        <v>5.366269104253843E-2</v>
      </c>
      <c r="K394">
        <f t="shared" si="45"/>
        <v>127.25763991389465</v>
      </c>
      <c r="L394">
        <f t="shared" si="46"/>
        <v>7.1550254723384561E-4</v>
      </c>
      <c r="O394">
        <f t="shared" si="47"/>
        <v>113.86209887032679</v>
      </c>
      <c r="P394">
        <f t="shared" si="48"/>
        <v>2.683544794766795E-4</v>
      </c>
    </row>
    <row r="395" spans="1:16" x14ac:dyDescent="0.25">
      <c r="A395">
        <v>19.649999999999999</v>
      </c>
      <c r="B395">
        <v>0.02</v>
      </c>
      <c r="C395">
        <v>7.2999999999999995E-2</v>
      </c>
      <c r="H395">
        <f t="shared" si="42"/>
        <v>19.649999999999999</v>
      </c>
      <c r="I395">
        <f t="shared" si="43"/>
        <v>0.02</v>
      </c>
      <c r="J395">
        <f t="shared" si="44"/>
        <v>5.4615912193157153E-2</v>
      </c>
      <c r="K395">
        <f t="shared" si="45"/>
        <v>133.9554104356786</v>
      </c>
      <c r="L395">
        <f t="shared" si="46"/>
        <v>7.282121625754286E-4</v>
      </c>
      <c r="O395">
        <f t="shared" si="47"/>
        <v>120.55986939211074</v>
      </c>
      <c r="P395">
        <f t="shared" si="48"/>
        <v>2.8106409481826249E-4</v>
      </c>
    </row>
    <row r="396" spans="1:16" x14ac:dyDescent="0.25">
      <c r="A396">
        <v>19.7</v>
      </c>
      <c r="B396">
        <v>1.9E-2</v>
      </c>
      <c r="C396">
        <v>7.1999999999999995E-2</v>
      </c>
      <c r="H396">
        <f t="shared" si="42"/>
        <v>19.7</v>
      </c>
      <c r="I396">
        <f t="shared" si="43"/>
        <v>1.9E-2</v>
      </c>
      <c r="J396">
        <f t="shared" si="44"/>
        <v>5.3569133343775874E-2</v>
      </c>
      <c r="K396">
        <f t="shared" si="45"/>
        <v>127.25763991389465</v>
      </c>
      <c r="L396">
        <f t="shared" si="46"/>
        <v>7.1425511125034489E-4</v>
      </c>
      <c r="O396">
        <f t="shared" si="47"/>
        <v>113.86209887032679</v>
      </c>
      <c r="P396">
        <f t="shared" si="48"/>
        <v>2.6710704349317877E-4</v>
      </c>
    </row>
    <row r="397" spans="1:16" x14ac:dyDescent="0.25">
      <c r="A397">
        <v>19.75</v>
      </c>
      <c r="B397">
        <v>0.02</v>
      </c>
      <c r="C397">
        <v>7.3999999999999996E-2</v>
      </c>
      <c r="H397">
        <f t="shared" si="42"/>
        <v>19.75</v>
      </c>
      <c r="I397">
        <f t="shared" si="43"/>
        <v>0.02</v>
      </c>
      <c r="J397">
        <f t="shared" si="44"/>
        <v>5.5522354494394591E-2</v>
      </c>
      <c r="K397">
        <f t="shared" si="45"/>
        <v>133.9554104356786</v>
      </c>
      <c r="L397">
        <f t="shared" si="46"/>
        <v>7.4029805992526106E-4</v>
      </c>
      <c r="O397">
        <f t="shared" si="47"/>
        <v>120.55986939211074</v>
      </c>
      <c r="P397">
        <f t="shared" si="48"/>
        <v>2.9314999216809495E-4</v>
      </c>
    </row>
    <row r="398" spans="1:16" x14ac:dyDescent="0.25">
      <c r="A398">
        <v>19.8</v>
      </c>
      <c r="B398">
        <v>0.02</v>
      </c>
      <c r="C398">
        <v>7.2999999999999995E-2</v>
      </c>
      <c r="H398">
        <f t="shared" si="42"/>
        <v>19.8</v>
      </c>
      <c r="I398">
        <f t="shared" si="43"/>
        <v>0.02</v>
      </c>
      <c r="J398">
        <f t="shared" si="44"/>
        <v>5.4475575645013312E-2</v>
      </c>
      <c r="K398">
        <f t="shared" si="45"/>
        <v>133.9554104356786</v>
      </c>
      <c r="L398">
        <f t="shared" si="46"/>
        <v>7.2634100860017735E-4</v>
      </c>
      <c r="O398">
        <f t="shared" si="47"/>
        <v>120.55986939211074</v>
      </c>
      <c r="P398">
        <f t="shared" si="48"/>
        <v>2.7919294084301124E-4</v>
      </c>
    </row>
    <row r="399" spans="1:16" x14ac:dyDescent="0.25">
      <c r="A399">
        <v>19.850000000000001</v>
      </c>
      <c r="B399">
        <v>0.02</v>
      </c>
      <c r="C399">
        <v>7.3999999999999996E-2</v>
      </c>
      <c r="H399">
        <f t="shared" si="42"/>
        <v>19.850000000000001</v>
      </c>
      <c r="I399">
        <f t="shared" si="43"/>
        <v>0.02</v>
      </c>
      <c r="J399">
        <f t="shared" si="44"/>
        <v>5.5428796795632035E-2</v>
      </c>
      <c r="K399">
        <f t="shared" si="45"/>
        <v>133.9554104356786</v>
      </c>
      <c r="L399">
        <f t="shared" si="46"/>
        <v>7.3905062394176034E-4</v>
      </c>
      <c r="O399">
        <f t="shared" si="47"/>
        <v>120.55986939211074</v>
      </c>
      <c r="P399">
        <f t="shared" si="48"/>
        <v>2.9190255618459423E-4</v>
      </c>
    </row>
    <row r="400" spans="1:16" x14ac:dyDescent="0.25">
      <c r="A400">
        <v>19.899999999999999</v>
      </c>
      <c r="B400">
        <v>0.02</v>
      </c>
      <c r="C400">
        <v>7.2999999999999995E-2</v>
      </c>
      <c r="H400">
        <f t="shared" si="42"/>
        <v>19.899999999999999</v>
      </c>
      <c r="I400">
        <f t="shared" si="43"/>
        <v>0.02</v>
      </c>
      <c r="J400">
        <f t="shared" si="44"/>
        <v>5.4382017946250756E-2</v>
      </c>
      <c r="K400">
        <f t="shared" si="45"/>
        <v>133.9554104356786</v>
      </c>
      <c r="L400">
        <f t="shared" si="46"/>
        <v>7.2509357261667663E-4</v>
      </c>
      <c r="O400">
        <f t="shared" si="47"/>
        <v>120.55986939211074</v>
      </c>
      <c r="P400">
        <f t="shared" si="48"/>
        <v>2.7794550485951052E-4</v>
      </c>
    </row>
    <row r="401" spans="1:16" x14ac:dyDescent="0.25">
      <c r="A401">
        <v>19.95</v>
      </c>
      <c r="B401">
        <v>2.1000000000000001E-2</v>
      </c>
      <c r="C401">
        <v>7.4999999999999997E-2</v>
      </c>
      <c r="H401">
        <f t="shared" si="42"/>
        <v>19.95</v>
      </c>
      <c r="I401">
        <f t="shared" si="43"/>
        <v>2.1000000000000001E-2</v>
      </c>
      <c r="J401">
        <f t="shared" si="44"/>
        <v>5.633523909686948E-2</v>
      </c>
      <c r="K401">
        <f t="shared" si="45"/>
        <v>140.65318095746252</v>
      </c>
      <c r="L401">
        <f t="shared" si="46"/>
        <v>7.5113652129159291E-4</v>
      </c>
      <c r="O401">
        <f t="shared" si="47"/>
        <v>127.25763991389466</v>
      </c>
      <c r="P401">
        <f t="shared" si="48"/>
        <v>3.039884535344268E-4</v>
      </c>
    </row>
    <row r="402" spans="1:16" x14ac:dyDescent="0.25">
      <c r="A402">
        <v>20</v>
      </c>
      <c r="B402">
        <v>2.1000000000000001E-2</v>
      </c>
      <c r="C402">
        <v>7.3999999999999996E-2</v>
      </c>
      <c r="H402">
        <f t="shared" si="42"/>
        <v>20</v>
      </c>
      <c r="I402">
        <f t="shared" si="43"/>
        <v>2.1000000000000001E-2</v>
      </c>
      <c r="J402">
        <f t="shared" si="44"/>
        <v>5.5288460247488194E-2</v>
      </c>
      <c r="K402">
        <f t="shared" si="45"/>
        <v>140.65318095746252</v>
      </c>
      <c r="L402">
        <f t="shared" si="46"/>
        <v>7.3717946996650909E-4</v>
      </c>
      <c r="O402">
        <f t="shared" si="47"/>
        <v>127.25763991389466</v>
      </c>
      <c r="P402">
        <f t="shared" si="48"/>
        <v>2.9003140220934298E-4</v>
      </c>
    </row>
    <row r="403" spans="1:16" x14ac:dyDescent="0.25">
      <c r="A403">
        <v>20.05</v>
      </c>
      <c r="B403">
        <v>2.1000000000000001E-2</v>
      </c>
      <c r="C403">
        <v>7.4999999999999997E-2</v>
      </c>
      <c r="H403">
        <f t="shared" si="42"/>
        <v>20.05</v>
      </c>
      <c r="I403">
        <f t="shared" si="43"/>
        <v>2.1000000000000001E-2</v>
      </c>
      <c r="J403">
        <f t="shared" si="44"/>
        <v>5.6241681398106917E-2</v>
      </c>
      <c r="K403">
        <f t="shared" si="45"/>
        <v>140.65318095746252</v>
      </c>
      <c r="L403">
        <f t="shared" si="46"/>
        <v>7.4988908530809208E-4</v>
      </c>
      <c r="O403">
        <f t="shared" si="47"/>
        <v>127.25763991389466</v>
      </c>
      <c r="P403">
        <f t="shared" si="48"/>
        <v>3.0274101755092597E-4</v>
      </c>
    </row>
    <row r="404" spans="1:16" x14ac:dyDescent="0.25">
      <c r="A404">
        <v>20.100000000000001</v>
      </c>
      <c r="B404">
        <v>2.1000000000000001E-2</v>
      </c>
      <c r="C404">
        <v>7.3999999999999996E-2</v>
      </c>
      <c r="H404">
        <f t="shared" si="42"/>
        <v>20.100000000000001</v>
      </c>
      <c r="I404">
        <f t="shared" si="43"/>
        <v>2.1000000000000001E-2</v>
      </c>
      <c r="J404">
        <f t="shared" si="44"/>
        <v>5.5194902548725638E-2</v>
      </c>
      <c r="K404">
        <f t="shared" si="45"/>
        <v>140.65318095746252</v>
      </c>
      <c r="L404">
        <f t="shared" si="46"/>
        <v>7.3593203398300837E-4</v>
      </c>
      <c r="O404">
        <f t="shared" si="47"/>
        <v>127.25763991389466</v>
      </c>
      <c r="P404">
        <f t="shared" si="48"/>
        <v>2.8878396622584226E-4</v>
      </c>
    </row>
    <row r="405" spans="1:16" x14ac:dyDescent="0.25">
      <c r="A405">
        <v>20.149999999999999</v>
      </c>
      <c r="B405">
        <v>2.1000000000000001E-2</v>
      </c>
      <c r="C405">
        <v>7.4999999999999997E-2</v>
      </c>
      <c r="H405">
        <f t="shared" si="42"/>
        <v>20.149999999999999</v>
      </c>
      <c r="I405">
        <f t="shared" si="43"/>
        <v>2.1000000000000001E-2</v>
      </c>
      <c r="J405">
        <f t="shared" si="44"/>
        <v>5.6148123699344354E-2</v>
      </c>
      <c r="K405">
        <f t="shared" si="45"/>
        <v>140.65318095746252</v>
      </c>
      <c r="L405">
        <f t="shared" si="46"/>
        <v>7.4864164932459125E-4</v>
      </c>
      <c r="O405">
        <f t="shared" si="47"/>
        <v>127.25763991389466</v>
      </c>
      <c r="P405">
        <f t="shared" si="48"/>
        <v>3.0149358156742514E-4</v>
      </c>
    </row>
    <row r="406" spans="1:16" x14ac:dyDescent="0.25">
      <c r="A406">
        <v>20.2</v>
      </c>
      <c r="B406">
        <v>2.1000000000000001E-2</v>
      </c>
      <c r="C406">
        <v>7.3999999999999996E-2</v>
      </c>
      <c r="H406">
        <f t="shared" si="42"/>
        <v>20.2</v>
      </c>
      <c r="I406">
        <f t="shared" si="43"/>
        <v>2.1000000000000001E-2</v>
      </c>
      <c r="J406">
        <f t="shared" si="44"/>
        <v>5.5101344849963083E-2</v>
      </c>
      <c r="K406">
        <f t="shared" si="45"/>
        <v>140.65318095746252</v>
      </c>
      <c r="L406">
        <f t="shared" si="46"/>
        <v>7.3468459799950765E-4</v>
      </c>
      <c r="O406">
        <f t="shared" si="47"/>
        <v>127.25763991389466</v>
      </c>
      <c r="P406">
        <f t="shared" si="48"/>
        <v>2.8753653024234154E-4</v>
      </c>
    </row>
    <row r="407" spans="1:16" x14ac:dyDescent="0.25">
      <c r="A407">
        <v>20.25</v>
      </c>
      <c r="B407">
        <v>2.1000000000000001E-2</v>
      </c>
      <c r="C407">
        <v>7.4999999999999997E-2</v>
      </c>
      <c r="H407">
        <f t="shared" si="42"/>
        <v>20.25</v>
      </c>
      <c r="I407">
        <f t="shared" si="43"/>
        <v>2.1000000000000001E-2</v>
      </c>
      <c r="J407">
        <f t="shared" si="44"/>
        <v>5.6054566000581799E-2</v>
      </c>
      <c r="K407">
        <f t="shared" si="45"/>
        <v>140.65318095746252</v>
      </c>
      <c r="L407">
        <f t="shared" si="46"/>
        <v>7.4739421334109053E-4</v>
      </c>
      <c r="O407">
        <f t="shared" si="47"/>
        <v>127.25763991389466</v>
      </c>
      <c r="P407">
        <f t="shared" si="48"/>
        <v>3.0024614558392442E-4</v>
      </c>
    </row>
    <row r="408" spans="1:16" x14ac:dyDescent="0.25">
      <c r="A408">
        <v>20.3</v>
      </c>
      <c r="B408">
        <v>2.1000000000000001E-2</v>
      </c>
      <c r="C408">
        <v>7.3999999999999996E-2</v>
      </c>
      <c r="H408">
        <f t="shared" si="42"/>
        <v>20.3</v>
      </c>
      <c r="I408">
        <f t="shared" si="43"/>
        <v>2.1000000000000001E-2</v>
      </c>
      <c r="J408">
        <f t="shared" si="44"/>
        <v>5.5007787151200513E-2</v>
      </c>
      <c r="K408">
        <f t="shared" si="45"/>
        <v>140.65318095746252</v>
      </c>
      <c r="L408">
        <f t="shared" si="46"/>
        <v>7.3343716201600671E-4</v>
      </c>
      <c r="O408">
        <f t="shared" si="47"/>
        <v>127.25763991389466</v>
      </c>
      <c r="P408">
        <f t="shared" si="48"/>
        <v>2.862890942588406E-4</v>
      </c>
    </row>
    <row r="409" spans="1:16" x14ac:dyDescent="0.25">
      <c r="A409">
        <v>20.350000000000001</v>
      </c>
      <c r="B409">
        <v>2.1000000000000001E-2</v>
      </c>
      <c r="C409">
        <v>7.4999999999999997E-2</v>
      </c>
      <c r="H409">
        <f t="shared" si="42"/>
        <v>20.350000000000001</v>
      </c>
      <c r="I409">
        <f t="shared" si="43"/>
        <v>2.1000000000000001E-2</v>
      </c>
      <c r="J409">
        <f t="shared" si="44"/>
        <v>5.5961008301819243E-2</v>
      </c>
      <c r="K409">
        <f t="shared" si="45"/>
        <v>140.65318095746252</v>
      </c>
      <c r="L409">
        <f t="shared" si="46"/>
        <v>7.4614677735758981E-4</v>
      </c>
      <c r="O409">
        <f t="shared" si="47"/>
        <v>127.25763991389466</v>
      </c>
      <c r="P409">
        <f t="shared" si="48"/>
        <v>2.9899870960042369E-4</v>
      </c>
    </row>
    <row r="410" spans="1:16" x14ac:dyDescent="0.25">
      <c r="A410">
        <v>20.399999999999999</v>
      </c>
      <c r="B410">
        <v>2.1000000000000001E-2</v>
      </c>
      <c r="C410">
        <v>7.3999999999999996E-2</v>
      </c>
      <c r="H410">
        <f t="shared" si="42"/>
        <v>20.399999999999999</v>
      </c>
      <c r="I410">
        <f t="shared" si="43"/>
        <v>2.1000000000000001E-2</v>
      </c>
      <c r="J410">
        <f t="shared" si="44"/>
        <v>5.4914229452437957E-2</v>
      </c>
      <c r="K410">
        <f t="shared" si="45"/>
        <v>140.65318095746252</v>
      </c>
      <c r="L410">
        <f t="shared" si="46"/>
        <v>7.3218972603250599E-4</v>
      </c>
      <c r="O410">
        <f t="shared" si="47"/>
        <v>127.25763991389466</v>
      </c>
      <c r="P410">
        <f t="shared" si="48"/>
        <v>2.8504165827533987E-4</v>
      </c>
    </row>
    <row r="411" spans="1:16" x14ac:dyDescent="0.25">
      <c r="A411">
        <v>20.45</v>
      </c>
      <c r="B411">
        <v>2.1000000000000001E-2</v>
      </c>
      <c r="C411">
        <v>7.5999999999999998E-2</v>
      </c>
      <c r="H411">
        <f t="shared" si="42"/>
        <v>20.45</v>
      </c>
      <c r="I411">
        <f t="shared" si="43"/>
        <v>2.1000000000000001E-2</v>
      </c>
      <c r="J411">
        <f t="shared" si="44"/>
        <v>5.6867450603056681E-2</v>
      </c>
      <c r="K411">
        <f t="shared" si="45"/>
        <v>140.65318095746252</v>
      </c>
      <c r="L411">
        <f t="shared" si="46"/>
        <v>7.5823267470742227E-4</v>
      </c>
      <c r="O411">
        <f t="shared" si="47"/>
        <v>127.25763991389466</v>
      </c>
      <c r="P411">
        <f t="shared" si="48"/>
        <v>3.1108460695025616E-4</v>
      </c>
    </row>
    <row r="412" spans="1:16" x14ac:dyDescent="0.25">
      <c r="A412">
        <v>20.5</v>
      </c>
      <c r="B412">
        <v>2.1000000000000001E-2</v>
      </c>
      <c r="C412">
        <v>7.4999999999999997E-2</v>
      </c>
      <c r="H412">
        <f t="shared" si="42"/>
        <v>20.5</v>
      </c>
      <c r="I412">
        <f t="shared" si="43"/>
        <v>2.1000000000000001E-2</v>
      </c>
      <c r="J412">
        <f t="shared" si="44"/>
        <v>5.5820671753675402E-2</v>
      </c>
      <c r="K412">
        <f t="shared" si="45"/>
        <v>140.65318095746252</v>
      </c>
      <c r="L412">
        <f t="shared" si="46"/>
        <v>7.4427562338233856E-4</v>
      </c>
      <c r="O412">
        <f t="shared" si="47"/>
        <v>127.25763991389466</v>
      </c>
      <c r="P412">
        <f t="shared" si="48"/>
        <v>2.9712755562517245E-4</v>
      </c>
    </row>
    <row r="413" spans="1:16" x14ac:dyDescent="0.25">
      <c r="A413">
        <v>20.55</v>
      </c>
      <c r="B413">
        <v>2.1999999999999999E-2</v>
      </c>
      <c r="C413">
        <v>7.5999999999999998E-2</v>
      </c>
      <c r="H413">
        <f t="shared" si="42"/>
        <v>20.55</v>
      </c>
      <c r="I413">
        <f t="shared" si="43"/>
        <v>2.1999999999999999E-2</v>
      </c>
      <c r="J413">
        <f t="shared" si="44"/>
        <v>5.6773892904294118E-2</v>
      </c>
      <c r="K413">
        <f t="shared" si="45"/>
        <v>147.35095147924645</v>
      </c>
      <c r="L413">
        <f t="shared" si="46"/>
        <v>7.5698523872392144E-4</v>
      </c>
      <c r="O413">
        <f t="shared" si="47"/>
        <v>133.95541043567857</v>
      </c>
      <c r="P413">
        <f t="shared" si="48"/>
        <v>3.0983717096675533E-4</v>
      </c>
    </row>
    <row r="414" spans="1:16" x14ac:dyDescent="0.25">
      <c r="A414">
        <v>20.6</v>
      </c>
      <c r="B414">
        <v>2.1999999999999999E-2</v>
      </c>
      <c r="C414">
        <v>7.4999999999999997E-2</v>
      </c>
      <c r="H414">
        <f t="shared" si="42"/>
        <v>20.6</v>
      </c>
      <c r="I414">
        <f t="shared" si="43"/>
        <v>2.1999999999999999E-2</v>
      </c>
      <c r="J414">
        <f t="shared" si="44"/>
        <v>5.5727114054912839E-2</v>
      </c>
      <c r="K414">
        <f t="shared" si="45"/>
        <v>147.35095147924645</v>
      </c>
      <c r="L414">
        <f t="shared" si="46"/>
        <v>7.4302818739883773E-4</v>
      </c>
      <c r="O414">
        <f t="shared" si="47"/>
        <v>133.95541043567857</v>
      </c>
      <c r="P414">
        <f t="shared" si="48"/>
        <v>2.9588011964167162E-4</v>
      </c>
    </row>
    <row r="415" spans="1:16" x14ac:dyDescent="0.25">
      <c r="A415">
        <v>20.65</v>
      </c>
      <c r="B415">
        <v>2.1999999999999999E-2</v>
      </c>
      <c r="C415">
        <v>7.6999999999999999E-2</v>
      </c>
      <c r="H415">
        <f t="shared" si="42"/>
        <v>20.65</v>
      </c>
      <c r="I415">
        <f t="shared" si="43"/>
        <v>2.1999999999999999E-2</v>
      </c>
      <c r="J415">
        <f t="shared" si="44"/>
        <v>5.7680335205531563E-2</v>
      </c>
      <c r="K415">
        <f t="shared" si="45"/>
        <v>147.35095147924645</v>
      </c>
      <c r="L415">
        <f t="shared" si="46"/>
        <v>7.6907113607375401E-4</v>
      </c>
      <c r="O415">
        <f t="shared" si="47"/>
        <v>133.95541043567857</v>
      </c>
      <c r="P415">
        <f t="shared" si="48"/>
        <v>3.219230683165879E-4</v>
      </c>
    </row>
    <row r="416" spans="1:16" x14ac:dyDescent="0.25">
      <c r="A416">
        <v>20.7</v>
      </c>
      <c r="B416">
        <v>2.1999999999999999E-2</v>
      </c>
      <c r="C416">
        <v>7.5999999999999998E-2</v>
      </c>
      <c r="H416">
        <f t="shared" si="42"/>
        <v>20.7</v>
      </c>
      <c r="I416">
        <f t="shared" si="43"/>
        <v>2.1999999999999999E-2</v>
      </c>
      <c r="J416">
        <f t="shared" si="44"/>
        <v>5.6633556356150284E-2</v>
      </c>
      <c r="K416">
        <f t="shared" si="45"/>
        <v>147.35095147924645</v>
      </c>
      <c r="L416">
        <f t="shared" si="46"/>
        <v>7.551140847486703E-4</v>
      </c>
      <c r="O416">
        <f t="shared" si="47"/>
        <v>133.95541043567857</v>
      </c>
      <c r="P416">
        <f t="shared" si="48"/>
        <v>3.0796601699150419E-4</v>
      </c>
    </row>
    <row r="417" spans="1:16" x14ac:dyDescent="0.25">
      <c r="A417">
        <v>20.75</v>
      </c>
      <c r="B417">
        <v>2.1999999999999999E-2</v>
      </c>
      <c r="C417">
        <v>7.6999999999999999E-2</v>
      </c>
      <c r="H417">
        <f t="shared" si="42"/>
        <v>20.75</v>
      </c>
      <c r="I417">
        <f t="shared" si="43"/>
        <v>2.1999999999999999E-2</v>
      </c>
      <c r="J417">
        <f t="shared" si="44"/>
        <v>5.7586777506769007E-2</v>
      </c>
      <c r="K417">
        <f t="shared" si="45"/>
        <v>147.35095147924645</v>
      </c>
      <c r="L417">
        <f t="shared" si="46"/>
        <v>7.6782370009025329E-4</v>
      </c>
      <c r="O417">
        <f t="shared" si="47"/>
        <v>133.95541043567857</v>
      </c>
      <c r="P417">
        <f t="shared" si="48"/>
        <v>3.2067563233308718E-4</v>
      </c>
    </row>
    <row r="418" spans="1:16" x14ac:dyDescent="0.25">
      <c r="A418">
        <v>20.8</v>
      </c>
      <c r="B418">
        <v>2.1999999999999999E-2</v>
      </c>
      <c r="C418">
        <v>7.5999999999999998E-2</v>
      </c>
      <c r="H418">
        <f t="shared" si="42"/>
        <v>20.8</v>
      </c>
      <c r="I418">
        <f t="shared" si="43"/>
        <v>2.1999999999999999E-2</v>
      </c>
      <c r="J418">
        <f t="shared" si="44"/>
        <v>5.6539998657387722E-2</v>
      </c>
      <c r="K418">
        <f t="shared" si="45"/>
        <v>147.35095147924645</v>
      </c>
      <c r="L418">
        <f t="shared" si="46"/>
        <v>7.5386664876516947E-4</v>
      </c>
      <c r="O418">
        <f t="shared" si="47"/>
        <v>133.95541043567857</v>
      </c>
      <c r="P418">
        <f t="shared" si="48"/>
        <v>3.0671858100800336E-4</v>
      </c>
    </row>
    <row r="419" spans="1:16" x14ac:dyDescent="0.25">
      <c r="A419">
        <v>20.85</v>
      </c>
      <c r="B419">
        <v>2.1999999999999999E-2</v>
      </c>
      <c r="C419">
        <v>7.6999999999999999E-2</v>
      </c>
      <c r="H419">
        <f t="shared" si="42"/>
        <v>20.85</v>
      </c>
      <c r="I419">
        <f t="shared" si="43"/>
        <v>2.1999999999999999E-2</v>
      </c>
      <c r="J419">
        <f t="shared" si="44"/>
        <v>5.7493219808006445E-2</v>
      </c>
      <c r="K419">
        <f t="shared" si="45"/>
        <v>147.35095147924645</v>
      </c>
      <c r="L419">
        <f t="shared" si="46"/>
        <v>7.6657626410675246E-4</v>
      </c>
      <c r="O419">
        <f t="shared" si="47"/>
        <v>133.95541043567857</v>
      </c>
      <c r="P419">
        <f t="shared" si="48"/>
        <v>3.1942819634958635E-4</v>
      </c>
    </row>
    <row r="420" spans="1:16" x14ac:dyDescent="0.25">
      <c r="A420">
        <v>20.9</v>
      </c>
      <c r="B420">
        <v>2.1999999999999999E-2</v>
      </c>
      <c r="C420">
        <v>7.5999999999999998E-2</v>
      </c>
      <c r="H420">
        <f t="shared" si="42"/>
        <v>20.9</v>
      </c>
      <c r="I420">
        <f t="shared" si="43"/>
        <v>2.1999999999999999E-2</v>
      </c>
      <c r="J420">
        <f t="shared" si="44"/>
        <v>5.6446440958625166E-2</v>
      </c>
      <c r="K420">
        <f t="shared" si="45"/>
        <v>147.35095147924645</v>
      </c>
      <c r="L420">
        <f t="shared" si="46"/>
        <v>7.5261921278166875E-4</v>
      </c>
      <c r="O420">
        <f t="shared" si="47"/>
        <v>133.95541043567857</v>
      </c>
      <c r="P420">
        <f t="shared" si="48"/>
        <v>3.0547114502450264E-4</v>
      </c>
    </row>
    <row r="421" spans="1:16" x14ac:dyDescent="0.25">
      <c r="A421">
        <v>20.95</v>
      </c>
      <c r="B421">
        <v>2.1999999999999999E-2</v>
      </c>
      <c r="C421">
        <v>7.6999999999999999E-2</v>
      </c>
      <c r="H421">
        <f t="shared" si="42"/>
        <v>20.95</v>
      </c>
      <c r="I421">
        <f t="shared" si="43"/>
        <v>2.1999999999999999E-2</v>
      </c>
      <c r="J421">
        <f t="shared" si="44"/>
        <v>5.7399662109243889E-2</v>
      </c>
      <c r="K421">
        <f t="shared" si="45"/>
        <v>147.35095147924645</v>
      </c>
      <c r="L421">
        <f t="shared" si="46"/>
        <v>7.6532882812325174E-4</v>
      </c>
      <c r="O421">
        <f t="shared" si="47"/>
        <v>133.95541043567857</v>
      </c>
      <c r="P421">
        <f t="shared" si="48"/>
        <v>3.1818076036608563E-4</v>
      </c>
    </row>
    <row r="422" spans="1:16" x14ac:dyDescent="0.25">
      <c r="A422">
        <v>21</v>
      </c>
      <c r="B422">
        <v>2.3E-2</v>
      </c>
      <c r="C422">
        <v>7.6999999999999999E-2</v>
      </c>
      <c r="H422">
        <f t="shared" si="42"/>
        <v>21</v>
      </c>
      <c r="I422">
        <f t="shared" si="43"/>
        <v>2.3E-2</v>
      </c>
      <c r="J422">
        <f t="shared" si="44"/>
        <v>5.7352883259862611E-2</v>
      </c>
      <c r="K422">
        <f t="shared" si="45"/>
        <v>154.04872200103037</v>
      </c>
      <c r="L422">
        <f t="shared" si="46"/>
        <v>7.6470511013150132E-4</v>
      </c>
      <c r="O422">
        <f t="shared" si="47"/>
        <v>140.6531809574625</v>
      </c>
      <c r="P422">
        <f t="shared" si="48"/>
        <v>3.1755704237433521E-4</v>
      </c>
    </row>
    <row r="423" spans="1:16" x14ac:dyDescent="0.25">
      <c r="A423">
        <v>21.05</v>
      </c>
      <c r="B423">
        <v>2.1999999999999999E-2</v>
      </c>
      <c r="C423">
        <v>7.8E-2</v>
      </c>
      <c r="H423">
        <f t="shared" si="42"/>
        <v>21.05</v>
      </c>
      <c r="I423">
        <f t="shared" si="43"/>
        <v>2.1999999999999999E-2</v>
      </c>
      <c r="J423">
        <f t="shared" si="44"/>
        <v>5.8306104410481327E-2</v>
      </c>
      <c r="K423">
        <f t="shared" si="45"/>
        <v>147.35095147924645</v>
      </c>
      <c r="L423">
        <f t="shared" si="46"/>
        <v>7.774147254730842E-4</v>
      </c>
      <c r="O423">
        <f t="shared" si="47"/>
        <v>133.95541043567857</v>
      </c>
      <c r="P423">
        <f t="shared" si="48"/>
        <v>3.3026665771591809E-4</v>
      </c>
    </row>
    <row r="424" spans="1:16" x14ac:dyDescent="0.25">
      <c r="A424">
        <v>21.1</v>
      </c>
      <c r="B424">
        <v>2.1999999999999999E-2</v>
      </c>
      <c r="C424">
        <v>7.6999999999999999E-2</v>
      </c>
      <c r="H424">
        <f t="shared" si="42"/>
        <v>21.1</v>
      </c>
      <c r="I424">
        <f t="shared" si="43"/>
        <v>2.1999999999999999E-2</v>
      </c>
      <c r="J424">
        <f t="shared" si="44"/>
        <v>5.7259325561100048E-2</v>
      </c>
      <c r="K424">
        <f t="shared" si="45"/>
        <v>147.35095147924645</v>
      </c>
      <c r="L424">
        <f t="shared" si="46"/>
        <v>7.6345767414800049E-4</v>
      </c>
      <c r="O424">
        <f t="shared" si="47"/>
        <v>133.95541043567857</v>
      </c>
      <c r="P424">
        <f t="shared" si="48"/>
        <v>3.1630960639083438E-4</v>
      </c>
    </row>
    <row r="425" spans="1:16" x14ac:dyDescent="0.25">
      <c r="A425">
        <v>21.15</v>
      </c>
      <c r="B425">
        <v>2.1999999999999999E-2</v>
      </c>
      <c r="C425">
        <v>7.8E-2</v>
      </c>
      <c r="H425">
        <f t="shared" si="42"/>
        <v>21.15</v>
      </c>
      <c r="I425">
        <f t="shared" si="43"/>
        <v>2.1999999999999999E-2</v>
      </c>
      <c r="J425">
        <f t="shared" si="44"/>
        <v>5.8212546711718771E-2</v>
      </c>
      <c r="K425">
        <f t="shared" si="45"/>
        <v>147.35095147924645</v>
      </c>
      <c r="L425">
        <f t="shared" si="46"/>
        <v>7.7616728948958348E-4</v>
      </c>
      <c r="O425">
        <f t="shared" si="47"/>
        <v>133.95541043567857</v>
      </c>
      <c r="P425">
        <f t="shared" si="48"/>
        <v>3.2901922173241737E-4</v>
      </c>
    </row>
    <row r="426" spans="1:16" x14ac:dyDescent="0.25">
      <c r="A426">
        <v>21.2</v>
      </c>
      <c r="B426">
        <v>2.1999999999999999E-2</v>
      </c>
      <c r="C426">
        <v>7.5999999999999998E-2</v>
      </c>
      <c r="H426">
        <f t="shared" si="42"/>
        <v>21.2</v>
      </c>
      <c r="I426">
        <f t="shared" si="43"/>
        <v>2.1999999999999999E-2</v>
      </c>
      <c r="J426">
        <f t="shared" si="44"/>
        <v>5.6165767862337485E-2</v>
      </c>
      <c r="K426">
        <f t="shared" si="45"/>
        <v>147.35095147924645</v>
      </c>
      <c r="L426">
        <f t="shared" si="46"/>
        <v>7.4887690483116636E-4</v>
      </c>
      <c r="O426">
        <f t="shared" si="47"/>
        <v>133.95541043567857</v>
      </c>
      <c r="P426">
        <f t="shared" si="48"/>
        <v>3.0172883707400025E-4</v>
      </c>
    </row>
    <row r="427" spans="1:16" x14ac:dyDescent="0.25">
      <c r="A427">
        <v>21.25</v>
      </c>
      <c r="B427">
        <v>2.1999999999999999E-2</v>
      </c>
      <c r="C427">
        <v>7.8E-2</v>
      </c>
      <c r="H427">
        <f t="shared" si="42"/>
        <v>21.25</v>
      </c>
      <c r="I427">
        <f t="shared" si="43"/>
        <v>2.1999999999999999E-2</v>
      </c>
      <c r="J427">
        <f t="shared" si="44"/>
        <v>5.8118989012956215E-2</v>
      </c>
      <c r="K427">
        <f t="shared" si="45"/>
        <v>147.35095147924645</v>
      </c>
      <c r="L427">
        <f t="shared" si="46"/>
        <v>7.7491985350608276E-4</v>
      </c>
      <c r="O427">
        <f t="shared" si="47"/>
        <v>133.95541043567857</v>
      </c>
      <c r="P427">
        <f t="shared" si="48"/>
        <v>3.2777178574891665E-4</v>
      </c>
    </row>
    <row r="428" spans="1:16" x14ac:dyDescent="0.25">
      <c r="A428">
        <v>21.3</v>
      </c>
      <c r="B428">
        <v>2.1999999999999999E-2</v>
      </c>
      <c r="C428">
        <v>7.6999999999999999E-2</v>
      </c>
      <c r="H428">
        <f t="shared" si="42"/>
        <v>21.3</v>
      </c>
      <c r="I428">
        <f t="shared" si="43"/>
        <v>2.1999999999999999E-2</v>
      </c>
      <c r="J428">
        <f t="shared" si="44"/>
        <v>5.707221016357493E-2</v>
      </c>
      <c r="K428">
        <f t="shared" si="45"/>
        <v>147.35095147924645</v>
      </c>
      <c r="L428">
        <f t="shared" si="46"/>
        <v>7.6096280218099894E-4</v>
      </c>
      <c r="O428">
        <f t="shared" si="47"/>
        <v>133.95541043567857</v>
      </c>
      <c r="P428">
        <f t="shared" si="48"/>
        <v>3.1381473442383283E-4</v>
      </c>
    </row>
    <row r="429" spans="1:16" x14ac:dyDescent="0.25">
      <c r="A429">
        <v>21.35</v>
      </c>
      <c r="B429">
        <v>2.1999999999999999E-2</v>
      </c>
      <c r="C429">
        <v>7.8E-2</v>
      </c>
      <c r="H429">
        <f t="shared" si="42"/>
        <v>21.35</v>
      </c>
      <c r="I429">
        <f t="shared" si="43"/>
        <v>2.1999999999999999E-2</v>
      </c>
      <c r="J429">
        <f t="shared" si="44"/>
        <v>5.8025431314193646E-2</v>
      </c>
      <c r="K429">
        <f t="shared" si="45"/>
        <v>147.35095147924645</v>
      </c>
      <c r="L429">
        <f t="shared" si="46"/>
        <v>7.7367241752258182E-4</v>
      </c>
      <c r="O429">
        <f t="shared" si="47"/>
        <v>133.95541043567857</v>
      </c>
      <c r="P429">
        <f t="shared" si="48"/>
        <v>3.2652434976541571E-4</v>
      </c>
    </row>
    <row r="430" spans="1:16" x14ac:dyDescent="0.25">
      <c r="A430">
        <v>21.4</v>
      </c>
      <c r="B430">
        <v>2.3E-2</v>
      </c>
      <c r="C430">
        <v>7.6999999999999999E-2</v>
      </c>
      <c r="H430">
        <f t="shared" si="42"/>
        <v>21.4</v>
      </c>
      <c r="I430">
        <f t="shared" si="43"/>
        <v>2.3E-2</v>
      </c>
      <c r="J430">
        <f t="shared" si="44"/>
        <v>5.6978652464812374E-2</v>
      </c>
      <c r="K430">
        <f t="shared" si="45"/>
        <v>154.04872200103037</v>
      </c>
      <c r="L430">
        <f t="shared" si="46"/>
        <v>7.5971536619749821E-4</v>
      </c>
      <c r="O430">
        <f t="shared" si="47"/>
        <v>140.6531809574625</v>
      </c>
      <c r="P430">
        <f t="shared" si="48"/>
        <v>3.125672984403321E-4</v>
      </c>
    </row>
    <row r="431" spans="1:16" x14ac:dyDescent="0.25">
      <c r="A431">
        <v>21.45</v>
      </c>
      <c r="B431">
        <v>2.1999999999999999E-2</v>
      </c>
      <c r="C431">
        <v>7.8E-2</v>
      </c>
      <c r="H431">
        <f t="shared" si="42"/>
        <v>21.45</v>
      </c>
      <c r="I431">
        <f t="shared" si="43"/>
        <v>2.1999999999999999E-2</v>
      </c>
      <c r="J431">
        <f t="shared" si="44"/>
        <v>5.793187361543109E-2</v>
      </c>
      <c r="K431">
        <f t="shared" si="45"/>
        <v>147.35095147924645</v>
      </c>
      <c r="L431">
        <f t="shared" si="46"/>
        <v>7.7242498153908109E-4</v>
      </c>
      <c r="O431">
        <f t="shared" si="47"/>
        <v>133.95541043567857</v>
      </c>
      <c r="P431">
        <f t="shared" si="48"/>
        <v>3.2527691378191498E-4</v>
      </c>
    </row>
    <row r="432" spans="1:16" x14ac:dyDescent="0.25">
      <c r="A432">
        <v>21.5</v>
      </c>
      <c r="B432">
        <v>2.1999999999999999E-2</v>
      </c>
      <c r="C432">
        <v>7.6999999999999999E-2</v>
      </c>
      <c r="H432">
        <f t="shared" si="42"/>
        <v>21.5</v>
      </c>
      <c r="I432">
        <f t="shared" si="43"/>
        <v>2.1999999999999999E-2</v>
      </c>
      <c r="J432">
        <f t="shared" si="44"/>
        <v>5.6885094766049811E-2</v>
      </c>
      <c r="K432">
        <f t="shared" si="45"/>
        <v>147.35095147924645</v>
      </c>
      <c r="L432">
        <f t="shared" si="46"/>
        <v>7.5846793021399738E-4</v>
      </c>
      <c r="O432">
        <f t="shared" si="47"/>
        <v>133.95541043567857</v>
      </c>
      <c r="P432">
        <f t="shared" si="48"/>
        <v>3.1131986245683127E-4</v>
      </c>
    </row>
    <row r="433" spans="1:16" x14ac:dyDescent="0.25">
      <c r="A433">
        <v>21.55</v>
      </c>
      <c r="B433">
        <v>2.1999999999999999E-2</v>
      </c>
      <c r="C433">
        <v>7.8E-2</v>
      </c>
      <c r="H433">
        <f t="shared" si="42"/>
        <v>21.55</v>
      </c>
      <c r="I433">
        <f t="shared" si="43"/>
        <v>2.1999999999999999E-2</v>
      </c>
      <c r="J433">
        <f t="shared" si="44"/>
        <v>5.7838315916668534E-2</v>
      </c>
      <c r="K433">
        <f t="shared" si="45"/>
        <v>147.35095147924645</v>
      </c>
      <c r="L433">
        <f t="shared" si="46"/>
        <v>7.7117754555558026E-4</v>
      </c>
      <c r="O433">
        <f t="shared" si="47"/>
        <v>133.95541043567857</v>
      </c>
      <c r="P433">
        <f t="shared" si="48"/>
        <v>3.2402947779841415E-4</v>
      </c>
    </row>
    <row r="434" spans="1:16" x14ac:dyDescent="0.25">
      <c r="A434">
        <v>21.6</v>
      </c>
      <c r="B434">
        <v>2.1999999999999999E-2</v>
      </c>
      <c r="C434">
        <v>7.6999999999999999E-2</v>
      </c>
      <c r="H434">
        <f t="shared" si="42"/>
        <v>21.6</v>
      </c>
      <c r="I434">
        <f t="shared" si="43"/>
        <v>2.1999999999999999E-2</v>
      </c>
      <c r="J434">
        <f t="shared" si="44"/>
        <v>5.6791537067287248E-2</v>
      </c>
      <c r="K434">
        <f t="shared" si="45"/>
        <v>147.35095147924645</v>
      </c>
      <c r="L434">
        <f t="shared" si="46"/>
        <v>7.5722049423049644E-4</v>
      </c>
      <c r="O434">
        <f t="shared" si="47"/>
        <v>133.95541043567857</v>
      </c>
      <c r="P434">
        <f t="shared" si="48"/>
        <v>3.1007242647333033E-4</v>
      </c>
    </row>
    <row r="435" spans="1:16" x14ac:dyDescent="0.25">
      <c r="A435">
        <v>21.65</v>
      </c>
      <c r="B435">
        <v>2.1999999999999999E-2</v>
      </c>
      <c r="C435">
        <v>7.8E-2</v>
      </c>
      <c r="H435">
        <f t="shared" si="42"/>
        <v>21.65</v>
      </c>
      <c r="I435">
        <f t="shared" si="43"/>
        <v>2.1999999999999999E-2</v>
      </c>
      <c r="J435">
        <f t="shared" si="44"/>
        <v>5.7744758217905978E-2</v>
      </c>
      <c r="K435">
        <f t="shared" si="45"/>
        <v>147.35095147924645</v>
      </c>
      <c r="L435">
        <f t="shared" si="46"/>
        <v>7.6993010957207954E-4</v>
      </c>
      <c r="O435">
        <f t="shared" si="47"/>
        <v>133.95541043567857</v>
      </c>
      <c r="P435">
        <f t="shared" si="48"/>
        <v>3.2278204181491343E-4</v>
      </c>
    </row>
    <row r="436" spans="1:16" x14ac:dyDescent="0.25">
      <c r="A436">
        <v>21.7</v>
      </c>
      <c r="B436">
        <v>2.1999999999999999E-2</v>
      </c>
      <c r="C436">
        <v>7.6999999999999999E-2</v>
      </c>
      <c r="H436">
        <f t="shared" si="42"/>
        <v>21.7</v>
      </c>
      <c r="I436">
        <f t="shared" si="43"/>
        <v>2.1999999999999999E-2</v>
      </c>
      <c r="J436">
        <f t="shared" si="44"/>
        <v>5.6697979368524692E-2</v>
      </c>
      <c r="K436">
        <f t="shared" si="45"/>
        <v>147.35095147924645</v>
      </c>
      <c r="L436">
        <f t="shared" si="46"/>
        <v>7.5597305824699572E-4</v>
      </c>
      <c r="O436">
        <f t="shared" si="47"/>
        <v>133.95541043567857</v>
      </c>
      <c r="P436">
        <f t="shared" si="48"/>
        <v>3.0882499048982961E-4</v>
      </c>
    </row>
    <row r="437" spans="1:16" x14ac:dyDescent="0.25">
      <c r="A437">
        <v>21.75</v>
      </c>
      <c r="B437">
        <v>2.1999999999999999E-2</v>
      </c>
      <c r="C437">
        <v>7.8E-2</v>
      </c>
      <c r="H437">
        <f t="shared" si="42"/>
        <v>21.75</v>
      </c>
      <c r="I437">
        <f t="shared" si="43"/>
        <v>2.1999999999999999E-2</v>
      </c>
      <c r="J437">
        <f t="shared" si="44"/>
        <v>5.7651200519143415E-2</v>
      </c>
      <c r="K437">
        <f t="shared" si="45"/>
        <v>147.35095147924645</v>
      </c>
      <c r="L437">
        <f t="shared" si="46"/>
        <v>7.6868267358857871E-4</v>
      </c>
      <c r="O437">
        <f t="shared" si="47"/>
        <v>133.95541043567857</v>
      </c>
      <c r="P437">
        <f t="shared" si="48"/>
        <v>3.215346058314126E-4</v>
      </c>
    </row>
    <row r="438" spans="1:16" x14ac:dyDescent="0.25">
      <c r="A438">
        <v>21.8</v>
      </c>
      <c r="B438">
        <v>2.1999999999999999E-2</v>
      </c>
      <c r="C438">
        <v>7.6999999999999999E-2</v>
      </c>
      <c r="H438">
        <f t="shared" si="42"/>
        <v>21.8</v>
      </c>
      <c r="I438">
        <f t="shared" si="43"/>
        <v>2.1999999999999999E-2</v>
      </c>
      <c r="J438">
        <f t="shared" si="44"/>
        <v>5.6604421669762137E-2</v>
      </c>
      <c r="K438">
        <f t="shared" si="45"/>
        <v>147.35095147924645</v>
      </c>
      <c r="L438">
        <f t="shared" si="46"/>
        <v>7.54725622263495E-4</v>
      </c>
      <c r="O438">
        <f t="shared" si="47"/>
        <v>133.95541043567857</v>
      </c>
      <c r="P438">
        <f t="shared" si="48"/>
        <v>3.0757755450632889E-4</v>
      </c>
    </row>
    <row r="439" spans="1:16" x14ac:dyDescent="0.25">
      <c r="A439">
        <v>21.85</v>
      </c>
      <c r="B439">
        <v>2.1999999999999999E-2</v>
      </c>
      <c r="C439">
        <v>7.8E-2</v>
      </c>
      <c r="H439">
        <f t="shared" si="42"/>
        <v>21.85</v>
      </c>
      <c r="I439">
        <f t="shared" si="43"/>
        <v>2.1999999999999999E-2</v>
      </c>
      <c r="J439">
        <f t="shared" si="44"/>
        <v>5.7557642820380853E-2</v>
      </c>
      <c r="K439">
        <f t="shared" si="45"/>
        <v>147.35095147924645</v>
      </c>
      <c r="L439">
        <f t="shared" si="46"/>
        <v>7.6743523760507788E-4</v>
      </c>
      <c r="O439">
        <f t="shared" si="47"/>
        <v>133.95541043567857</v>
      </c>
      <c r="P439">
        <f t="shared" si="48"/>
        <v>3.2028716984791177E-4</v>
      </c>
    </row>
    <row r="440" spans="1:16" x14ac:dyDescent="0.25">
      <c r="A440">
        <v>21.9</v>
      </c>
      <c r="B440">
        <v>2.1999999999999999E-2</v>
      </c>
      <c r="C440">
        <v>7.6999999999999999E-2</v>
      </c>
      <c r="H440">
        <f t="shared" si="42"/>
        <v>21.9</v>
      </c>
      <c r="I440">
        <f t="shared" si="43"/>
        <v>2.1999999999999999E-2</v>
      </c>
      <c r="J440">
        <f t="shared" si="44"/>
        <v>5.6510863970999581E-2</v>
      </c>
      <c r="K440">
        <f t="shared" si="45"/>
        <v>147.35095147924645</v>
      </c>
      <c r="L440">
        <f t="shared" si="46"/>
        <v>7.5347818627999428E-4</v>
      </c>
      <c r="O440">
        <f t="shared" si="47"/>
        <v>133.95541043567857</v>
      </c>
      <c r="P440">
        <f t="shared" si="48"/>
        <v>3.0633011852282817E-4</v>
      </c>
    </row>
    <row r="441" spans="1:16" x14ac:dyDescent="0.25">
      <c r="A441">
        <v>21.95</v>
      </c>
      <c r="B441">
        <v>2.1999999999999999E-2</v>
      </c>
      <c r="C441">
        <v>7.8E-2</v>
      </c>
      <c r="H441">
        <f t="shared" si="42"/>
        <v>21.95</v>
      </c>
      <c r="I441">
        <f t="shared" si="43"/>
        <v>2.1999999999999999E-2</v>
      </c>
      <c r="J441">
        <f t="shared" si="44"/>
        <v>5.7464085121618297E-2</v>
      </c>
      <c r="K441">
        <f t="shared" si="45"/>
        <v>147.35095147924645</v>
      </c>
      <c r="L441">
        <f t="shared" si="46"/>
        <v>7.6618780162157716E-4</v>
      </c>
      <c r="O441">
        <f t="shared" si="47"/>
        <v>133.95541043567857</v>
      </c>
      <c r="P441">
        <f t="shared" si="48"/>
        <v>3.1903973386441105E-4</v>
      </c>
    </row>
    <row r="442" spans="1:16" x14ac:dyDescent="0.25">
      <c r="A442">
        <v>22</v>
      </c>
      <c r="B442">
        <v>2.1000000000000001E-2</v>
      </c>
      <c r="C442">
        <v>7.6999999999999999E-2</v>
      </c>
      <c r="H442">
        <f t="shared" si="42"/>
        <v>22</v>
      </c>
      <c r="I442">
        <f t="shared" si="43"/>
        <v>2.1000000000000001E-2</v>
      </c>
      <c r="J442">
        <f t="shared" si="44"/>
        <v>5.6417306272237018E-2</v>
      </c>
      <c r="K442">
        <f t="shared" si="45"/>
        <v>140.65318095746252</v>
      </c>
      <c r="L442">
        <f t="shared" si="46"/>
        <v>7.5223075029649345E-4</v>
      </c>
      <c r="O442">
        <f t="shared" si="47"/>
        <v>127.25763991389466</v>
      </c>
      <c r="P442">
        <f t="shared" si="48"/>
        <v>3.0508268253932733E-4</v>
      </c>
    </row>
    <row r="443" spans="1:16" x14ac:dyDescent="0.25">
      <c r="A443">
        <v>22.05</v>
      </c>
      <c r="B443">
        <v>2.1000000000000001E-2</v>
      </c>
      <c r="C443">
        <v>7.6999999999999999E-2</v>
      </c>
      <c r="H443">
        <f t="shared" si="42"/>
        <v>22.05</v>
      </c>
      <c r="I443">
        <f t="shared" si="43"/>
        <v>2.1000000000000001E-2</v>
      </c>
      <c r="J443">
        <f t="shared" si="44"/>
        <v>5.637052742285574E-2</v>
      </c>
      <c r="K443">
        <f t="shared" si="45"/>
        <v>140.65318095746252</v>
      </c>
      <c r="L443">
        <f t="shared" si="46"/>
        <v>7.5160703230474303E-4</v>
      </c>
      <c r="O443">
        <f t="shared" si="47"/>
        <v>127.25763991389466</v>
      </c>
      <c r="P443">
        <f t="shared" si="48"/>
        <v>3.0445896454757692E-4</v>
      </c>
    </row>
    <row r="444" spans="1:16" x14ac:dyDescent="0.25">
      <c r="A444">
        <v>22.1</v>
      </c>
      <c r="B444">
        <v>2.1000000000000001E-2</v>
      </c>
      <c r="C444">
        <v>7.5999999999999998E-2</v>
      </c>
      <c r="H444">
        <f t="shared" si="42"/>
        <v>22.1</v>
      </c>
      <c r="I444">
        <f t="shared" si="43"/>
        <v>2.1000000000000001E-2</v>
      </c>
      <c r="J444">
        <f t="shared" si="44"/>
        <v>5.5323748573474454E-2</v>
      </c>
      <c r="K444">
        <f t="shared" si="45"/>
        <v>140.65318095746252</v>
      </c>
      <c r="L444">
        <f t="shared" si="46"/>
        <v>7.3764998097965921E-4</v>
      </c>
      <c r="O444">
        <f t="shared" si="47"/>
        <v>127.25763991389466</v>
      </c>
      <c r="P444">
        <f t="shared" si="48"/>
        <v>2.905019132224931E-4</v>
      </c>
    </row>
    <row r="445" spans="1:16" x14ac:dyDescent="0.25">
      <c r="A445">
        <v>22.15</v>
      </c>
      <c r="B445">
        <v>0.02</v>
      </c>
      <c r="C445">
        <v>7.6999999999999999E-2</v>
      </c>
      <c r="H445">
        <f t="shared" si="42"/>
        <v>22.15</v>
      </c>
      <c r="I445">
        <f t="shared" si="43"/>
        <v>0.02</v>
      </c>
      <c r="J445">
        <f t="shared" si="44"/>
        <v>5.6276969724093184E-2</v>
      </c>
      <c r="K445">
        <f t="shared" si="45"/>
        <v>133.9554104356786</v>
      </c>
      <c r="L445">
        <f t="shared" si="46"/>
        <v>7.5035959632124231E-4</v>
      </c>
      <c r="O445">
        <f t="shared" si="47"/>
        <v>120.55986939211074</v>
      </c>
      <c r="P445">
        <f t="shared" si="48"/>
        <v>3.032115285640762E-4</v>
      </c>
    </row>
    <row r="446" spans="1:16" x14ac:dyDescent="0.25">
      <c r="A446">
        <v>22.2</v>
      </c>
      <c r="B446">
        <v>0.02</v>
      </c>
      <c r="C446">
        <v>7.5999999999999998E-2</v>
      </c>
      <c r="H446">
        <f t="shared" si="42"/>
        <v>22.2</v>
      </c>
      <c r="I446">
        <f t="shared" si="43"/>
        <v>0.02</v>
      </c>
      <c r="J446">
        <f t="shared" si="44"/>
        <v>5.5230190874711899E-2</v>
      </c>
      <c r="K446">
        <f t="shared" si="45"/>
        <v>133.9554104356786</v>
      </c>
      <c r="L446">
        <f t="shared" si="46"/>
        <v>7.3640254499615849E-4</v>
      </c>
      <c r="O446">
        <f t="shared" si="47"/>
        <v>120.55986939211074</v>
      </c>
      <c r="P446">
        <f t="shared" si="48"/>
        <v>2.8925447723899238E-4</v>
      </c>
    </row>
    <row r="447" spans="1:16" x14ac:dyDescent="0.25">
      <c r="A447">
        <v>22.25</v>
      </c>
      <c r="B447">
        <v>0.02</v>
      </c>
      <c r="C447">
        <v>7.6999999999999999E-2</v>
      </c>
      <c r="H447">
        <f t="shared" si="42"/>
        <v>22.25</v>
      </c>
      <c r="I447">
        <f t="shared" si="43"/>
        <v>0.02</v>
      </c>
      <c r="J447">
        <f t="shared" si="44"/>
        <v>5.6183412025330622E-2</v>
      </c>
      <c r="K447">
        <f t="shared" si="45"/>
        <v>133.9554104356786</v>
      </c>
      <c r="L447">
        <f t="shared" si="46"/>
        <v>7.4911216033774148E-4</v>
      </c>
      <c r="O447">
        <f t="shared" si="47"/>
        <v>120.55986939211074</v>
      </c>
      <c r="P447">
        <f t="shared" si="48"/>
        <v>3.0196409258057537E-4</v>
      </c>
    </row>
    <row r="448" spans="1:16" x14ac:dyDescent="0.25">
      <c r="A448">
        <v>22.3</v>
      </c>
      <c r="B448">
        <v>0.02</v>
      </c>
      <c r="C448">
        <v>7.4999999999999997E-2</v>
      </c>
      <c r="H448">
        <f t="shared" si="42"/>
        <v>22.3</v>
      </c>
      <c r="I448">
        <f t="shared" si="43"/>
        <v>0.02</v>
      </c>
      <c r="J448">
        <f t="shared" si="44"/>
        <v>5.4136633175949342E-2</v>
      </c>
      <c r="K448">
        <f t="shared" si="45"/>
        <v>133.9554104356786</v>
      </c>
      <c r="L448">
        <f t="shared" si="46"/>
        <v>7.2182177567932447E-4</v>
      </c>
      <c r="O448">
        <f t="shared" si="47"/>
        <v>120.55986939211074</v>
      </c>
      <c r="P448">
        <f t="shared" si="48"/>
        <v>2.7467370792215836E-4</v>
      </c>
    </row>
    <row r="449" spans="1:16" x14ac:dyDescent="0.25">
      <c r="A449">
        <v>22.35</v>
      </c>
      <c r="B449">
        <v>0.02</v>
      </c>
      <c r="C449">
        <v>7.6999999999999999E-2</v>
      </c>
      <c r="H449">
        <f t="shared" si="42"/>
        <v>22.35</v>
      </c>
      <c r="I449">
        <f t="shared" si="43"/>
        <v>0.02</v>
      </c>
      <c r="J449">
        <f t="shared" si="44"/>
        <v>5.6089854326568059E-2</v>
      </c>
      <c r="K449">
        <f t="shared" si="45"/>
        <v>133.9554104356786</v>
      </c>
      <c r="L449">
        <f t="shared" si="46"/>
        <v>7.4786472435424065E-4</v>
      </c>
      <c r="O449">
        <f t="shared" si="47"/>
        <v>120.55986939211074</v>
      </c>
      <c r="P449">
        <f t="shared" si="48"/>
        <v>3.0071665659707453E-4</v>
      </c>
    </row>
    <row r="450" spans="1:16" x14ac:dyDescent="0.25">
      <c r="A450">
        <v>22.4</v>
      </c>
      <c r="B450">
        <v>0.02</v>
      </c>
      <c r="C450">
        <v>7.4999999999999997E-2</v>
      </c>
      <c r="H450">
        <f t="shared" si="42"/>
        <v>22.4</v>
      </c>
      <c r="I450">
        <f t="shared" si="43"/>
        <v>0.02</v>
      </c>
      <c r="J450">
        <f t="shared" si="44"/>
        <v>5.4043075477186786E-2</v>
      </c>
      <c r="K450">
        <f t="shared" si="45"/>
        <v>133.9554104356786</v>
      </c>
      <c r="L450">
        <f t="shared" si="46"/>
        <v>7.2057433969582364E-4</v>
      </c>
      <c r="O450">
        <f t="shared" si="47"/>
        <v>120.55986939211074</v>
      </c>
      <c r="P450">
        <f t="shared" si="48"/>
        <v>2.7342627193865753E-4</v>
      </c>
    </row>
    <row r="451" spans="1:16" x14ac:dyDescent="0.25">
      <c r="A451">
        <v>22.45</v>
      </c>
      <c r="B451">
        <v>0.02</v>
      </c>
      <c r="C451">
        <v>7.6999999999999999E-2</v>
      </c>
      <c r="H451">
        <f t="shared" ref="H451:H514" si="49">A451</f>
        <v>22.45</v>
      </c>
      <c r="I451">
        <f t="shared" ref="I451:I514" si="50">B451</f>
        <v>0.02</v>
      </c>
      <c r="J451">
        <f t="shared" ref="J451:J514" si="51">C451-E$12*A451</f>
        <v>5.5996296627805503E-2</v>
      </c>
      <c r="K451">
        <f t="shared" ref="K451:K514" si="52">F$24*I451</f>
        <v>133.9554104356786</v>
      </c>
      <c r="L451">
        <f t="shared" ref="L451:L514" si="53">F$25*J451</f>
        <v>7.4661728837073992E-4</v>
      </c>
      <c r="O451">
        <f t="shared" ref="O451:O514" si="54">K451-N$12</f>
        <v>120.55986939211074</v>
      </c>
      <c r="P451">
        <f t="shared" ref="P451:P514" si="55">L451-N$15</f>
        <v>2.9946922061357381E-4</v>
      </c>
    </row>
    <row r="452" spans="1:16" x14ac:dyDescent="0.25">
      <c r="A452">
        <v>22.5</v>
      </c>
      <c r="B452">
        <v>0.02</v>
      </c>
      <c r="C452">
        <v>7.4999999999999997E-2</v>
      </c>
      <c r="H452">
        <f t="shared" si="49"/>
        <v>22.5</v>
      </c>
      <c r="I452">
        <f t="shared" si="50"/>
        <v>0.02</v>
      </c>
      <c r="J452">
        <f t="shared" si="51"/>
        <v>5.3949517778424216E-2</v>
      </c>
      <c r="K452">
        <f t="shared" si="52"/>
        <v>133.9554104356786</v>
      </c>
      <c r="L452">
        <f t="shared" si="53"/>
        <v>7.193269037123227E-4</v>
      </c>
      <c r="O452">
        <f t="shared" si="54"/>
        <v>120.55986939211074</v>
      </c>
      <c r="P452">
        <f t="shared" si="55"/>
        <v>2.7217883595515659E-4</v>
      </c>
    </row>
    <row r="453" spans="1:16" x14ac:dyDescent="0.25">
      <c r="A453">
        <v>22.55</v>
      </c>
      <c r="B453">
        <v>0.02</v>
      </c>
      <c r="C453">
        <v>7.6999999999999999E-2</v>
      </c>
      <c r="H453">
        <f t="shared" si="49"/>
        <v>22.55</v>
      </c>
      <c r="I453">
        <f t="shared" si="50"/>
        <v>0.02</v>
      </c>
      <c r="J453">
        <f t="shared" si="51"/>
        <v>5.5902738929042947E-2</v>
      </c>
      <c r="K453">
        <f t="shared" si="52"/>
        <v>133.9554104356786</v>
      </c>
      <c r="L453">
        <f t="shared" si="53"/>
        <v>7.453698523872392E-4</v>
      </c>
      <c r="O453">
        <f t="shared" si="54"/>
        <v>120.55986939211074</v>
      </c>
      <c r="P453">
        <f t="shared" si="55"/>
        <v>2.9822178463007309E-4</v>
      </c>
    </row>
    <row r="454" spans="1:16" x14ac:dyDescent="0.25">
      <c r="A454">
        <v>22.6</v>
      </c>
      <c r="B454">
        <v>0.02</v>
      </c>
      <c r="C454">
        <v>7.5999999999999998E-2</v>
      </c>
      <c r="H454">
        <f t="shared" si="49"/>
        <v>22.6</v>
      </c>
      <c r="I454">
        <f t="shared" si="50"/>
        <v>0.02</v>
      </c>
      <c r="J454">
        <f t="shared" si="51"/>
        <v>5.4855960079661661E-2</v>
      </c>
      <c r="K454">
        <f t="shared" si="52"/>
        <v>133.9554104356786</v>
      </c>
      <c r="L454">
        <f t="shared" si="53"/>
        <v>7.3141280106215538E-4</v>
      </c>
      <c r="O454">
        <f t="shared" si="54"/>
        <v>120.55986939211074</v>
      </c>
      <c r="P454">
        <f t="shared" si="55"/>
        <v>2.8426473330498927E-4</v>
      </c>
    </row>
    <row r="455" spans="1:16" x14ac:dyDescent="0.25">
      <c r="A455">
        <v>22.65</v>
      </c>
      <c r="B455">
        <v>0.02</v>
      </c>
      <c r="C455">
        <v>7.5999999999999998E-2</v>
      </c>
      <c r="H455">
        <f t="shared" si="49"/>
        <v>22.65</v>
      </c>
      <c r="I455">
        <f t="shared" si="50"/>
        <v>0.02</v>
      </c>
      <c r="J455">
        <f t="shared" si="51"/>
        <v>5.4809181230280384E-2</v>
      </c>
      <c r="K455">
        <f t="shared" si="52"/>
        <v>133.9554104356786</v>
      </c>
      <c r="L455">
        <f t="shared" si="53"/>
        <v>7.3078908307040496E-4</v>
      </c>
      <c r="O455">
        <f t="shared" si="54"/>
        <v>120.55986939211074</v>
      </c>
      <c r="P455">
        <f t="shared" si="55"/>
        <v>2.8364101531323885E-4</v>
      </c>
    </row>
    <row r="456" spans="1:16" x14ac:dyDescent="0.25">
      <c r="A456">
        <v>22.7</v>
      </c>
      <c r="B456">
        <v>1.9E-2</v>
      </c>
      <c r="C456">
        <v>7.4999999999999997E-2</v>
      </c>
      <c r="H456">
        <f t="shared" si="49"/>
        <v>22.7</v>
      </c>
      <c r="I456">
        <f t="shared" si="50"/>
        <v>1.9E-2</v>
      </c>
      <c r="J456">
        <f t="shared" si="51"/>
        <v>5.3762402380899105E-2</v>
      </c>
      <c r="K456">
        <f t="shared" si="52"/>
        <v>127.25763991389465</v>
      </c>
      <c r="L456">
        <f t="shared" si="53"/>
        <v>7.1683203174532125E-4</v>
      </c>
      <c r="O456">
        <f t="shared" si="54"/>
        <v>113.86209887032679</v>
      </c>
      <c r="P456">
        <f t="shared" si="55"/>
        <v>2.6968396398815514E-4</v>
      </c>
    </row>
    <row r="457" spans="1:16" x14ac:dyDescent="0.25">
      <c r="A457">
        <v>22.75</v>
      </c>
      <c r="B457">
        <v>0.02</v>
      </c>
      <c r="C457">
        <v>7.5999999999999998E-2</v>
      </c>
      <c r="H457">
        <f t="shared" si="49"/>
        <v>22.75</v>
      </c>
      <c r="I457">
        <f t="shared" si="50"/>
        <v>0.02</v>
      </c>
      <c r="J457">
        <f t="shared" si="51"/>
        <v>5.4715623531517821E-2</v>
      </c>
      <c r="K457">
        <f t="shared" si="52"/>
        <v>133.9554104356786</v>
      </c>
      <c r="L457">
        <f t="shared" si="53"/>
        <v>7.2954164708690413E-4</v>
      </c>
      <c r="O457">
        <f t="shared" si="54"/>
        <v>120.55986939211074</v>
      </c>
      <c r="P457">
        <f t="shared" si="55"/>
        <v>2.8239357932973802E-4</v>
      </c>
    </row>
    <row r="458" spans="1:16" x14ac:dyDescent="0.25">
      <c r="A458">
        <v>22.8</v>
      </c>
      <c r="B458">
        <v>1.9E-2</v>
      </c>
      <c r="C458">
        <v>7.4999999999999997E-2</v>
      </c>
      <c r="H458">
        <f t="shared" si="49"/>
        <v>22.8</v>
      </c>
      <c r="I458">
        <f t="shared" si="50"/>
        <v>1.9E-2</v>
      </c>
      <c r="J458">
        <f t="shared" si="51"/>
        <v>5.3668844682136542E-2</v>
      </c>
      <c r="K458">
        <f t="shared" si="52"/>
        <v>127.25763991389465</v>
      </c>
      <c r="L458">
        <f t="shared" si="53"/>
        <v>7.1558459576182042E-4</v>
      </c>
      <c r="O458">
        <f t="shared" si="54"/>
        <v>113.86209887032679</v>
      </c>
      <c r="P458">
        <f t="shared" si="55"/>
        <v>2.6843652800465431E-4</v>
      </c>
    </row>
    <row r="459" spans="1:16" x14ac:dyDescent="0.25">
      <c r="A459">
        <v>22.85</v>
      </c>
      <c r="B459">
        <v>1.9E-2</v>
      </c>
      <c r="C459">
        <v>7.5999999999999998E-2</v>
      </c>
      <c r="H459">
        <f t="shared" si="49"/>
        <v>22.85</v>
      </c>
      <c r="I459">
        <f t="shared" si="50"/>
        <v>1.9E-2</v>
      </c>
      <c r="J459">
        <f t="shared" si="51"/>
        <v>5.4622065832755265E-2</v>
      </c>
      <c r="K459">
        <f t="shared" si="52"/>
        <v>127.25763991389465</v>
      </c>
      <c r="L459">
        <f t="shared" si="53"/>
        <v>7.2829421110340341E-4</v>
      </c>
      <c r="O459">
        <f t="shared" si="54"/>
        <v>113.86209887032679</v>
      </c>
      <c r="P459">
        <f t="shared" si="55"/>
        <v>2.811461433462373E-4</v>
      </c>
    </row>
    <row r="460" spans="1:16" x14ac:dyDescent="0.25">
      <c r="A460">
        <v>22.9</v>
      </c>
      <c r="B460">
        <v>1.9E-2</v>
      </c>
      <c r="C460">
        <v>7.4999999999999997E-2</v>
      </c>
      <c r="H460">
        <f t="shared" si="49"/>
        <v>22.9</v>
      </c>
      <c r="I460">
        <f t="shared" si="50"/>
        <v>1.9E-2</v>
      </c>
      <c r="J460">
        <f t="shared" si="51"/>
        <v>5.3575286983373986E-2</v>
      </c>
      <c r="K460">
        <f t="shared" si="52"/>
        <v>127.25763991389465</v>
      </c>
      <c r="L460">
        <f t="shared" si="53"/>
        <v>7.143371597783197E-4</v>
      </c>
      <c r="O460">
        <f t="shared" si="54"/>
        <v>113.86209887032679</v>
      </c>
      <c r="P460">
        <f t="shared" si="55"/>
        <v>2.6718909202115359E-4</v>
      </c>
    </row>
    <row r="461" spans="1:16" x14ac:dyDescent="0.25">
      <c r="A461">
        <v>22.95</v>
      </c>
      <c r="B461">
        <v>1.9E-2</v>
      </c>
      <c r="C461">
        <v>7.5999999999999998E-2</v>
      </c>
      <c r="H461">
        <f t="shared" si="49"/>
        <v>22.95</v>
      </c>
      <c r="I461">
        <f t="shared" si="50"/>
        <v>1.9E-2</v>
      </c>
      <c r="J461">
        <f t="shared" si="51"/>
        <v>5.4528508133992709E-2</v>
      </c>
      <c r="K461">
        <f t="shared" si="52"/>
        <v>127.25763991389465</v>
      </c>
      <c r="L461">
        <f t="shared" si="53"/>
        <v>7.2704677511990269E-4</v>
      </c>
      <c r="O461">
        <f t="shared" si="54"/>
        <v>113.86209887032679</v>
      </c>
      <c r="P461">
        <f t="shared" si="55"/>
        <v>2.7989870736273658E-4</v>
      </c>
    </row>
    <row r="462" spans="1:16" x14ac:dyDescent="0.25">
      <c r="A462">
        <v>23</v>
      </c>
      <c r="B462">
        <v>1.9E-2</v>
      </c>
      <c r="C462">
        <v>7.3999999999999996E-2</v>
      </c>
      <c r="H462">
        <f t="shared" si="49"/>
        <v>23</v>
      </c>
      <c r="I462">
        <f t="shared" si="50"/>
        <v>1.9E-2</v>
      </c>
      <c r="J462">
        <f t="shared" si="51"/>
        <v>5.2481729284611423E-2</v>
      </c>
      <c r="K462">
        <f t="shared" si="52"/>
        <v>127.25763991389465</v>
      </c>
      <c r="L462">
        <f t="shared" si="53"/>
        <v>6.9975639046148546E-4</v>
      </c>
      <c r="O462">
        <f t="shared" si="54"/>
        <v>113.86209887032679</v>
      </c>
      <c r="P462">
        <f t="shared" si="55"/>
        <v>2.5260832270431935E-4</v>
      </c>
    </row>
    <row r="463" spans="1:16" x14ac:dyDescent="0.25">
      <c r="A463">
        <v>23.05</v>
      </c>
      <c r="B463">
        <v>1.9E-2</v>
      </c>
      <c r="C463">
        <v>7.4999999999999997E-2</v>
      </c>
      <c r="H463">
        <f t="shared" si="49"/>
        <v>23.05</v>
      </c>
      <c r="I463">
        <f t="shared" si="50"/>
        <v>1.9E-2</v>
      </c>
      <c r="J463">
        <f t="shared" si="51"/>
        <v>5.3434950435230145E-2</v>
      </c>
      <c r="K463">
        <f t="shared" si="52"/>
        <v>127.25763991389465</v>
      </c>
      <c r="L463">
        <f t="shared" si="53"/>
        <v>7.1246600580306845E-4</v>
      </c>
      <c r="O463">
        <f t="shared" si="54"/>
        <v>113.86209887032679</v>
      </c>
      <c r="P463">
        <f t="shared" si="55"/>
        <v>2.6531793804590234E-4</v>
      </c>
    </row>
    <row r="464" spans="1:16" x14ac:dyDescent="0.25">
      <c r="A464">
        <v>23.1</v>
      </c>
      <c r="B464">
        <v>1.7999999999999999E-2</v>
      </c>
      <c r="C464">
        <v>7.3999999999999996E-2</v>
      </c>
      <c r="H464">
        <f t="shared" si="49"/>
        <v>23.1</v>
      </c>
      <c r="I464">
        <f t="shared" si="50"/>
        <v>1.7999999999999999E-2</v>
      </c>
      <c r="J464">
        <f t="shared" si="51"/>
        <v>5.2388171585848867E-2</v>
      </c>
      <c r="K464">
        <f t="shared" si="52"/>
        <v>120.55986939211071</v>
      </c>
      <c r="L464">
        <f t="shared" si="53"/>
        <v>6.9850895447798474E-4</v>
      </c>
      <c r="O464">
        <f t="shared" si="54"/>
        <v>107.16432834854285</v>
      </c>
      <c r="P464">
        <f t="shared" si="55"/>
        <v>2.5136088672081863E-4</v>
      </c>
    </row>
    <row r="465" spans="1:16" x14ac:dyDescent="0.25">
      <c r="A465">
        <v>23.15</v>
      </c>
      <c r="B465">
        <v>1.7999999999999999E-2</v>
      </c>
      <c r="C465">
        <v>7.4999999999999997E-2</v>
      </c>
      <c r="H465">
        <f t="shared" si="49"/>
        <v>23.15</v>
      </c>
      <c r="I465">
        <f t="shared" si="50"/>
        <v>1.7999999999999999E-2</v>
      </c>
      <c r="J465">
        <f t="shared" si="51"/>
        <v>5.334139273646759E-2</v>
      </c>
      <c r="K465">
        <f t="shared" si="52"/>
        <v>120.55986939211071</v>
      </c>
      <c r="L465">
        <f t="shared" si="53"/>
        <v>7.1121856981956773E-4</v>
      </c>
      <c r="O465">
        <f t="shared" si="54"/>
        <v>107.16432834854285</v>
      </c>
      <c r="P465">
        <f t="shared" si="55"/>
        <v>2.6407050206240162E-4</v>
      </c>
    </row>
    <row r="466" spans="1:16" x14ac:dyDescent="0.25">
      <c r="A466">
        <v>23.2</v>
      </c>
      <c r="B466">
        <v>1.7999999999999999E-2</v>
      </c>
      <c r="C466">
        <v>7.3999999999999996E-2</v>
      </c>
      <c r="H466">
        <f t="shared" si="49"/>
        <v>23.2</v>
      </c>
      <c r="I466">
        <f t="shared" si="50"/>
        <v>1.7999999999999999E-2</v>
      </c>
      <c r="J466">
        <f t="shared" si="51"/>
        <v>5.2294613887086311E-2</v>
      </c>
      <c r="K466">
        <f t="shared" si="52"/>
        <v>120.55986939211071</v>
      </c>
      <c r="L466">
        <f t="shared" si="53"/>
        <v>6.9726151849448402E-4</v>
      </c>
      <c r="O466">
        <f t="shared" si="54"/>
        <v>107.16432834854285</v>
      </c>
      <c r="P466">
        <f t="shared" si="55"/>
        <v>2.5011345073731791E-4</v>
      </c>
    </row>
    <row r="467" spans="1:16" x14ac:dyDescent="0.25">
      <c r="A467">
        <v>23.25</v>
      </c>
      <c r="B467">
        <v>1.7999999999999999E-2</v>
      </c>
      <c r="C467">
        <v>7.4999999999999997E-2</v>
      </c>
      <c r="H467">
        <f t="shared" si="49"/>
        <v>23.25</v>
      </c>
      <c r="I467">
        <f t="shared" si="50"/>
        <v>1.7999999999999999E-2</v>
      </c>
      <c r="J467">
        <f t="shared" si="51"/>
        <v>5.3247835037705027E-2</v>
      </c>
      <c r="K467">
        <f t="shared" si="52"/>
        <v>120.55986939211071</v>
      </c>
      <c r="L467">
        <f t="shared" si="53"/>
        <v>7.099711338360669E-4</v>
      </c>
      <c r="O467">
        <f t="shared" si="54"/>
        <v>107.16432834854285</v>
      </c>
      <c r="P467">
        <f t="shared" si="55"/>
        <v>2.6282306607890079E-4</v>
      </c>
    </row>
    <row r="468" spans="1:16" x14ac:dyDescent="0.25">
      <c r="A468">
        <v>23.3</v>
      </c>
      <c r="B468">
        <v>1.7999999999999999E-2</v>
      </c>
      <c r="C468">
        <v>7.3999999999999996E-2</v>
      </c>
      <c r="H468">
        <f t="shared" si="49"/>
        <v>23.3</v>
      </c>
      <c r="I468">
        <f t="shared" si="50"/>
        <v>1.7999999999999999E-2</v>
      </c>
      <c r="J468">
        <f t="shared" si="51"/>
        <v>5.2201056188323748E-2</v>
      </c>
      <c r="K468">
        <f t="shared" si="52"/>
        <v>120.55986939211071</v>
      </c>
      <c r="L468">
        <f t="shared" si="53"/>
        <v>6.9601408251098319E-4</v>
      </c>
      <c r="O468">
        <f t="shared" si="54"/>
        <v>107.16432834854285</v>
      </c>
      <c r="P468">
        <f t="shared" si="55"/>
        <v>2.4886601475381708E-4</v>
      </c>
    </row>
    <row r="469" spans="1:16" x14ac:dyDescent="0.25">
      <c r="A469">
        <v>23.35</v>
      </c>
      <c r="B469">
        <v>1.7999999999999999E-2</v>
      </c>
      <c r="C469">
        <v>7.4999999999999997E-2</v>
      </c>
      <c r="H469">
        <f t="shared" si="49"/>
        <v>23.35</v>
      </c>
      <c r="I469">
        <f t="shared" si="50"/>
        <v>1.7999999999999999E-2</v>
      </c>
      <c r="J469">
        <f t="shared" si="51"/>
        <v>5.3154277338942471E-2</v>
      </c>
      <c r="K469">
        <f t="shared" si="52"/>
        <v>120.55986939211071</v>
      </c>
      <c r="L469">
        <f t="shared" si="53"/>
        <v>7.0872369785256618E-4</v>
      </c>
      <c r="O469">
        <f t="shared" si="54"/>
        <v>107.16432834854285</v>
      </c>
      <c r="P469">
        <f t="shared" si="55"/>
        <v>2.6157563009540007E-4</v>
      </c>
    </row>
    <row r="470" spans="1:16" x14ac:dyDescent="0.25">
      <c r="A470">
        <v>23.4</v>
      </c>
      <c r="B470">
        <v>1.7999999999999999E-2</v>
      </c>
      <c r="C470">
        <v>7.3999999999999996E-2</v>
      </c>
      <c r="H470">
        <f t="shared" si="49"/>
        <v>23.4</v>
      </c>
      <c r="I470">
        <f t="shared" si="50"/>
        <v>1.7999999999999999E-2</v>
      </c>
      <c r="J470">
        <f t="shared" si="51"/>
        <v>5.2107498489561185E-2</v>
      </c>
      <c r="K470">
        <f t="shared" si="52"/>
        <v>120.55986939211071</v>
      </c>
      <c r="L470">
        <f t="shared" si="53"/>
        <v>6.9476664652748236E-4</v>
      </c>
      <c r="O470">
        <f t="shared" si="54"/>
        <v>107.16432834854285</v>
      </c>
      <c r="P470">
        <f t="shared" si="55"/>
        <v>2.4761857877031625E-4</v>
      </c>
    </row>
    <row r="471" spans="1:16" x14ac:dyDescent="0.25">
      <c r="A471">
        <v>23.45</v>
      </c>
      <c r="B471">
        <v>1.7999999999999999E-2</v>
      </c>
      <c r="C471">
        <v>7.4999999999999997E-2</v>
      </c>
      <c r="H471">
        <f t="shared" si="49"/>
        <v>23.45</v>
      </c>
      <c r="I471">
        <f t="shared" si="50"/>
        <v>1.7999999999999999E-2</v>
      </c>
      <c r="J471">
        <f t="shared" si="51"/>
        <v>5.3060719640179915E-2</v>
      </c>
      <c r="K471">
        <f t="shared" si="52"/>
        <v>120.55986939211071</v>
      </c>
      <c r="L471">
        <f t="shared" si="53"/>
        <v>7.0747626186906535E-4</v>
      </c>
      <c r="O471">
        <f t="shared" si="54"/>
        <v>107.16432834854285</v>
      </c>
      <c r="P471">
        <f t="shared" si="55"/>
        <v>2.6032819411189923E-4</v>
      </c>
    </row>
    <row r="472" spans="1:16" x14ac:dyDescent="0.25">
      <c r="A472">
        <v>23.5</v>
      </c>
      <c r="B472">
        <v>1.7999999999999999E-2</v>
      </c>
      <c r="C472">
        <v>7.3999999999999996E-2</v>
      </c>
      <c r="H472">
        <f t="shared" si="49"/>
        <v>23.5</v>
      </c>
      <c r="I472">
        <f t="shared" si="50"/>
        <v>1.7999999999999999E-2</v>
      </c>
      <c r="J472">
        <f t="shared" si="51"/>
        <v>5.201394079079863E-2</v>
      </c>
      <c r="K472">
        <f t="shared" si="52"/>
        <v>120.55986939211071</v>
      </c>
      <c r="L472">
        <f t="shared" si="53"/>
        <v>6.9351921054398163E-4</v>
      </c>
      <c r="O472">
        <f t="shared" si="54"/>
        <v>107.16432834854285</v>
      </c>
      <c r="P472">
        <f t="shared" si="55"/>
        <v>2.4637114278681552E-4</v>
      </c>
    </row>
    <row r="473" spans="1:16" x14ac:dyDescent="0.25">
      <c r="A473">
        <v>23.55</v>
      </c>
      <c r="B473">
        <v>1.7999999999999999E-2</v>
      </c>
      <c r="C473">
        <v>7.4999999999999997E-2</v>
      </c>
      <c r="H473">
        <f t="shared" si="49"/>
        <v>23.55</v>
      </c>
      <c r="I473">
        <f t="shared" si="50"/>
        <v>1.7999999999999999E-2</v>
      </c>
      <c r="J473">
        <f t="shared" si="51"/>
        <v>5.2967161941417346E-2</v>
      </c>
      <c r="K473">
        <f t="shared" si="52"/>
        <v>120.55986939211071</v>
      </c>
      <c r="L473">
        <f t="shared" si="53"/>
        <v>7.0622882588556452E-4</v>
      </c>
      <c r="O473">
        <f t="shared" si="54"/>
        <v>107.16432834854285</v>
      </c>
      <c r="P473">
        <f t="shared" si="55"/>
        <v>2.590807581283984E-4</v>
      </c>
    </row>
    <row r="474" spans="1:16" x14ac:dyDescent="0.25">
      <c r="A474">
        <v>23.6</v>
      </c>
      <c r="B474">
        <v>1.7999999999999999E-2</v>
      </c>
      <c r="C474">
        <v>7.3999999999999996E-2</v>
      </c>
      <c r="H474">
        <f t="shared" si="49"/>
        <v>23.6</v>
      </c>
      <c r="I474">
        <f t="shared" si="50"/>
        <v>1.7999999999999999E-2</v>
      </c>
      <c r="J474">
        <f t="shared" si="51"/>
        <v>5.1920383092036074E-2</v>
      </c>
      <c r="K474">
        <f t="shared" si="52"/>
        <v>120.55986939211071</v>
      </c>
      <c r="L474">
        <f t="shared" si="53"/>
        <v>6.922717745604808E-4</v>
      </c>
      <c r="O474">
        <f t="shared" si="54"/>
        <v>107.16432834854285</v>
      </c>
      <c r="P474">
        <f t="shared" si="55"/>
        <v>2.4512370680331469E-4</v>
      </c>
    </row>
    <row r="475" spans="1:16" x14ac:dyDescent="0.25">
      <c r="A475">
        <v>23.65</v>
      </c>
      <c r="B475">
        <v>1.7999999999999999E-2</v>
      </c>
      <c r="C475">
        <v>7.4999999999999997E-2</v>
      </c>
      <c r="H475">
        <f t="shared" si="49"/>
        <v>23.65</v>
      </c>
      <c r="I475">
        <f t="shared" si="50"/>
        <v>1.7999999999999999E-2</v>
      </c>
      <c r="J475">
        <f t="shared" si="51"/>
        <v>5.287360424265479E-2</v>
      </c>
      <c r="K475">
        <f t="shared" si="52"/>
        <v>120.55986939211071</v>
      </c>
      <c r="L475">
        <f t="shared" si="53"/>
        <v>7.0498138990206368E-4</v>
      </c>
      <c r="O475">
        <f t="shared" si="54"/>
        <v>107.16432834854285</v>
      </c>
      <c r="P475">
        <f t="shared" si="55"/>
        <v>2.5783332214489757E-4</v>
      </c>
    </row>
    <row r="476" spans="1:16" x14ac:dyDescent="0.25">
      <c r="A476">
        <v>23.7</v>
      </c>
      <c r="B476">
        <v>1.7999999999999999E-2</v>
      </c>
      <c r="C476">
        <v>7.3999999999999996E-2</v>
      </c>
      <c r="H476">
        <f t="shared" si="49"/>
        <v>23.7</v>
      </c>
      <c r="I476">
        <f t="shared" si="50"/>
        <v>1.7999999999999999E-2</v>
      </c>
      <c r="J476">
        <f t="shared" si="51"/>
        <v>5.1826825393273511E-2</v>
      </c>
      <c r="K476">
        <f t="shared" si="52"/>
        <v>120.55986939211071</v>
      </c>
      <c r="L476">
        <f t="shared" si="53"/>
        <v>6.9102433857697997E-4</v>
      </c>
      <c r="O476">
        <f t="shared" si="54"/>
        <v>107.16432834854285</v>
      </c>
      <c r="P476">
        <f t="shared" si="55"/>
        <v>2.4387627081981386E-4</v>
      </c>
    </row>
    <row r="477" spans="1:16" x14ac:dyDescent="0.25">
      <c r="A477">
        <v>23.75</v>
      </c>
      <c r="B477">
        <v>1.7999999999999999E-2</v>
      </c>
      <c r="C477">
        <v>7.4999999999999997E-2</v>
      </c>
      <c r="H477">
        <f t="shared" si="49"/>
        <v>23.75</v>
      </c>
      <c r="I477">
        <f t="shared" si="50"/>
        <v>1.7999999999999999E-2</v>
      </c>
      <c r="J477">
        <f t="shared" si="51"/>
        <v>5.2780046543892234E-2</v>
      </c>
      <c r="K477">
        <f t="shared" si="52"/>
        <v>120.55986939211071</v>
      </c>
      <c r="L477">
        <f t="shared" si="53"/>
        <v>7.0373395391856296E-4</v>
      </c>
      <c r="O477">
        <f t="shared" si="54"/>
        <v>107.16432834854285</v>
      </c>
      <c r="P477">
        <f t="shared" si="55"/>
        <v>2.5658588616139685E-4</v>
      </c>
    </row>
    <row r="478" spans="1:16" x14ac:dyDescent="0.25">
      <c r="A478">
        <v>23.8</v>
      </c>
      <c r="B478">
        <v>1.7999999999999999E-2</v>
      </c>
      <c r="C478">
        <v>7.3999999999999996E-2</v>
      </c>
      <c r="H478">
        <f t="shared" si="49"/>
        <v>23.8</v>
      </c>
      <c r="I478">
        <f t="shared" si="50"/>
        <v>1.7999999999999999E-2</v>
      </c>
      <c r="J478">
        <f t="shared" si="51"/>
        <v>5.1733267694510948E-2</v>
      </c>
      <c r="K478">
        <f t="shared" si="52"/>
        <v>120.55986939211071</v>
      </c>
      <c r="L478">
        <f t="shared" si="53"/>
        <v>6.8977690259347914E-4</v>
      </c>
      <c r="O478">
        <f t="shared" si="54"/>
        <v>107.16432834854285</v>
      </c>
      <c r="P478">
        <f t="shared" si="55"/>
        <v>2.4262883483631303E-4</v>
      </c>
    </row>
    <row r="479" spans="1:16" x14ac:dyDescent="0.25">
      <c r="A479">
        <v>23.85</v>
      </c>
      <c r="B479">
        <v>1.7000000000000001E-2</v>
      </c>
      <c r="C479">
        <v>7.4999999999999997E-2</v>
      </c>
      <c r="H479">
        <f t="shared" si="49"/>
        <v>23.85</v>
      </c>
      <c r="I479">
        <f t="shared" si="50"/>
        <v>1.7000000000000001E-2</v>
      </c>
      <c r="J479">
        <f t="shared" si="51"/>
        <v>5.2686488845129671E-2</v>
      </c>
      <c r="K479">
        <f t="shared" si="52"/>
        <v>113.8620988703268</v>
      </c>
      <c r="L479">
        <f t="shared" si="53"/>
        <v>7.0248651793506213E-4</v>
      </c>
      <c r="O479">
        <f t="shared" si="54"/>
        <v>100.46655782675894</v>
      </c>
      <c r="P479">
        <f t="shared" si="55"/>
        <v>2.5533845017789602E-4</v>
      </c>
    </row>
    <row r="480" spans="1:16" x14ac:dyDescent="0.25">
      <c r="A480">
        <v>23.9</v>
      </c>
      <c r="B480">
        <v>1.7000000000000001E-2</v>
      </c>
      <c r="C480">
        <v>7.2999999999999995E-2</v>
      </c>
      <c r="H480">
        <f t="shared" si="49"/>
        <v>23.9</v>
      </c>
      <c r="I480">
        <f t="shared" si="50"/>
        <v>1.7000000000000001E-2</v>
      </c>
      <c r="J480">
        <f t="shared" si="51"/>
        <v>5.0639709995748391E-2</v>
      </c>
      <c r="K480">
        <f t="shared" si="52"/>
        <v>113.8620988703268</v>
      </c>
      <c r="L480">
        <f t="shared" si="53"/>
        <v>6.7519613327664512E-4</v>
      </c>
      <c r="O480">
        <f t="shared" si="54"/>
        <v>100.46655782675894</v>
      </c>
      <c r="P480">
        <f t="shared" si="55"/>
        <v>2.2804806551947901E-4</v>
      </c>
    </row>
    <row r="481" spans="1:16" x14ac:dyDescent="0.25">
      <c r="A481">
        <v>23.95</v>
      </c>
      <c r="B481">
        <v>1.7000000000000001E-2</v>
      </c>
      <c r="C481">
        <v>7.3999999999999996E-2</v>
      </c>
      <c r="H481">
        <f t="shared" si="49"/>
        <v>23.95</v>
      </c>
      <c r="I481">
        <f t="shared" si="50"/>
        <v>1.7000000000000001E-2</v>
      </c>
      <c r="J481">
        <f t="shared" si="51"/>
        <v>5.1592931146367114E-2</v>
      </c>
      <c r="K481">
        <f t="shared" si="52"/>
        <v>113.8620988703268</v>
      </c>
      <c r="L481">
        <f t="shared" si="53"/>
        <v>6.8790574861822811E-4</v>
      </c>
      <c r="O481">
        <f t="shared" si="54"/>
        <v>100.46655782675894</v>
      </c>
      <c r="P481">
        <f t="shared" si="55"/>
        <v>2.40757680861062E-4</v>
      </c>
    </row>
    <row r="482" spans="1:16" x14ac:dyDescent="0.25">
      <c r="A482">
        <v>24</v>
      </c>
      <c r="B482">
        <v>1.7000000000000001E-2</v>
      </c>
      <c r="C482">
        <v>7.2999999999999995E-2</v>
      </c>
      <c r="H482">
        <f t="shared" si="49"/>
        <v>24</v>
      </c>
      <c r="I482">
        <f t="shared" si="50"/>
        <v>1.7000000000000001E-2</v>
      </c>
      <c r="J482">
        <f t="shared" si="51"/>
        <v>5.0546152296985836E-2</v>
      </c>
      <c r="K482">
        <f t="shared" si="52"/>
        <v>113.8620988703268</v>
      </c>
      <c r="L482">
        <f t="shared" si="53"/>
        <v>6.7394869729314429E-4</v>
      </c>
      <c r="O482">
        <f t="shared" si="54"/>
        <v>100.46655782675894</v>
      </c>
      <c r="P482">
        <f t="shared" si="55"/>
        <v>2.2680062953597818E-4</v>
      </c>
    </row>
    <row r="483" spans="1:16" x14ac:dyDescent="0.25">
      <c r="A483">
        <v>24.05</v>
      </c>
      <c r="B483">
        <v>1.7000000000000001E-2</v>
      </c>
      <c r="C483">
        <v>7.3999999999999996E-2</v>
      </c>
      <c r="H483">
        <f t="shared" si="49"/>
        <v>24.05</v>
      </c>
      <c r="I483">
        <f t="shared" si="50"/>
        <v>1.7000000000000001E-2</v>
      </c>
      <c r="J483">
        <f t="shared" si="51"/>
        <v>5.1499373447604552E-2</v>
      </c>
      <c r="K483">
        <f t="shared" si="52"/>
        <v>113.8620988703268</v>
      </c>
      <c r="L483">
        <f t="shared" si="53"/>
        <v>6.8665831263472717E-4</v>
      </c>
      <c r="O483">
        <f t="shared" si="54"/>
        <v>100.46655782675894</v>
      </c>
      <c r="P483">
        <f t="shared" si="55"/>
        <v>2.3951024487756106E-4</v>
      </c>
    </row>
    <row r="484" spans="1:16" x14ac:dyDescent="0.25">
      <c r="A484">
        <v>24.1</v>
      </c>
      <c r="B484">
        <v>1.6E-2</v>
      </c>
      <c r="C484">
        <v>7.2999999999999995E-2</v>
      </c>
      <c r="H484">
        <f t="shared" si="49"/>
        <v>24.1</v>
      </c>
      <c r="I484">
        <f t="shared" si="50"/>
        <v>1.6E-2</v>
      </c>
      <c r="J484">
        <f t="shared" si="51"/>
        <v>5.0452594598223273E-2</v>
      </c>
      <c r="K484">
        <f t="shared" si="52"/>
        <v>107.16432834854287</v>
      </c>
      <c r="L484">
        <f t="shared" si="53"/>
        <v>6.7270126130964346E-4</v>
      </c>
      <c r="O484">
        <f t="shared" si="54"/>
        <v>93.768787304975007</v>
      </c>
      <c r="P484">
        <f t="shared" si="55"/>
        <v>2.2555319355247735E-4</v>
      </c>
    </row>
    <row r="485" spans="1:16" x14ac:dyDescent="0.25">
      <c r="A485">
        <v>24.15</v>
      </c>
      <c r="B485">
        <v>1.6E-2</v>
      </c>
      <c r="C485">
        <v>7.3999999999999996E-2</v>
      </c>
      <c r="H485">
        <f t="shared" si="49"/>
        <v>24.15</v>
      </c>
      <c r="I485">
        <f t="shared" si="50"/>
        <v>1.6E-2</v>
      </c>
      <c r="J485">
        <f t="shared" si="51"/>
        <v>5.1405815748841996E-2</v>
      </c>
      <c r="K485">
        <f t="shared" si="52"/>
        <v>107.16432834854287</v>
      </c>
      <c r="L485">
        <f t="shared" si="53"/>
        <v>6.8541087665122645E-4</v>
      </c>
      <c r="O485">
        <f t="shared" si="54"/>
        <v>93.768787304975007</v>
      </c>
      <c r="P485">
        <f t="shared" si="55"/>
        <v>2.3826280889406034E-4</v>
      </c>
    </row>
    <row r="486" spans="1:16" x14ac:dyDescent="0.25">
      <c r="A486">
        <v>24.2</v>
      </c>
      <c r="B486">
        <v>1.6E-2</v>
      </c>
      <c r="C486">
        <v>7.1999999999999995E-2</v>
      </c>
      <c r="H486">
        <f t="shared" si="49"/>
        <v>24.2</v>
      </c>
      <c r="I486">
        <f t="shared" si="50"/>
        <v>1.6E-2</v>
      </c>
      <c r="J486">
        <f t="shared" si="51"/>
        <v>4.9359036899460716E-2</v>
      </c>
      <c r="K486">
        <f t="shared" si="52"/>
        <v>107.16432834854287</v>
      </c>
      <c r="L486">
        <f t="shared" si="53"/>
        <v>6.5812049199280944E-4</v>
      </c>
      <c r="O486">
        <f t="shared" si="54"/>
        <v>93.768787304975007</v>
      </c>
      <c r="P486">
        <f t="shared" si="55"/>
        <v>2.1097242423564333E-4</v>
      </c>
    </row>
    <row r="487" spans="1:16" x14ac:dyDescent="0.25">
      <c r="A487">
        <v>24.25</v>
      </c>
      <c r="B487">
        <v>1.6E-2</v>
      </c>
      <c r="C487">
        <v>7.2999999999999995E-2</v>
      </c>
      <c r="H487">
        <f t="shared" si="49"/>
        <v>24.25</v>
      </c>
      <c r="I487">
        <f t="shared" si="50"/>
        <v>1.6E-2</v>
      </c>
      <c r="J487">
        <f t="shared" si="51"/>
        <v>5.0312258050079439E-2</v>
      </c>
      <c r="K487">
        <f t="shared" si="52"/>
        <v>107.16432834854287</v>
      </c>
      <c r="L487">
        <f t="shared" si="53"/>
        <v>6.7083010733439243E-4</v>
      </c>
      <c r="O487">
        <f t="shared" si="54"/>
        <v>93.768787304975007</v>
      </c>
      <c r="P487">
        <f t="shared" si="55"/>
        <v>2.2368203957722632E-4</v>
      </c>
    </row>
    <row r="488" spans="1:16" x14ac:dyDescent="0.25">
      <c r="A488">
        <v>24.3</v>
      </c>
      <c r="B488">
        <v>1.4999999999999999E-2</v>
      </c>
      <c r="C488">
        <v>7.1999999999999995E-2</v>
      </c>
      <c r="H488">
        <f t="shared" si="49"/>
        <v>24.3</v>
      </c>
      <c r="I488">
        <f t="shared" si="50"/>
        <v>1.4999999999999999E-2</v>
      </c>
      <c r="J488">
        <f t="shared" si="51"/>
        <v>4.9265479200698153E-2</v>
      </c>
      <c r="K488">
        <f t="shared" si="52"/>
        <v>100.46655782675893</v>
      </c>
      <c r="L488">
        <f t="shared" si="53"/>
        <v>6.5687305600930861E-4</v>
      </c>
      <c r="O488">
        <f t="shared" si="54"/>
        <v>87.07101678319107</v>
      </c>
      <c r="P488">
        <f t="shared" si="55"/>
        <v>2.097249882521425E-4</v>
      </c>
    </row>
    <row r="489" spans="1:16" x14ac:dyDescent="0.25">
      <c r="A489">
        <v>24.35</v>
      </c>
      <c r="B489">
        <v>1.6E-2</v>
      </c>
      <c r="C489">
        <v>7.2999999999999995E-2</v>
      </c>
      <c r="H489">
        <f t="shared" si="49"/>
        <v>24.35</v>
      </c>
      <c r="I489">
        <f t="shared" si="50"/>
        <v>1.6E-2</v>
      </c>
      <c r="J489">
        <f t="shared" si="51"/>
        <v>5.0218700351316876E-2</v>
      </c>
      <c r="K489">
        <f t="shared" si="52"/>
        <v>107.16432834854287</v>
      </c>
      <c r="L489">
        <f t="shared" si="53"/>
        <v>6.695826713508916E-4</v>
      </c>
      <c r="O489">
        <f t="shared" si="54"/>
        <v>93.768787304975007</v>
      </c>
      <c r="P489">
        <f t="shared" si="55"/>
        <v>2.2243460359372549E-4</v>
      </c>
    </row>
    <row r="490" spans="1:16" x14ac:dyDescent="0.25">
      <c r="A490">
        <v>24.4</v>
      </c>
      <c r="B490">
        <v>1.6E-2</v>
      </c>
      <c r="C490">
        <v>7.1999999999999995E-2</v>
      </c>
      <c r="H490">
        <f t="shared" si="49"/>
        <v>24.4</v>
      </c>
      <c r="I490">
        <f t="shared" si="50"/>
        <v>1.6E-2</v>
      </c>
      <c r="J490">
        <f t="shared" si="51"/>
        <v>4.9171921501935598E-2</v>
      </c>
      <c r="K490">
        <f t="shared" si="52"/>
        <v>107.16432834854287</v>
      </c>
      <c r="L490">
        <f t="shared" si="53"/>
        <v>6.5562562002580789E-4</v>
      </c>
      <c r="O490">
        <f t="shared" si="54"/>
        <v>93.768787304975007</v>
      </c>
      <c r="P490">
        <f t="shared" si="55"/>
        <v>2.0847755226864178E-4</v>
      </c>
    </row>
    <row r="491" spans="1:16" x14ac:dyDescent="0.25">
      <c r="A491">
        <v>24.45</v>
      </c>
      <c r="B491">
        <v>1.4999999999999999E-2</v>
      </c>
      <c r="C491">
        <v>7.2999999999999995E-2</v>
      </c>
      <c r="H491">
        <f t="shared" si="49"/>
        <v>24.45</v>
      </c>
      <c r="I491">
        <f t="shared" si="50"/>
        <v>1.4999999999999999E-2</v>
      </c>
      <c r="J491">
        <f t="shared" si="51"/>
        <v>5.0125142652554321E-2</v>
      </c>
      <c r="K491">
        <f t="shared" si="52"/>
        <v>100.46655782675893</v>
      </c>
      <c r="L491">
        <f t="shared" si="53"/>
        <v>6.6833523536739077E-4</v>
      </c>
      <c r="O491">
        <f t="shared" si="54"/>
        <v>87.07101678319107</v>
      </c>
      <c r="P491">
        <f t="shared" si="55"/>
        <v>2.2118716761022466E-4</v>
      </c>
    </row>
    <row r="492" spans="1:16" x14ac:dyDescent="0.25">
      <c r="A492">
        <v>24.5</v>
      </c>
      <c r="B492">
        <v>1.6E-2</v>
      </c>
      <c r="C492">
        <v>7.1999999999999995E-2</v>
      </c>
      <c r="H492">
        <f t="shared" si="49"/>
        <v>24.5</v>
      </c>
      <c r="I492">
        <f t="shared" si="50"/>
        <v>1.6E-2</v>
      </c>
      <c r="J492">
        <f t="shared" si="51"/>
        <v>4.9078363803173042E-2</v>
      </c>
      <c r="K492">
        <f t="shared" si="52"/>
        <v>107.16432834854287</v>
      </c>
      <c r="L492">
        <f t="shared" si="53"/>
        <v>6.5437818404230706E-4</v>
      </c>
      <c r="O492">
        <f t="shared" si="54"/>
        <v>93.768787304975007</v>
      </c>
      <c r="P492">
        <f t="shared" si="55"/>
        <v>2.0723011628514095E-4</v>
      </c>
    </row>
    <row r="493" spans="1:16" x14ac:dyDescent="0.25">
      <c r="A493">
        <v>24.55</v>
      </c>
      <c r="B493">
        <v>1.6E-2</v>
      </c>
      <c r="C493">
        <v>7.3999999999999996E-2</v>
      </c>
      <c r="H493">
        <f t="shared" si="49"/>
        <v>24.55</v>
      </c>
      <c r="I493">
        <f t="shared" si="50"/>
        <v>1.6E-2</v>
      </c>
      <c r="J493">
        <f t="shared" si="51"/>
        <v>5.1031584953791759E-2</v>
      </c>
      <c r="K493">
        <f t="shared" si="52"/>
        <v>107.16432834854287</v>
      </c>
      <c r="L493">
        <f t="shared" si="53"/>
        <v>6.8042113271722334E-4</v>
      </c>
      <c r="O493">
        <f t="shared" si="54"/>
        <v>93.768787304975007</v>
      </c>
      <c r="P493">
        <f t="shared" si="55"/>
        <v>2.3327306496005723E-4</v>
      </c>
    </row>
    <row r="494" spans="1:16" x14ac:dyDescent="0.25">
      <c r="A494">
        <v>24.6</v>
      </c>
      <c r="B494">
        <v>1.6E-2</v>
      </c>
      <c r="C494">
        <v>7.1999999999999995E-2</v>
      </c>
      <c r="H494">
        <f t="shared" si="49"/>
        <v>24.6</v>
      </c>
      <c r="I494">
        <f t="shared" si="50"/>
        <v>1.6E-2</v>
      </c>
      <c r="J494">
        <f t="shared" si="51"/>
        <v>4.8984806104410479E-2</v>
      </c>
      <c r="K494">
        <f t="shared" si="52"/>
        <v>107.16432834854287</v>
      </c>
      <c r="L494">
        <f t="shared" si="53"/>
        <v>6.5313074805880623E-4</v>
      </c>
      <c r="O494">
        <f t="shared" si="54"/>
        <v>93.768787304975007</v>
      </c>
      <c r="P494">
        <f t="shared" si="55"/>
        <v>2.0598268030164012E-4</v>
      </c>
    </row>
    <row r="495" spans="1:16" x14ac:dyDescent="0.25">
      <c r="A495">
        <v>24.65</v>
      </c>
      <c r="B495">
        <v>1.6E-2</v>
      </c>
      <c r="C495">
        <v>7.3999999999999996E-2</v>
      </c>
      <c r="H495">
        <f t="shared" si="49"/>
        <v>24.65</v>
      </c>
      <c r="I495">
        <f t="shared" si="50"/>
        <v>1.6E-2</v>
      </c>
      <c r="J495">
        <f t="shared" si="51"/>
        <v>5.0938027255029203E-2</v>
      </c>
      <c r="K495">
        <f t="shared" si="52"/>
        <v>107.16432834854287</v>
      </c>
      <c r="L495">
        <f t="shared" si="53"/>
        <v>6.7917369673372262E-4</v>
      </c>
      <c r="O495">
        <f t="shared" si="54"/>
        <v>93.768787304975007</v>
      </c>
      <c r="P495">
        <f t="shared" si="55"/>
        <v>2.3202562897655651E-4</v>
      </c>
    </row>
    <row r="496" spans="1:16" x14ac:dyDescent="0.25">
      <c r="A496">
        <v>24.7</v>
      </c>
      <c r="B496">
        <v>1.4999999999999999E-2</v>
      </c>
      <c r="C496">
        <v>7.1999999999999995E-2</v>
      </c>
      <c r="H496">
        <f t="shared" si="49"/>
        <v>24.7</v>
      </c>
      <c r="I496">
        <f t="shared" si="50"/>
        <v>1.4999999999999999E-2</v>
      </c>
      <c r="J496">
        <f t="shared" si="51"/>
        <v>4.8891248405647916E-2</v>
      </c>
      <c r="K496">
        <f t="shared" si="52"/>
        <v>100.46655782675893</v>
      </c>
      <c r="L496">
        <f t="shared" si="53"/>
        <v>6.518833120753054E-4</v>
      </c>
      <c r="O496">
        <f t="shared" si="54"/>
        <v>87.07101678319107</v>
      </c>
      <c r="P496">
        <f t="shared" si="55"/>
        <v>2.0473524431813928E-4</v>
      </c>
    </row>
    <row r="497" spans="1:16" x14ac:dyDescent="0.25">
      <c r="A497">
        <v>24.75</v>
      </c>
      <c r="B497">
        <v>1.4999999999999999E-2</v>
      </c>
      <c r="C497">
        <v>7.2999999999999995E-2</v>
      </c>
      <c r="H497">
        <f t="shared" si="49"/>
        <v>24.75</v>
      </c>
      <c r="I497">
        <f t="shared" si="50"/>
        <v>1.4999999999999999E-2</v>
      </c>
      <c r="J497">
        <f t="shared" si="51"/>
        <v>4.9844469556266646E-2</v>
      </c>
      <c r="K497">
        <f t="shared" si="52"/>
        <v>100.46655782675893</v>
      </c>
      <c r="L497">
        <f t="shared" si="53"/>
        <v>6.6459292741688849E-4</v>
      </c>
      <c r="O497">
        <f t="shared" si="54"/>
        <v>87.07101678319107</v>
      </c>
      <c r="P497">
        <f t="shared" si="55"/>
        <v>2.1744485965972238E-4</v>
      </c>
    </row>
    <row r="498" spans="1:16" x14ac:dyDescent="0.25">
      <c r="A498">
        <v>24.8</v>
      </c>
      <c r="B498">
        <v>1.4999999999999999E-2</v>
      </c>
      <c r="C498">
        <v>7.1999999999999995E-2</v>
      </c>
      <c r="H498">
        <f t="shared" si="49"/>
        <v>24.8</v>
      </c>
      <c r="I498">
        <f t="shared" si="50"/>
        <v>1.4999999999999999E-2</v>
      </c>
      <c r="J498">
        <f t="shared" si="51"/>
        <v>4.879769070688536E-2</v>
      </c>
      <c r="K498">
        <f t="shared" si="52"/>
        <v>100.46655782675893</v>
      </c>
      <c r="L498">
        <f t="shared" si="53"/>
        <v>6.5063587609180467E-4</v>
      </c>
      <c r="O498">
        <f t="shared" si="54"/>
        <v>87.07101678319107</v>
      </c>
      <c r="P498">
        <f t="shared" si="55"/>
        <v>2.0348780833463856E-4</v>
      </c>
    </row>
    <row r="499" spans="1:16" x14ac:dyDescent="0.25">
      <c r="A499">
        <v>24.85</v>
      </c>
      <c r="B499">
        <v>1.4999999999999999E-2</v>
      </c>
      <c r="C499">
        <v>7.2999999999999995E-2</v>
      </c>
      <c r="H499">
        <f t="shared" si="49"/>
        <v>24.85</v>
      </c>
      <c r="I499">
        <f t="shared" si="50"/>
        <v>1.4999999999999999E-2</v>
      </c>
      <c r="J499">
        <f t="shared" si="51"/>
        <v>4.9750911857504077E-2</v>
      </c>
      <c r="K499">
        <f t="shared" si="52"/>
        <v>100.46655782675893</v>
      </c>
      <c r="L499">
        <f t="shared" si="53"/>
        <v>6.6334549143338755E-4</v>
      </c>
      <c r="O499">
        <f t="shared" si="54"/>
        <v>87.07101678319107</v>
      </c>
      <c r="P499">
        <f t="shared" si="55"/>
        <v>2.1619742367622144E-4</v>
      </c>
    </row>
    <row r="500" spans="1:16" x14ac:dyDescent="0.25">
      <c r="A500">
        <v>24.9</v>
      </c>
      <c r="B500">
        <v>1.4999999999999999E-2</v>
      </c>
      <c r="C500">
        <v>7.1999999999999995E-2</v>
      </c>
      <c r="H500">
        <f t="shared" si="49"/>
        <v>24.9</v>
      </c>
      <c r="I500">
        <f t="shared" si="50"/>
        <v>1.4999999999999999E-2</v>
      </c>
      <c r="J500">
        <f t="shared" si="51"/>
        <v>4.8704133008122805E-2</v>
      </c>
      <c r="K500">
        <f t="shared" si="52"/>
        <v>100.46655782675893</v>
      </c>
      <c r="L500">
        <f t="shared" si="53"/>
        <v>6.4938844010830395E-4</v>
      </c>
      <c r="O500">
        <f t="shared" si="54"/>
        <v>87.07101678319107</v>
      </c>
      <c r="P500">
        <f t="shared" si="55"/>
        <v>2.0224037235113784E-4</v>
      </c>
    </row>
    <row r="501" spans="1:16" x14ac:dyDescent="0.25">
      <c r="A501">
        <v>24.95</v>
      </c>
      <c r="B501">
        <v>1.4E-2</v>
      </c>
      <c r="C501">
        <v>7.1999999999999995E-2</v>
      </c>
      <c r="H501">
        <f t="shared" si="49"/>
        <v>24.95</v>
      </c>
      <c r="I501">
        <f t="shared" si="50"/>
        <v>1.4E-2</v>
      </c>
      <c r="J501">
        <f t="shared" si="51"/>
        <v>4.865735415874152E-2</v>
      </c>
      <c r="K501">
        <f t="shared" si="52"/>
        <v>93.768787304975007</v>
      </c>
      <c r="L501">
        <f t="shared" si="53"/>
        <v>6.4876472211655343E-4</v>
      </c>
      <c r="O501">
        <f t="shared" si="54"/>
        <v>80.373246261407147</v>
      </c>
      <c r="P501">
        <f t="shared" si="55"/>
        <v>2.0161665435938732E-4</v>
      </c>
    </row>
    <row r="502" spans="1:16" x14ac:dyDescent="0.25">
      <c r="A502">
        <v>25</v>
      </c>
      <c r="B502">
        <v>1.4E-2</v>
      </c>
      <c r="C502">
        <v>7.0999999999999994E-2</v>
      </c>
      <c r="H502">
        <f t="shared" si="49"/>
        <v>25</v>
      </c>
      <c r="I502">
        <f t="shared" si="50"/>
        <v>1.4E-2</v>
      </c>
      <c r="J502">
        <f t="shared" si="51"/>
        <v>4.7610575309360241E-2</v>
      </c>
      <c r="K502">
        <f t="shared" si="52"/>
        <v>93.768787304975007</v>
      </c>
      <c r="L502">
        <f t="shared" si="53"/>
        <v>6.3480767079146972E-4</v>
      </c>
      <c r="O502">
        <f t="shared" si="54"/>
        <v>80.373246261407147</v>
      </c>
      <c r="P502">
        <f t="shared" si="55"/>
        <v>1.876596030343036E-4</v>
      </c>
    </row>
    <row r="503" spans="1:16" x14ac:dyDescent="0.25">
      <c r="A503">
        <v>25.05</v>
      </c>
      <c r="B503">
        <v>1.4E-2</v>
      </c>
      <c r="C503">
        <v>7.1999999999999995E-2</v>
      </c>
      <c r="H503">
        <f t="shared" si="49"/>
        <v>25.05</v>
      </c>
      <c r="I503">
        <f t="shared" si="50"/>
        <v>1.4E-2</v>
      </c>
      <c r="J503">
        <f t="shared" si="51"/>
        <v>4.8563796459978964E-2</v>
      </c>
      <c r="K503">
        <f t="shared" si="52"/>
        <v>93.768787304975007</v>
      </c>
      <c r="L503">
        <f t="shared" si="53"/>
        <v>6.475172861330527E-4</v>
      </c>
      <c r="O503">
        <f t="shared" si="54"/>
        <v>80.373246261407147</v>
      </c>
      <c r="P503">
        <f t="shared" si="55"/>
        <v>2.0036921837588659E-4</v>
      </c>
    </row>
    <row r="504" spans="1:16" x14ac:dyDescent="0.25">
      <c r="A504">
        <v>25.1</v>
      </c>
      <c r="B504">
        <v>1.4E-2</v>
      </c>
      <c r="C504">
        <v>7.0999999999999994E-2</v>
      </c>
      <c r="H504">
        <f t="shared" si="49"/>
        <v>25.1</v>
      </c>
      <c r="I504">
        <f t="shared" si="50"/>
        <v>1.4E-2</v>
      </c>
      <c r="J504">
        <f t="shared" si="51"/>
        <v>4.7517017610597678E-2</v>
      </c>
      <c r="K504">
        <f t="shared" si="52"/>
        <v>93.768787304975007</v>
      </c>
      <c r="L504">
        <f t="shared" si="53"/>
        <v>6.3356023480796888E-4</v>
      </c>
      <c r="O504">
        <f t="shared" si="54"/>
        <v>80.373246261407147</v>
      </c>
      <c r="P504">
        <f t="shared" si="55"/>
        <v>1.8641216705080277E-4</v>
      </c>
    </row>
    <row r="505" spans="1:16" x14ac:dyDescent="0.25">
      <c r="A505">
        <v>25.15</v>
      </c>
      <c r="B505">
        <v>1.2999999999999999E-2</v>
      </c>
      <c r="C505">
        <v>7.0999999999999994E-2</v>
      </c>
      <c r="H505">
        <f t="shared" si="49"/>
        <v>25.15</v>
      </c>
      <c r="I505">
        <f t="shared" si="50"/>
        <v>1.2999999999999999E-2</v>
      </c>
      <c r="J505">
        <f t="shared" si="51"/>
        <v>4.7470238761216407E-2</v>
      </c>
      <c r="K505">
        <f t="shared" si="52"/>
        <v>87.071016783191084</v>
      </c>
      <c r="L505">
        <f t="shared" si="53"/>
        <v>6.3293651681621869E-4</v>
      </c>
      <c r="O505">
        <f t="shared" si="54"/>
        <v>73.675475739623224</v>
      </c>
      <c r="P505">
        <f t="shared" si="55"/>
        <v>1.8578844905905257E-4</v>
      </c>
    </row>
    <row r="506" spans="1:16" x14ac:dyDescent="0.25">
      <c r="A506">
        <v>25.2</v>
      </c>
      <c r="B506">
        <v>1.2999999999999999E-2</v>
      </c>
      <c r="C506">
        <v>7.0000000000000007E-2</v>
      </c>
      <c r="H506">
        <f t="shared" si="49"/>
        <v>25.2</v>
      </c>
      <c r="I506">
        <f t="shared" si="50"/>
        <v>1.2999999999999999E-2</v>
      </c>
      <c r="J506">
        <f t="shared" si="51"/>
        <v>4.6423459911835135E-2</v>
      </c>
      <c r="K506">
        <f t="shared" si="52"/>
        <v>87.071016783191084</v>
      </c>
      <c r="L506">
        <f t="shared" si="53"/>
        <v>6.1897946549113497E-4</v>
      </c>
      <c r="O506">
        <f t="shared" si="54"/>
        <v>73.675475739623224</v>
      </c>
      <c r="P506">
        <f t="shared" si="55"/>
        <v>1.7183139773396886E-4</v>
      </c>
    </row>
    <row r="507" spans="1:16" x14ac:dyDescent="0.25">
      <c r="A507">
        <v>25.25</v>
      </c>
      <c r="B507">
        <v>1.2999999999999999E-2</v>
      </c>
      <c r="C507">
        <v>7.0999999999999994E-2</v>
      </c>
      <c r="H507">
        <f t="shared" si="49"/>
        <v>25.25</v>
      </c>
      <c r="I507">
        <f t="shared" si="50"/>
        <v>1.2999999999999999E-2</v>
      </c>
      <c r="J507">
        <f t="shared" si="51"/>
        <v>4.7376681062453845E-2</v>
      </c>
      <c r="K507">
        <f t="shared" si="52"/>
        <v>87.071016783191084</v>
      </c>
      <c r="L507">
        <f t="shared" si="53"/>
        <v>6.3168908083271785E-4</v>
      </c>
      <c r="O507">
        <f t="shared" si="54"/>
        <v>73.675475739623224</v>
      </c>
      <c r="P507">
        <f t="shared" si="55"/>
        <v>1.8454101307555174E-4</v>
      </c>
    </row>
    <row r="508" spans="1:16" x14ac:dyDescent="0.25">
      <c r="A508">
        <v>25.3</v>
      </c>
      <c r="B508">
        <v>1.2999999999999999E-2</v>
      </c>
      <c r="C508">
        <v>7.0000000000000007E-2</v>
      </c>
      <c r="H508">
        <f t="shared" si="49"/>
        <v>25.3</v>
      </c>
      <c r="I508">
        <f t="shared" si="50"/>
        <v>1.2999999999999999E-2</v>
      </c>
      <c r="J508">
        <f t="shared" si="51"/>
        <v>4.632990221307258E-2</v>
      </c>
      <c r="K508">
        <f t="shared" si="52"/>
        <v>87.071016783191084</v>
      </c>
      <c r="L508">
        <f t="shared" si="53"/>
        <v>6.1773202950763425E-4</v>
      </c>
      <c r="O508">
        <f t="shared" si="54"/>
        <v>73.675475739623224</v>
      </c>
      <c r="P508">
        <f t="shared" si="55"/>
        <v>1.7058396175046814E-4</v>
      </c>
    </row>
    <row r="509" spans="1:16" x14ac:dyDescent="0.25">
      <c r="A509">
        <v>25.35</v>
      </c>
      <c r="B509">
        <v>1.2999999999999999E-2</v>
      </c>
      <c r="C509">
        <v>7.0999999999999994E-2</v>
      </c>
      <c r="H509">
        <f t="shared" si="49"/>
        <v>25.35</v>
      </c>
      <c r="I509">
        <f t="shared" si="50"/>
        <v>1.2999999999999999E-2</v>
      </c>
      <c r="J509">
        <f t="shared" si="51"/>
        <v>4.7283123363691282E-2</v>
      </c>
      <c r="K509">
        <f t="shared" si="52"/>
        <v>87.071016783191084</v>
      </c>
      <c r="L509">
        <f t="shared" si="53"/>
        <v>6.3044164484921692E-4</v>
      </c>
      <c r="O509">
        <f t="shared" si="54"/>
        <v>73.675475739623224</v>
      </c>
      <c r="P509">
        <f t="shared" si="55"/>
        <v>1.832935770920508E-4</v>
      </c>
    </row>
    <row r="510" spans="1:16" x14ac:dyDescent="0.25">
      <c r="A510">
        <v>25.4</v>
      </c>
      <c r="B510">
        <v>1.2999999999999999E-2</v>
      </c>
      <c r="C510">
        <v>7.0000000000000007E-2</v>
      </c>
      <c r="H510">
        <f t="shared" si="49"/>
        <v>25.4</v>
      </c>
      <c r="I510">
        <f t="shared" si="50"/>
        <v>1.2999999999999999E-2</v>
      </c>
      <c r="J510">
        <f t="shared" si="51"/>
        <v>4.6236344514310024E-2</v>
      </c>
      <c r="K510">
        <f t="shared" si="52"/>
        <v>87.071016783191084</v>
      </c>
      <c r="L510">
        <f t="shared" si="53"/>
        <v>6.1648459352413353E-4</v>
      </c>
      <c r="O510">
        <f t="shared" si="54"/>
        <v>73.675475739623224</v>
      </c>
      <c r="P510">
        <f t="shared" si="55"/>
        <v>1.6933652576696742E-4</v>
      </c>
    </row>
    <row r="511" spans="1:16" x14ac:dyDescent="0.25">
      <c r="A511">
        <v>25.45</v>
      </c>
      <c r="B511">
        <v>1.2999999999999999E-2</v>
      </c>
      <c r="C511">
        <v>7.0999999999999994E-2</v>
      </c>
      <c r="H511">
        <f t="shared" si="49"/>
        <v>25.45</v>
      </c>
      <c r="I511">
        <f t="shared" si="50"/>
        <v>1.2999999999999999E-2</v>
      </c>
      <c r="J511">
        <f t="shared" si="51"/>
        <v>4.7189565664928726E-2</v>
      </c>
      <c r="K511">
        <f t="shared" si="52"/>
        <v>87.071016783191084</v>
      </c>
      <c r="L511">
        <f t="shared" si="53"/>
        <v>6.2919420886571619E-4</v>
      </c>
      <c r="O511">
        <f t="shared" si="54"/>
        <v>73.675475739623224</v>
      </c>
      <c r="P511">
        <f t="shared" si="55"/>
        <v>1.8204614110855008E-4</v>
      </c>
    </row>
    <row r="512" spans="1:16" x14ac:dyDescent="0.25">
      <c r="A512">
        <v>25.5</v>
      </c>
      <c r="B512">
        <v>1.2999999999999999E-2</v>
      </c>
      <c r="C512">
        <v>7.0000000000000007E-2</v>
      </c>
      <c r="H512">
        <f t="shared" si="49"/>
        <v>25.5</v>
      </c>
      <c r="I512">
        <f t="shared" si="50"/>
        <v>1.2999999999999999E-2</v>
      </c>
      <c r="J512">
        <f t="shared" si="51"/>
        <v>4.6142786815547461E-2</v>
      </c>
      <c r="K512">
        <f t="shared" si="52"/>
        <v>87.071016783191084</v>
      </c>
      <c r="L512">
        <f t="shared" si="53"/>
        <v>6.152371575406327E-4</v>
      </c>
      <c r="O512">
        <f t="shared" si="54"/>
        <v>73.675475739623224</v>
      </c>
      <c r="P512">
        <f t="shared" si="55"/>
        <v>1.6808908978346659E-4</v>
      </c>
    </row>
    <row r="513" spans="1:16" x14ac:dyDescent="0.25">
      <c r="A513">
        <v>25.55</v>
      </c>
      <c r="B513">
        <v>1.2999999999999999E-2</v>
      </c>
      <c r="C513">
        <v>7.0999999999999994E-2</v>
      </c>
      <c r="H513">
        <f t="shared" si="49"/>
        <v>25.55</v>
      </c>
      <c r="I513">
        <f t="shared" si="50"/>
        <v>1.2999999999999999E-2</v>
      </c>
      <c r="J513">
        <f t="shared" si="51"/>
        <v>4.709600796616617E-2</v>
      </c>
      <c r="K513">
        <f t="shared" si="52"/>
        <v>87.071016783191084</v>
      </c>
      <c r="L513">
        <f t="shared" si="53"/>
        <v>6.2794677288221547E-4</v>
      </c>
      <c r="O513">
        <f t="shared" si="54"/>
        <v>73.675475739623224</v>
      </c>
      <c r="P513">
        <f t="shared" si="55"/>
        <v>1.8079870512504936E-4</v>
      </c>
    </row>
    <row r="514" spans="1:16" x14ac:dyDescent="0.25">
      <c r="A514">
        <v>25.6</v>
      </c>
      <c r="B514">
        <v>1.2999999999999999E-2</v>
      </c>
      <c r="C514">
        <v>7.0000000000000007E-2</v>
      </c>
      <c r="H514">
        <f t="shared" si="49"/>
        <v>25.6</v>
      </c>
      <c r="I514">
        <f t="shared" si="50"/>
        <v>1.2999999999999999E-2</v>
      </c>
      <c r="J514">
        <f t="shared" si="51"/>
        <v>4.6049229116784898E-2</v>
      </c>
      <c r="K514">
        <f t="shared" si="52"/>
        <v>87.071016783191084</v>
      </c>
      <c r="L514">
        <f t="shared" si="53"/>
        <v>6.1398972155713187E-4</v>
      </c>
      <c r="O514">
        <f t="shared" si="54"/>
        <v>73.675475739623224</v>
      </c>
      <c r="P514">
        <f t="shared" si="55"/>
        <v>1.6684165379996576E-4</v>
      </c>
    </row>
    <row r="515" spans="1:16" x14ac:dyDescent="0.25">
      <c r="A515">
        <v>25.65</v>
      </c>
      <c r="B515">
        <v>1.2999999999999999E-2</v>
      </c>
      <c r="C515">
        <v>7.1999999999999995E-2</v>
      </c>
      <c r="H515">
        <f t="shared" ref="H515:H578" si="56">A515</f>
        <v>25.65</v>
      </c>
      <c r="I515">
        <f t="shared" ref="I515:I578" si="57">B515</f>
        <v>1.2999999999999999E-2</v>
      </c>
      <c r="J515">
        <f t="shared" ref="J515:J578" si="58">C515-E$12*A515</f>
        <v>4.8002450267403615E-2</v>
      </c>
      <c r="K515">
        <f t="shared" ref="K515:K578" si="59">F$24*I515</f>
        <v>87.071016783191084</v>
      </c>
      <c r="L515">
        <f t="shared" ref="L515:L578" si="60">F$25*J515</f>
        <v>6.4003267023204804E-4</v>
      </c>
      <c r="O515">
        <f t="shared" ref="O515:O578" si="61">K515-N$12</f>
        <v>73.675475739623224</v>
      </c>
      <c r="P515">
        <f t="shared" ref="P515:P578" si="62">L515-N$15</f>
        <v>1.9288460247488193E-4</v>
      </c>
    </row>
    <row r="516" spans="1:16" x14ac:dyDescent="0.25">
      <c r="A516">
        <v>25.7</v>
      </c>
      <c r="B516">
        <v>1.2999999999999999E-2</v>
      </c>
      <c r="C516">
        <v>7.0000000000000007E-2</v>
      </c>
      <c r="H516">
        <f t="shared" si="56"/>
        <v>25.7</v>
      </c>
      <c r="I516">
        <f t="shared" si="57"/>
        <v>1.2999999999999999E-2</v>
      </c>
      <c r="J516">
        <f t="shared" si="58"/>
        <v>4.5955671418022342E-2</v>
      </c>
      <c r="K516">
        <f t="shared" si="59"/>
        <v>87.071016783191084</v>
      </c>
      <c r="L516">
        <f t="shared" si="60"/>
        <v>6.1274228557363114E-4</v>
      </c>
      <c r="O516">
        <f t="shared" si="61"/>
        <v>73.675475739623224</v>
      </c>
      <c r="P516">
        <f t="shared" si="62"/>
        <v>1.6559421781646503E-4</v>
      </c>
    </row>
    <row r="517" spans="1:16" x14ac:dyDescent="0.25">
      <c r="A517">
        <v>25.75</v>
      </c>
      <c r="B517">
        <v>1.2999999999999999E-2</v>
      </c>
      <c r="C517">
        <v>7.0999999999999994E-2</v>
      </c>
      <c r="H517">
        <f t="shared" si="56"/>
        <v>25.75</v>
      </c>
      <c r="I517">
        <f t="shared" si="57"/>
        <v>1.2999999999999999E-2</v>
      </c>
      <c r="J517">
        <f t="shared" si="58"/>
        <v>4.6908892568641045E-2</v>
      </c>
      <c r="K517">
        <f t="shared" si="59"/>
        <v>87.071016783191084</v>
      </c>
      <c r="L517">
        <f t="shared" si="60"/>
        <v>6.2545190091521381E-4</v>
      </c>
      <c r="O517">
        <f t="shared" si="61"/>
        <v>73.675475739623224</v>
      </c>
      <c r="P517">
        <f t="shared" si="62"/>
        <v>1.783038331580477E-4</v>
      </c>
    </row>
    <row r="518" spans="1:16" x14ac:dyDescent="0.25">
      <c r="A518">
        <v>25.8</v>
      </c>
      <c r="B518">
        <v>1.2E-2</v>
      </c>
      <c r="C518">
        <v>7.0000000000000007E-2</v>
      </c>
      <c r="H518">
        <f t="shared" si="56"/>
        <v>25.8</v>
      </c>
      <c r="I518">
        <f t="shared" si="57"/>
        <v>1.2E-2</v>
      </c>
      <c r="J518">
        <f t="shared" si="58"/>
        <v>4.5862113719259787E-2</v>
      </c>
      <c r="K518">
        <f t="shared" si="59"/>
        <v>80.373246261407147</v>
      </c>
      <c r="L518">
        <f t="shared" si="60"/>
        <v>6.1149484959013042E-4</v>
      </c>
      <c r="O518">
        <f t="shared" si="61"/>
        <v>66.977705217839286</v>
      </c>
      <c r="P518">
        <f t="shared" si="62"/>
        <v>1.6434678183296431E-4</v>
      </c>
    </row>
    <row r="519" spans="1:16" x14ac:dyDescent="0.25">
      <c r="A519">
        <v>25.85</v>
      </c>
      <c r="B519">
        <v>1.2E-2</v>
      </c>
      <c r="C519">
        <v>7.0999999999999994E-2</v>
      </c>
      <c r="H519">
        <f t="shared" si="56"/>
        <v>25.85</v>
      </c>
      <c r="I519">
        <f t="shared" si="57"/>
        <v>1.2E-2</v>
      </c>
      <c r="J519">
        <f t="shared" si="58"/>
        <v>4.6815334869878489E-2</v>
      </c>
      <c r="K519">
        <f t="shared" si="59"/>
        <v>80.373246261407147</v>
      </c>
      <c r="L519">
        <f t="shared" si="60"/>
        <v>6.2420446493171309E-4</v>
      </c>
      <c r="O519">
        <f t="shared" si="61"/>
        <v>66.977705217839286</v>
      </c>
      <c r="P519">
        <f t="shared" si="62"/>
        <v>1.7705639717454697E-4</v>
      </c>
    </row>
    <row r="520" spans="1:16" x14ac:dyDescent="0.25">
      <c r="A520">
        <v>25.9</v>
      </c>
      <c r="B520">
        <v>1.2E-2</v>
      </c>
      <c r="C520">
        <v>6.9000000000000006E-2</v>
      </c>
      <c r="H520">
        <f t="shared" si="56"/>
        <v>25.9</v>
      </c>
      <c r="I520">
        <f t="shared" si="57"/>
        <v>1.2E-2</v>
      </c>
      <c r="J520">
        <f t="shared" si="58"/>
        <v>4.4768556020497223E-2</v>
      </c>
      <c r="K520">
        <f t="shared" si="59"/>
        <v>80.373246261407147</v>
      </c>
      <c r="L520">
        <f t="shared" si="60"/>
        <v>5.9691408027329619E-4</v>
      </c>
      <c r="O520">
        <f t="shared" si="61"/>
        <v>66.977705217839286</v>
      </c>
      <c r="P520">
        <f t="shared" si="62"/>
        <v>1.4976601251613008E-4</v>
      </c>
    </row>
    <row r="521" spans="1:16" x14ac:dyDescent="0.25">
      <c r="A521">
        <v>25.95</v>
      </c>
      <c r="B521">
        <v>1.2E-2</v>
      </c>
      <c r="C521">
        <v>7.0000000000000007E-2</v>
      </c>
      <c r="H521">
        <f t="shared" si="56"/>
        <v>25.95</v>
      </c>
      <c r="I521">
        <f t="shared" si="57"/>
        <v>1.2E-2</v>
      </c>
      <c r="J521">
        <f t="shared" si="58"/>
        <v>4.5721777171115946E-2</v>
      </c>
      <c r="K521">
        <f t="shared" si="59"/>
        <v>80.373246261407147</v>
      </c>
      <c r="L521">
        <f t="shared" si="60"/>
        <v>6.0962369561487918E-4</v>
      </c>
      <c r="O521">
        <f t="shared" si="61"/>
        <v>66.977705217839286</v>
      </c>
      <c r="P521">
        <f t="shared" si="62"/>
        <v>1.6247562785771306E-4</v>
      </c>
    </row>
    <row r="522" spans="1:16" x14ac:dyDescent="0.25">
      <c r="A522">
        <v>26</v>
      </c>
      <c r="B522">
        <v>1.2E-2</v>
      </c>
      <c r="C522">
        <v>6.9000000000000006E-2</v>
      </c>
      <c r="H522">
        <f t="shared" si="56"/>
        <v>26</v>
      </c>
      <c r="I522">
        <f t="shared" si="57"/>
        <v>1.2E-2</v>
      </c>
      <c r="J522">
        <f t="shared" si="58"/>
        <v>4.467499832173466E-2</v>
      </c>
      <c r="K522">
        <f t="shared" si="59"/>
        <v>80.373246261407147</v>
      </c>
      <c r="L522">
        <f t="shared" si="60"/>
        <v>5.9566664428979536E-4</v>
      </c>
      <c r="O522">
        <f t="shared" si="61"/>
        <v>66.977705217839286</v>
      </c>
      <c r="P522">
        <f t="shared" si="62"/>
        <v>1.4851857653262924E-4</v>
      </c>
    </row>
    <row r="523" spans="1:16" x14ac:dyDescent="0.25">
      <c r="A523">
        <v>26.05</v>
      </c>
      <c r="B523">
        <v>1.2E-2</v>
      </c>
      <c r="C523">
        <v>7.0000000000000007E-2</v>
      </c>
      <c r="H523">
        <f t="shared" si="56"/>
        <v>26.05</v>
      </c>
      <c r="I523">
        <f t="shared" si="57"/>
        <v>1.2E-2</v>
      </c>
      <c r="J523">
        <f t="shared" si="58"/>
        <v>4.5628219472353383E-2</v>
      </c>
      <c r="K523">
        <f t="shared" si="59"/>
        <v>80.373246261407147</v>
      </c>
      <c r="L523">
        <f t="shared" si="60"/>
        <v>6.0837625963137834E-4</v>
      </c>
      <c r="O523">
        <f t="shared" si="61"/>
        <v>66.977705217839286</v>
      </c>
      <c r="P523">
        <f t="shared" si="62"/>
        <v>1.6122819187421223E-4</v>
      </c>
    </row>
    <row r="524" spans="1:16" x14ac:dyDescent="0.25">
      <c r="A524">
        <v>26.1</v>
      </c>
      <c r="B524">
        <v>1.0999999999999999E-2</v>
      </c>
      <c r="C524">
        <v>6.9000000000000006E-2</v>
      </c>
      <c r="H524">
        <f t="shared" si="56"/>
        <v>26.1</v>
      </c>
      <c r="I524">
        <f t="shared" si="57"/>
        <v>1.0999999999999999E-2</v>
      </c>
      <c r="J524">
        <f t="shared" si="58"/>
        <v>4.4581440622972104E-2</v>
      </c>
      <c r="K524">
        <f t="shared" si="59"/>
        <v>73.675475739623224</v>
      </c>
      <c r="L524">
        <f t="shared" si="60"/>
        <v>5.9441920830629463E-4</v>
      </c>
      <c r="O524">
        <f t="shared" si="61"/>
        <v>60.279934696055363</v>
      </c>
      <c r="P524">
        <f t="shared" si="62"/>
        <v>1.4727114054912852E-4</v>
      </c>
    </row>
    <row r="525" spans="1:16" x14ac:dyDescent="0.25">
      <c r="A525">
        <v>26.15</v>
      </c>
      <c r="B525">
        <v>1.0999999999999999E-2</v>
      </c>
      <c r="C525">
        <v>7.0000000000000007E-2</v>
      </c>
      <c r="H525">
        <f t="shared" si="56"/>
        <v>26.15</v>
      </c>
      <c r="I525">
        <f t="shared" si="57"/>
        <v>1.0999999999999999E-2</v>
      </c>
      <c r="J525">
        <f t="shared" si="58"/>
        <v>4.5534661773590827E-2</v>
      </c>
      <c r="K525">
        <f t="shared" si="59"/>
        <v>73.675475739623224</v>
      </c>
      <c r="L525">
        <f t="shared" si="60"/>
        <v>6.0712882364787762E-4</v>
      </c>
      <c r="O525">
        <f t="shared" si="61"/>
        <v>60.279934696055363</v>
      </c>
      <c r="P525">
        <f t="shared" si="62"/>
        <v>1.5998075589071151E-4</v>
      </c>
    </row>
    <row r="526" spans="1:16" x14ac:dyDescent="0.25">
      <c r="A526">
        <v>26.2</v>
      </c>
      <c r="B526">
        <v>1.0999999999999999E-2</v>
      </c>
      <c r="C526">
        <v>6.9000000000000006E-2</v>
      </c>
      <c r="H526">
        <f t="shared" si="56"/>
        <v>26.2</v>
      </c>
      <c r="I526">
        <f t="shared" si="57"/>
        <v>1.0999999999999999E-2</v>
      </c>
      <c r="J526">
        <f t="shared" si="58"/>
        <v>4.4487882924209549E-2</v>
      </c>
      <c r="K526">
        <f t="shared" si="59"/>
        <v>73.675475739623224</v>
      </c>
      <c r="L526">
        <f t="shared" si="60"/>
        <v>5.9317177232279391E-4</v>
      </c>
      <c r="O526">
        <f t="shared" si="61"/>
        <v>60.279934696055363</v>
      </c>
      <c r="P526">
        <f t="shared" si="62"/>
        <v>1.460237045656278E-4</v>
      </c>
    </row>
    <row r="527" spans="1:16" x14ac:dyDescent="0.25">
      <c r="A527">
        <v>26.25</v>
      </c>
      <c r="B527">
        <v>1.0999999999999999E-2</v>
      </c>
      <c r="C527">
        <v>7.0000000000000007E-2</v>
      </c>
      <c r="H527">
        <f t="shared" si="56"/>
        <v>26.25</v>
      </c>
      <c r="I527">
        <f t="shared" si="57"/>
        <v>1.0999999999999999E-2</v>
      </c>
      <c r="J527">
        <f t="shared" si="58"/>
        <v>4.5441104074828265E-2</v>
      </c>
      <c r="K527">
        <f t="shared" si="59"/>
        <v>73.675475739623224</v>
      </c>
      <c r="L527">
        <f t="shared" si="60"/>
        <v>6.0588138766437679E-4</v>
      </c>
      <c r="O527">
        <f t="shared" si="61"/>
        <v>60.279934696055363</v>
      </c>
      <c r="P527">
        <f t="shared" si="62"/>
        <v>1.5873331990721068E-4</v>
      </c>
    </row>
    <row r="528" spans="1:16" x14ac:dyDescent="0.25">
      <c r="A528">
        <v>26.3</v>
      </c>
      <c r="B528">
        <v>1.0999999999999999E-2</v>
      </c>
      <c r="C528">
        <v>6.8000000000000005E-2</v>
      </c>
      <c r="H528">
        <f t="shared" si="56"/>
        <v>26.3</v>
      </c>
      <c r="I528">
        <f t="shared" si="57"/>
        <v>1.0999999999999999E-2</v>
      </c>
      <c r="J528">
        <f t="shared" si="58"/>
        <v>4.3394325225446985E-2</v>
      </c>
      <c r="K528">
        <f t="shared" si="59"/>
        <v>73.675475739623224</v>
      </c>
      <c r="L528">
        <f t="shared" si="60"/>
        <v>5.7859100300595968E-4</v>
      </c>
      <c r="O528">
        <f t="shared" si="61"/>
        <v>60.279934696055363</v>
      </c>
      <c r="P528">
        <f t="shared" si="62"/>
        <v>1.3144293524879356E-4</v>
      </c>
    </row>
    <row r="529" spans="1:16" x14ac:dyDescent="0.25">
      <c r="A529">
        <v>26.35</v>
      </c>
      <c r="B529">
        <v>1.0999999999999999E-2</v>
      </c>
      <c r="C529">
        <v>6.9000000000000006E-2</v>
      </c>
      <c r="H529">
        <f t="shared" si="56"/>
        <v>26.35</v>
      </c>
      <c r="I529">
        <f t="shared" si="57"/>
        <v>1.0999999999999999E-2</v>
      </c>
      <c r="J529">
        <f t="shared" si="58"/>
        <v>4.4347546376065708E-2</v>
      </c>
      <c r="K529">
        <f t="shared" si="59"/>
        <v>73.675475739623224</v>
      </c>
      <c r="L529">
        <f t="shared" si="60"/>
        <v>5.9130061834754266E-4</v>
      </c>
      <c r="O529">
        <f t="shared" si="61"/>
        <v>60.279934696055363</v>
      </c>
      <c r="P529">
        <f t="shared" si="62"/>
        <v>1.4415255059037655E-4</v>
      </c>
    </row>
    <row r="530" spans="1:16" x14ac:dyDescent="0.25">
      <c r="A530">
        <v>26.4</v>
      </c>
      <c r="B530">
        <v>1.0999999999999999E-2</v>
      </c>
      <c r="C530">
        <v>6.8000000000000005E-2</v>
      </c>
      <c r="H530">
        <f t="shared" si="56"/>
        <v>26.4</v>
      </c>
      <c r="I530">
        <f t="shared" si="57"/>
        <v>1.0999999999999999E-2</v>
      </c>
      <c r="J530">
        <f t="shared" si="58"/>
        <v>4.3300767526684429E-2</v>
      </c>
      <c r="K530">
        <f t="shared" si="59"/>
        <v>73.675475739623224</v>
      </c>
      <c r="L530">
        <f t="shared" si="60"/>
        <v>5.7734356702245895E-4</v>
      </c>
      <c r="O530">
        <f t="shared" si="61"/>
        <v>60.279934696055363</v>
      </c>
      <c r="P530">
        <f t="shared" si="62"/>
        <v>1.3019549926529284E-4</v>
      </c>
    </row>
    <row r="531" spans="1:16" x14ac:dyDescent="0.25">
      <c r="A531">
        <v>26.45</v>
      </c>
      <c r="B531">
        <v>1.0999999999999999E-2</v>
      </c>
      <c r="C531">
        <v>6.9000000000000006E-2</v>
      </c>
      <c r="H531">
        <f t="shared" si="56"/>
        <v>26.45</v>
      </c>
      <c r="I531">
        <f t="shared" si="57"/>
        <v>1.0999999999999999E-2</v>
      </c>
      <c r="J531">
        <f t="shared" si="58"/>
        <v>4.4253988677303152E-2</v>
      </c>
      <c r="K531">
        <f t="shared" si="59"/>
        <v>73.675475739623224</v>
      </c>
      <c r="L531">
        <f t="shared" si="60"/>
        <v>5.9005318236404194E-4</v>
      </c>
      <c r="O531">
        <f t="shared" si="61"/>
        <v>60.279934696055363</v>
      </c>
      <c r="P531">
        <f t="shared" si="62"/>
        <v>1.4290511460687583E-4</v>
      </c>
    </row>
    <row r="532" spans="1:16" x14ac:dyDescent="0.25">
      <c r="A532">
        <v>26.5</v>
      </c>
      <c r="B532">
        <v>1.0999999999999999E-2</v>
      </c>
      <c r="C532">
        <v>6.8000000000000005E-2</v>
      </c>
      <c r="H532">
        <f t="shared" si="56"/>
        <v>26.5</v>
      </c>
      <c r="I532">
        <f t="shared" si="57"/>
        <v>1.0999999999999999E-2</v>
      </c>
      <c r="J532">
        <f t="shared" si="58"/>
        <v>4.3207209827921866E-2</v>
      </c>
      <c r="K532">
        <f t="shared" si="59"/>
        <v>73.675475739623224</v>
      </c>
      <c r="L532">
        <f t="shared" si="60"/>
        <v>5.7609613103895812E-4</v>
      </c>
      <c r="O532">
        <f t="shared" si="61"/>
        <v>60.279934696055363</v>
      </c>
      <c r="P532">
        <f t="shared" si="62"/>
        <v>1.2894806328179201E-4</v>
      </c>
    </row>
    <row r="533" spans="1:16" x14ac:dyDescent="0.25">
      <c r="A533">
        <v>26.55</v>
      </c>
      <c r="B533">
        <v>1.0999999999999999E-2</v>
      </c>
      <c r="C533">
        <v>7.0000000000000007E-2</v>
      </c>
      <c r="H533">
        <f t="shared" si="56"/>
        <v>26.55</v>
      </c>
      <c r="I533">
        <f t="shared" si="57"/>
        <v>1.0999999999999999E-2</v>
      </c>
      <c r="J533">
        <f t="shared" si="58"/>
        <v>4.516043097854059E-2</v>
      </c>
      <c r="K533">
        <f t="shared" si="59"/>
        <v>73.675475739623224</v>
      </c>
      <c r="L533">
        <f t="shared" si="60"/>
        <v>6.0213907971387441E-4</v>
      </c>
      <c r="O533">
        <f t="shared" si="61"/>
        <v>60.279934696055363</v>
      </c>
      <c r="P533">
        <f t="shared" si="62"/>
        <v>1.549910119567083E-4</v>
      </c>
    </row>
    <row r="534" spans="1:16" x14ac:dyDescent="0.25">
      <c r="A534">
        <v>26.6</v>
      </c>
      <c r="B534">
        <v>1.0999999999999999E-2</v>
      </c>
      <c r="C534">
        <v>6.9000000000000006E-2</v>
      </c>
      <c r="H534">
        <f t="shared" si="56"/>
        <v>26.6</v>
      </c>
      <c r="I534">
        <f t="shared" si="57"/>
        <v>1.0999999999999999E-2</v>
      </c>
      <c r="J534">
        <f t="shared" si="58"/>
        <v>4.4113652129159311E-2</v>
      </c>
      <c r="K534">
        <f t="shared" si="59"/>
        <v>73.675475739623224</v>
      </c>
      <c r="L534">
        <f t="shared" si="60"/>
        <v>5.8818202838879069E-4</v>
      </c>
      <c r="O534">
        <f t="shared" si="61"/>
        <v>60.279934696055363</v>
      </c>
      <c r="P534">
        <f t="shared" si="62"/>
        <v>1.4103396063162458E-4</v>
      </c>
    </row>
    <row r="535" spans="1:16" x14ac:dyDescent="0.25">
      <c r="A535">
        <v>26.65</v>
      </c>
      <c r="B535">
        <v>1.0999999999999999E-2</v>
      </c>
      <c r="C535">
        <v>6.9000000000000006E-2</v>
      </c>
      <c r="H535">
        <f t="shared" si="56"/>
        <v>26.65</v>
      </c>
      <c r="I535">
        <f t="shared" si="57"/>
        <v>1.0999999999999999E-2</v>
      </c>
      <c r="J535">
        <f t="shared" si="58"/>
        <v>4.4066873279778034E-2</v>
      </c>
      <c r="K535">
        <f t="shared" si="59"/>
        <v>73.675475739623224</v>
      </c>
      <c r="L535">
        <f t="shared" si="60"/>
        <v>5.8755831039704028E-4</v>
      </c>
      <c r="O535">
        <f t="shared" si="61"/>
        <v>60.279934696055363</v>
      </c>
      <c r="P535">
        <f t="shared" si="62"/>
        <v>1.4041024263987417E-4</v>
      </c>
    </row>
    <row r="536" spans="1:16" x14ac:dyDescent="0.25">
      <c r="A536">
        <v>26.7</v>
      </c>
      <c r="B536">
        <v>1.0999999999999999E-2</v>
      </c>
      <c r="C536">
        <v>6.8000000000000005E-2</v>
      </c>
      <c r="H536">
        <f t="shared" si="56"/>
        <v>26.7</v>
      </c>
      <c r="I536">
        <f t="shared" si="57"/>
        <v>1.0999999999999999E-2</v>
      </c>
      <c r="J536">
        <f t="shared" si="58"/>
        <v>4.3020094430396755E-2</v>
      </c>
      <c r="K536">
        <f t="shared" si="59"/>
        <v>73.675475739623224</v>
      </c>
      <c r="L536">
        <f t="shared" si="60"/>
        <v>5.7360125907195657E-4</v>
      </c>
      <c r="O536">
        <f t="shared" si="61"/>
        <v>60.279934696055363</v>
      </c>
      <c r="P536">
        <f t="shared" si="62"/>
        <v>1.2645319131479046E-4</v>
      </c>
    </row>
    <row r="537" spans="1:16" x14ac:dyDescent="0.25">
      <c r="A537">
        <v>26.75</v>
      </c>
      <c r="B537">
        <v>0.01</v>
      </c>
      <c r="C537">
        <v>6.9000000000000006E-2</v>
      </c>
      <c r="H537">
        <f t="shared" si="56"/>
        <v>26.75</v>
      </c>
      <c r="I537">
        <f t="shared" si="57"/>
        <v>0.01</v>
      </c>
      <c r="J537">
        <f t="shared" si="58"/>
        <v>4.3973315581015471E-2</v>
      </c>
      <c r="K537">
        <f t="shared" si="59"/>
        <v>66.977705217839301</v>
      </c>
      <c r="L537">
        <f t="shared" si="60"/>
        <v>5.8631087441353945E-4</v>
      </c>
      <c r="O537">
        <f t="shared" si="61"/>
        <v>53.582164174271441</v>
      </c>
      <c r="P537">
        <f t="shared" si="62"/>
        <v>1.3916280665637334E-4</v>
      </c>
    </row>
    <row r="538" spans="1:16" x14ac:dyDescent="0.25">
      <c r="A538">
        <v>26.8</v>
      </c>
      <c r="B538">
        <v>0.01</v>
      </c>
      <c r="C538">
        <v>6.8000000000000005E-2</v>
      </c>
      <c r="H538">
        <f t="shared" si="56"/>
        <v>26.8</v>
      </c>
      <c r="I538">
        <f t="shared" si="57"/>
        <v>0.01</v>
      </c>
      <c r="J538">
        <f t="shared" si="58"/>
        <v>4.2926536731634192E-2</v>
      </c>
      <c r="K538">
        <f t="shared" si="59"/>
        <v>66.977705217839301</v>
      </c>
      <c r="L538">
        <f t="shared" si="60"/>
        <v>5.7235382308845574E-4</v>
      </c>
      <c r="O538">
        <f t="shared" si="61"/>
        <v>53.582164174271441</v>
      </c>
      <c r="P538">
        <f t="shared" si="62"/>
        <v>1.2520575533128963E-4</v>
      </c>
    </row>
    <row r="539" spans="1:16" x14ac:dyDescent="0.25">
      <c r="A539">
        <v>26.85</v>
      </c>
      <c r="B539">
        <v>0.01</v>
      </c>
      <c r="C539">
        <v>6.9000000000000006E-2</v>
      </c>
      <c r="H539">
        <f t="shared" si="56"/>
        <v>26.85</v>
      </c>
      <c r="I539">
        <f t="shared" si="57"/>
        <v>0.01</v>
      </c>
      <c r="J539">
        <f t="shared" si="58"/>
        <v>4.3879757882252915E-2</v>
      </c>
      <c r="K539">
        <f t="shared" si="59"/>
        <v>66.977705217839301</v>
      </c>
      <c r="L539">
        <f t="shared" si="60"/>
        <v>5.8506343843003873E-4</v>
      </c>
      <c r="O539">
        <f t="shared" si="61"/>
        <v>53.582164174271441</v>
      </c>
      <c r="P539">
        <f t="shared" si="62"/>
        <v>1.3791537067287261E-4</v>
      </c>
    </row>
    <row r="540" spans="1:16" x14ac:dyDescent="0.25">
      <c r="A540">
        <v>26.9</v>
      </c>
      <c r="B540">
        <v>0.01</v>
      </c>
      <c r="C540">
        <v>6.7000000000000004E-2</v>
      </c>
      <c r="H540">
        <f t="shared" si="56"/>
        <v>26.9</v>
      </c>
      <c r="I540">
        <f t="shared" si="57"/>
        <v>0.01</v>
      </c>
      <c r="J540">
        <f t="shared" si="58"/>
        <v>4.1832979032871628E-2</v>
      </c>
      <c r="K540">
        <f t="shared" si="59"/>
        <v>66.977705217839301</v>
      </c>
      <c r="L540">
        <f t="shared" si="60"/>
        <v>5.5777305377162161E-4</v>
      </c>
      <c r="O540">
        <f t="shared" si="61"/>
        <v>53.582164174271441</v>
      </c>
      <c r="P540">
        <f t="shared" si="62"/>
        <v>1.106249860144555E-4</v>
      </c>
    </row>
    <row r="541" spans="1:16" x14ac:dyDescent="0.25">
      <c r="A541">
        <v>26.95</v>
      </c>
      <c r="B541">
        <v>8.9999999999999993E-3</v>
      </c>
      <c r="C541">
        <v>6.8000000000000005E-2</v>
      </c>
      <c r="H541">
        <f t="shared" si="56"/>
        <v>26.95</v>
      </c>
      <c r="I541">
        <f t="shared" si="57"/>
        <v>8.9999999999999993E-3</v>
      </c>
      <c r="J541">
        <f t="shared" si="58"/>
        <v>4.2786200183490358E-2</v>
      </c>
      <c r="K541">
        <f t="shared" si="59"/>
        <v>60.279934696055356</v>
      </c>
      <c r="L541">
        <f t="shared" si="60"/>
        <v>5.7048266911320471E-4</v>
      </c>
      <c r="O541">
        <f t="shared" si="61"/>
        <v>46.884393652487496</v>
      </c>
      <c r="P541">
        <f t="shared" si="62"/>
        <v>1.233346013560386E-4</v>
      </c>
    </row>
    <row r="542" spans="1:16" x14ac:dyDescent="0.25">
      <c r="A542">
        <v>27</v>
      </c>
      <c r="B542">
        <v>8.9999999999999993E-3</v>
      </c>
      <c r="C542">
        <v>6.7000000000000004E-2</v>
      </c>
      <c r="H542">
        <f t="shared" si="56"/>
        <v>27</v>
      </c>
      <c r="I542">
        <f t="shared" si="57"/>
        <v>8.9999999999999993E-3</v>
      </c>
      <c r="J542">
        <f t="shared" si="58"/>
        <v>4.1739421334109073E-2</v>
      </c>
      <c r="K542">
        <f t="shared" si="59"/>
        <v>60.279934696055356</v>
      </c>
      <c r="L542">
        <f t="shared" si="60"/>
        <v>5.5652561778812089E-4</v>
      </c>
      <c r="O542">
        <f t="shared" si="61"/>
        <v>46.884393652487496</v>
      </c>
      <c r="P542">
        <f t="shared" si="62"/>
        <v>1.0937755003095478E-4</v>
      </c>
    </row>
    <row r="543" spans="1:16" x14ac:dyDescent="0.25">
      <c r="A543">
        <v>27.05</v>
      </c>
      <c r="B543">
        <v>8.9999999999999993E-3</v>
      </c>
      <c r="C543">
        <v>6.8000000000000005E-2</v>
      </c>
      <c r="H543">
        <f t="shared" si="56"/>
        <v>27.05</v>
      </c>
      <c r="I543">
        <f t="shared" si="57"/>
        <v>8.9999999999999993E-3</v>
      </c>
      <c r="J543">
        <f t="shared" si="58"/>
        <v>4.2692642484727789E-2</v>
      </c>
      <c r="K543">
        <f t="shared" si="59"/>
        <v>60.279934696055356</v>
      </c>
      <c r="L543">
        <f t="shared" si="60"/>
        <v>5.6923523312970377E-4</v>
      </c>
      <c r="O543">
        <f t="shared" si="61"/>
        <v>46.884393652487496</v>
      </c>
      <c r="P543">
        <f t="shared" si="62"/>
        <v>1.2208716537253766E-4</v>
      </c>
    </row>
    <row r="544" spans="1:16" x14ac:dyDescent="0.25">
      <c r="A544">
        <v>27.1</v>
      </c>
      <c r="B544">
        <v>8.9999999999999993E-3</v>
      </c>
      <c r="C544">
        <v>6.7000000000000004E-2</v>
      </c>
      <c r="H544">
        <f t="shared" si="56"/>
        <v>27.1</v>
      </c>
      <c r="I544">
        <f t="shared" si="57"/>
        <v>8.9999999999999993E-3</v>
      </c>
      <c r="J544">
        <f t="shared" si="58"/>
        <v>4.1645863635346517E-2</v>
      </c>
      <c r="K544">
        <f t="shared" si="59"/>
        <v>60.279934696055356</v>
      </c>
      <c r="L544">
        <f t="shared" si="60"/>
        <v>5.5527818180462016E-4</v>
      </c>
      <c r="O544">
        <f t="shared" si="61"/>
        <v>46.884393652487496</v>
      </c>
      <c r="P544">
        <f t="shared" si="62"/>
        <v>1.0813011404745405E-4</v>
      </c>
    </row>
    <row r="545" spans="1:16" x14ac:dyDescent="0.25">
      <c r="A545">
        <v>27.15</v>
      </c>
      <c r="B545">
        <v>8.9999999999999993E-3</v>
      </c>
      <c r="C545">
        <v>6.8000000000000005E-2</v>
      </c>
      <c r="H545">
        <f t="shared" si="56"/>
        <v>27.15</v>
      </c>
      <c r="I545">
        <f t="shared" si="57"/>
        <v>8.9999999999999993E-3</v>
      </c>
      <c r="J545">
        <f t="shared" si="58"/>
        <v>4.2599084785965233E-2</v>
      </c>
      <c r="K545">
        <f t="shared" si="59"/>
        <v>60.279934696055356</v>
      </c>
      <c r="L545">
        <f t="shared" si="60"/>
        <v>5.6798779714620305E-4</v>
      </c>
      <c r="O545">
        <f t="shared" si="61"/>
        <v>46.884393652487496</v>
      </c>
      <c r="P545">
        <f t="shared" si="62"/>
        <v>1.2083972938903693E-4</v>
      </c>
    </row>
    <row r="546" spans="1:16" x14ac:dyDescent="0.25">
      <c r="A546">
        <v>27.2</v>
      </c>
      <c r="B546">
        <v>8.9999999999999993E-3</v>
      </c>
      <c r="C546">
        <v>6.7000000000000004E-2</v>
      </c>
      <c r="H546">
        <f t="shared" si="56"/>
        <v>27.2</v>
      </c>
      <c r="I546">
        <f t="shared" si="57"/>
        <v>8.9999999999999993E-3</v>
      </c>
      <c r="J546">
        <f t="shared" si="58"/>
        <v>4.1552305936583954E-2</v>
      </c>
      <c r="K546">
        <f t="shared" si="59"/>
        <v>60.279934696055356</v>
      </c>
      <c r="L546">
        <f t="shared" si="60"/>
        <v>5.5403074582111923E-4</v>
      </c>
      <c r="O546">
        <f t="shared" si="61"/>
        <v>46.884393652487496</v>
      </c>
      <c r="P546">
        <f t="shared" si="62"/>
        <v>1.0688267806395311E-4</v>
      </c>
    </row>
    <row r="547" spans="1:16" x14ac:dyDescent="0.25">
      <c r="A547">
        <v>27.25</v>
      </c>
      <c r="B547">
        <v>8.9999999999999993E-3</v>
      </c>
      <c r="C547">
        <v>6.8000000000000005E-2</v>
      </c>
      <c r="H547">
        <f t="shared" si="56"/>
        <v>27.25</v>
      </c>
      <c r="I547">
        <f t="shared" si="57"/>
        <v>8.9999999999999993E-3</v>
      </c>
      <c r="J547">
        <f t="shared" si="58"/>
        <v>4.2505527087202677E-2</v>
      </c>
      <c r="K547">
        <f t="shared" si="59"/>
        <v>60.279934696055356</v>
      </c>
      <c r="L547">
        <f t="shared" si="60"/>
        <v>5.6674036116270221E-4</v>
      </c>
      <c r="O547">
        <f t="shared" si="61"/>
        <v>46.884393652487496</v>
      </c>
      <c r="P547">
        <f t="shared" si="62"/>
        <v>1.195922934055361E-4</v>
      </c>
    </row>
    <row r="548" spans="1:16" x14ac:dyDescent="0.25">
      <c r="A548">
        <v>27.3</v>
      </c>
      <c r="B548">
        <v>8.9999999999999993E-3</v>
      </c>
      <c r="C548">
        <v>6.7000000000000004E-2</v>
      </c>
      <c r="H548">
        <f t="shared" si="56"/>
        <v>27.3</v>
      </c>
      <c r="I548">
        <f t="shared" si="57"/>
        <v>8.9999999999999993E-3</v>
      </c>
      <c r="J548">
        <f t="shared" si="58"/>
        <v>4.1458748237821391E-2</v>
      </c>
      <c r="K548">
        <f t="shared" si="59"/>
        <v>60.279934696055356</v>
      </c>
      <c r="L548">
        <f t="shared" si="60"/>
        <v>5.5278330983761839E-4</v>
      </c>
      <c r="O548">
        <f t="shared" si="61"/>
        <v>46.884393652487496</v>
      </c>
      <c r="P548">
        <f t="shared" si="62"/>
        <v>1.0563524208045228E-4</v>
      </c>
    </row>
    <row r="549" spans="1:16" x14ac:dyDescent="0.25">
      <c r="A549">
        <v>27.35</v>
      </c>
      <c r="B549">
        <v>8.9999999999999993E-3</v>
      </c>
      <c r="C549">
        <v>6.8000000000000005E-2</v>
      </c>
      <c r="H549">
        <f t="shared" si="56"/>
        <v>27.35</v>
      </c>
      <c r="I549">
        <f t="shared" si="57"/>
        <v>8.9999999999999993E-3</v>
      </c>
      <c r="J549">
        <f t="shared" si="58"/>
        <v>4.2411969388440114E-2</v>
      </c>
      <c r="K549">
        <f t="shared" si="59"/>
        <v>60.279934696055356</v>
      </c>
      <c r="L549">
        <f t="shared" si="60"/>
        <v>5.6549292517920138E-4</v>
      </c>
      <c r="O549">
        <f t="shared" si="61"/>
        <v>46.884393652487496</v>
      </c>
      <c r="P549">
        <f t="shared" si="62"/>
        <v>1.1834485742203527E-4</v>
      </c>
    </row>
    <row r="550" spans="1:16" x14ac:dyDescent="0.25">
      <c r="A550">
        <v>27.4</v>
      </c>
      <c r="B550">
        <v>8.9999999999999993E-3</v>
      </c>
      <c r="C550">
        <v>6.7000000000000004E-2</v>
      </c>
      <c r="H550">
        <f t="shared" si="56"/>
        <v>27.4</v>
      </c>
      <c r="I550">
        <f t="shared" si="57"/>
        <v>8.9999999999999993E-3</v>
      </c>
      <c r="J550">
        <f t="shared" si="58"/>
        <v>4.1365190539058835E-2</v>
      </c>
      <c r="K550">
        <f t="shared" si="59"/>
        <v>60.279934696055356</v>
      </c>
      <c r="L550">
        <f t="shared" si="60"/>
        <v>5.5153587385411767E-4</v>
      </c>
      <c r="O550">
        <f t="shared" si="61"/>
        <v>46.884393652487496</v>
      </c>
      <c r="P550">
        <f t="shared" si="62"/>
        <v>1.0438780609695156E-4</v>
      </c>
    </row>
    <row r="551" spans="1:16" x14ac:dyDescent="0.25">
      <c r="A551">
        <v>27.45</v>
      </c>
      <c r="B551">
        <v>8.9999999999999993E-3</v>
      </c>
      <c r="C551">
        <v>6.8000000000000005E-2</v>
      </c>
      <c r="H551">
        <f t="shared" si="56"/>
        <v>27.45</v>
      </c>
      <c r="I551">
        <f t="shared" si="57"/>
        <v>8.9999999999999993E-3</v>
      </c>
      <c r="J551">
        <f t="shared" si="58"/>
        <v>4.2318411689677558E-2</v>
      </c>
      <c r="K551">
        <f t="shared" si="59"/>
        <v>60.279934696055356</v>
      </c>
      <c r="L551">
        <f t="shared" si="60"/>
        <v>5.6424548919570066E-4</v>
      </c>
      <c r="O551">
        <f t="shared" si="61"/>
        <v>46.884393652487496</v>
      </c>
      <c r="P551">
        <f t="shared" si="62"/>
        <v>1.1709742143853455E-4</v>
      </c>
    </row>
    <row r="552" spans="1:16" x14ac:dyDescent="0.25">
      <c r="A552">
        <v>27.5</v>
      </c>
      <c r="B552">
        <v>8.9999999999999993E-3</v>
      </c>
      <c r="C552">
        <v>6.7000000000000004E-2</v>
      </c>
      <c r="H552">
        <f t="shared" si="56"/>
        <v>27.5</v>
      </c>
      <c r="I552">
        <f t="shared" si="57"/>
        <v>8.9999999999999993E-3</v>
      </c>
      <c r="J552">
        <f t="shared" si="58"/>
        <v>4.127163284029628E-2</v>
      </c>
      <c r="K552">
        <f t="shared" si="59"/>
        <v>60.279934696055356</v>
      </c>
      <c r="L552">
        <f t="shared" si="60"/>
        <v>5.5028843787061695E-4</v>
      </c>
      <c r="O552">
        <f t="shared" si="61"/>
        <v>46.884393652487496</v>
      </c>
      <c r="P552">
        <f t="shared" si="62"/>
        <v>1.0314037011345084E-4</v>
      </c>
    </row>
    <row r="553" spans="1:16" x14ac:dyDescent="0.25">
      <c r="A553">
        <v>27.55</v>
      </c>
      <c r="B553">
        <v>8.9999999999999993E-3</v>
      </c>
      <c r="C553">
        <v>6.8000000000000005E-2</v>
      </c>
      <c r="H553">
        <f t="shared" si="56"/>
        <v>27.55</v>
      </c>
      <c r="I553">
        <f t="shared" si="57"/>
        <v>8.9999999999999993E-3</v>
      </c>
      <c r="J553">
        <f t="shared" si="58"/>
        <v>4.2224853990914996E-2</v>
      </c>
      <c r="K553">
        <f t="shared" si="59"/>
        <v>60.279934696055356</v>
      </c>
      <c r="L553">
        <f t="shared" si="60"/>
        <v>5.6299805321219983E-4</v>
      </c>
      <c r="O553">
        <f t="shared" si="61"/>
        <v>46.884393652487496</v>
      </c>
      <c r="P553">
        <f t="shared" si="62"/>
        <v>1.1584998545503372E-4</v>
      </c>
    </row>
    <row r="554" spans="1:16" x14ac:dyDescent="0.25">
      <c r="A554">
        <v>27.6</v>
      </c>
      <c r="B554">
        <v>8.9999999999999993E-3</v>
      </c>
      <c r="C554">
        <v>6.7000000000000004E-2</v>
      </c>
      <c r="H554">
        <f t="shared" si="56"/>
        <v>27.6</v>
      </c>
      <c r="I554">
        <f t="shared" si="57"/>
        <v>8.9999999999999993E-3</v>
      </c>
      <c r="J554">
        <f t="shared" si="58"/>
        <v>4.1178075141533717E-2</v>
      </c>
      <c r="K554">
        <f t="shared" si="59"/>
        <v>60.279934696055356</v>
      </c>
      <c r="L554">
        <f t="shared" si="60"/>
        <v>5.4904100188711612E-4</v>
      </c>
      <c r="O554">
        <f t="shared" si="61"/>
        <v>46.884393652487496</v>
      </c>
      <c r="P554">
        <f t="shared" si="62"/>
        <v>1.0189293412995001E-4</v>
      </c>
    </row>
    <row r="555" spans="1:16" x14ac:dyDescent="0.25">
      <c r="A555">
        <v>27.65</v>
      </c>
      <c r="B555">
        <v>8.9999999999999993E-3</v>
      </c>
      <c r="C555">
        <v>6.8000000000000005E-2</v>
      </c>
      <c r="H555">
        <f t="shared" si="56"/>
        <v>27.65</v>
      </c>
      <c r="I555">
        <f t="shared" si="57"/>
        <v>8.9999999999999993E-3</v>
      </c>
      <c r="J555">
        <f t="shared" si="58"/>
        <v>4.213129629215244E-2</v>
      </c>
      <c r="K555">
        <f t="shared" si="59"/>
        <v>60.279934696055356</v>
      </c>
      <c r="L555">
        <f t="shared" si="60"/>
        <v>5.6175061722869911E-4</v>
      </c>
      <c r="O555">
        <f t="shared" si="61"/>
        <v>46.884393652487496</v>
      </c>
      <c r="P555">
        <f t="shared" si="62"/>
        <v>1.14602549471533E-4</v>
      </c>
    </row>
    <row r="556" spans="1:16" x14ac:dyDescent="0.25">
      <c r="A556">
        <v>27.7</v>
      </c>
      <c r="B556">
        <v>8.0000000000000002E-3</v>
      </c>
      <c r="C556">
        <v>6.7000000000000004E-2</v>
      </c>
      <c r="H556">
        <f t="shared" si="56"/>
        <v>27.7</v>
      </c>
      <c r="I556">
        <f t="shared" si="57"/>
        <v>8.0000000000000002E-3</v>
      </c>
      <c r="J556">
        <f t="shared" si="58"/>
        <v>4.1084517442771161E-2</v>
      </c>
      <c r="K556">
        <f t="shared" si="59"/>
        <v>53.582164174271433</v>
      </c>
      <c r="L556">
        <f t="shared" si="60"/>
        <v>5.477935659036154E-4</v>
      </c>
      <c r="O556">
        <f t="shared" si="61"/>
        <v>40.186623130703573</v>
      </c>
      <c r="P556">
        <f t="shared" si="62"/>
        <v>1.0064549814644928E-4</v>
      </c>
    </row>
    <row r="557" spans="1:16" x14ac:dyDescent="0.25">
      <c r="A557">
        <v>27.75</v>
      </c>
      <c r="B557">
        <v>8.0000000000000002E-3</v>
      </c>
      <c r="C557">
        <v>6.8000000000000005E-2</v>
      </c>
      <c r="H557">
        <f t="shared" si="56"/>
        <v>27.75</v>
      </c>
      <c r="I557">
        <f t="shared" si="57"/>
        <v>8.0000000000000002E-3</v>
      </c>
      <c r="J557">
        <f t="shared" si="58"/>
        <v>4.2037738593389884E-2</v>
      </c>
      <c r="K557">
        <f t="shared" si="59"/>
        <v>53.582164174271433</v>
      </c>
      <c r="L557">
        <f t="shared" si="60"/>
        <v>5.6050318124519838E-4</v>
      </c>
      <c r="O557">
        <f t="shared" si="61"/>
        <v>40.186623130703573</v>
      </c>
      <c r="P557">
        <f t="shared" si="62"/>
        <v>1.1335511348803227E-4</v>
      </c>
    </row>
    <row r="558" spans="1:16" x14ac:dyDescent="0.25">
      <c r="A558">
        <v>27.8</v>
      </c>
      <c r="B558">
        <v>8.0000000000000002E-3</v>
      </c>
      <c r="C558">
        <v>6.6000000000000003E-2</v>
      </c>
      <c r="H558">
        <f t="shared" si="56"/>
        <v>27.8</v>
      </c>
      <c r="I558">
        <f t="shared" si="57"/>
        <v>8.0000000000000002E-3</v>
      </c>
      <c r="J558">
        <f t="shared" si="58"/>
        <v>3.9990959744008597E-2</v>
      </c>
      <c r="K558">
        <f t="shared" si="59"/>
        <v>53.582164174271433</v>
      </c>
      <c r="L558">
        <f t="shared" si="60"/>
        <v>5.3321279658678116E-4</v>
      </c>
      <c r="O558">
        <f t="shared" si="61"/>
        <v>40.186623130703573</v>
      </c>
      <c r="P558">
        <f t="shared" si="62"/>
        <v>8.6064728829615049E-5</v>
      </c>
    </row>
    <row r="559" spans="1:16" x14ac:dyDescent="0.25">
      <c r="A559">
        <v>27.85</v>
      </c>
      <c r="B559">
        <v>8.0000000000000002E-3</v>
      </c>
      <c r="C559">
        <v>6.7000000000000004E-2</v>
      </c>
      <c r="H559">
        <f t="shared" si="56"/>
        <v>27.85</v>
      </c>
      <c r="I559">
        <f t="shared" si="57"/>
        <v>8.0000000000000002E-3</v>
      </c>
      <c r="J559">
        <f t="shared" si="58"/>
        <v>4.094418089462732E-2</v>
      </c>
      <c r="K559">
        <f t="shared" si="59"/>
        <v>53.582164174271433</v>
      </c>
      <c r="L559">
        <f t="shared" si="60"/>
        <v>5.4592241192836415E-4</v>
      </c>
      <c r="O559">
        <f t="shared" si="61"/>
        <v>40.186623130703573</v>
      </c>
      <c r="P559">
        <f t="shared" si="62"/>
        <v>9.8774344171198038E-5</v>
      </c>
    </row>
    <row r="560" spans="1:16" x14ac:dyDescent="0.25">
      <c r="A560">
        <v>27.9</v>
      </c>
      <c r="B560">
        <v>8.0000000000000002E-3</v>
      </c>
      <c r="C560">
        <v>6.6000000000000003E-2</v>
      </c>
      <c r="H560">
        <f t="shared" si="56"/>
        <v>27.9</v>
      </c>
      <c r="I560">
        <f t="shared" si="57"/>
        <v>8.0000000000000002E-3</v>
      </c>
      <c r="J560">
        <f t="shared" si="58"/>
        <v>3.9897402045246042E-2</v>
      </c>
      <c r="K560">
        <f t="shared" si="59"/>
        <v>53.582164174271433</v>
      </c>
      <c r="L560">
        <f t="shared" si="60"/>
        <v>5.3196536060328044E-4</v>
      </c>
      <c r="O560">
        <f t="shared" si="61"/>
        <v>40.186623130703573</v>
      </c>
      <c r="P560">
        <f t="shared" si="62"/>
        <v>8.4817292846114326E-5</v>
      </c>
    </row>
    <row r="561" spans="1:16" x14ac:dyDescent="0.25">
      <c r="A561">
        <v>27.95</v>
      </c>
      <c r="B561">
        <v>8.0000000000000002E-3</v>
      </c>
      <c r="C561">
        <v>6.7000000000000004E-2</v>
      </c>
      <c r="H561">
        <f t="shared" si="56"/>
        <v>27.95</v>
      </c>
      <c r="I561">
        <f t="shared" si="57"/>
        <v>8.0000000000000002E-3</v>
      </c>
      <c r="J561">
        <f t="shared" si="58"/>
        <v>4.0850623195864758E-2</v>
      </c>
      <c r="K561">
        <f t="shared" si="59"/>
        <v>53.582164174271433</v>
      </c>
      <c r="L561">
        <f t="shared" si="60"/>
        <v>5.4467497594486332E-4</v>
      </c>
      <c r="O561">
        <f t="shared" si="61"/>
        <v>40.186623130703573</v>
      </c>
      <c r="P561">
        <f t="shared" si="62"/>
        <v>9.7526908187697207E-5</v>
      </c>
    </row>
    <row r="562" spans="1:16" x14ac:dyDescent="0.25">
      <c r="A562">
        <v>28</v>
      </c>
      <c r="B562">
        <v>8.0000000000000002E-3</v>
      </c>
      <c r="C562">
        <v>6.6000000000000003E-2</v>
      </c>
      <c r="H562">
        <f t="shared" si="56"/>
        <v>28</v>
      </c>
      <c r="I562">
        <f t="shared" si="57"/>
        <v>8.0000000000000002E-3</v>
      </c>
      <c r="J562">
        <f t="shared" si="58"/>
        <v>3.9803844346483486E-2</v>
      </c>
      <c r="K562">
        <f t="shared" si="59"/>
        <v>53.582164174271433</v>
      </c>
      <c r="L562">
        <f t="shared" si="60"/>
        <v>5.3071792461977972E-4</v>
      </c>
      <c r="O562">
        <f t="shared" si="61"/>
        <v>40.186623130703573</v>
      </c>
      <c r="P562">
        <f t="shared" si="62"/>
        <v>8.3569856862613604E-5</v>
      </c>
    </row>
    <row r="563" spans="1:16" x14ac:dyDescent="0.25">
      <c r="A563">
        <v>28.05</v>
      </c>
      <c r="B563">
        <v>7.0000000000000001E-3</v>
      </c>
      <c r="C563">
        <v>6.7000000000000004E-2</v>
      </c>
      <c r="H563">
        <f t="shared" si="56"/>
        <v>28.05</v>
      </c>
      <c r="I563">
        <f t="shared" si="57"/>
        <v>7.0000000000000001E-3</v>
      </c>
      <c r="J563">
        <f t="shared" si="58"/>
        <v>4.0757065497102202E-2</v>
      </c>
      <c r="K563">
        <f t="shared" si="59"/>
        <v>46.884393652487503</v>
      </c>
      <c r="L563">
        <f t="shared" si="60"/>
        <v>5.434275399613626E-4</v>
      </c>
      <c r="O563">
        <f t="shared" si="61"/>
        <v>33.488852608919643</v>
      </c>
      <c r="P563">
        <f t="shared" si="62"/>
        <v>9.6279472204196484E-5</v>
      </c>
    </row>
    <row r="564" spans="1:16" x14ac:dyDescent="0.25">
      <c r="A564">
        <v>28.1</v>
      </c>
      <c r="B564">
        <v>7.0000000000000001E-3</v>
      </c>
      <c r="C564">
        <v>6.6000000000000003E-2</v>
      </c>
      <c r="H564">
        <f t="shared" si="56"/>
        <v>28.1</v>
      </c>
      <c r="I564">
        <f t="shared" si="57"/>
        <v>7.0000000000000001E-3</v>
      </c>
      <c r="J564">
        <f t="shared" si="58"/>
        <v>3.9710286647720916E-2</v>
      </c>
      <c r="K564">
        <f t="shared" si="59"/>
        <v>46.884393652487503</v>
      </c>
      <c r="L564">
        <f t="shared" si="60"/>
        <v>5.2947048863627878E-4</v>
      </c>
      <c r="O564">
        <f t="shared" si="61"/>
        <v>33.488852608919643</v>
      </c>
      <c r="P564">
        <f t="shared" si="62"/>
        <v>8.2322420879112664E-5</v>
      </c>
    </row>
    <row r="565" spans="1:16" x14ac:dyDescent="0.25">
      <c r="A565">
        <v>28.15</v>
      </c>
      <c r="B565">
        <v>7.0000000000000001E-3</v>
      </c>
      <c r="C565">
        <v>6.7000000000000004E-2</v>
      </c>
      <c r="H565">
        <f t="shared" si="56"/>
        <v>28.15</v>
      </c>
      <c r="I565">
        <f t="shared" si="57"/>
        <v>7.0000000000000001E-3</v>
      </c>
      <c r="J565">
        <f t="shared" si="58"/>
        <v>4.0663507798339646E-2</v>
      </c>
      <c r="K565">
        <f t="shared" si="59"/>
        <v>46.884393652487503</v>
      </c>
      <c r="L565">
        <f t="shared" si="60"/>
        <v>5.4218010397786187E-4</v>
      </c>
      <c r="O565">
        <f t="shared" si="61"/>
        <v>33.488852608919643</v>
      </c>
      <c r="P565">
        <f t="shared" si="62"/>
        <v>9.5032036220695762E-5</v>
      </c>
    </row>
    <row r="566" spans="1:16" x14ac:dyDescent="0.25">
      <c r="A566">
        <v>28.2</v>
      </c>
      <c r="B566">
        <v>7.0000000000000001E-3</v>
      </c>
      <c r="C566">
        <v>6.6000000000000003E-2</v>
      </c>
      <c r="H566">
        <f t="shared" si="56"/>
        <v>28.2</v>
      </c>
      <c r="I566">
        <f t="shared" si="57"/>
        <v>7.0000000000000001E-3</v>
      </c>
      <c r="J566">
        <f t="shared" si="58"/>
        <v>3.961672894895836E-2</v>
      </c>
      <c r="K566">
        <f t="shared" si="59"/>
        <v>46.884393652487503</v>
      </c>
      <c r="L566">
        <f t="shared" si="60"/>
        <v>5.2822305265277805E-4</v>
      </c>
      <c r="O566">
        <f t="shared" si="61"/>
        <v>33.488852608919643</v>
      </c>
      <c r="P566">
        <f t="shared" si="62"/>
        <v>8.1074984895611942E-5</v>
      </c>
    </row>
    <row r="567" spans="1:16" x14ac:dyDescent="0.25">
      <c r="A567">
        <v>28.25</v>
      </c>
      <c r="B567">
        <v>7.0000000000000001E-3</v>
      </c>
      <c r="C567">
        <v>6.7000000000000004E-2</v>
      </c>
      <c r="H567">
        <f t="shared" si="56"/>
        <v>28.25</v>
      </c>
      <c r="I567">
        <f t="shared" si="57"/>
        <v>7.0000000000000001E-3</v>
      </c>
      <c r="J567">
        <f t="shared" si="58"/>
        <v>4.0569950099577083E-2</v>
      </c>
      <c r="K567">
        <f t="shared" si="59"/>
        <v>46.884393652487503</v>
      </c>
      <c r="L567">
        <f t="shared" si="60"/>
        <v>5.4093266799436104E-4</v>
      </c>
      <c r="O567">
        <f t="shared" si="61"/>
        <v>33.488852608919643</v>
      </c>
      <c r="P567">
        <f t="shared" si="62"/>
        <v>9.3784600237194931E-5</v>
      </c>
    </row>
    <row r="568" spans="1:16" x14ac:dyDescent="0.25">
      <c r="A568">
        <v>28.3</v>
      </c>
      <c r="B568">
        <v>7.0000000000000001E-3</v>
      </c>
      <c r="C568">
        <v>6.6000000000000003E-2</v>
      </c>
      <c r="H568">
        <f t="shared" si="56"/>
        <v>28.3</v>
      </c>
      <c r="I568">
        <f t="shared" si="57"/>
        <v>7.0000000000000001E-3</v>
      </c>
      <c r="J568">
        <f t="shared" si="58"/>
        <v>3.9523171250195804E-2</v>
      </c>
      <c r="K568">
        <f t="shared" si="59"/>
        <v>46.884393652487503</v>
      </c>
      <c r="L568">
        <f t="shared" si="60"/>
        <v>5.2697561666927733E-4</v>
      </c>
      <c r="O568">
        <f t="shared" si="61"/>
        <v>33.488852608919643</v>
      </c>
      <c r="P568">
        <f t="shared" si="62"/>
        <v>7.9827548912111219E-5</v>
      </c>
    </row>
    <row r="569" spans="1:16" x14ac:dyDescent="0.25">
      <c r="A569">
        <v>28.35</v>
      </c>
      <c r="B569">
        <v>7.0000000000000001E-3</v>
      </c>
      <c r="C569">
        <v>6.7000000000000004E-2</v>
      </c>
      <c r="H569">
        <f t="shared" si="56"/>
        <v>28.35</v>
      </c>
      <c r="I569">
        <f t="shared" si="57"/>
        <v>7.0000000000000001E-3</v>
      </c>
      <c r="J569">
        <f t="shared" si="58"/>
        <v>4.047639240081452E-2</v>
      </c>
      <c r="K569">
        <f t="shared" si="59"/>
        <v>46.884393652487503</v>
      </c>
      <c r="L569">
        <f t="shared" si="60"/>
        <v>5.3968523201086021E-4</v>
      </c>
      <c r="O569">
        <f t="shared" si="61"/>
        <v>33.488852608919643</v>
      </c>
      <c r="P569">
        <f t="shared" si="62"/>
        <v>9.25371642536941E-5</v>
      </c>
    </row>
    <row r="570" spans="1:16" x14ac:dyDescent="0.25">
      <c r="A570">
        <v>28.4</v>
      </c>
      <c r="B570">
        <v>7.0000000000000001E-3</v>
      </c>
      <c r="C570">
        <v>6.6000000000000003E-2</v>
      </c>
      <c r="H570">
        <f t="shared" si="56"/>
        <v>28.4</v>
      </c>
      <c r="I570">
        <f t="shared" si="57"/>
        <v>7.0000000000000001E-3</v>
      </c>
      <c r="J570">
        <f t="shared" si="58"/>
        <v>3.9429613551433249E-2</v>
      </c>
      <c r="K570">
        <f t="shared" si="59"/>
        <v>46.884393652487503</v>
      </c>
      <c r="L570">
        <f t="shared" si="60"/>
        <v>5.257281806857765E-4</v>
      </c>
      <c r="O570">
        <f t="shared" si="61"/>
        <v>33.488852608919643</v>
      </c>
      <c r="P570">
        <f t="shared" si="62"/>
        <v>7.8580112928610388E-5</v>
      </c>
    </row>
    <row r="571" spans="1:16" x14ac:dyDescent="0.25">
      <c r="A571">
        <v>28.45</v>
      </c>
      <c r="B571">
        <v>7.0000000000000001E-3</v>
      </c>
      <c r="C571">
        <v>6.7000000000000004E-2</v>
      </c>
      <c r="H571">
        <f t="shared" si="56"/>
        <v>28.45</v>
      </c>
      <c r="I571">
        <f t="shared" si="57"/>
        <v>7.0000000000000001E-3</v>
      </c>
      <c r="J571">
        <f t="shared" si="58"/>
        <v>4.0382834702051965E-2</v>
      </c>
      <c r="K571">
        <f t="shared" si="59"/>
        <v>46.884393652487503</v>
      </c>
      <c r="L571">
        <f t="shared" si="60"/>
        <v>5.3843779602735938E-4</v>
      </c>
      <c r="O571">
        <f t="shared" si="61"/>
        <v>33.488852608919643</v>
      </c>
      <c r="P571">
        <f t="shared" si="62"/>
        <v>9.1289728270193269E-5</v>
      </c>
    </row>
    <row r="572" spans="1:16" x14ac:dyDescent="0.25">
      <c r="A572">
        <v>28.5</v>
      </c>
      <c r="B572">
        <v>7.0000000000000001E-3</v>
      </c>
      <c r="C572">
        <v>6.6000000000000003E-2</v>
      </c>
      <c r="H572">
        <f t="shared" si="56"/>
        <v>28.5</v>
      </c>
      <c r="I572">
        <f t="shared" si="57"/>
        <v>7.0000000000000001E-3</v>
      </c>
      <c r="J572">
        <f t="shared" si="58"/>
        <v>3.9336055852670686E-2</v>
      </c>
      <c r="K572">
        <f t="shared" si="59"/>
        <v>46.884393652487503</v>
      </c>
      <c r="L572">
        <f t="shared" si="60"/>
        <v>5.2448074470227567E-4</v>
      </c>
      <c r="O572">
        <f t="shared" si="61"/>
        <v>33.488852608919643</v>
      </c>
      <c r="P572">
        <f t="shared" si="62"/>
        <v>7.7332676945109557E-5</v>
      </c>
    </row>
    <row r="573" spans="1:16" x14ac:dyDescent="0.25">
      <c r="A573">
        <v>28.55</v>
      </c>
      <c r="B573">
        <v>7.0000000000000001E-3</v>
      </c>
      <c r="C573">
        <v>6.7000000000000004E-2</v>
      </c>
      <c r="H573">
        <f t="shared" si="56"/>
        <v>28.55</v>
      </c>
      <c r="I573">
        <f t="shared" si="57"/>
        <v>7.0000000000000001E-3</v>
      </c>
      <c r="J573">
        <f t="shared" si="58"/>
        <v>4.0289277003289409E-2</v>
      </c>
      <c r="K573">
        <f t="shared" si="59"/>
        <v>46.884393652487503</v>
      </c>
      <c r="L573">
        <f t="shared" si="60"/>
        <v>5.3719036004385866E-4</v>
      </c>
      <c r="O573">
        <f t="shared" si="61"/>
        <v>33.488852608919643</v>
      </c>
      <c r="P573">
        <f t="shared" si="62"/>
        <v>9.0042292286692546E-5</v>
      </c>
    </row>
    <row r="574" spans="1:16" x14ac:dyDescent="0.25">
      <c r="A574">
        <v>28.6</v>
      </c>
      <c r="B574">
        <v>7.0000000000000001E-3</v>
      </c>
      <c r="C574">
        <v>6.6000000000000003E-2</v>
      </c>
      <c r="H574">
        <f t="shared" si="56"/>
        <v>28.6</v>
      </c>
      <c r="I574">
        <f t="shared" si="57"/>
        <v>7.0000000000000001E-3</v>
      </c>
      <c r="J574">
        <f t="shared" si="58"/>
        <v>3.9242498153908123E-2</v>
      </c>
      <c r="K574">
        <f t="shared" si="59"/>
        <v>46.884393652487503</v>
      </c>
      <c r="L574">
        <f t="shared" si="60"/>
        <v>5.2323330871877484E-4</v>
      </c>
      <c r="O574">
        <f t="shared" si="61"/>
        <v>33.488852608919643</v>
      </c>
      <c r="P574">
        <f t="shared" si="62"/>
        <v>7.6085240961608726E-5</v>
      </c>
    </row>
    <row r="575" spans="1:16" x14ac:dyDescent="0.25">
      <c r="A575">
        <v>28.65</v>
      </c>
      <c r="B575">
        <v>7.0000000000000001E-3</v>
      </c>
      <c r="C575">
        <v>6.7000000000000004E-2</v>
      </c>
      <c r="H575">
        <f t="shared" si="56"/>
        <v>28.65</v>
      </c>
      <c r="I575">
        <f t="shared" si="57"/>
        <v>7.0000000000000001E-3</v>
      </c>
      <c r="J575">
        <f t="shared" si="58"/>
        <v>4.0195719304526853E-2</v>
      </c>
      <c r="K575">
        <f t="shared" si="59"/>
        <v>46.884393652487503</v>
      </c>
      <c r="L575">
        <f t="shared" si="60"/>
        <v>5.3594292406035794E-4</v>
      </c>
      <c r="O575">
        <f t="shared" si="61"/>
        <v>33.488852608919643</v>
      </c>
      <c r="P575">
        <f t="shared" si="62"/>
        <v>8.8794856303191824E-5</v>
      </c>
    </row>
    <row r="576" spans="1:16" x14ac:dyDescent="0.25">
      <c r="A576">
        <v>28.7</v>
      </c>
      <c r="B576">
        <v>7.0000000000000001E-3</v>
      </c>
      <c r="C576">
        <v>6.6000000000000003E-2</v>
      </c>
      <c r="H576">
        <f t="shared" si="56"/>
        <v>28.7</v>
      </c>
      <c r="I576">
        <f t="shared" si="57"/>
        <v>7.0000000000000001E-3</v>
      </c>
      <c r="J576">
        <f t="shared" si="58"/>
        <v>3.9148940455145567E-2</v>
      </c>
      <c r="K576">
        <f t="shared" si="59"/>
        <v>46.884393652487503</v>
      </c>
      <c r="L576">
        <f t="shared" si="60"/>
        <v>5.2198587273527412E-4</v>
      </c>
      <c r="O576">
        <f t="shared" si="61"/>
        <v>33.488852608919643</v>
      </c>
      <c r="P576">
        <f t="shared" si="62"/>
        <v>7.4837804978108004E-5</v>
      </c>
    </row>
    <row r="577" spans="1:16" x14ac:dyDescent="0.25">
      <c r="A577">
        <v>28.75</v>
      </c>
      <c r="B577">
        <v>7.0000000000000001E-3</v>
      </c>
      <c r="C577">
        <v>6.7000000000000004E-2</v>
      </c>
      <c r="H577">
        <f t="shared" si="56"/>
        <v>28.75</v>
      </c>
      <c r="I577">
        <f t="shared" si="57"/>
        <v>7.0000000000000001E-3</v>
      </c>
      <c r="J577">
        <f t="shared" si="58"/>
        <v>4.010216160576429E-2</v>
      </c>
      <c r="K577">
        <f t="shared" si="59"/>
        <v>46.884393652487503</v>
      </c>
      <c r="L577">
        <f t="shared" si="60"/>
        <v>5.346954880768571E-4</v>
      </c>
      <c r="O577">
        <f t="shared" si="61"/>
        <v>33.488852608919643</v>
      </c>
      <c r="P577">
        <f t="shared" si="62"/>
        <v>8.7547420319690993E-5</v>
      </c>
    </row>
    <row r="578" spans="1:16" x14ac:dyDescent="0.25">
      <c r="A578">
        <v>28.8</v>
      </c>
      <c r="B578">
        <v>6.0000000000000001E-3</v>
      </c>
      <c r="C578">
        <v>6.6000000000000003E-2</v>
      </c>
      <c r="H578">
        <f t="shared" si="56"/>
        <v>28.8</v>
      </c>
      <c r="I578">
        <f t="shared" si="57"/>
        <v>6.0000000000000001E-3</v>
      </c>
      <c r="J578">
        <f t="shared" si="58"/>
        <v>3.9055382756383011E-2</v>
      </c>
      <c r="K578">
        <f t="shared" si="59"/>
        <v>40.186623130703573</v>
      </c>
      <c r="L578">
        <f t="shared" si="60"/>
        <v>5.2073843675177339E-4</v>
      </c>
      <c r="O578">
        <f t="shared" si="61"/>
        <v>26.791082087135713</v>
      </c>
      <c r="P578">
        <f t="shared" si="62"/>
        <v>7.3590368994607281E-5</v>
      </c>
    </row>
    <row r="579" spans="1:16" x14ac:dyDescent="0.25">
      <c r="A579">
        <v>28.85</v>
      </c>
      <c r="B579">
        <v>6.0000000000000001E-3</v>
      </c>
      <c r="C579">
        <v>6.6000000000000003E-2</v>
      </c>
      <c r="H579">
        <f t="shared" ref="H579:H642" si="63">A579</f>
        <v>28.85</v>
      </c>
      <c r="I579">
        <f t="shared" ref="I579:I642" si="64">B579</f>
        <v>6.0000000000000001E-3</v>
      </c>
      <c r="J579">
        <f t="shared" ref="J579:J642" si="65">C579-E$12*A579</f>
        <v>3.9008603907001727E-2</v>
      </c>
      <c r="K579">
        <f t="shared" ref="K579:K642" si="66">F$24*I579</f>
        <v>40.186623130703573</v>
      </c>
      <c r="L579">
        <f t="shared" ref="L579:L642" si="67">F$25*J579</f>
        <v>5.2011471876002287E-4</v>
      </c>
      <c r="O579">
        <f t="shared" ref="O579:O642" si="68">K579-N$12</f>
        <v>26.791082087135713</v>
      </c>
      <c r="P579">
        <f t="shared" ref="P579:P642" si="69">L579-N$15</f>
        <v>7.2966651002856757E-5</v>
      </c>
    </row>
    <row r="580" spans="1:16" x14ac:dyDescent="0.25">
      <c r="A580">
        <v>28.9</v>
      </c>
      <c r="B580">
        <v>6.0000000000000001E-3</v>
      </c>
      <c r="C580">
        <v>6.5000000000000002E-2</v>
      </c>
      <c r="H580">
        <f t="shared" si="63"/>
        <v>28.9</v>
      </c>
      <c r="I580">
        <f t="shared" si="64"/>
        <v>6.0000000000000001E-3</v>
      </c>
      <c r="J580">
        <f t="shared" si="65"/>
        <v>3.7961825057620455E-2</v>
      </c>
      <c r="K580">
        <f t="shared" si="66"/>
        <v>40.186623130703573</v>
      </c>
      <c r="L580">
        <f t="shared" si="67"/>
        <v>5.0615766743493927E-4</v>
      </c>
      <c r="O580">
        <f t="shared" si="68"/>
        <v>26.791082087135713</v>
      </c>
      <c r="P580">
        <f t="shared" si="69"/>
        <v>5.9009599677773154E-5</v>
      </c>
    </row>
    <row r="581" spans="1:16" x14ac:dyDescent="0.25">
      <c r="A581">
        <v>28.95</v>
      </c>
      <c r="B581">
        <v>6.0000000000000001E-3</v>
      </c>
      <c r="C581">
        <v>6.6000000000000003E-2</v>
      </c>
      <c r="H581">
        <f t="shared" si="63"/>
        <v>28.95</v>
      </c>
      <c r="I581">
        <f t="shared" si="64"/>
        <v>6.0000000000000001E-3</v>
      </c>
      <c r="J581">
        <f t="shared" si="65"/>
        <v>3.8915046208239171E-2</v>
      </c>
      <c r="K581">
        <f t="shared" si="66"/>
        <v>40.186623130703573</v>
      </c>
      <c r="L581">
        <f t="shared" si="67"/>
        <v>5.1886728277652215E-4</v>
      </c>
      <c r="O581">
        <f t="shared" si="68"/>
        <v>26.791082087135713</v>
      </c>
      <c r="P581">
        <f t="shared" si="69"/>
        <v>7.1719215019356035E-5</v>
      </c>
    </row>
    <row r="582" spans="1:16" x14ac:dyDescent="0.25">
      <c r="A582">
        <v>29</v>
      </c>
      <c r="B582">
        <v>6.0000000000000001E-3</v>
      </c>
      <c r="C582">
        <v>6.5000000000000002E-2</v>
      </c>
      <c r="H582">
        <f t="shared" si="63"/>
        <v>29</v>
      </c>
      <c r="I582">
        <f t="shared" si="64"/>
        <v>6.0000000000000001E-3</v>
      </c>
      <c r="J582">
        <f t="shared" si="65"/>
        <v>3.7868267358857892E-2</v>
      </c>
      <c r="K582">
        <f t="shared" si="66"/>
        <v>40.186623130703573</v>
      </c>
      <c r="L582">
        <f t="shared" si="67"/>
        <v>5.0491023145143843E-4</v>
      </c>
      <c r="O582">
        <f t="shared" si="68"/>
        <v>26.791082087135713</v>
      </c>
      <c r="P582">
        <f t="shared" si="69"/>
        <v>5.7762163694272323E-5</v>
      </c>
    </row>
    <row r="583" spans="1:16" x14ac:dyDescent="0.25">
      <c r="A583">
        <v>29.05</v>
      </c>
      <c r="B583">
        <v>6.0000000000000001E-3</v>
      </c>
      <c r="C583">
        <v>6.6000000000000003E-2</v>
      </c>
      <c r="H583">
        <f t="shared" si="63"/>
        <v>29.05</v>
      </c>
      <c r="I583">
        <f t="shared" si="64"/>
        <v>6.0000000000000001E-3</v>
      </c>
      <c r="J583">
        <f t="shared" si="65"/>
        <v>3.8821488509476615E-2</v>
      </c>
      <c r="K583">
        <f t="shared" si="66"/>
        <v>40.186623130703573</v>
      </c>
      <c r="L583">
        <f t="shared" si="67"/>
        <v>5.1761984679302142E-4</v>
      </c>
      <c r="O583">
        <f t="shared" si="68"/>
        <v>26.791082087135713</v>
      </c>
      <c r="P583">
        <f t="shared" si="69"/>
        <v>7.0471779035855312E-5</v>
      </c>
    </row>
    <row r="584" spans="1:16" x14ac:dyDescent="0.25">
      <c r="A584">
        <v>29.1</v>
      </c>
      <c r="B584">
        <v>5.0000000000000001E-3</v>
      </c>
      <c r="C584">
        <v>6.4000000000000001E-2</v>
      </c>
      <c r="H584">
        <f t="shared" si="63"/>
        <v>29.1</v>
      </c>
      <c r="I584">
        <f t="shared" si="64"/>
        <v>5.0000000000000001E-3</v>
      </c>
      <c r="J584">
        <f t="shared" si="65"/>
        <v>3.6774709660095328E-2</v>
      </c>
      <c r="K584">
        <f t="shared" si="66"/>
        <v>33.48885260891965</v>
      </c>
      <c r="L584">
        <f t="shared" si="67"/>
        <v>4.9032946213460431E-4</v>
      </c>
      <c r="O584">
        <f t="shared" si="68"/>
        <v>20.09331156535179</v>
      </c>
      <c r="P584">
        <f t="shared" si="69"/>
        <v>4.3181394377438196E-5</v>
      </c>
    </row>
    <row r="585" spans="1:16" x14ac:dyDescent="0.25">
      <c r="A585">
        <v>29.15</v>
      </c>
      <c r="B585">
        <v>5.0000000000000001E-3</v>
      </c>
      <c r="C585">
        <v>6.5000000000000002E-2</v>
      </c>
      <c r="H585">
        <f t="shared" si="63"/>
        <v>29.15</v>
      </c>
      <c r="I585">
        <f t="shared" si="64"/>
        <v>5.0000000000000001E-3</v>
      </c>
      <c r="J585">
        <f t="shared" si="65"/>
        <v>3.7727930810714058E-2</v>
      </c>
      <c r="K585">
        <f t="shared" si="66"/>
        <v>33.48885260891965</v>
      </c>
      <c r="L585">
        <f t="shared" si="67"/>
        <v>5.030390774761873E-4</v>
      </c>
      <c r="O585">
        <f t="shared" si="68"/>
        <v>20.09331156535179</v>
      </c>
      <c r="P585">
        <f t="shared" si="69"/>
        <v>5.5891009719021185E-5</v>
      </c>
    </row>
    <row r="586" spans="1:16" x14ac:dyDescent="0.25">
      <c r="A586">
        <v>29.2</v>
      </c>
      <c r="B586">
        <v>5.0000000000000001E-3</v>
      </c>
      <c r="C586">
        <v>6.4000000000000001E-2</v>
      </c>
      <c r="H586">
        <f t="shared" si="63"/>
        <v>29.2</v>
      </c>
      <c r="I586">
        <f t="shared" si="64"/>
        <v>5.0000000000000001E-3</v>
      </c>
      <c r="J586">
        <f t="shared" si="65"/>
        <v>3.6681151961332772E-2</v>
      </c>
      <c r="K586">
        <f t="shared" si="66"/>
        <v>33.48885260891965</v>
      </c>
      <c r="L586">
        <f t="shared" si="67"/>
        <v>4.8908202615110358E-4</v>
      </c>
      <c r="O586">
        <f t="shared" si="68"/>
        <v>20.09331156535179</v>
      </c>
      <c r="P586">
        <f t="shared" si="69"/>
        <v>4.1933958393937474E-5</v>
      </c>
    </row>
    <row r="587" spans="1:16" x14ac:dyDescent="0.25">
      <c r="A587">
        <v>29.25</v>
      </c>
      <c r="B587">
        <v>5.0000000000000001E-3</v>
      </c>
      <c r="C587">
        <v>6.5000000000000002E-2</v>
      </c>
      <c r="H587">
        <f t="shared" si="63"/>
        <v>29.25</v>
      </c>
      <c r="I587">
        <f t="shared" si="64"/>
        <v>5.0000000000000001E-3</v>
      </c>
      <c r="J587">
        <f t="shared" si="65"/>
        <v>3.7634373111951488E-2</v>
      </c>
      <c r="K587">
        <f t="shared" si="66"/>
        <v>33.48885260891965</v>
      </c>
      <c r="L587">
        <f t="shared" si="67"/>
        <v>5.0179164149268647E-4</v>
      </c>
      <c r="O587">
        <f t="shared" si="68"/>
        <v>20.09331156535179</v>
      </c>
      <c r="P587">
        <f t="shared" si="69"/>
        <v>5.4643573735520354E-5</v>
      </c>
    </row>
    <row r="588" spans="1:16" x14ac:dyDescent="0.25">
      <c r="A588">
        <v>29.3</v>
      </c>
      <c r="B588">
        <v>5.0000000000000001E-3</v>
      </c>
      <c r="C588">
        <v>6.5000000000000002E-2</v>
      </c>
      <c r="H588">
        <f t="shared" si="63"/>
        <v>29.3</v>
      </c>
      <c r="I588">
        <f t="shared" si="64"/>
        <v>5.0000000000000001E-3</v>
      </c>
      <c r="J588">
        <f t="shared" si="65"/>
        <v>3.7587594262570218E-2</v>
      </c>
      <c r="K588">
        <f t="shared" si="66"/>
        <v>33.48885260891965</v>
      </c>
      <c r="L588">
        <f t="shared" si="67"/>
        <v>5.0116792350093616E-4</v>
      </c>
      <c r="O588">
        <f t="shared" si="68"/>
        <v>20.09331156535179</v>
      </c>
      <c r="P588">
        <f t="shared" si="69"/>
        <v>5.4019855743770047E-5</v>
      </c>
    </row>
    <row r="589" spans="1:16" x14ac:dyDescent="0.25">
      <c r="A589">
        <v>29.35</v>
      </c>
      <c r="B589">
        <v>5.0000000000000001E-3</v>
      </c>
      <c r="C589">
        <v>6.5000000000000002E-2</v>
      </c>
      <c r="H589">
        <f t="shared" si="63"/>
        <v>29.35</v>
      </c>
      <c r="I589">
        <f t="shared" si="64"/>
        <v>5.0000000000000001E-3</v>
      </c>
      <c r="J589">
        <f t="shared" si="65"/>
        <v>3.7540815413188933E-2</v>
      </c>
      <c r="K589">
        <f t="shared" si="66"/>
        <v>33.48885260891965</v>
      </c>
      <c r="L589">
        <f t="shared" si="67"/>
        <v>5.0054420550918563E-4</v>
      </c>
      <c r="O589">
        <f t="shared" si="68"/>
        <v>20.09331156535179</v>
      </c>
      <c r="P589">
        <f t="shared" si="69"/>
        <v>5.3396137752019523E-5</v>
      </c>
    </row>
    <row r="590" spans="1:16" x14ac:dyDescent="0.25">
      <c r="A590">
        <v>29.4</v>
      </c>
      <c r="B590">
        <v>5.0000000000000001E-3</v>
      </c>
      <c r="C590">
        <v>6.4000000000000001E-2</v>
      </c>
      <c r="H590">
        <f t="shared" si="63"/>
        <v>29.4</v>
      </c>
      <c r="I590">
        <f t="shared" si="64"/>
        <v>5.0000000000000001E-3</v>
      </c>
      <c r="J590">
        <f t="shared" si="65"/>
        <v>3.6494036563807654E-2</v>
      </c>
      <c r="K590">
        <f t="shared" si="66"/>
        <v>33.48885260891965</v>
      </c>
      <c r="L590">
        <f t="shared" si="67"/>
        <v>4.8658715418410198E-4</v>
      </c>
      <c r="O590">
        <f t="shared" si="68"/>
        <v>20.09331156535179</v>
      </c>
      <c r="P590">
        <f t="shared" si="69"/>
        <v>3.9439086426935866E-5</v>
      </c>
    </row>
    <row r="591" spans="1:16" x14ac:dyDescent="0.25">
      <c r="A591">
        <v>29.45</v>
      </c>
      <c r="B591">
        <v>5.0000000000000001E-3</v>
      </c>
      <c r="C591">
        <v>6.6000000000000003E-2</v>
      </c>
      <c r="H591">
        <f t="shared" si="63"/>
        <v>29.45</v>
      </c>
      <c r="I591">
        <f t="shared" si="64"/>
        <v>5.0000000000000001E-3</v>
      </c>
      <c r="J591">
        <f t="shared" si="65"/>
        <v>3.8447257714426378E-2</v>
      </c>
      <c r="K591">
        <f t="shared" si="66"/>
        <v>33.48885260891965</v>
      </c>
      <c r="L591">
        <f t="shared" si="67"/>
        <v>5.1263010285901832E-4</v>
      </c>
      <c r="O591">
        <f t="shared" si="68"/>
        <v>20.09331156535179</v>
      </c>
      <c r="P591">
        <f t="shared" si="69"/>
        <v>6.5482035101852205E-5</v>
      </c>
    </row>
    <row r="592" spans="1:16" x14ac:dyDescent="0.25">
      <c r="A592">
        <v>29.5</v>
      </c>
      <c r="B592">
        <v>5.0000000000000001E-3</v>
      </c>
      <c r="C592">
        <v>6.4000000000000001E-2</v>
      </c>
      <c r="H592">
        <f t="shared" si="63"/>
        <v>29.5</v>
      </c>
      <c r="I592">
        <f t="shared" si="64"/>
        <v>5.0000000000000001E-3</v>
      </c>
      <c r="J592">
        <f t="shared" si="65"/>
        <v>3.6400478865045091E-2</v>
      </c>
      <c r="K592">
        <f t="shared" si="66"/>
        <v>33.48885260891965</v>
      </c>
      <c r="L592">
        <f t="shared" si="67"/>
        <v>4.8533971820060115E-4</v>
      </c>
      <c r="O592">
        <f t="shared" si="68"/>
        <v>20.09331156535179</v>
      </c>
      <c r="P592">
        <f t="shared" si="69"/>
        <v>3.8191650443435035E-5</v>
      </c>
    </row>
    <row r="593" spans="1:16" x14ac:dyDescent="0.25">
      <c r="A593">
        <v>29.55</v>
      </c>
      <c r="B593">
        <v>5.0000000000000001E-3</v>
      </c>
      <c r="C593">
        <v>6.5000000000000002E-2</v>
      </c>
      <c r="H593">
        <f t="shared" si="63"/>
        <v>29.55</v>
      </c>
      <c r="I593">
        <f t="shared" si="64"/>
        <v>5.0000000000000001E-3</v>
      </c>
      <c r="J593">
        <f t="shared" si="65"/>
        <v>3.7353700015663814E-2</v>
      </c>
      <c r="K593">
        <f t="shared" si="66"/>
        <v>33.48885260891965</v>
      </c>
      <c r="L593">
        <f t="shared" si="67"/>
        <v>4.9804933354218408E-4</v>
      </c>
      <c r="O593">
        <f t="shared" si="68"/>
        <v>20.09331156535179</v>
      </c>
      <c r="P593">
        <f t="shared" si="69"/>
        <v>5.090126578501797E-5</v>
      </c>
    </row>
    <row r="594" spans="1:16" x14ac:dyDescent="0.25">
      <c r="A594">
        <v>29.6</v>
      </c>
      <c r="B594">
        <v>5.0000000000000001E-3</v>
      </c>
      <c r="C594">
        <v>6.5000000000000002E-2</v>
      </c>
      <c r="H594">
        <f t="shared" si="63"/>
        <v>29.6</v>
      </c>
      <c r="I594">
        <f t="shared" si="64"/>
        <v>5.0000000000000001E-3</v>
      </c>
      <c r="J594">
        <f t="shared" si="65"/>
        <v>3.7306921166282536E-2</v>
      </c>
      <c r="K594">
        <f t="shared" si="66"/>
        <v>33.48885260891965</v>
      </c>
      <c r="L594">
        <f t="shared" si="67"/>
        <v>4.9742561555043367E-4</v>
      </c>
      <c r="O594">
        <f t="shared" si="68"/>
        <v>20.09331156535179</v>
      </c>
      <c r="P594">
        <f t="shared" si="69"/>
        <v>5.0277547793267554E-5</v>
      </c>
    </row>
    <row r="595" spans="1:16" x14ac:dyDescent="0.25">
      <c r="A595">
        <v>29.65</v>
      </c>
      <c r="B595">
        <v>5.0000000000000001E-3</v>
      </c>
      <c r="C595">
        <v>6.6000000000000003E-2</v>
      </c>
      <c r="H595">
        <f t="shared" si="63"/>
        <v>29.65</v>
      </c>
      <c r="I595">
        <f t="shared" si="64"/>
        <v>5.0000000000000001E-3</v>
      </c>
      <c r="J595">
        <f t="shared" si="65"/>
        <v>3.8260142316901259E-2</v>
      </c>
      <c r="K595">
        <f t="shared" si="66"/>
        <v>33.48885260891965</v>
      </c>
      <c r="L595">
        <f t="shared" si="67"/>
        <v>5.1013523089201665E-4</v>
      </c>
      <c r="O595">
        <f t="shared" si="68"/>
        <v>20.09331156535179</v>
      </c>
      <c r="P595">
        <f t="shared" si="69"/>
        <v>6.2987163134850543E-5</v>
      </c>
    </row>
    <row r="596" spans="1:16" x14ac:dyDescent="0.25">
      <c r="A596">
        <v>29.7</v>
      </c>
      <c r="B596">
        <v>5.0000000000000001E-3</v>
      </c>
      <c r="C596">
        <v>6.4000000000000001E-2</v>
      </c>
      <c r="H596">
        <f t="shared" si="63"/>
        <v>29.7</v>
      </c>
      <c r="I596">
        <f t="shared" si="64"/>
        <v>5.0000000000000001E-3</v>
      </c>
      <c r="J596">
        <f t="shared" si="65"/>
        <v>3.6213363467519979E-2</v>
      </c>
      <c r="K596">
        <f t="shared" si="66"/>
        <v>33.48885260891965</v>
      </c>
      <c r="L596">
        <f t="shared" si="67"/>
        <v>4.8284484623359965E-4</v>
      </c>
      <c r="O596">
        <f t="shared" si="68"/>
        <v>20.09331156535179</v>
      </c>
      <c r="P596">
        <f t="shared" si="69"/>
        <v>3.5696778476433536E-5</v>
      </c>
    </row>
    <row r="597" spans="1:16" x14ac:dyDescent="0.25">
      <c r="A597">
        <v>29.75</v>
      </c>
      <c r="B597">
        <v>5.0000000000000001E-3</v>
      </c>
      <c r="C597">
        <v>6.5000000000000002E-2</v>
      </c>
      <c r="H597">
        <f t="shared" si="63"/>
        <v>29.75</v>
      </c>
      <c r="I597">
        <f t="shared" si="64"/>
        <v>5.0000000000000001E-3</v>
      </c>
      <c r="J597">
        <f t="shared" si="65"/>
        <v>3.7166584618138696E-2</v>
      </c>
      <c r="K597">
        <f t="shared" si="66"/>
        <v>33.48885260891965</v>
      </c>
      <c r="L597">
        <f t="shared" si="67"/>
        <v>4.9555446157518253E-4</v>
      </c>
      <c r="O597">
        <f t="shared" si="68"/>
        <v>20.09331156535179</v>
      </c>
      <c r="P597">
        <f t="shared" si="69"/>
        <v>4.8406393818016416E-5</v>
      </c>
    </row>
    <row r="598" spans="1:16" x14ac:dyDescent="0.25">
      <c r="A598">
        <v>29.8</v>
      </c>
      <c r="B598">
        <v>4.0000000000000001E-3</v>
      </c>
      <c r="C598">
        <v>6.4000000000000001E-2</v>
      </c>
      <c r="H598">
        <f t="shared" si="63"/>
        <v>29.8</v>
      </c>
      <c r="I598">
        <f t="shared" si="64"/>
        <v>4.0000000000000001E-3</v>
      </c>
      <c r="J598">
        <f t="shared" si="65"/>
        <v>3.6119805768757417E-2</v>
      </c>
      <c r="K598">
        <f t="shared" si="66"/>
        <v>26.791082087135717</v>
      </c>
      <c r="L598">
        <f t="shared" si="67"/>
        <v>4.8159741025009882E-4</v>
      </c>
      <c r="O598">
        <f t="shared" si="68"/>
        <v>13.395541043567857</v>
      </c>
      <c r="P598">
        <f t="shared" si="69"/>
        <v>3.4449342492932705E-5</v>
      </c>
    </row>
    <row r="599" spans="1:16" x14ac:dyDescent="0.25">
      <c r="A599">
        <v>29.85</v>
      </c>
      <c r="B599">
        <v>4.0000000000000001E-3</v>
      </c>
      <c r="C599">
        <v>6.5000000000000002E-2</v>
      </c>
      <c r="H599">
        <f t="shared" si="63"/>
        <v>29.85</v>
      </c>
      <c r="I599">
        <f t="shared" si="64"/>
        <v>4.0000000000000001E-3</v>
      </c>
      <c r="J599">
        <f t="shared" si="65"/>
        <v>3.707302691937614E-2</v>
      </c>
      <c r="K599">
        <f t="shared" si="66"/>
        <v>26.791082087135717</v>
      </c>
      <c r="L599">
        <f t="shared" si="67"/>
        <v>4.943070255916818E-4</v>
      </c>
      <c r="O599">
        <f t="shared" si="68"/>
        <v>13.395541043567857</v>
      </c>
      <c r="P599">
        <f t="shared" si="69"/>
        <v>4.7158957834515694E-5</v>
      </c>
    </row>
    <row r="600" spans="1:16" x14ac:dyDescent="0.25">
      <c r="A600">
        <v>29.9</v>
      </c>
      <c r="B600">
        <v>3.0000000000000001E-3</v>
      </c>
      <c r="C600">
        <v>6.3E-2</v>
      </c>
      <c r="H600">
        <f t="shared" si="63"/>
        <v>29.9</v>
      </c>
      <c r="I600">
        <f t="shared" si="64"/>
        <v>3.0000000000000001E-3</v>
      </c>
      <c r="J600">
        <f t="shared" si="65"/>
        <v>3.502624806999486E-2</v>
      </c>
      <c r="K600">
        <f t="shared" si="66"/>
        <v>20.093311565351787</v>
      </c>
      <c r="L600">
        <f t="shared" si="67"/>
        <v>4.6701664093326469E-4</v>
      </c>
      <c r="O600">
        <f t="shared" si="68"/>
        <v>6.6977705217839265</v>
      </c>
      <c r="P600">
        <f t="shared" si="69"/>
        <v>1.9868573176098578E-5</v>
      </c>
    </row>
    <row r="601" spans="1:16" x14ac:dyDescent="0.25">
      <c r="A601">
        <v>29.95</v>
      </c>
      <c r="B601">
        <v>3.0000000000000001E-3</v>
      </c>
      <c r="C601">
        <v>6.4000000000000001E-2</v>
      </c>
      <c r="H601">
        <f t="shared" si="63"/>
        <v>29.95</v>
      </c>
      <c r="I601">
        <f t="shared" si="64"/>
        <v>3.0000000000000001E-3</v>
      </c>
      <c r="J601">
        <f t="shared" si="65"/>
        <v>3.5979469220613583E-2</v>
      </c>
      <c r="K601">
        <f t="shared" si="66"/>
        <v>20.093311565351787</v>
      </c>
      <c r="L601">
        <f t="shared" si="67"/>
        <v>4.7972625627484768E-4</v>
      </c>
      <c r="O601">
        <f t="shared" si="68"/>
        <v>6.6977705217839265</v>
      </c>
      <c r="P601">
        <f t="shared" si="69"/>
        <v>3.2578188517681567E-5</v>
      </c>
    </row>
    <row r="602" spans="1:16" x14ac:dyDescent="0.25">
      <c r="A602">
        <v>30</v>
      </c>
      <c r="B602">
        <v>3.0000000000000001E-3</v>
      </c>
      <c r="C602">
        <v>6.3E-2</v>
      </c>
      <c r="H602">
        <f t="shared" si="63"/>
        <v>30</v>
      </c>
      <c r="I602">
        <f t="shared" si="64"/>
        <v>3.0000000000000001E-3</v>
      </c>
      <c r="J602">
        <f t="shared" si="65"/>
        <v>3.4932690371232297E-2</v>
      </c>
      <c r="K602">
        <f t="shared" si="66"/>
        <v>20.093311565351787</v>
      </c>
      <c r="L602">
        <f t="shared" si="67"/>
        <v>4.6576920494976386E-4</v>
      </c>
      <c r="O602">
        <f t="shared" si="68"/>
        <v>6.6977705217839265</v>
      </c>
      <c r="P602">
        <f t="shared" si="69"/>
        <v>1.8621137192597747E-5</v>
      </c>
    </row>
    <row r="603" spans="1:16" x14ac:dyDescent="0.25">
      <c r="A603">
        <v>30.05</v>
      </c>
      <c r="B603">
        <v>4.0000000000000001E-3</v>
      </c>
      <c r="C603">
        <v>6.4000000000000001E-2</v>
      </c>
      <c r="H603">
        <f t="shared" si="63"/>
        <v>30.05</v>
      </c>
      <c r="I603">
        <f t="shared" si="64"/>
        <v>4.0000000000000001E-3</v>
      </c>
      <c r="J603">
        <f t="shared" si="65"/>
        <v>3.588591152185102E-2</v>
      </c>
      <c r="K603">
        <f t="shared" si="66"/>
        <v>26.791082087135717</v>
      </c>
      <c r="L603">
        <f t="shared" si="67"/>
        <v>4.7847882029134685E-4</v>
      </c>
      <c r="O603">
        <f t="shared" si="68"/>
        <v>13.395541043567857</v>
      </c>
      <c r="P603">
        <f t="shared" si="69"/>
        <v>3.1330752534180736E-5</v>
      </c>
    </row>
    <row r="604" spans="1:16" x14ac:dyDescent="0.25">
      <c r="A604">
        <v>30.1</v>
      </c>
      <c r="B604">
        <v>3.0000000000000001E-3</v>
      </c>
      <c r="C604">
        <v>6.3E-2</v>
      </c>
      <c r="H604">
        <f t="shared" si="63"/>
        <v>30.1</v>
      </c>
      <c r="I604">
        <f t="shared" si="64"/>
        <v>3.0000000000000001E-3</v>
      </c>
      <c r="J604">
        <f t="shared" si="65"/>
        <v>3.4839132672469741E-2</v>
      </c>
      <c r="K604">
        <f t="shared" si="66"/>
        <v>20.093311565351787</v>
      </c>
      <c r="L604">
        <f t="shared" si="67"/>
        <v>4.6452176896626314E-4</v>
      </c>
      <c r="O604">
        <f t="shared" si="68"/>
        <v>6.6977705217839265</v>
      </c>
      <c r="P604">
        <f t="shared" si="69"/>
        <v>1.7373701209097024E-5</v>
      </c>
    </row>
    <row r="605" spans="1:16" x14ac:dyDescent="0.25">
      <c r="A605">
        <v>30.15</v>
      </c>
      <c r="B605">
        <v>3.0000000000000001E-3</v>
      </c>
      <c r="C605">
        <v>6.4000000000000001E-2</v>
      </c>
      <c r="H605">
        <f t="shared" si="63"/>
        <v>30.15</v>
      </c>
      <c r="I605">
        <f t="shared" si="64"/>
        <v>3.0000000000000001E-3</v>
      </c>
      <c r="J605">
        <f t="shared" si="65"/>
        <v>3.5792353823088457E-2</v>
      </c>
      <c r="K605">
        <f t="shared" si="66"/>
        <v>20.093311565351787</v>
      </c>
      <c r="L605">
        <f t="shared" si="67"/>
        <v>4.7723138430784602E-4</v>
      </c>
      <c r="O605">
        <f t="shared" si="68"/>
        <v>6.6977705217839265</v>
      </c>
      <c r="P605">
        <f t="shared" si="69"/>
        <v>3.0083316550679905E-5</v>
      </c>
    </row>
    <row r="606" spans="1:16" x14ac:dyDescent="0.25">
      <c r="A606">
        <v>30.2</v>
      </c>
      <c r="B606">
        <v>3.0000000000000001E-3</v>
      </c>
      <c r="C606">
        <v>6.3E-2</v>
      </c>
      <c r="H606">
        <f t="shared" si="63"/>
        <v>30.2</v>
      </c>
      <c r="I606">
        <f t="shared" si="64"/>
        <v>3.0000000000000001E-3</v>
      </c>
      <c r="J606">
        <f t="shared" si="65"/>
        <v>3.4745574973707186E-2</v>
      </c>
      <c r="K606">
        <f t="shared" si="66"/>
        <v>20.093311565351787</v>
      </c>
      <c r="L606">
        <f t="shared" si="67"/>
        <v>4.6327433298276236E-4</v>
      </c>
      <c r="O606">
        <f t="shared" si="68"/>
        <v>6.6977705217839265</v>
      </c>
      <c r="P606">
        <f t="shared" si="69"/>
        <v>1.6126265225596247E-5</v>
      </c>
    </row>
    <row r="607" spans="1:16" x14ac:dyDescent="0.25">
      <c r="A607">
        <v>30.25</v>
      </c>
      <c r="B607">
        <v>3.0000000000000001E-3</v>
      </c>
      <c r="C607">
        <v>6.4000000000000001E-2</v>
      </c>
      <c r="H607">
        <f t="shared" si="63"/>
        <v>30.25</v>
      </c>
      <c r="I607">
        <f t="shared" si="64"/>
        <v>3.0000000000000001E-3</v>
      </c>
      <c r="J607">
        <f t="shared" si="65"/>
        <v>3.5698796124325902E-2</v>
      </c>
      <c r="K607">
        <f t="shared" si="66"/>
        <v>20.093311565351787</v>
      </c>
      <c r="L607">
        <f t="shared" si="67"/>
        <v>4.7598394832434524E-4</v>
      </c>
      <c r="O607">
        <f t="shared" si="68"/>
        <v>6.6977705217839265</v>
      </c>
      <c r="P607">
        <f t="shared" si="69"/>
        <v>2.8835880567179128E-5</v>
      </c>
    </row>
    <row r="608" spans="1:16" x14ac:dyDescent="0.25">
      <c r="A608">
        <v>30.3</v>
      </c>
      <c r="B608">
        <v>3.0000000000000001E-3</v>
      </c>
      <c r="C608">
        <v>6.3E-2</v>
      </c>
      <c r="H608">
        <f t="shared" si="63"/>
        <v>30.3</v>
      </c>
      <c r="I608">
        <f t="shared" si="64"/>
        <v>3.0000000000000001E-3</v>
      </c>
      <c r="J608">
        <f t="shared" si="65"/>
        <v>3.4652017274944616E-2</v>
      </c>
      <c r="K608">
        <f t="shared" si="66"/>
        <v>20.093311565351787</v>
      </c>
      <c r="L608">
        <f t="shared" si="67"/>
        <v>4.6202689699926147E-4</v>
      </c>
      <c r="O608">
        <f t="shared" si="68"/>
        <v>6.6977705217839265</v>
      </c>
      <c r="P608">
        <f t="shared" si="69"/>
        <v>1.4878829242095362E-5</v>
      </c>
    </row>
    <row r="609" spans="1:16" x14ac:dyDescent="0.25">
      <c r="A609">
        <v>30.35</v>
      </c>
      <c r="B609">
        <v>3.0000000000000001E-3</v>
      </c>
      <c r="C609">
        <v>6.4000000000000001E-2</v>
      </c>
      <c r="H609">
        <f t="shared" si="63"/>
        <v>30.35</v>
      </c>
      <c r="I609">
        <f t="shared" si="64"/>
        <v>3.0000000000000001E-3</v>
      </c>
      <c r="J609">
        <f t="shared" si="65"/>
        <v>3.5605238425563346E-2</v>
      </c>
      <c r="K609">
        <f t="shared" si="66"/>
        <v>20.093311565351787</v>
      </c>
      <c r="L609">
        <f t="shared" si="67"/>
        <v>4.7473651234084452E-4</v>
      </c>
      <c r="O609">
        <f t="shared" si="68"/>
        <v>6.6977705217839265</v>
      </c>
      <c r="P609">
        <f t="shared" si="69"/>
        <v>2.7588444583678405E-5</v>
      </c>
    </row>
    <row r="610" spans="1:16" x14ac:dyDescent="0.25">
      <c r="A610">
        <v>30.4</v>
      </c>
      <c r="B610">
        <v>3.0000000000000001E-3</v>
      </c>
      <c r="C610">
        <v>6.3E-2</v>
      </c>
      <c r="H610">
        <f t="shared" si="63"/>
        <v>30.4</v>
      </c>
      <c r="I610">
        <f t="shared" si="64"/>
        <v>3.0000000000000001E-3</v>
      </c>
      <c r="J610">
        <f t="shared" si="65"/>
        <v>3.455845957618206E-2</v>
      </c>
      <c r="K610">
        <f t="shared" si="66"/>
        <v>20.093311565351787</v>
      </c>
      <c r="L610">
        <f t="shared" si="67"/>
        <v>4.607794610157607E-4</v>
      </c>
      <c r="O610">
        <f t="shared" si="68"/>
        <v>6.6977705217839265</v>
      </c>
      <c r="P610">
        <f t="shared" si="69"/>
        <v>1.3631393258594585E-5</v>
      </c>
    </row>
    <row r="611" spans="1:16" x14ac:dyDescent="0.25">
      <c r="A611">
        <v>30.45</v>
      </c>
      <c r="B611">
        <v>3.0000000000000001E-3</v>
      </c>
      <c r="C611">
        <v>6.4000000000000001E-2</v>
      </c>
      <c r="H611">
        <f t="shared" si="63"/>
        <v>30.45</v>
      </c>
      <c r="I611">
        <f t="shared" si="64"/>
        <v>3.0000000000000001E-3</v>
      </c>
      <c r="J611">
        <f t="shared" si="65"/>
        <v>3.5511680726800783E-2</v>
      </c>
      <c r="K611">
        <f t="shared" si="66"/>
        <v>20.093311565351787</v>
      </c>
      <c r="L611">
        <f t="shared" si="67"/>
        <v>4.7348907635734369E-4</v>
      </c>
      <c r="O611">
        <f t="shared" si="68"/>
        <v>6.6977705217839265</v>
      </c>
      <c r="P611">
        <f t="shared" si="69"/>
        <v>2.6341008600177574E-5</v>
      </c>
    </row>
    <row r="612" spans="1:16" x14ac:dyDescent="0.25">
      <c r="A612">
        <v>30.5</v>
      </c>
      <c r="B612">
        <v>3.0000000000000001E-3</v>
      </c>
      <c r="C612">
        <v>6.3E-2</v>
      </c>
      <c r="H612">
        <f t="shared" si="63"/>
        <v>30.5</v>
      </c>
      <c r="I612">
        <f t="shared" si="64"/>
        <v>3.0000000000000001E-3</v>
      </c>
      <c r="J612">
        <f t="shared" si="65"/>
        <v>3.4464901877419504E-2</v>
      </c>
      <c r="K612">
        <f t="shared" si="66"/>
        <v>20.093311565351787</v>
      </c>
      <c r="L612">
        <f t="shared" si="67"/>
        <v>4.5953202503225997E-4</v>
      </c>
      <c r="O612">
        <f t="shared" si="68"/>
        <v>6.6977705217839265</v>
      </c>
      <c r="P612">
        <f t="shared" si="69"/>
        <v>1.2383957275093863E-5</v>
      </c>
    </row>
    <row r="613" spans="1:16" x14ac:dyDescent="0.25">
      <c r="A613">
        <v>30.55</v>
      </c>
      <c r="B613">
        <v>3.0000000000000001E-3</v>
      </c>
      <c r="C613">
        <v>6.4000000000000001E-2</v>
      </c>
      <c r="H613">
        <f t="shared" si="63"/>
        <v>30.55</v>
      </c>
      <c r="I613">
        <f t="shared" si="64"/>
        <v>3.0000000000000001E-3</v>
      </c>
      <c r="J613">
        <f t="shared" si="65"/>
        <v>3.541812302803822E-2</v>
      </c>
      <c r="K613">
        <f t="shared" si="66"/>
        <v>20.093311565351787</v>
      </c>
      <c r="L613">
        <f t="shared" si="67"/>
        <v>4.7224164037384285E-4</v>
      </c>
      <c r="O613">
        <f t="shared" si="68"/>
        <v>6.6977705217839265</v>
      </c>
      <c r="P613">
        <f t="shared" si="69"/>
        <v>2.5093572616676743E-5</v>
      </c>
    </row>
    <row r="614" spans="1:16" x14ac:dyDescent="0.25">
      <c r="A614">
        <v>30.6</v>
      </c>
      <c r="B614">
        <v>3.0000000000000001E-3</v>
      </c>
      <c r="C614">
        <v>6.3E-2</v>
      </c>
      <c r="H614">
        <f t="shared" si="63"/>
        <v>30.6</v>
      </c>
      <c r="I614">
        <f t="shared" si="64"/>
        <v>3.0000000000000001E-3</v>
      </c>
      <c r="J614">
        <f t="shared" si="65"/>
        <v>3.4371344178656942E-2</v>
      </c>
      <c r="K614">
        <f t="shared" si="66"/>
        <v>20.093311565351787</v>
      </c>
      <c r="L614">
        <f t="shared" si="67"/>
        <v>4.5828458904875914E-4</v>
      </c>
      <c r="O614">
        <f t="shared" si="68"/>
        <v>6.6977705217839265</v>
      </c>
      <c r="P614">
        <f t="shared" si="69"/>
        <v>1.1136521291593032E-5</v>
      </c>
    </row>
    <row r="615" spans="1:16" x14ac:dyDescent="0.25">
      <c r="A615">
        <v>30.65</v>
      </c>
      <c r="B615">
        <v>3.0000000000000001E-3</v>
      </c>
      <c r="C615">
        <v>6.4000000000000001E-2</v>
      </c>
      <c r="H615">
        <f t="shared" si="63"/>
        <v>30.65</v>
      </c>
      <c r="I615">
        <f t="shared" si="64"/>
        <v>3.0000000000000001E-3</v>
      </c>
      <c r="J615">
        <f t="shared" si="65"/>
        <v>3.5324565329275665E-2</v>
      </c>
      <c r="K615">
        <f t="shared" si="66"/>
        <v>20.093311565351787</v>
      </c>
      <c r="L615">
        <f t="shared" si="67"/>
        <v>4.7099420439034208E-4</v>
      </c>
      <c r="O615">
        <f t="shared" si="68"/>
        <v>6.6977705217839265</v>
      </c>
      <c r="P615">
        <f t="shared" si="69"/>
        <v>2.3846136633175967E-5</v>
      </c>
    </row>
    <row r="616" spans="1:16" x14ac:dyDescent="0.25">
      <c r="A616">
        <v>30.7</v>
      </c>
      <c r="B616">
        <v>2E-3</v>
      </c>
      <c r="C616">
        <v>6.2E-2</v>
      </c>
      <c r="H616">
        <f t="shared" si="63"/>
        <v>30.7</v>
      </c>
      <c r="I616">
        <f t="shared" si="64"/>
        <v>2E-3</v>
      </c>
      <c r="J616">
        <f t="shared" si="65"/>
        <v>3.3277786479894385E-2</v>
      </c>
      <c r="K616">
        <f t="shared" si="66"/>
        <v>13.395541043567858</v>
      </c>
      <c r="L616">
        <f t="shared" si="67"/>
        <v>4.4370381973192507E-4</v>
      </c>
      <c r="O616">
        <f t="shared" si="68"/>
        <v>0</v>
      </c>
      <c r="P616">
        <f t="shared" si="69"/>
        <v>-3.444248025241041E-6</v>
      </c>
    </row>
    <row r="617" spans="1:16" x14ac:dyDescent="0.25">
      <c r="A617">
        <v>30.75</v>
      </c>
      <c r="B617" s="1">
        <v>9.19E-4</v>
      </c>
      <c r="C617">
        <v>6.2E-2</v>
      </c>
      <c r="H617">
        <f t="shared" si="63"/>
        <v>30.75</v>
      </c>
      <c r="I617">
        <f t="shared" si="64"/>
        <v>9.19E-4</v>
      </c>
      <c r="J617">
        <f t="shared" si="65"/>
        <v>3.3231007630513107E-2</v>
      </c>
      <c r="K617">
        <f t="shared" si="66"/>
        <v>6.1552511095194307</v>
      </c>
      <c r="L617">
        <f t="shared" si="67"/>
        <v>4.4308010174017465E-4</v>
      </c>
      <c r="O617">
        <f t="shared" si="68"/>
        <v>-7.2402899340484295</v>
      </c>
      <c r="P617">
        <f t="shared" si="69"/>
        <v>-4.0679660169914565E-6</v>
      </c>
    </row>
    <row r="618" spans="1:16" x14ac:dyDescent="0.25">
      <c r="A618">
        <v>30.8</v>
      </c>
      <c r="B618">
        <v>1E-3</v>
      </c>
      <c r="C618">
        <v>6.0999999999999999E-2</v>
      </c>
      <c r="H618">
        <f t="shared" si="63"/>
        <v>30.8</v>
      </c>
      <c r="I618">
        <f t="shared" si="64"/>
        <v>1E-3</v>
      </c>
      <c r="J618">
        <f t="shared" si="65"/>
        <v>3.2184228781131821E-2</v>
      </c>
      <c r="K618">
        <f t="shared" si="66"/>
        <v>6.6977705217839292</v>
      </c>
      <c r="L618">
        <f t="shared" si="67"/>
        <v>4.2912305041509089E-4</v>
      </c>
      <c r="O618">
        <f t="shared" si="68"/>
        <v>-6.697770521783931</v>
      </c>
      <c r="P618">
        <f t="shared" si="69"/>
        <v>-1.8025017342075222E-5</v>
      </c>
    </row>
    <row r="619" spans="1:16" x14ac:dyDescent="0.25">
      <c r="A619">
        <v>30.85</v>
      </c>
      <c r="B619">
        <v>1E-3</v>
      </c>
      <c r="C619">
        <v>6.2E-2</v>
      </c>
      <c r="H619">
        <f t="shared" si="63"/>
        <v>30.85</v>
      </c>
      <c r="I619">
        <f t="shared" si="64"/>
        <v>1E-3</v>
      </c>
      <c r="J619">
        <f t="shared" si="65"/>
        <v>3.3137449931750544E-2</v>
      </c>
      <c r="K619">
        <f t="shared" si="66"/>
        <v>6.6977705217839292</v>
      </c>
      <c r="L619">
        <f t="shared" si="67"/>
        <v>4.4183266575667382E-4</v>
      </c>
      <c r="O619">
        <f t="shared" si="68"/>
        <v>-6.697770521783931</v>
      </c>
      <c r="P619">
        <f t="shared" si="69"/>
        <v>-5.3154020004922875E-6</v>
      </c>
    </row>
    <row r="620" spans="1:16" x14ac:dyDescent="0.25">
      <c r="A620">
        <v>30.9</v>
      </c>
      <c r="B620">
        <v>1E-3</v>
      </c>
      <c r="C620">
        <v>6.2E-2</v>
      </c>
      <c r="H620">
        <f t="shared" si="63"/>
        <v>30.9</v>
      </c>
      <c r="I620">
        <f t="shared" si="64"/>
        <v>1E-3</v>
      </c>
      <c r="J620">
        <f t="shared" si="65"/>
        <v>3.3090671082369266E-2</v>
      </c>
      <c r="K620">
        <f t="shared" si="66"/>
        <v>6.6977705217839292</v>
      </c>
      <c r="L620">
        <f t="shared" si="67"/>
        <v>4.4120894776492346E-4</v>
      </c>
      <c r="O620">
        <f t="shared" si="68"/>
        <v>-6.697770521783931</v>
      </c>
      <c r="P620">
        <f t="shared" si="69"/>
        <v>-5.9391199922426488E-6</v>
      </c>
    </row>
    <row r="621" spans="1:16" x14ac:dyDescent="0.25">
      <c r="A621">
        <v>30.95</v>
      </c>
      <c r="B621">
        <v>2E-3</v>
      </c>
      <c r="C621">
        <v>6.3E-2</v>
      </c>
      <c r="H621">
        <f t="shared" si="63"/>
        <v>30.95</v>
      </c>
      <c r="I621">
        <f t="shared" si="64"/>
        <v>2E-3</v>
      </c>
      <c r="J621">
        <f t="shared" si="65"/>
        <v>3.4043892232987989E-2</v>
      </c>
      <c r="K621">
        <f t="shared" si="66"/>
        <v>13.395541043567858</v>
      </c>
      <c r="L621">
        <f t="shared" si="67"/>
        <v>4.5391856310650645E-4</v>
      </c>
      <c r="O621">
        <f t="shared" si="68"/>
        <v>0</v>
      </c>
      <c r="P621">
        <f t="shared" si="69"/>
        <v>6.7704953493403401E-6</v>
      </c>
    </row>
    <row r="622" spans="1:16" x14ac:dyDescent="0.25">
      <c r="A622">
        <v>31</v>
      </c>
      <c r="B622">
        <v>2E-3</v>
      </c>
      <c r="C622">
        <v>6.2E-2</v>
      </c>
      <c r="H622">
        <f t="shared" si="63"/>
        <v>31</v>
      </c>
      <c r="I622">
        <f t="shared" si="64"/>
        <v>2E-3</v>
      </c>
      <c r="J622">
        <f t="shared" si="65"/>
        <v>3.299711338360671E-2</v>
      </c>
      <c r="K622">
        <f t="shared" si="66"/>
        <v>13.395541043567858</v>
      </c>
      <c r="L622">
        <f t="shared" si="67"/>
        <v>4.3996151178142274E-4</v>
      </c>
      <c r="O622">
        <f t="shared" si="68"/>
        <v>0</v>
      </c>
      <c r="P622">
        <f t="shared" si="69"/>
        <v>-7.1865559757433714E-6</v>
      </c>
    </row>
    <row r="623" spans="1:16" x14ac:dyDescent="0.25">
      <c r="A623">
        <v>31.05</v>
      </c>
      <c r="B623">
        <v>2E-3</v>
      </c>
      <c r="C623">
        <v>6.3E-2</v>
      </c>
      <c r="H623">
        <f t="shared" si="63"/>
        <v>31.05</v>
      </c>
      <c r="I623">
        <f t="shared" si="64"/>
        <v>2E-3</v>
      </c>
      <c r="J623">
        <f t="shared" si="65"/>
        <v>3.3950334534225426E-2</v>
      </c>
      <c r="K623">
        <f t="shared" si="66"/>
        <v>13.395541043567858</v>
      </c>
      <c r="L623">
        <f t="shared" si="67"/>
        <v>4.5267112712300562E-4</v>
      </c>
      <c r="O623">
        <f t="shared" si="68"/>
        <v>0</v>
      </c>
      <c r="P623">
        <f t="shared" si="69"/>
        <v>5.5230593658395092E-6</v>
      </c>
    </row>
    <row r="624" spans="1:16" x14ac:dyDescent="0.25">
      <c r="A624">
        <v>31.1</v>
      </c>
      <c r="B624">
        <v>2E-3</v>
      </c>
      <c r="C624">
        <v>6.2E-2</v>
      </c>
      <c r="H624">
        <f t="shared" si="63"/>
        <v>31.1</v>
      </c>
      <c r="I624">
        <f t="shared" si="64"/>
        <v>2E-3</v>
      </c>
      <c r="J624">
        <f t="shared" si="65"/>
        <v>3.2903555684844148E-2</v>
      </c>
      <c r="K624">
        <f t="shared" si="66"/>
        <v>13.395541043567858</v>
      </c>
      <c r="L624">
        <f t="shared" si="67"/>
        <v>4.3871407579792191E-4</v>
      </c>
      <c r="O624">
        <f t="shared" si="68"/>
        <v>0</v>
      </c>
      <c r="P624">
        <f t="shared" si="69"/>
        <v>-8.4339919592442024E-6</v>
      </c>
    </row>
    <row r="625" spans="1:16" x14ac:dyDescent="0.25">
      <c r="A625">
        <v>31.15</v>
      </c>
      <c r="B625">
        <v>2E-3</v>
      </c>
      <c r="C625">
        <v>6.3E-2</v>
      </c>
      <c r="H625">
        <f t="shared" si="63"/>
        <v>31.15</v>
      </c>
      <c r="I625">
        <f t="shared" si="64"/>
        <v>2E-3</v>
      </c>
      <c r="J625">
        <f t="shared" si="65"/>
        <v>3.3856776835462871E-2</v>
      </c>
      <c r="K625">
        <f t="shared" si="66"/>
        <v>13.395541043567858</v>
      </c>
      <c r="L625">
        <f t="shared" si="67"/>
        <v>4.5142369113950484E-4</v>
      </c>
      <c r="O625">
        <f t="shared" si="68"/>
        <v>0</v>
      </c>
      <c r="P625">
        <f t="shared" si="69"/>
        <v>4.2756233823387324E-6</v>
      </c>
    </row>
    <row r="626" spans="1:16" x14ac:dyDescent="0.25">
      <c r="A626">
        <v>31.2</v>
      </c>
      <c r="B626">
        <v>1E-3</v>
      </c>
      <c r="C626">
        <v>6.2E-2</v>
      </c>
      <c r="H626">
        <f t="shared" si="63"/>
        <v>31.2</v>
      </c>
      <c r="I626">
        <f t="shared" si="64"/>
        <v>1E-3</v>
      </c>
      <c r="J626">
        <f t="shared" si="65"/>
        <v>3.2809997986081592E-2</v>
      </c>
      <c r="K626">
        <f t="shared" si="66"/>
        <v>6.6977705217839292</v>
      </c>
      <c r="L626">
        <f t="shared" si="67"/>
        <v>4.3746663981442113E-4</v>
      </c>
      <c r="O626">
        <f t="shared" si="68"/>
        <v>-6.697770521783931</v>
      </c>
      <c r="P626">
        <f t="shared" si="69"/>
        <v>-9.6814279427449791E-6</v>
      </c>
    </row>
    <row r="627" spans="1:16" x14ac:dyDescent="0.25">
      <c r="A627">
        <v>31.25</v>
      </c>
      <c r="B627">
        <v>1E-3</v>
      </c>
      <c r="C627">
        <v>6.3E-2</v>
      </c>
      <c r="H627">
        <f t="shared" si="63"/>
        <v>31.25</v>
      </c>
      <c r="I627">
        <f t="shared" si="64"/>
        <v>1E-3</v>
      </c>
      <c r="J627">
        <f t="shared" si="65"/>
        <v>3.3763219136700315E-2</v>
      </c>
      <c r="K627">
        <f t="shared" si="66"/>
        <v>6.6977705217839292</v>
      </c>
      <c r="L627">
        <f t="shared" si="67"/>
        <v>4.5017625515600412E-4</v>
      </c>
      <c r="O627">
        <f t="shared" si="68"/>
        <v>-6.697770521783931</v>
      </c>
      <c r="P627">
        <f t="shared" si="69"/>
        <v>3.0281873988380098E-6</v>
      </c>
    </row>
    <row r="628" spans="1:16" x14ac:dyDescent="0.25">
      <c r="A628">
        <v>31.3</v>
      </c>
      <c r="B628">
        <v>1E-3</v>
      </c>
      <c r="C628">
        <v>6.2E-2</v>
      </c>
      <c r="H628">
        <f t="shared" si="63"/>
        <v>31.3</v>
      </c>
      <c r="I628">
        <f t="shared" si="64"/>
        <v>1E-3</v>
      </c>
      <c r="J628">
        <f t="shared" si="65"/>
        <v>3.2716440287319029E-2</v>
      </c>
      <c r="K628">
        <f t="shared" si="66"/>
        <v>6.6977705217839292</v>
      </c>
      <c r="L628">
        <f t="shared" si="67"/>
        <v>4.362192038309203E-4</v>
      </c>
      <c r="O628">
        <f t="shared" si="68"/>
        <v>-6.697770521783931</v>
      </c>
      <c r="P628">
        <f t="shared" si="69"/>
        <v>-1.092886392624581E-5</v>
      </c>
    </row>
    <row r="629" spans="1:16" x14ac:dyDescent="0.25">
      <c r="A629">
        <v>31.35</v>
      </c>
      <c r="B629">
        <v>1E-3</v>
      </c>
      <c r="C629">
        <v>6.3E-2</v>
      </c>
      <c r="H629">
        <f t="shared" si="63"/>
        <v>31.35</v>
      </c>
      <c r="I629">
        <f t="shared" si="64"/>
        <v>1E-3</v>
      </c>
      <c r="J629">
        <f t="shared" si="65"/>
        <v>3.3669661437937752E-2</v>
      </c>
      <c r="K629">
        <f t="shared" si="66"/>
        <v>6.6977705217839292</v>
      </c>
      <c r="L629">
        <f t="shared" si="67"/>
        <v>4.4892881917250329E-4</v>
      </c>
      <c r="O629">
        <f t="shared" si="68"/>
        <v>-6.697770521783931</v>
      </c>
      <c r="P629">
        <f t="shared" si="69"/>
        <v>1.7807514153371788E-6</v>
      </c>
    </row>
    <row r="630" spans="1:16" x14ac:dyDescent="0.25">
      <c r="A630">
        <v>31.4</v>
      </c>
      <c r="B630">
        <v>2E-3</v>
      </c>
      <c r="C630">
        <v>6.2E-2</v>
      </c>
      <c r="H630">
        <f t="shared" si="63"/>
        <v>31.4</v>
      </c>
      <c r="I630">
        <f t="shared" si="64"/>
        <v>2E-3</v>
      </c>
      <c r="J630">
        <f t="shared" si="65"/>
        <v>3.2622882588556473E-2</v>
      </c>
      <c r="K630">
        <f t="shared" si="66"/>
        <v>13.395541043567858</v>
      </c>
      <c r="L630">
        <f t="shared" si="67"/>
        <v>4.3497176784741958E-4</v>
      </c>
      <c r="O630">
        <f t="shared" si="68"/>
        <v>0</v>
      </c>
      <c r="P630">
        <f t="shared" si="69"/>
        <v>-1.2176299909746533E-5</v>
      </c>
    </row>
    <row r="631" spans="1:16" x14ac:dyDescent="0.25">
      <c r="A631">
        <v>31.45</v>
      </c>
      <c r="B631">
        <v>1E-3</v>
      </c>
      <c r="C631">
        <v>6.3E-2</v>
      </c>
      <c r="H631">
        <f t="shared" si="63"/>
        <v>31.45</v>
      </c>
      <c r="I631">
        <f t="shared" si="64"/>
        <v>1E-3</v>
      </c>
      <c r="J631">
        <f t="shared" si="65"/>
        <v>3.3576103739175189E-2</v>
      </c>
      <c r="K631">
        <f t="shared" si="66"/>
        <v>6.6977705217839292</v>
      </c>
      <c r="L631">
        <f t="shared" si="67"/>
        <v>4.4768138318900246E-4</v>
      </c>
      <c r="O631">
        <f t="shared" si="68"/>
        <v>-6.697770521783931</v>
      </c>
      <c r="P631">
        <f t="shared" si="69"/>
        <v>5.3331543183634785E-7</v>
      </c>
    </row>
    <row r="632" spans="1:16" x14ac:dyDescent="0.25">
      <c r="A632">
        <v>31.5</v>
      </c>
      <c r="B632">
        <v>1E-3</v>
      </c>
      <c r="C632">
        <v>6.2E-2</v>
      </c>
      <c r="H632">
        <f t="shared" si="63"/>
        <v>31.5</v>
      </c>
      <c r="I632">
        <f t="shared" si="64"/>
        <v>1E-3</v>
      </c>
      <c r="J632">
        <f t="shared" si="65"/>
        <v>3.2529324889793917E-2</v>
      </c>
      <c r="K632">
        <f t="shared" si="66"/>
        <v>6.6977705217839292</v>
      </c>
      <c r="L632">
        <f t="shared" si="67"/>
        <v>4.337243318639188E-4</v>
      </c>
      <c r="O632">
        <f t="shared" si="68"/>
        <v>-6.697770521783931</v>
      </c>
      <c r="P632">
        <f t="shared" si="69"/>
        <v>-1.3423735893247309E-5</v>
      </c>
    </row>
    <row r="633" spans="1:16" x14ac:dyDescent="0.25">
      <c r="A633">
        <v>31.55</v>
      </c>
      <c r="B633">
        <v>1E-3</v>
      </c>
      <c r="C633">
        <v>6.3E-2</v>
      </c>
      <c r="H633">
        <f t="shared" si="63"/>
        <v>31.55</v>
      </c>
      <c r="I633">
        <f t="shared" si="64"/>
        <v>1E-3</v>
      </c>
      <c r="J633">
        <f t="shared" si="65"/>
        <v>3.3482546040412633E-2</v>
      </c>
      <c r="K633">
        <f t="shared" si="66"/>
        <v>6.6977705217839292</v>
      </c>
      <c r="L633">
        <f t="shared" si="67"/>
        <v>4.4643394720550168E-4</v>
      </c>
      <c r="O633">
        <f t="shared" si="68"/>
        <v>-6.697770521783931</v>
      </c>
      <c r="P633">
        <f t="shared" si="69"/>
        <v>-7.1412055166442893E-7</v>
      </c>
    </row>
    <row r="634" spans="1:16" x14ac:dyDescent="0.25">
      <c r="A634">
        <v>31.6</v>
      </c>
      <c r="B634" s="1">
        <v>4.6099999999999998E-4</v>
      </c>
      <c r="C634">
        <v>6.0999999999999999E-2</v>
      </c>
      <c r="H634">
        <f t="shared" si="63"/>
        <v>31.6</v>
      </c>
      <c r="I634">
        <f t="shared" si="64"/>
        <v>4.6099999999999998E-4</v>
      </c>
      <c r="J634">
        <f t="shared" si="65"/>
        <v>3.1435767191031347E-2</v>
      </c>
      <c r="K634">
        <f t="shared" si="66"/>
        <v>3.0876722105423915</v>
      </c>
      <c r="L634">
        <f t="shared" si="67"/>
        <v>4.1914356254708457E-4</v>
      </c>
      <c r="O634">
        <f t="shared" si="68"/>
        <v>-10.307868833025468</v>
      </c>
      <c r="P634">
        <f t="shared" si="69"/>
        <v>-2.8004505210081545E-5</v>
      </c>
    </row>
    <row r="635" spans="1:16" x14ac:dyDescent="0.25">
      <c r="A635">
        <v>31.65</v>
      </c>
      <c r="B635" s="1">
        <v>8.4699999999999999E-4</v>
      </c>
      <c r="C635">
        <v>6.3E-2</v>
      </c>
      <c r="H635">
        <f t="shared" si="63"/>
        <v>31.65</v>
      </c>
      <c r="I635">
        <f t="shared" si="64"/>
        <v>8.4699999999999999E-4</v>
      </c>
      <c r="J635">
        <f t="shared" si="65"/>
        <v>3.3388988341650078E-2</v>
      </c>
      <c r="K635">
        <f t="shared" si="66"/>
        <v>5.6730116319509882</v>
      </c>
      <c r="L635">
        <f t="shared" si="67"/>
        <v>4.4518651122200096E-4</v>
      </c>
      <c r="O635">
        <f t="shared" si="68"/>
        <v>-7.7225294116168719</v>
      </c>
      <c r="P635">
        <f t="shared" si="69"/>
        <v>-1.9615565351651515E-6</v>
      </c>
    </row>
    <row r="636" spans="1:16" x14ac:dyDescent="0.25">
      <c r="A636">
        <v>31.7</v>
      </c>
      <c r="B636" s="1">
        <v>7.8600000000000002E-4</v>
      </c>
      <c r="C636">
        <v>6.2E-2</v>
      </c>
      <c r="H636">
        <f t="shared" si="63"/>
        <v>31.7</v>
      </c>
      <c r="I636">
        <f t="shared" si="64"/>
        <v>7.8600000000000002E-4</v>
      </c>
      <c r="J636">
        <f t="shared" si="65"/>
        <v>3.2342209492268792E-2</v>
      </c>
      <c r="K636">
        <f t="shared" si="66"/>
        <v>5.2644476301221683</v>
      </c>
      <c r="L636">
        <f t="shared" si="67"/>
        <v>4.3122945989691714E-4</v>
      </c>
      <c r="O636">
        <f t="shared" si="68"/>
        <v>-8.1310934134456918</v>
      </c>
      <c r="P636">
        <f t="shared" si="69"/>
        <v>-1.5918607860248971E-5</v>
      </c>
    </row>
    <row r="637" spans="1:16" x14ac:dyDescent="0.25">
      <c r="A637">
        <v>31.75</v>
      </c>
      <c r="B637" s="1">
        <v>3.86E-4</v>
      </c>
      <c r="C637">
        <v>6.2E-2</v>
      </c>
      <c r="H637">
        <f t="shared" si="63"/>
        <v>31.75</v>
      </c>
      <c r="I637">
        <f t="shared" si="64"/>
        <v>3.86E-4</v>
      </c>
      <c r="J637">
        <f t="shared" si="65"/>
        <v>3.2295430642887514E-2</v>
      </c>
      <c r="K637">
        <f t="shared" si="66"/>
        <v>2.5853394214085967</v>
      </c>
      <c r="L637">
        <f t="shared" si="67"/>
        <v>4.3060574190516678E-4</v>
      </c>
      <c r="O637">
        <f t="shared" si="68"/>
        <v>-10.810201622159264</v>
      </c>
      <c r="P637">
        <f t="shared" si="69"/>
        <v>-1.6542325851999333E-5</v>
      </c>
    </row>
    <row r="638" spans="1:16" x14ac:dyDescent="0.25">
      <c r="A638">
        <v>31.8</v>
      </c>
      <c r="B638" s="1">
        <v>1.9000000000000001E-4</v>
      </c>
      <c r="C638">
        <v>6.0999999999999999E-2</v>
      </c>
      <c r="H638">
        <f t="shared" si="63"/>
        <v>31.8</v>
      </c>
      <c r="I638">
        <f t="shared" si="64"/>
        <v>1.9000000000000001E-4</v>
      </c>
      <c r="J638">
        <f t="shared" si="65"/>
        <v>3.1248651793506235E-2</v>
      </c>
      <c r="K638">
        <f t="shared" si="66"/>
        <v>1.2725763991389467</v>
      </c>
      <c r="L638">
        <f t="shared" si="67"/>
        <v>4.1664869058008307E-4</v>
      </c>
      <c r="O638">
        <f t="shared" si="68"/>
        <v>-12.122964644428913</v>
      </c>
      <c r="P638">
        <f t="shared" si="69"/>
        <v>-3.0499377177083044E-5</v>
      </c>
    </row>
    <row r="639" spans="1:16" x14ac:dyDescent="0.25">
      <c r="A639">
        <v>31.85</v>
      </c>
      <c r="B639" s="1">
        <v>-5.2400000000000005E-4</v>
      </c>
      <c r="C639">
        <v>6.0999999999999999E-2</v>
      </c>
      <c r="H639">
        <f t="shared" si="63"/>
        <v>31.85</v>
      </c>
      <c r="I639">
        <f t="shared" si="64"/>
        <v>-5.2400000000000005E-4</v>
      </c>
      <c r="J639">
        <f t="shared" si="65"/>
        <v>3.1201872944124954E-2</v>
      </c>
      <c r="K639">
        <f t="shared" si="66"/>
        <v>-3.5096317534147792</v>
      </c>
      <c r="L639">
        <f t="shared" si="67"/>
        <v>4.1602497258833265E-4</v>
      </c>
      <c r="O639">
        <f t="shared" si="68"/>
        <v>-16.90517279698264</v>
      </c>
      <c r="P639">
        <f t="shared" si="69"/>
        <v>-3.112309516883346E-5</v>
      </c>
    </row>
    <row r="640" spans="1:16" x14ac:dyDescent="0.25">
      <c r="A640">
        <v>31.9</v>
      </c>
      <c r="B640" s="1">
        <v>-5.0100000000000003E-4</v>
      </c>
      <c r="C640">
        <v>0.06</v>
      </c>
      <c r="H640">
        <f t="shared" si="63"/>
        <v>31.9</v>
      </c>
      <c r="I640">
        <f t="shared" si="64"/>
        <v>-5.0100000000000003E-4</v>
      </c>
      <c r="J640">
        <f t="shared" si="65"/>
        <v>3.0155094094743675E-2</v>
      </c>
      <c r="K640">
        <f t="shared" si="66"/>
        <v>-3.3555830314137487</v>
      </c>
      <c r="L640">
        <f t="shared" si="67"/>
        <v>4.0206792126324894E-4</v>
      </c>
      <c r="O640">
        <f t="shared" si="68"/>
        <v>-16.751124074981607</v>
      </c>
      <c r="P640">
        <f t="shared" si="69"/>
        <v>-4.5080146493917171E-5</v>
      </c>
    </row>
    <row r="641" spans="1:16" x14ac:dyDescent="0.25">
      <c r="A641">
        <v>31.95</v>
      </c>
      <c r="B641" s="1">
        <v>-5.1500000000000005E-4</v>
      </c>
      <c r="C641">
        <v>6.0999999999999999E-2</v>
      </c>
      <c r="H641">
        <f t="shared" si="63"/>
        <v>31.95</v>
      </c>
      <c r="I641">
        <f t="shared" si="64"/>
        <v>-5.1500000000000005E-4</v>
      </c>
      <c r="J641">
        <f t="shared" si="65"/>
        <v>3.1108315245362398E-2</v>
      </c>
      <c r="K641">
        <f t="shared" si="66"/>
        <v>-3.449351818718724</v>
      </c>
      <c r="L641">
        <f t="shared" si="67"/>
        <v>4.1477753660483187E-4</v>
      </c>
      <c r="O641">
        <f t="shared" si="68"/>
        <v>-16.844892862286585</v>
      </c>
      <c r="P641">
        <f t="shared" si="69"/>
        <v>-3.2370531152334237E-5</v>
      </c>
    </row>
    <row r="642" spans="1:16" x14ac:dyDescent="0.25">
      <c r="A642">
        <v>32</v>
      </c>
      <c r="B642" s="1">
        <v>-6.7699999999999998E-4</v>
      </c>
      <c r="C642">
        <v>0.06</v>
      </c>
      <c r="H642">
        <f t="shared" si="63"/>
        <v>32</v>
      </c>
      <c r="I642">
        <f t="shared" si="64"/>
        <v>-6.7699999999999998E-4</v>
      </c>
      <c r="J642">
        <f t="shared" si="65"/>
        <v>3.0061536395981116E-2</v>
      </c>
      <c r="K642">
        <f t="shared" si="66"/>
        <v>-4.5343906432477201</v>
      </c>
      <c r="L642">
        <f t="shared" si="67"/>
        <v>4.0082048527974811E-4</v>
      </c>
      <c r="O642">
        <f t="shared" si="68"/>
        <v>-17.929931686815578</v>
      </c>
      <c r="P642">
        <f t="shared" si="69"/>
        <v>-4.6327582477418002E-5</v>
      </c>
    </row>
    <row r="643" spans="1:16" x14ac:dyDescent="0.25">
      <c r="A643">
        <v>32.049999999999997</v>
      </c>
      <c r="B643">
        <v>-1E-3</v>
      </c>
      <c r="C643">
        <v>6.0999999999999999E-2</v>
      </c>
      <c r="H643">
        <f t="shared" ref="H643:H706" si="70">A643</f>
        <v>32.049999999999997</v>
      </c>
      <c r="I643">
        <f t="shared" ref="I643:I706" si="71">B643</f>
        <v>-1E-3</v>
      </c>
      <c r="J643">
        <f t="shared" ref="J643:J706" si="72">C643-E$12*A643</f>
        <v>3.1014757546599839E-2</v>
      </c>
      <c r="K643">
        <f t="shared" ref="K643:K706" si="73">F$24*I643</f>
        <v>-6.6977705217839292</v>
      </c>
      <c r="L643">
        <f t="shared" ref="L643:L706" si="74">F$25*J643</f>
        <v>4.135301006213311E-4</v>
      </c>
      <c r="O643">
        <f t="shared" ref="O643:O706" si="75">K643-N$12</f>
        <v>-20.09331156535179</v>
      </c>
      <c r="P643">
        <f t="shared" ref="P643:P706" si="76">L643-N$15</f>
        <v>-3.3617967135835013E-5</v>
      </c>
    </row>
    <row r="644" spans="1:16" x14ac:dyDescent="0.25">
      <c r="A644">
        <v>32.1</v>
      </c>
      <c r="B644">
        <v>-2E-3</v>
      </c>
      <c r="C644">
        <v>5.8999999999999997E-2</v>
      </c>
      <c r="H644">
        <f t="shared" si="70"/>
        <v>32.1</v>
      </c>
      <c r="I644">
        <f t="shared" si="71"/>
        <v>-2E-3</v>
      </c>
      <c r="J644">
        <f t="shared" si="72"/>
        <v>2.8967978697218556E-2</v>
      </c>
      <c r="K644">
        <f t="shared" si="73"/>
        <v>-13.395541043567858</v>
      </c>
      <c r="L644">
        <f t="shared" si="74"/>
        <v>3.8623971596291398E-4</v>
      </c>
      <c r="O644">
        <f t="shared" si="75"/>
        <v>-26.79108208713572</v>
      </c>
      <c r="P644">
        <f t="shared" si="76"/>
        <v>-6.0908351794252129E-5</v>
      </c>
    </row>
    <row r="645" spans="1:16" x14ac:dyDescent="0.25">
      <c r="A645">
        <v>32.15</v>
      </c>
      <c r="B645">
        <v>-1E-3</v>
      </c>
      <c r="C645">
        <v>0.06</v>
      </c>
      <c r="H645">
        <f t="shared" si="70"/>
        <v>32.15</v>
      </c>
      <c r="I645">
        <f t="shared" si="71"/>
        <v>-1E-3</v>
      </c>
      <c r="J645">
        <f t="shared" si="72"/>
        <v>2.9921199847837279E-2</v>
      </c>
      <c r="K645">
        <f t="shared" si="73"/>
        <v>-6.6977705217839292</v>
      </c>
      <c r="L645">
        <f t="shared" si="74"/>
        <v>3.9894933130449697E-4</v>
      </c>
      <c r="O645">
        <f t="shared" si="75"/>
        <v>-20.09331156535179</v>
      </c>
      <c r="P645">
        <f t="shared" si="76"/>
        <v>-4.819873645266914E-5</v>
      </c>
    </row>
    <row r="646" spans="1:16" x14ac:dyDescent="0.25">
      <c r="A646">
        <v>32.200000000000003</v>
      </c>
      <c r="B646">
        <v>-2E-3</v>
      </c>
      <c r="C646">
        <v>5.8999999999999997E-2</v>
      </c>
      <c r="H646">
        <f t="shared" si="70"/>
        <v>32.200000000000003</v>
      </c>
      <c r="I646">
        <f t="shared" si="71"/>
        <v>-2E-3</v>
      </c>
      <c r="J646">
        <f t="shared" si="72"/>
        <v>2.8874420998455993E-2</v>
      </c>
      <c r="K646">
        <f t="shared" si="73"/>
        <v>-13.395541043567858</v>
      </c>
      <c r="L646">
        <f t="shared" si="74"/>
        <v>3.8499227997941315E-4</v>
      </c>
      <c r="O646">
        <f t="shared" si="75"/>
        <v>-26.79108208713572</v>
      </c>
      <c r="P646">
        <f t="shared" si="76"/>
        <v>-6.215578777775296E-5</v>
      </c>
    </row>
    <row r="647" spans="1:16" x14ac:dyDescent="0.25">
      <c r="A647">
        <v>32.25</v>
      </c>
      <c r="B647">
        <v>-2E-3</v>
      </c>
      <c r="C647">
        <v>0.06</v>
      </c>
      <c r="H647">
        <f t="shared" si="70"/>
        <v>32.25</v>
      </c>
      <c r="I647">
        <f t="shared" si="71"/>
        <v>-2E-3</v>
      </c>
      <c r="J647">
        <f t="shared" si="72"/>
        <v>2.9827642149074719E-2</v>
      </c>
      <c r="K647">
        <f t="shared" si="73"/>
        <v>-13.395541043567858</v>
      </c>
      <c r="L647">
        <f t="shared" si="74"/>
        <v>3.9770189532099619E-4</v>
      </c>
      <c r="O647">
        <f t="shared" si="75"/>
        <v>-26.79108208713572</v>
      </c>
      <c r="P647">
        <f t="shared" si="76"/>
        <v>-4.9446172436169917E-5</v>
      </c>
    </row>
    <row r="648" spans="1:16" x14ac:dyDescent="0.25">
      <c r="A648">
        <v>32.299999999999997</v>
      </c>
      <c r="B648">
        <v>-2E-3</v>
      </c>
      <c r="C648">
        <v>5.8999999999999997E-2</v>
      </c>
      <c r="H648">
        <f t="shared" si="70"/>
        <v>32.299999999999997</v>
      </c>
      <c r="I648">
        <f t="shared" si="71"/>
        <v>-2E-3</v>
      </c>
      <c r="J648">
        <f t="shared" si="72"/>
        <v>2.878086329969344E-2</v>
      </c>
      <c r="K648">
        <f t="shared" si="73"/>
        <v>-13.395541043567858</v>
      </c>
      <c r="L648">
        <f t="shared" si="74"/>
        <v>3.8374484399591248E-4</v>
      </c>
      <c r="O648">
        <f t="shared" si="75"/>
        <v>-26.79108208713572</v>
      </c>
      <c r="P648">
        <f t="shared" si="76"/>
        <v>-6.3403223761253629E-5</v>
      </c>
    </row>
    <row r="649" spans="1:16" x14ac:dyDescent="0.25">
      <c r="A649">
        <v>32.35</v>
      </c>
      <c r="B649">
        <v>-1E-3</v>
      </c>
      <c r="C649">
        <v>0.06</v>
      </c>
      <c r="H649">
        <f t="shared" si="70"/>
        <v>32.35</v>
      </c>
      <c r="I649">
        <f t="shared" si="71"/>
        <v>-1E-3</v>
      </c>
      <c r="J649">
        <f t="shared" si="72"/>
        <v>2.9734084450312157E-2</v>
      </c>
      <c r="K649">
        <f t="shared" si="73"/>
        <v>-6.6977705217839292</v>
      </c>
      <c r="L649">
        <f t="shared" si="74"/>
        <v>3.9645445933749536E-4</v>
      </c>
      <c r="O649">
        <f t="shared" si="75"/>
        <v>-20.09331156535179</v>
      </c>
      <c r="P649">
        <f t="shared" si="76"/>
        <v>-5.0693608419670748E-5</v>
      </c>
    </row>
    <row r="650" spans="1:16" x14ac:dyDescent="0.25">
      <c r="A650">
        <v>32.4</v>
      </c>
      <c r="B650">
        <v>-2E-3</v>
      </c>
      <c r="C650">
        <v>0.06</v>
      </c>
      <c r="H650">
        <f t="shared" si="70"/>
        <v>32.4</v>
      </c>
      <c r="I650">
        <f t="shared" si="71"/>
        <v>-2E-3</v>
      </c>
      <c r="J650">
        <f t="shared" si="72"/>
        <v>2.9687305600930882E-2</v>
      </c>
      <c r="K650">
        <f t="shared" si="73"/>
        <v>-13.395541043567858</v>
      </c>
      <c r="L650">
        <f t="shared" si="74"/>
        <v>3.95830741345745E-4</v>
      </c>
      <c r="O650">
        <f t="shared" si="75"/>
        <v>-26.79108208713572</v>
      </c>
      <c r="P650">
        <f t="shared" si="76"/>
        <v>-5.1317326411421109E-5</v>
      </c>
    </row>
    <row r="651" spans="1:16" x14ac:dyDescent="0.25">
      <c r="A651">
        <v>32.450000000000003</v>
      </c>
      <c r="B651">
        <v>-2E-3</v>
      </c>
      <c r="C651">
        <v>0.06</v>
      </c>
      <c r="H651">
        <f t="shared" si="70"/>
        <v>32.450000000000003</v>
      </c>
      <c r="I651">
        <f t="shared" si="71"/>
        <v>-2E-3</v>
      </c>
      <c r="J651">
        <f t="shared" si="72"/>
        <v>2.9640526751549597E-2</v>
      </c>
      <c r="K651">
        <f t="shared" si="73"/>
        <v>-13.395541043567858</v>
      </c>
      <c r="L651">
        <f t="shared" si="74"/>
        <v>3.9520702335399453E-4</v>
      </c>
      <c r="O651">
        <f t="shared" si="75"/>
        <v>-26.79108208713572</v>
      </c>
      <c r="P651">
        <f t="shared" si="76"/>
        <v>-5.1941044403171579E-5</v>
      </c>
    </row>
    <row r="652" spans="1:16" x14ac:dyDescent="0.25">
      <c r="A652">
        <v>32.5</v>
      </c>
      <c r="B652">
        <v>-2E-3</v>
      </c>
      <c r="C652">
        <v>0.06</v>
      </c>
      <c r="H652">
        <f t="shared" si="70"/>
        <v>32.5</v>
      </c>
      <c r="I652">
        <f t="shared" si="71"/>
        <v>-2E-3</v>
      </c>
      <c r="J652">
        <f t="shared" si="72"/>
        <v>2.9593747902168319E-2</v>
      </c>
      <c r="K652">
        <f t="shared" si="73"/>
        <v>-13.395541043567858</v>
      </c>
      <c r="L652">
        <f t="shared" si="74"/>
        <v>3.9458330536224417E-4</v>
      </c>
      <c r="O652">
        <f t="shared" si="75"/>
        <v>-26.79108208713572</v>
      </c>
      <c r="P652">
        <f t="shared" si="76"/>
        <v>-5.256476239492194E-5</v>
      </c>
    </row>
    <row r="653" spans="1:16" x14ac:dyDescent="0.25">
      <c r="A653">
        <v>32.549999999999997</v>
      </c>
      <c r="B653">
        <v>-2E-3</v>
      </c>
      <c r="C653">
        <v>0.06</v>
      </c>
      <c r="H653">
        <f t="shared" si="70"/>
        <v>32.549999999999997</v>
      </c>
      <c r="I653">
        <f t="shared" si="71"/>
        <v>-2E-3</v>
      </c>
      <c r="J653">
        <f t="shared" si="72"/>
        <v>2.9546969052787045E-2</v>
      </c>
      <c r="K653">
        <f t="shared" si="73"/>
        <v>-13.395541043567858</v>
      </c>
      <c r="L653">
        <f t="shared" si="74"/>
        <v>3.9395958737049386E-4</v>
      </c>
      <c r="O653">
        <f t="shared" si="75"/>
        <v>-26.79108208713572</v>
      </c>
      <c r="P653">
        <f t="shared" si="76"/>
        <v>-5.3188480386672247E-5</v>
      </c>
    </row>
    <row r="654" spans="1:16" x14ac:dyDescent="0.25">
      <c r="A654">
        <v>32.6</v>
      </c>
      <c r="B654">
        <v>-2E-3</v>
      </c>
      <c r="C654">
        <v>0.06</v>
      </c>
      <c r="H654">
        <f t="shared" si="70"/>
        <v>32.6</v>
      </c>
      <c r="I654">
        <f t="shared" si="71"/>
        <v>-2E-3</v>
      </c>
      <c r="J654">
        <f t="shared" si="72"/>
        <v>2.950019020340576E-2</v>
      </c>
      <c r="K654">
        <f t="shared" si="73"/>
        <v>-13.395541043567858</v>
      </c>
      <c r="L654">
        <f t="shared" si="74"/>
        <v>3.9333586937874339E-4</v>
      </c>
      <c r="O654">
        <f t="shared" si="75"/>
        <v>-26.79108208713572</v>
      </c>
      <c r="P654">
        <f t="shared" si="76"/>
        <v>-5.3812198378422717E-5</v>
      </c>
    </row>
    <row r="655" spans="1:16" x14ac:dyDescent="0.25">
      <c r="A655">
        <v>32.65</v>
      </c>
      <c r="B655">
        <v>-2E-3</v>
      </c>
      <c r="C655">
        <v>0.06</v>
      </c>
      <c r="H655">
        <f t="shared" si="70"/>
        <v>32.65</v>
      </c>
      <c r="I655">
        <f t="shared" si="71"/>
        <v>-2E-3</v>
      </c>
      <c r="J655">
        <f t="shared" si="72"/>
        <v>2.9453411354024482E-2</v>
      </c>
      <c r="K655">
        <f t="shared" si="73"/>
        <v>-13.395541043567858</v>
      </c>
      <c r="L655">
        <f t="shared" si="74"/>
        <v>3.9271215138699303E-4</v>
      </c>
      <c r="O655">
        <f t="shared" si="75"/>
        <v>-26.79108208713572</v>
      </c>
      <c r="P655">
        <f t="shared" si="76"/>
        <v>-5.4435916370173078E-5</v>
      </c>
    </row>
    <row r="656" spans="1:16" x14ac:dyDescent="0.25">
      <c r="A656">
        <v>32.700000000000003</v>
      </c>
      <c r="B656">
        <v>-2E-3</v>
      </c>
      <c r="C656">
        <v>0.06</v>
      </c>
      <c r="H656">
        <f t="shared" si="70"/>
        <v>32.700000000000003</v>
      </c>
      <c r="I656">
        <f t="shared" si="71"/>
        <v>-2E-3</v>
      </c>
      <c r="J656">
        <f t="shared" si="72"/>
        <v>2.9406632504643201E-2</v>
      </c>
      <c r="K656">
        <f t="shared" si="73"/>
        <v>-13.395541043567858</v>
      </c>
      <c r="L656">
        <f t="shared" si="74"/>
        <v>3.9208843339524262E-4</v>
      </c>
      <c r="O656">
        <f t="shared" si="75"/>
        <v>-26.79108208713572</v>
      </c>
      <c r="P656">
        <f t="shared" si="76"/>
        <v>-5.5059634361923494E-5</v>
      </c>
    </row>
    <row r="657" spans="1:16" x14ac:dyDescent="0.25">
      <c r="A657">
        <v>32.75</v>
      </c>
      <c r="B657">
        <v>-2E-3</v>
      </c>
      <c r="C657">
        <v>0.06</v>
      </c>
      <c r="H657">
        <f t="shared" si="70"/>
        <v>32.75</v>
      </c>
      <c r="I657">
        <f t="shared" si="71"/>
        <v>-2E-3</v>
      </c>
      <c r="J657">
        <f t="shared" si="72"/>
        <v>2.9359853655261923E-2</v>
      </c>
      <c r="K657">
        <f t="shared" si="73"/>
        <v>-13.395541043567858</v>
      </c>
      <c r="L657">
        <f t="shared" si="74"/>
        <v>3.914647154034922E-4</v>
      </c>
      <c r="O657">
        <f t="shared" si="75"/>
        <v>-26.79108208713572</v>
      </c>
      <c r="P657">
        <f t="shared" si="76"/>
        <v>-5.5683352353673909E-5</v>
      </c>
    </row>
    <row r="658" spans="1:16" x14ac:dyDescent="0.25">
      <c r="A658">
        <v>32.799999999999997</v>
      </c>
      <c r="B658">
        <v>-2E-3</v>
      </c>
      <c r="C658">
        <v>5.8999999999999997E-2</v>
      </c>
      <c r="H658">
        <f t="shared" si="70"/>
        <v>32.799999999999997</v>
      </c>
      <c r="I658">
        <f t="shared" si="71"/>
        <v>-2E-3</v>
      </c>
      <c r="J658">
        <f t="shared" si="72"/>
        <v>2.8313074805880644E-2</v>
      </c>
      <c r="K658">
        <f t="shared" si="73"/>
        <v>-13.395541043567858</v>
      </c>
      <c r="L658">
        <f t="shared" si="74"/>
        <v>3.7750766407840849E-4</v>
      </c>
      <c r="O658">
        <f t="shared" si="75"/>
        <v>-26.79108208713572</v>
      </c>
      <c r="P658">
        <f t="shared" si="76"/>
        <v>-6.9640403678757621E-5</v>
      </c>
    </row>
    <row r="659" spans="1:16" x14ac:dyDescent="0.25">
      <c r="A659">
        <v>32.85</v>
      </c>
      <c r="B659">
        <v>-3.0000000000000001E-3</v>
      </c>
      <c r="C659">
        <v>5.8999999999999997E-2</v>
      </c>
      <c r="H659">
        <f t="shared" si="70"/>
        <v>32.85</v>
      </c>
      <c r="I659">
        <f t="shared" si="71"/>
        <v>-3.0000000000000001E-3</v>
      </c>
      <c r="J659">
        <f t="shared" si="72"/>
        <v>2.8266295956499363E-2</v>
      </c>
      <c r="K659">
        <f t="shared" si="73"/>
        <v>-20.093311565351787</v>
      </c>
      <c r="L659">
        <f t="shared" si="74"/>
        <v>3.7688394608665807E-4</v>
      </c>
      <c r="O659">
        <f t="shared" si="75"/>
        <v>-33.488852608919643</v>
      </c>
      <c r="P659">
        <f t="shared" si="76"/>
        <v>-7.0264121670508036E-5</v>
      </c>
    </row>
    <row r="660" spans="1:16" x14ac:dyDescent="0.25">
      <c r="A660">
        <v>32.9</v>
      </c>
      <c r="B660">
        <v>-3.0000000000000001E-3</v>
      </c>
      <c r="C660">
        <v>5.8999999999999997E-2</v>
      </c>
      <c r="H660">
        <f t="shared" si="70"/>
        <v>32.9</v>
      </c>
      <c r="I660">
        <f t="shared" si="71"/>
        <v>-3.0000000000000001E-3</v>
      </c>
      <c r="J660">
        <f t="shared" si="72"/>
        <v>2.8219517107118085E-2</v>
      </c>
      <c r="K660">
        <f t="shared" si="73"/>
        <v>-20.093311565351787</v>
      </c>
      <c r="L660">
        <f t="shared" si="74"/>
        <v>3.7626022809490771E-4</v>
      </c>
      <c r="O660">
        <f t="shared" si="75"/>
        <v>-33.488852608919643</v>
      </c>
      <c r="P660">
        <f t="shared" si="76"/>
        <v>-7.0887839662258398E-5</v>
      </c>
    </row>
    <row r="661" spans="1:16" x14ac:dyDescent="0.25">
      <c r="A661">
        <v>32.950000000000003</v>
      </c>
      <c r="B661">
        <v>-3.0000000000000001E-3</v>
      </c>
      <c r="C661">
        <v>5.8999999999999997E-2</v>
      </c>
      <c r="H661">
        <f t="shared" si="70"/>
        <v>32.950000000000003</v>
      </c>
      <c r="I661">
        <f t="shared" si="71"/>
        <v>-3.0000000000000001E-3</v>
      </c>
      <c r="J661">
        <f t="shared" si="72"/>
        <v>2.8172738257736803E-2</v>
      </c>
      <c r="K661">
        <f t="shared" si="73"/>
        <v>-20.093311565351787</v>
      </c>
      <c r="L661">
        <f t="shared" si="74"/>
        <v>3.756365101031573E-4</v>
      </c>
      <c r="O661">
        <f t="shared" si="75"/>
        <v>-33.488852608919643</v>
      </c>
      <c r="P661">
        <f t="shared" si="76"/>
        <v>-7.1511557654008813E-5</v>
      </c>
    </row>
    <row r="662" spans="1:16" x14ac:dyDescent="0.25">
      <c r="A662">
        <v>33</v>
      </c>
      <c r="B662">
        <v>-3.0000000000000001E-3</v>
      </c>
      <c r="C662">
        <v>5.8000000000000003E-2</v>
      </c>
      <c r="H662">
        <f t="shared" si="70"/>
        <v>33</v>
      </c>
      <c r="I662">
        <f t="shared" si="71"/>
        <v>-3.0000000000000001E-3</v>
      </c>
      <c r="J662">
        <f t="shared" si="72"/>
        <v>2.7125959408355532E-2</v>
      </c>
      <c r="K662">
        <f t="shared" si="73"/>
        <v>-20.093311565351787</v>
      </c>
      <c r="L662">
        <f t="shared" si="74"/>
        <v>3.6167945877807369E-4</v>
      </c>
      <c r="O662">
        <f t="shared" si="75"/>
        <v>-33.488852608919643</v>
      </c>
      <c r="P662">
        <f t="shared" si="76"/>
        <v>-8.5468608979092416E-5</v>
      </c>
    </row>
    <row r="663" spans="1:16" x14ac:dyDescent="0.25">
      <c r="A663">
        <v>33.049999999999997</v>
      </c>
      <c r="B663">
        <v>-4.0000000000000001E-3</v>
      </c>
      <c r="C663">
        <v>5.8999999999999997E-2</v>
      </c>
      <c r="H663">
        <f t="shared" si="70"/>
        <v>33.049999999999997</v>
      </c>
      <c r="I663">
        <f t="shared" si="71"/>
        <v>-4.0000000000000001E-3</v>
      </c>
      <c r="J663">
        <f t="shared" si="72"/>
        <v>2.8079180558974248E-2</v>
      </c>
      <c r="K663">
        <f t="shared" si="73"/>
        <v>-26.791082087135717</v>
      </c>
      <c r="L663">
        <f t="shared" si="74"/>
        <v>3.7438907411965658E-4</v>
      </c>
      <c r="O663">
        <f t="shared" si="75"/>
        <v>-40.18662313070358</v>
      </c>
      <c r="P663">
        <f t="shared" si="76"/>
        <v>-7.2758993637509536E-5</v>
      </c>
    </row>
    <row r="664" spans="1:16" x14ac:dyDescent="0.25">
      <c r="A664">
        <v>33.1</v>
      </c>
      <c r="B664">
        <v>-4.0000000000000001E-3</v>
      </c>
      <c r="C664">
        <v>5.8000000000000003E-2</v>
      </c>
      <c r="H664">
        <f t="shared" si="70"/>
        <v>33.1</v>
      </c>
      <c r="I664">
        <f t="shared" si="71"/>
        <v>-4.0000000000000001E-3</v>
      </c>
      <c r="J664">
        <f t="shared" si="72"/>
        <v>2.7032401709592972E-2</v>
      </c>
      <c r="K664">
        <f t="shared" si="73"/>
        <v>-26.791082087135717</v>
      </c>
      <c r="L664">
        <f t="shared" si="74"/>
        <v>3.6043202279457292E-4</v>
      </c>
      <c r="O664">
        <f t="shared" si="75"/>
        <v>-40.18662313070358</v>
      </c>
      <c r="P664">
        <f t="shared" si="76"/>
        <v>-8.6716044962593193E-5</v>
      </c>
    </row>
    <row r="665" spans="1:16" x14ac:dyDescent="0.25">
      <c r="A665">
        <v>33.15</v>
      </c>
      <c r="B665">
        <v>-4.0000000000000001E-3</v>
      </c>
      <c r="C665">
        <v>5.8000000000000003E-2</v>
      </c>
      <c r="H665">
        <f t="shared" si="70"/>
        <v>33.15</v>
      </c>
      <c r="I665">
        <f t="shared" si="71"/>
        <v>-4.0000000000000001E-3</v>
      </c>
      <c r="J665">
        <f t="shared" si="72"/>
        <v>2.6985622860211694E-2</v>
      </c>
      <c r="K665">
        <f t="shared" si="73"/>
        <v>-26.791082087135717</v>
      </c>
      <c r="L665">
        <f t="shared" si="74"/>
        <v>3.598083048028225E-4</v>
      </c>
      <c r="O665">
        <f t="shared" si="75"/>
        <v>-40.18662313070358</v>
      </c>
      <c r="P665">
        <f t="shared" si="76"/>
        <v>-8.7339762954343609E-5</v>
      </c>
    </row>
    <row r="666" spans="1:16" x14ac:dyDescent="0.25">
      <c r="A666">
        <v>33.200000000000003</v>
      </c>
      <c r="B666">
        <v>-4.0000000000000001E-3</v>
      </c>
      <c r="C666">
        <v>5.8000000000000003E-2</v>
      </c>
      <c r="H666">
        <f t="shared" si="70"/>
        <v>33.200000000000003</v>
      </c>
      <c r="I666">
        <f t="shared" si="71"/>
        <v>-4.0000000000000001E-3</v>
      </c>
      <c r="J666">
        <f t="shared" si="72"/>
        <v>2.6938844010830409E-2</v>
      </c>
      <c r="K666">
        <f t="shared" si="73"/>
        <v>-26.791082087135717</v>
      </c>
      <c r="L666">
        <f t="shared" si="74"/>
        <v>3.5918458681107203E-4</v>
      </c>
      <c r="O666">
        <f t="shared" si="75"/>
        <v>-40.18662313070358</v>
      </c>
      <c r="P666">
        <f t="shared" si="76"/>
        <v>-8.7963480946094078E-5</v>
      </c>
    </row>
    <row r="667" spans="1:16" x14ac:dyDescent="0.25">
      <c r="A667">
        <v>33.25</v>
      </c>
      <c r="B667">
        <v>-5.0000000000000001E-3</v>
      </c>
      <c r="C667">
        <v>5.8000000000000003E-2</v>
      </c>
      <c r="H667">
        <f t="shared" si="70"/>
        <v>33.25</v>
      </c>
      <c r="I667">
        <f t="shared" si="71"/>
        <v>-5.0000000000000001E-3</v>
      </c>
      <c r="J667">
        <f t="shared" si="72"/>
        <v>2.6892065161449135E-2</v>
      </c>
      <c r="K667">
        <f t="shared" si="73"/>
        <v>-33.48885260891965</v>
      </c>
      <c r="L667">
        <f t="shared" si="74"/>
        <v>3.5856086881932173E-4</v>
      </c>
      <c r="O667">
        <f t="shared" si="75"/>
        <v>-46.88439365248751</v>
      </c>
      <c r="P667">
        <f t="shared" si="76"/>
        <v>-8.8587198937844385E-5</v>
      </c>
    </row>
    <row r="668" spans="1:16" x14ac:dyDescent="0.25">
      <c r="A668">
        <v>33.299999999999997</v>
      </c>
      <c r="B668">
        <v>-5.0000000000000001E-3</v>
      </c>
      <c r="C668">
        <v>5.7000000000000002E-2</v>
      </c>
      <c r="H668">
        <f t="shared" si="70"/>
        <v>33.299999999999997</v>
      </c>
      <c r="I668">
        <f t="shared" si="71"/>
        <v>-5.0000000000000001E-3</v>
      </c>
      <c r="J668">
        <f t="shared" si="72"/>
        <v>2.5845286312067856E-2</v>
      </c>
      <c r="K668">
        <f t="shared" si="73"/>
        <v>-33.48885260891965</v>
      </c>
      <c r="L668">
        <f t="shared" si="74"/>
        <v>3.4460381749423801E-4</v>
      </c>
      <c r="O668">
        <f t="shared" si="75"/>
        <v>-46.88439365248751</v>
      </c>
      <c r="P668">
        <f t="shared" si="76"/>
        <v>-1.025442502629281E-4</v>
      </c>
    </row>
    <row r="669" spans="1:16" x14ac:dyDescent="0.25">
      <c r="A669">
        <v>33.35</v>
      </c>
      <c r="B669">
        <v>-5.0000000000000001E-3</v>
      </c>
      <c r="C669">
        <v>5.8000000000000003E-2</v>
      </c>
      <c r="H669">
        <f t="shared" si="70"/>
        <v>33.35</v>
      </c>
      <c r="I669">
        <f t="shared" si="71"/>
        <v>-5.0000000000000001E-3</v>
      </c>
      <c r="J669">
        <f t="shared" si="72"/>
        <v>2.6798507462686572E-2</v>
      </c>
      <c r="K669">
        <f t="shared" si="73"/>
        <v>-33.48885260891965</v>
      </c>
      <c r="L669">
        <f t="shared" si="74"/>
        <v>3.5731343283582089E-4</v>
      </c>
      <c r="O669">
        <f t="shared" si="75"/>
        <v>-46.88439365248751</v>
      </c>
      <c r="P669">
        <f t="shared" si="76"/>
        <v>-8.9834634921345216E-5</v>
      </c>
    </row>
    <row r="670" spans="1:16" x14ac:dyDescent="0.25">
      <c r="A670">
        <v>33.4</v>
      </c>
      <c r="B670">
        <v>-5.0000000000000001E-3</v>
      </c>
      <c r="C670">
        <v>5.7000000000000002E-2</v>
      </c>
      <c r="H670">
        <f t="shared" si="70"/>
        <v>33.4</v>
      </c>
      <c r="I670">
        <f t="shared" si="71"/>
        <v>-5.0000000000000001E-3</v>
      </c>
      <c r="J670">
        <f t="shared" si="72"/>
        <v>2.5751728613305297E-2</v>
      </c>
      <c r="K670">
        <f t="shared" si="73"/>
        <v>-33.48885260891965</v>
      </c>
      <c r="L670">
        <f t="shared" si="74"/>
        <v>3.4335638151073724E-4</v>
      </c>
      <c r="O670">
        <f t="shared" si="75"/>
        <v>-46.88439365248751</v>
      </c>
      <c r="P670">
        <f t="shared" si="76"/>
        <v>-1.0379168624642887E-4</v>
      </c>
    </row>
    <row r="671" spans="1:16" x14ac:dyDescent="0.25">
      <c r="A671">
        <v>33.450000000000003</v>
      </c>
      <c r="B671">
        <v>-4.0000000000000001E-3</v>
      </c>
      <c r="C671">
        <v>5.8000000000000003E-2</v>
      </c>
      <c r="H671">
        <f t="shared" si="70"/>
        <v>33.450000000000003</v>
      </c>
      <c r="I671">
        <f t="shared" si="71"/>
        <v>-4.0000000000000001E-3</v>
      </c>
      <c r="J671">
        <f t="shared" si="72"/>
        <v>2.6704949763924013E-2</v>
      </c>
      <c r="K671">
        <f t="shared" si="73"/>
        <v>-26.791082087135717</v>
      </c>
      <c r="L671">
        <f t="shared" si="74"/>
        <v>3.5606599685232012E-4</v>
      </c>
      <c r="O671">
        <f t="shared" si="75"/>
        <v>-40.18662313070358</v>
      </c>
      <c r="P671">
        <f t="shared" si="76"/>
        <v>-9.1082070904845993E-5</v>
      </c>
    </row>
    <row r="672" spans="1:16" x14ac:dyDescent="0.25">
      <c r="A672">
        <v>33.5</v>
      </c>
      <c r="B672">
        <v>-5.0000000000000001E-3</v>
      </c>
      <c r="C672">
        <v>5.7000000000000002E-2</v>
      </c>
      <c r="H672">
        <f t="shared" si="70"/>
        <v>33.5</v>
      </c>
      <c r="I672">
        <f t="shared" si="71"/>
        <v>-5.0000000000000001E-3</v>
      </c>
      <c r="J672">
        <f t="shared" si="72"/>
        <v>2.5658170914542734E-2</v>
      </c>
      <c r="K672">
        <f t="shared" si="73"/>
        <v>-33.48885260891965</v>
      </c>
      <c r="L672">
        <f t="shared" si="74"/>
        <v>3.4210894552723641E-4</v>
      </c>
      <c r="O672">
        <f t="shared" si="75"/>
        <v>-46.88439365248751</v>
      </c>
      <c r="P672">
        <f t="shared" si="76"/>
        <v>-1.050391222299297E-4</v>
      </c>
    </row>
    <row r="673" spans="1:16" x14ac:dyDescent="0.25">
      <c r="A673">
        <v>33.549999999999997</v>
      </c>
      <c r="B673">
        <v>-5.0000000000000001E-3</v>
      </c>
      <c r="C673">
        <v>5.8000000000000003E-2</v>
      </c>
      <c r="H673">
        <f t="shared" si="70"/>
        <v>33.549999999999997</v>
      </c>
      <c r="I673">
        <f t="shared" si="71"/>
        <v>-5.0000000000000001E-3</v>
      </c>
      <c r="J673">
        <f t="shared" si="72"/>
        <v>2.6611392065161457E-2</v>
      </c>
      <c r="K673">
        <f t="shared" si="73"/>
        <v>-33.48885260891965</v>
      </c>
      <c r="L673">
        <f t="shared" si="74"/>
        <v>3.5481856086881934E-4</v>
      </c>
      <c r="O673">
        <f t="shared" si="75"/>
        <v>-46.88439365248751</v>
      </c>
      <c r="P673">
        <f t="shared" si="76"/>
        <v>-9.232950688834677E-5</v>
      </c>
    </row>
    <row r="674" spans="1:16" x14ac:dyDescent="0.25">
      <c r="A674">
        <v>33.6</v>
      </c>
      <c r="B674">
        <v>-5.0000000000000001E-3</v>
      </c>
      <c r="C674">
        <v>5.7000000000000002E-2</v>
      </c>
      <c r="H674">
        <f t="shared" si="70"/>
        <v>33.6</v>
      </c>
      <c r="I674">
        <f t="shared" si="71"/>
        <v>-5.0000000000000001E-3</v>
      </c>
      <c r="J674">
        <f t="shared" si="72"/>
        <v>2.5564613215780171E-2</v>
      </c>
      <c r="K674">
        <f t="shared" si="73"/>
        <v>-33.48885260891965</v>
      </c>
      <c r="L674">
        <f t="shared" si="74"/>
        <v>3.4086150954373558E-4</v>
      </c>
      <c r="O674">
        <f t="shared" si="75"/>
        <v>-46.88439365248751</v>
      </c>
      <c r="P674">
        <f t="shared" si="76"/>
        <v>-1.0628655821343054E-4</v>
      </c>
    </row>
    <row r="675" spans="1:16" x14ac:dyDescent="0.25">
      <c r="A675">
        <v>33.65</v>
      </c>
      <c r="B675">
        <v>-5.0000000000000001E-3</v>
      </c>
      <c r="C675">
        <v>5.8000000000000003E-2</v>
      </c>
      <c r="H675">
        <f t="shared" si="70"/>
        <v>33.65</v>
      </c>
      <c r="I675">
        <f t="shared" si="71"/>
        <v>-5.0000000000000001E-3</v>
      </c>
      <c r="J675">
        <f t="shared" si="72"/>
        <v>2.6517834366398901E-2</v>
      </c>
      <c r="K675">
        <f t="shared" si="73"/>
        <v>-33.48885260891965</v>
      </c>
      <c r="L675">
        <f t="shared" si="74"/>
        <v>3.5357112488531862E-4</v>
      </c>
      <c r="O675">
        <f t="shared" si="75"/>
        <v>-46.88439365248751</v>
      </c>
      <c r="P675">
        <f t="shared" si="76"/>
        <v>-9.3576942871847492E-5</v>
      </c>
    </row>
    <row r="676" spans="1:16" x14ac:dyDescent="0.25">
      <c r="A676">
        <v>33.700000000000003</v>
      </c>
      <c r="B676">
        <v>-5.0000000000000001E-3</v>
      </c>
      <c r="C676">
        <v>5.7000000000000002E-2</v>
      </c>
      <c r="H676">
        <f t="shared" si="70"/>
        <v>33.700000000000003</v>
      </c>
      <c r="I676">
        <f t="shared" si="71"/>
        <v>-5.0000000000000001E-3</v>
      </c>
      <c r="J676">
        <f t="shared" si="72"/>
        <v>2.5471055517017616E-2</v>
      </c>
      <c r="K676">
        <f t="shared" si="73"/>
        <v>-33.48885260891965</v>
      </c>
      <c r="L676">
        <f t="shared" si="74"/>
        <v>3.396140735602348E-4</v>
      </c>
      <c r="O676">
        <f t="shared" si="75"/>
        <v>-46.88439365248751</v>
      </c>
      <c r="P676">
        <f t="shared" si="76"/>
        <v>-1.0753399419693131E-4</v>
      </c>
    </row>
    <row r="677" spans="1:16" x14ac:dyDescent="0.25">
      <c r="A677">
        <v>33.75</v>
      </c>
      <c r="B677">
        <v>-5.0000000000000001E-3</v>
      </c>
      <c r="C677">
        <v>5.8000000000000003E-2</v>
      </c>
      <c r="H677">
        <f t="shared" si="70"/>
        <v>33.75</v>
      </c>
      <c r="I677">
        <f t="shared" si="71"/>
        <v>-5.0000000000000001E-3</v>
      </c>
      <c r="J677">
        <f t="shared" si="72"/>
        <v>2.6424276667636339E-2</v>
      </c>
      <c r="K677">
        <f t="shared" si="73"/>
        <v>-33.48885260891965</v>
      </c>
      <c r="L677">
        <f t="shared" si="74"/>
        <v>3.5232368890181779E-4</v>
      </c>
      <c r="O677">
        <f t="shared" si="75"/>
        <v>-46.88439365248751</v>
      </c>
      <c r="P677">
        <f t="shared" si="76"/>
        <v>-9.4824378855348323E-5</v>
      </c>
    </row>
    <row r="678" spans="1:16" x14ac:dyDescent="0.25">
      <c r="A678">
        <v>33.799999999999997</v>
      </c>
      <c r="B678">
        <v>-6.0000000000000001E-3</v>
      </c>
      <c r="C678">
        <v>5.6000000000000001E-2</v>
      </c>
      <c r="H678">
        <f t="shared" si="70"/>
        <v>33.799999999999997</v>
      </c>
      <c r="I678">
        <f t="shared" si="71"/>
        <v>-6.0000000000000001E-3</v>
      </c>
      <c r="J678">
        <f t="shared" si="72"/>
        <v>2.4377497818255059E-2</v>
      </c>
      <c r="K678">
        <f t="shared" si="73"/>
        <v>-40.186623130703573</v>
      </c>
      <c r="L678">
        <f t="shared" si="74"/>
        <v>3.2503330424340073E-4</v>
      </c>
      <c r="O678">
        <f t="shared" si="75"/>
        <v>-53.582164174271433</v>
      </c>
      <c r="P678">
        <f t="shared" si="76"/>
        <v>-1.2211476351376539E-4</v>
      </c>
    </row>
    <row r="679" spans="1:16" x14ac:dyDescent="0.25">
      <c r="A679">
        <v>33.85</v>
      </c>
      <c r="B679">
        <v>-6.0000000000000001E-3</v>
      </c>
      <c r="C679">
        <v>5.7000000000000002E-2</v>
      </c>
      <c r="H679">
        <f t="shared" si="70"/>
        <v>33.85</v>
      </c>
      <c r="I679">
        <f t="shared" si="71"/>
        <v>-6.0000000000000001E-3</v>
      </c>
      <c r="J679">
        <f t="shared" si="72"/>
        <v>2.5330718968873775E-2</v>
      </c>
      <c r="K679">
        <f t="shared" si="73"/>
        <v>-40.186623130703573</v>
      </c>
      <c r="L679">
        <f t="shared" si="74"/>
        <v>3.3774291958498361E-4</v>
      </c>
      <c r="O679">
        <f t="shared" si="75"/>
        <v>-53.582164174271433</v>
      </c>
      <c r="P679">
        <f t="shared" si="76"/>
        <v>-1.094051481721825E-4</v>
      </c>
    </row>
    <row r="680" spans="1:16" x14ac:dyDescent="0.25">
      <c r="A680">
        <v>33.9</v>
      </c>
      <c r="B680">
        <v>-6.0000000000000001E-3</v>
      </c>
      <c r="C680">
        <v>5.6000000000000001E-2</v>
      </c>
      <c r="H680">
        <f t="shared" si="70"/>
        <v>33.9</v>
      </c>
      <c r="I680">
        <f t="shared" si="71"/>
        <v>-6.0000000000000001E-3</v>
      </c>
      <c r="J680">
        <f t="shared" si="72"/>
        <v>2.4283940119492496E-2</v>
      </c>
      <c r="K680">
        <f t="shared" si="73"/>
        <v>-40.186623130703573</v>
      </c>
      <c r="L680">
        <f t="shared" si="74"/>
        <v>3.237858682598999E-4</v>
      </c>
      <c r="O680">
        <f t="shared" si="75"/>
        <v>-53.582164174271433</v>
      </c>
      <c r="P680">
        <f t="shared" si="76"/>
        <v>-1.2336219949726622E-4</v>
      </c>
    </row>
    <row r="681" spans="1:16" x14ac:dyDescent="0.25">
      <c r="A681">
        <v>33.950000000000003</v>
      </c>
      <c r="B681">
        <v>-6.0000000000000001E-3</v>
      </c>
      <c r="C681">
        <v>5.7000000000000002E-2</v>
      </c>
      <c r="H681">
        <f t="shared" si="70"/>
        <v>33.950000000000003</v>
      </c>
      <c r="I681">
        <f t="shared" si="71"/>
        <v>-6.0000000000000001E-3</v>
      </c>
      <c r="J681">
        <f t="shared" si="72"/>
        <v>2.5237161270111219E-2</v>
      </c>
      <c r="K681">
        <f t="shared" si="73"/>
        <v>-40.186623130703573</v>
      </c>
      <c r="L681">
        <f t="shared" si="74"/>
        <v>3.3649548360148283E-4</v>
      </c>
      <c r="O681">
        <f t="shared" si="75"/>
        <v>-53.582164174271433</v>
      </c>
      <c r="P681">
        <f t="shared" si="76"/>
        <v>-1.1065258415568328E-4</v>
      </c>
    </row>
    <row r="682" spans="1:16" x14ac:dyDescent="0.25">
      <c r="A682">
        <v>34</v>
      </c>
      <c r="B682">
        <v>-6.0000000000000001E-3</v>
      </c>
      <c r="C682">
        <v>5.6000000000000001E-2</v>
      </c>
      <c r="H682">
        <f t="shared" si="70"/>
        <v>34</v>
      </c>
      <c r="I682">
        <f t="shared" si="71"/>
        <v>-6.0000000000000001E-3</v>
      </c>
      <c r="J682">
        <f t="shared" si="72"/>
        <v>2.419038242072994E-2</v>
      </c>
      <c r="K682">
        <f t="shared" si="73"/>
        <v>-40.186623130703573</v>
      </c>
      <c r="L682">
        <f t="shared" si="74"/>
        <v>3.2253843227639912E-4</v>
      </c>
      <c r="O682">
        <f t="shared" si="75"/>
        <v>-53.582164174271433</v>
      </c>
      <c r="P682">
        <f t="shared" si="76"/>
        <v>-1.2460963548076699E-4</v>
      </c>
    </row>
    <row r="683" spans="1:16" x14ac:dyDescent="0.25">
      <c r="A683">
        <v>34.049999999999997</v>
      </c>
      <c r="B683">
        <v>-7.0000000000000001E-3</v>
      </c>
      <c r="C683">
        <v>5.6000000000000001E-2</v>
      </c>
      <c r="H683">
        <f t="shared" si="70"/>
        <v>34.049999999999997</v>
      </c>
      <c r="I683">
        <f t="shared" si="71"/>
        <v>-7.0000000000000001E-3</v>
      </c>
      <c r="J683">
        <f t="shared" si="72"/>
        <v>2.4143603571348662E-2</v>
      </c>
      <c r="K683">
        <f t="shared" si="73"/>
        <v>-46.884393652487503</v>
      </c>
      <c r="L683">
        <f t="shared" si="74"/>
        <v>3.2191471428464876E-4</v>
      </c>
      <c r="O683">
        <f t="shared" si="75"/>
        <v>-60.279934696055363</v>
      </c>
      <c r="P683">
        <f t="shared" si="76"/>
        <v>-1.2523335347251735E-4</v>
      </c>
    </row>
    <row r="684" spans="1:16" x14ac:dyDescent="0.25">
      <c r="A684">
        <v>34.1</v>
      </c>
      <c r="B684">
        <v>-7.0000000000000001E-3</v>
      </c>
      <c r="C684">
        <v>5.6000000000000001E-2</v>
      </c>
      <c r="H684">
        <f t="shared" si="70"/>
        <v>34.1</v>
      </c>
      <c r="I684">
        <f t="shared" si="71"/>
        <v>-7.0000000000000001E-3</v>
      </c>
      <c r="J684">
        <f t="shared" si="72"/>
        <v>2.4096824721967378E-2</v>
      </c>
      <c r="K684">
        <f t="shared" si="73"/>
        <v>-46.884393652487503</v>
      </c>
      <c r="L684">
        <f t="shared" si="74"/>
        <v>3.2129099629289829E-4</v>
      </c>
      <c r="O684">
        <f t="shared" si="75"/>
        <v>-60.279934696055363</v>
      </c>
      <c r="P684">
        <f t="shared" si="76"/>
        <v>-1.2585707146426782E-4</v>
      </c>
    </row>
    <row r="685" spans="1:16" x14ac:dyDescent="0.25">
      <c r="A685">
        <v>34.15</v>
      </c>
      <c r="B685">
        <v>-7.0000000000000001E-3</v>
      </c>
      <c r="C685">
        <v>5.6000000000000001E-2</v>
      </c>
      <c r="H685">
        <f t="shared" si="70"/>
        <v>34.15</v>
      </c>
      <c r="I685">
        <f t="shared" si="71"/>
        <v>-7.0000000000000001E-3</v>
      </c>
      <c r="J685">
        <f t="shared" si="72"/>
        <v>2.40500458725861E-2</v>
      </c>
      <c r="K685">
        <f t="shared" si="73"/>
        <v>-46.884393652487503</v>
      </c>
      <c r="L685">
        <f t="shared" si="74"/>
        <v>3.2066727830114793E-4</v>
      </c>
      <c r="O685">
        <f t="shared" si="75"/>
        <v>-60.279934696055363</v>
      </c>
      <c r="P685">
        <f t="shared" si="76"/>
        <v>-1.2648078945601819E-4</v>
      </c>
    </row>
    <row r="686" spans="1:16" x14ac:dyDescent="0.25">
      <c r="A686">
        <v>34.200000000000003</v>
      </c>
      <c r="B686">
        <v>-7.0000000000000001E-3</v>
      </c>
      <c r="C686">
        <v>5.5E-2</v>
      </c>
      <c r="H686">
        <f t="shared" si="70"/>
        <v>34.200000000000003</v>
      </c>
      <c r="I686">
        <f t="shared" si="71"/>
        <v>-7.0000000000000001E-3</v>
      </c>
      <c r="J686">
        <f t="shared" si="72"/>
        <v>2.3003267023204821E-2</v>
      </c>
      <c r="K686">
        <f t="shared" si="73"/>
        <v>-46.884393652487503</v>
      </c>
      <c r="L686">
        <f t="shared" si="74"/>
        <v>3.0671022697606421E-4</v>
      </c>
      <c r="O686">
        <f t="shared" si="75"/>
        <v>-60.279934696055363</v>
      </c>
      <c r="P686">
        <f t="shared" si="76"/>
        <v>-1.404378407811019E-4</v>
      </c>
    </row>
    <row r="687" spans="1:16" x14ac:dyDescent="0.25">
      <c r="A687">
        <v>34.25</v>
      </c>
      <c r="B687">
        <v>-8.0000000000000002E-3</v>
      </c>
      <c r="C687">
        <v>5.5E-2</v>
      </c>
      <c r="H687">
        <f t="shared" si="70"/>
        <v>34.25</v>
      </c>
      <c r="I687">
        <f t="shared" si="71"/>
        <v>-8.0000000000000002E-3</v>
      </c>
      <c r="J687">
        <f t="shared" si="72"/>
        <v>2.2956488173823543E-2</v>
      </c>
      <c r="K687">
        <f t="shared" si="73"/>
        <v>-53.582164174271433</v>
      </c>
      <c r="L687">
        <f t="shared" si="74"/>
        <v>3.0608650898431385E-4</v>
      </c>
      <c r="O687">
        <f t="shared" si="75"/>
        <v>-66.977705217839286</v>
      </c>
      <c r="P687">
        <f t="shared" si="76"/>
        <v>-1.4106155877285226E-4</v>
      </c>
    </row>
    <row r="688" spans="1:16" x14ac:dyDescent="0.25">
      <c r="A688">
        <v>34.299999999999997</v>
      </c>
      <c r="B688">
        <v>-8.0000000000000002E-3</v>
      </c>
      <c r="C688">
        <v>5.3999999999999999E-2</v>
      </c>
      <c r="H688">
        <f t="shared" si="70"/>
        <v>34.299999999999997</v>
      </c>
      <c r="I688">
        <f t="shared" si="71"/>
        <v>-8.0000000000000002E-3</v>
      </c>
      <c r="J688">
        <f t="shared" si="72"/>
        <v>2.1909709324442264E-2</v>
      </c>
      <c r="K688">
        <f t="shared" si="73"/>
        <v>-53.582164174271433</v>
      </c>
      <c r="L688">
        <f t="shared" si="74"/>
        <v>2.9212945765923014E-4</v>
      </c>
      <c r="O688">
        <f t="shared" si="75"/>
        <v>-66.977705217839286</v>
      </c>
      <c r="P688">
        <f t="shared" si="76"/>
        <v>-1.5501861009793597E-4</v>
      </c>
    </row>
    <row r="689" spans="1:16" x14ac:dyDescent="0.25">
      <c r="A689">
        <v>34.35</v>
      </c>
      <c r="B689">
        <v>-8.0000000000000002E-3</v>
      </c>
      <c r="C689">
        <v>5.5E-2</v>
      </c>
      <c r="H689">
        <f t="shared" si="70"/>
        <v>34.35</v>
      </c>
      <c r="I689">
        <f t="shared" si="71"/>
        <v>-8.0000000000000002E-3</v>
      </c>
      <c r="J689">
        <f t="shared" si="72"/>
        <v>2.286293047506098E-2</v>
      </c>
      <c r="K689">
        <f t="shared" si="73"/>
        <v>-53.582164174271433</v>
      </c>
      <c r="L689">
        <f t="shared" si="74"/>
        <v>3.0483907300081302E-4</v>
      </c>
      <c r="O689">
        <f t="shared" si="75"/>
        <v>-66.977705217839286</v>
      </c>
      <c r="P689">
        <f t="shared" si="76"/>
        <v>-1.4230899475635309E-4</v>
      </c>
    </row>
    <row r="690" spans="1:16" x14ac:dyDescent="0.25">
      <c r="A690">
        <v>34.4</v>
      </c>
      <c r="B690">
        <v>-8.0000000000000002E-3</v>
      </c>
      <c r="C690">
        <v>5.3999999999999999E-2</v>
      </c>
      <c r="H690">
        <f t="shared" si="70"/>
        <v>34.4</v>
      </c>
      <c r="I690">
        <f t="shared" si="71"/>
        <v>-8.0000000000000002E-3</v>
      </c>
      <c r="J690">
        <f t="shared" si="72"/>
        <v>2.1816151625679701E-2</v>
      </c>
      <c r="K690">
        <f t="shared" si="73"/>
        <v>-53.582164174271433</v>
      </c>
      <c r="L690">
        <f t="shared" si="74"/>
        <v>2.9088202167572931E-4</v>
      </c>
      <c r="O690">
        <f t="shared" si="75"/>
        <v>-66.977705217839286</v>
      </c>
      <c r="P690">
        <f t="shared" si="76"/>
        <v>-1.562660460814368E-4</v>
      </c>
    </row>
    <row r="691" spans="1:16" x14ac:dyDescent="0.25">
      <c r="A691">
        <v>34.450000000000003</v>
      </c>
      <c r="B691">
        <v>-8.0000000000000002E-3</v>
      </c>
      <c r="C691">
        <v>5.5E-2</v>
      </c>
      <c r="H691">
        <f t="shared" si="70"/>
        <v>34.450000000000003</v>
      </c>
      <c r="I691">
        <f t="shared" si="71"/>
        <v>-8.0000000000000002E-3</v>
      </c>
      <c r="J691">
        <f t="shared" si="72"/>
        <v>2.2769372776298417E-2</v>
      </c>
      <c r="K691">
        <f t="shared" si="73"/>
        <v>-53.582164174271433</v>
      </c>
      <c r="L691">
        <f t="shared" si="74"/>
        <v>3.0359163701731219E-4</v>
      </c>
      <c r="O691">
        <f t="shared" si="75"/>
        <v>-66.977705217839286</v>
      </c>
      <c r="P691">
        <f t="shared" si="76"/>
        <v>-1.4355643073985392E-4</v>
      </c>
    </row>
    <row r="692" spans="1:16" x14ac:dyDescent="0.25">
      <c r="A692">
        <v>34.5</v>
      </c>
      <c r="B692">
        <v>-8.0000000000000002E-3</v>
      </c>
      <c r="C692">
        <v>5.5E-2</v>
      </c>
      <c r="H692">
        <f t="shared" si="70"/>
        <v>34.5</v>
      </c>
      <c r="I692">
        <f t="shared" si="71"/>
        <v>-8.0000000000000002E-3</v>
      </c>
      <c r="J692">
        <f t="shared" si="72"/>
        <v>2.2722593926917146E-2</v>
      </c>
      <c r="K692">
        <f t="shared" si="73"/>
        <v>-53.582164174271433</v>
      </c>
      <c r="L692">
        <f t="shared" si="74"/>
        <v>3.0296791902556188E-4</v>
      </c>
      <c r="O692">
        <f t="shared" si="75"/>
        <v>-66.977705217839286</v>
      </c>
      <c r="P692">
        <f t="shared" si="76"/>
        <v>-1.4418014873160423E-4</v>
      </c>
    </row>
    <row r="693" spans="1:16" x14ac:dyDescent="0.25">
      <c r="A693">
        <v>34.549999999999997</v>
      </c>
      <c r="B693">
        <v>-8.0000000000000002E-3</v>
      </c>
      <c r="C693">
        <v>5.6000000000000001E-2</v>
      </c>
      <c r="H693">
        <f t="shared" si="70"/>
        <v>34.549999999999997</v>
      </c>
      <c r="I693">
        <f t="shared" si="71"/>
        <v>-8.0000000000000002E-3</v>
      </c>
      <c r="J693">
        <f t="shared" si="72"/>
        <v>2.3675815077535869E-2</v>
      </c>
      <c r="K693">
        <f t="shared" si="73"/>
        <v>-53.582164174271433</v>
      </c>
      <c r="L693">
        <f t="shared" si="74"/>
        <v>3.1567753436714487E-4</v>
      </c>
      <c r="O693">
        <f t="shared" si="75"/>
        <v>-66.977705217839286</v>
      </c>
      <c r="P693">
        <f t="shared" si="76"/>
        <v>-1.3147053339002124E-4</v>
      </c>
    </row>
    <row r="694" spans="1:16" x14ac:dyDescent="0.25">
      <c r="A694">
        <v>34.6</v>
      </c>
      <c r="B694">
        <v>-7.0000000000000001E-3</v>
      </c>
      <c r="C694">
        <v>5.5E-2</v>
      </c>
      <c r="H694">
        <f t="shared" si="70"/>
        <v>34.6</v>
      </c>
      <c r="I694">
        <f t="shared" si="71"/>
        <v>-7.0000000000000001E-3</v>
      </c>
      <c r="J694">
        <f t="shared" si="72"/>
        <v>2.2629036228154584E-2</v>
      </c>
      <c r="K694">
        <f t="shared" si="73"/>
        <v>-46.884393652487503</v>
      </c>
      <c r="L694">
        <f t="shared" si="74"/>
        <v>3.0172048304206105E-4</v>
      </c>
      <c r="O694">
        <f t="shared" si="75"/>
        <v>-60.279934696055363</v>
      </c>
      <c r="P694">
        <f t="shared" si="76"/>
        <v>-1.4542758471510506E-4</v>
      </c>
    </row>
    <row r="695" spans="1:16" x14ac:dyDescent="0.25">
      <c r="A695">
        <v>34.65</v>
      </c>
      <c r="B695">
        <v>-8.0000000000000002E-3</v>
      </c>
      <c r="C695">
        <v>5.5E-2</v>
      </c>
      <c r="H695">
        <f t="shared" si="70"/>
        <v>34.65</v>
      </c>
      <c r="I695">
        <f t="shared" si="71"/>
        <v>-8.0000000000000002E-3</v>
      </c>
      <c r="J695">
        <f t="shared" si="72"/>
        <v>2.2582257378773306E-2</v>
      </c>
      <c r="K695">
        <f t="shared" si="73"/>
        <v>-53.582164174271433</v>
      </c>
      <c r="L695">
        <f t="shared" si="74"/>
        <v>3.0109676505031069E-4</v>
      </c>
      <c r="O695">
        <f t="shared" si="75"/>
        <v>-66.977705217839286</v>
      </c>
      <c r="P695">
        <f t="shared" si="76"/>
        <v>-1.4605130270685542E-4</v>
      </c>
    </row>
    <row r="696" spans="1:16" x14ac:dyDescent="0.25">
      <c r="A696">
        <v>34.700000000000003</v>
      </c>
      <c r="B696">
        <v>-8.0000000000000002E-3</v>
      </c>
      <c r="C696">
        <v>5.5E-2</v>
      </c>
      <c r="H696">
        <f t="shared" si="70"/>
        <v>34.700000000000003</v>
      </c>
      <c r="I696">
        <f t="shared" si="71"/>
        <v>-8.0000000000000002E-3</v>
      </c>
      <c r="J696">
        <f t="shared" si="72"/>
        <v>2.2535478529392021E-2</v>
      </c>
      <c r="K696">
        <f t="shared" si="73"/>
        <v>-53.582164174271433</v>
      </c>
      <c r="L696">
        <f t="shared" si="74"/>
        <v>3.0047304705856022E-4</v>
      </c>
      <c r="O696">
        <f t="shared" si="75"/>
        <v>-66.977705217839286</v>
      </c>
      <c r="P696">
        <f t="shared" si="76"/>
        <v>-1.4667502069860589E-4</v>
      </c>
    </row>
    <row r="697" spans="1:16" x14ac:dyDescent="0.25">
      <c r="A697">
        <v>34.75</v>
      </c>
      <c r="B697">
        <v>-8.0000000000000002E-3</v>
      </c>
      <c r="C697">
        <v>5.5E-2</v>
      </c>
      <c r="H697">
        <f t="shared" si="70"/>
        <v>34.75</v>
      </c>
      <c r="I697">
        <f t="shared" si="71"/>
        <v>-8.0000000000000002E-3</v>
      </c>
      <c r="J697">
        <f t="shared" si="72"/>
        <v>2.2488699680010743E-2</v>
      </c>
      <c r="K697">
        <f t="shared" si="73"/>
        <v>-53.582164174271433</v>
      </c>
      <c r="L697">
        <f t="shared" si="74"/>
        <v>2.9984932906680986E-4</v>
      </c>
      <c r="O697">
        <f t="shared" si="75"/>
        <v>-66.977705217839286</v>
      </c>
      <c r="P697">
        <f t="shared" si="76"/>
        <v>-1.4729873869035625E-4</v>
      </c>
    </row>
    <row r="698" spans="1:16" x14ac:dyDescent="0.25">
      <c r="A698">
        <v>34.799999999999997</v>
      </c>
      <c r="B698">
        <v>-8.0000000000000002E-3</v>
      </c>
      <c r="C698">
        <v>5.3999999999999999E-2</v>
      </c>
      <c r="H698">
        <f t="shared" si="70"/>
        <v>34.799999999999997</v>
      </c>
      <c r="I698">
        <f t="shared" si="71"/>
        <v>-8.0000000000000002E-3</v>
      </c>
      <c r="J698">
        <f t="shared" si="72"/>
        <v>2.1441920830629471E-2</v>
      </c>
      <c r="K698">
        <f t="shared" si="73"/>
        <v>-53.582164174271433</v>
      </c>
      <c r="L698">
        <f t="shared" si="74"/>
        <v>2.858922777417262E-4</v>
      </c>
      <c r="O698">
        <f t="shared" si="75"/>
        <v>-66.977705217839286</v>
      </c>
      <c r="P698">
        <f t="shared" si="76"/>
        <v>-1.6125579001543991E-4</v>
      </c>
    </row>
    <row r="699" spans="1:16" x14ac:dyDescent="0.25">
      <c r="A699">
        <v>34.85</v>
      </c>
      <c r="B699">
        <v>-8.9999999999999993E-3</v>
      </c>
      <c r="C699">
        <v>5.5E-2</v>
      </c>
      <c r="H699">
        <f t="shared" si="70"/>
        <v>34.85</v>
      </c>
      <c r="I699">
        <f t="shared" si="71"/>
        <v>-8.9999999999999993E-3</v>
      </c>
      <c r="J699">
        <f t="shared" si="72"/>
        <v>2.2395141981248187E-2</v>
      </c>
      <c r="K699">
        <f t="shared" si="73"/>
        <v>-60.279934696055356</v>
      </c>
      <c r="L699">
        <f t="shared" si="74"/>
        <v>2.9860189308330908E-4</v>
      </c>
      <c r="O699">
        <f t="shared" si="75"/>
        <v>-73.675475739623209</v>
      </c>
      <c r="P699">
        <f t="shared" si="76"/>
        <v>-1.4854617467385703E-4</v>
      </c>
    </row>
    <row r="700" spans="1:16" x14ac:dyDescent="0.25">
      <c r="A700">
        <v>34.9</v>
      </c>
      <c r="B700">
        <v>-8.9999999999999993E-3</v>
      </c>
      <c r="C700">
        <v>5.3999999999999999E-2</v>
      </c>
      <c r="H700">
        <f t="shared" si="70"/>
        <v>34.9</v>
      </c>
      <c r="I700">
        <f t="shared" si="71"/>
        <v>-8.9999999999999993E-3</v>
      </c>
      <c r="J700">
        <f t="shared" si="72"/>
        <v>2.1348363131866908E-2</v>
      </c>
      <c r="K700">
        <f t="shared" si="73"/>
        <v>-60.279934696055356</v>
      </c>
      <c r="L700">
        <f t="shared" si="74"/>
        <v>2.8464484175822537E-4</v>
      </c>
      <c r="O700">
        <f t="shared" si="75"/>
        <v>-73.675475739623209</v>
      </c>
      <c r="P700">
        <f t="shared" si="76"/>
        <v>-1.6250322599894074E-4</v>
      </c>
    </row>
    <row r="701" spans="1:16" x14ac:dyDescent="0.25">
      <c r="A701">
        <v>34.950000000000003</v>
      </c>
      <c r="B701">
        <v>-8.9999999999999993E-3</v>
      </c>
      <c r="C701">
        <v>5.3999999999999999E-2</v>
      </c>
      <c r="H701">
        <f t="shared" si="70"/>
        <v>34.950000000000003</v>
      </c>
      <c r="I701">
        <f t="shared" si="71"/>
        <v>-8.9999999999999993E-3</v>
      </c>
      <c r="J701">
        <f t="shared" si="72"/>
        <v>2.1301584282485624E-2</v>
      </c>
      <c r="K701">
        <f t="shared" si="73"/>
        <v>-60.279934696055356</v>
      </c>
      <c r="L701">
        <f t="shared" si="74"/>
        <v>2.840211237664749E-4</v>
      </c>
      <c r="O701">
        <f t="shared" si="75"/>
        <v>-73.675475739623209</v>
      </c>
      <c r="P701">
        <f t="shared" si="76"/>
        <v>-1.6312694399069121E-4</v>
      </c>
    </row>
    <row r="702" spans="1:16" x14ac:dyDescent="0.25">
      <c r="A702">
        <v>35</v>
      </c>
      <c r="B702">
        <v>-8.9999999999999993E-3</v>
      </c>
      <c r="C702">
        <v>5.3999999999999999E-2</v>
      </c>
      <c r="H702">
        <f t="shared" si="70"/>
        <v>35</v>
      </c>
      <c r="I702">
        <f t="shared" si="71"/>
        <v>-8.9999999999999993E-3</v>
      </c>
      <c r="J702">
        <f t="shared" si="72"/>
        <v>2.1254805433104346E-2</v>
      </c>
      <c r="K702">
        <f t="shared" si="73"/>
        <v>-60.279934696055356</v>
      </c>
      <c r="L702">
        <f t="shared" si="74"/>
        <v>2.8339740577472454E-4</v>
      </c>
      <c r="O702">
        <f t="shared" si="75"/>
        <v>-73.675475739623209</v>
      </c>
      <c r="P702">
        <f t="shared" si="76"/>
        <v>-1.6375066198244157E-4</v>
      </c>
    </row>
    <row r="703" spans="1:16" x14ac:dyDescent="0.25">
      <c r="A703">
        <v>35.049999999999997</v>
      </c>
      <c r="B703" s="1">
        <v>-8.9999999999999993E-3</v>
      </c>
      <c r="C703">
        <v>5.3999999999999999E-2</v>
      </c>
      <c r="H703">
        <f t="shared" si="70"/>
        <v>35.049999999999997</v>
      </c>
      <c r="I703">
        <f t="shared" si="71"/>
        <v>-8.9999999999999993E-3</v>
      </c>
      <c r="J703">
        <f t="shared" si="72"/>
        <v>2.1208026583723068E-2</v>
      </c>
      <c r="K703">
        <f t="shared" si="73"/>
        <v>-60.279934696055356</v>
      </c>
      <c r="L703">
        <f t="shared" si="74"/>
        <v>2.8277368778297418E-4</v>
      </c>
      <c r="O703">
        <f t="shared" si="75"/>
        <v>-73.675475739623209</v>
      </c>
      <c r="P703">
        <f t="shared" si="76"/>
        <v>-1.6437437997419193E-4</v>
      </c>
    </row>
    <row r="704" spans="1:16" x14ac:dyDescent="0.25">
      <c r="A704">
        <v>35.1</v>
      </c>
      <c r="B704">
        <v>-8.9999999999999993E-3</v>
      </c>
      <c r="C704">
        <v>5.2999999999999999E-2</v>
      </c>
      <c r="H704">
        <f t="shared" si="70"/>
        <v>35.1</v>
      </c>
      <c r="I704">
        <f t="shared" si="71"/>
        <v>-8.9999999999999993E-3</v>
      </c>
      <c r="J704">
        <f t="shared" si="72"/>
        <v>2.0161247734341789E-2</v>
      </c>
      <c r="K704">
        <f t="shared" si="73"/>
        <v>-60.279934696055356</v>
      </c>
      <c r="L704">
        <f t="shared" si="74"/>
        <v>2.6881663645789047E-4</v>
      </c>
      <c r="O704">
        <f t="shared" si="75"/>
        <v>-73.675475739623209</v>
      </c>
      <c r="P704">
        <f t="shared" si="76"/>
        <v>-1.7833143129927564E-4</v>
      </c>
    </row>
    <row r="705" spans="1:16" x14ac:dyDescent="0.25">
      <c r="A705">
        <v>35.15</v>
      </c>
      <c r="B705">
        <v>-0.01</v>
      </c>
      <c r="C705">
        <v>5.3999999999999999E-2</v>
      </c>
      <c r="H705">
        <f t="shared" si="70"/>
        <v>35.15</v>
      </c>
      <c r="I705">
        <f t="shared" si="71"/>
        <v>-0.01</v>
      </c>
      <c r="J705">
        <f t="shared" si="72"/>
        <v>2.1114468884960512E-2</v>
      </c>
      <c r="K705">
        <f t="shared" si="73"/>
        <v>-66.977705217839301</v>
      </c>
      <c r="L705">
        <f t="shared" si="74"/>
        <v>2.8152625179947346E-4</v>
      </c>
      <c r="O705">
        <f t="shared" si="75"/>
        <v>-80.373246261407161</v>
      </c>
      <c r="P705">
        <f t="shared" si="76"/>
        <v>-1.6562181595769265E-4</v>
      </c>
    </row>
    <row r="706" spans="1:16" x14ac:dyDescent="0.25">
      <c r="A706">
        <v>35.200000000000003</v>
      </c>
      <c r="B706">
        <v>-0.01</v>
      </c>
      <c r="C706">
        <v>5.2999999999999999E-2</v>
      </c>
      <c r="H706">
        <f t="shared" si="70"/>
        <v>35.200000000000003</v>
      </c>
      <c r="I706">
        <f t="shared" si="71"/>
        <v>-0.01</v>
      </c>
      <c r="J706">
        <f t="shared" si="72"/>
        <v>2.0067690035579226E-2</v>
      </c>
      <c r="K706">
        <f t="shared" si="73"/>
        <v>-66.977705217839301</v>
      </c>
      <c r="L706">
        <f t="shared" si="74"/>
        <v>2.6756920047438964E-4</v>
      </c>
      <c r="O706">
        <f t="shared" si="75"/>
        <v>-80.373246261407161</v>
      </c>
      <c r="P706">
        <f t="shared" si="76"/>
        <v>-1.7957886728277647E-4</v>
      </c>
    </row>
    <row r="707" spans="1:16" x14ac:dyDescent="0.25">
      <c r="A707">
        <v>35.25</v>
      </c>
      <c r="B707" s="1">
        <v>-0.01</v>
      </c>
      <c r="C707">
        <v>5.3999999999999999E-2</v>
      </c>
      <c r="H707">
        <f t="shared" ref="H707:H770" si="77">A707</f>
        <v>35.25</v>
      </c>
      <c r="I707">
        <f t="shared" ref="I707:I770" si="78">B707</f>
        <v>-0.01</v>
      </c>
      <c r="J707">
        <f t="shared" ref="J707:J770" si="79">C707-E$12*A707</f>
        <v>2.1020911186197949E-2</v>
      </c>
      <c r="K707">
        <f t="shared" ref="K707:K770" si="80">F$24*I707</f>
        <v>-66.977705217839301</v>
      </c>
      <c r="L707">
        <f t="shared" ref="L707:L770" si="81">F$25*J707</f>
        <v>2.8027881581597263E-4</v>
      </c>
      <c r="O707">
        <f t="shared" ref="O707:O770" si="82">K707-N$12</f>
        <v>-80.373246261407161</v>
      </c>
      <c r="P707">
        <f t="shared" ref="P707:P770" si="83">L707-N$15</f>
        <v>-1.6686925194119348E-4</v>
      </c>
    </row>
    <row r="708" spans="1:16" x14ac:dyDescent="0.25">
      <c r="A708">
        <v>35.299999999999997</v>
      </c>
      <c r="B708">
        <v>-0.01</v>
      </c>
      <c r="C708">
        <v>5.2999999999999999E-2</v>
      </c>
      <c r="H708">
        <f t="shared" si="77"/>
        <v>35.299999999999997</v>
      </c>
      <c r="I708">
        <f t="shared" si="78"/>
        <v>-0.01</v>
      </c>
      <c r="J708">
        <f t="shared" si="79"/>
        <v>1.997413233681667E-2</v>
      </c>
      <c r="K708">
        <f t="shared" si="80"/>
        <v>-66.977705217839301</v>
      </c>
      <c r="L708">
        <f t="shared" si="81"/>
        <v>2.6632176449088886E-4</v>
      </c>
      <c r="O708">
        <f t="shared" si="82"/>
        <v>-80.373246261407161</v>
      </c>
      <c r="P708">
        <f t="shared" si="83"/>
        <v>-1.8082630326627725E-4</v>
      </c>
    </row>
    <row r="709" spans="1:16" x14ac:dyDescent="0.25">
      <c r="A709">
        <v>35.35</v>
      </c>
      <c r="B709" s="1">
        <v>-0.01</v>
      </c>
      <c r="C709">
        <v>5.3999999999999999E-2</v>
      </c>
      <c r="H709">
        <f t="shared" si="77"/>
        <v>35.35</v>
      </c>
      <c r="I709">
        <f t="shared" si="78"/>
        <v>-0.01</v>
      </c>
      <c r="J709">
        <f t="shared" si="79"/>
        <v>2.0927353487435386E-2</v>
      </c>
      <c r="K709">
        <f t="shared" si="80"/>
        <v>-66.977705217839301</v>
      </c>
      <c r="L709">
        <f t="shared" si="81"/>
        <v>2.7903137983247174E-4</v>
      </c>
      <c r="O709">
        <f t="shared" si="82"/>
        <v>-80.373246261407161</v>
      </c>
      <c r="P709">
        <f t="shared" si="83"/>
        <v>-1.6811668792469437E-4</v>
      </c>
    </row>
    <row r="710" spans="1:16" x14ac:dyDescent="0.25">
      <c r="A710">
        <v>35.4</v>
      </c>
      <c r="B710" s="1">
        <v>-8.9999999999999993E-3</v>
      </c>
      <c r="C710">
        <v>5.3999999999999999E-2</v>
      </c>
      <c r="H710">
        <f t="shared" si="77"/>
        <v>35.4</v>
      </c>
      <c r="I710">
        <f t="shared" si="78"/>
        <v>-8.9999999999999993E-3</v>
      </c>
      <c r="J710">
        <f t="shared" si="79"/>
        <v>2.0880574638054115E-2</v>
      </c>
      <c r="K710">
        <f t="shared" si="80"/>
        <v>-60.279934696055356</v>
      </c>
      <c r="L710">
        <f t="shared" si="81"/>
        <v>2.7840766184072149E-4</v>
      </c>
      <c r="O710">
        <f t="shared" si="82"/>
        <v>-73.675475739623209</v>
      </c>
      <c r="P710">
        <f t="shared" si="83"/>
        <v>-1.6874040591644462E-4</v>
      </c>
    </row>
    <row r="711" spans="1:16" x14ac:dyDescent="0.25">
      <c r="A711">
        <v>35.450000000000003</v>
      </c>
      <c r="B711" s="1">
        <v>-0.01</v>
      </c>
      <c r="C711">
        <v>5.3999999999999999E-2</v>
      </c>
      <c r="H711">
        <f t="shared" si="77"/>
        <v>35.450000000000003</v>
      </c>
      <c r="I711">
        <f t="shared" si="78"/>
        <v>-0.01</v>
      </c>
      <c r="J711">
        <f t="shared" si="79"/>
        <v>2.0833795788672831E-2</v>
      </c>
      <c r="K711">
        <f t="shared" si="80"/>
        <v>-66.977705217839301</v>
      </c>
      <c r="L711">
        <f t="shared" si="81"/>
        <v>2.7778394384897102E-4</v>
      </c>
      <c r="O711">
        <f t="shared" si="82"/>
        <v>-80.373246261407161</v>
      </c>
      <c r="P711">
        <f t="shared" si="83"/>
        <v>-1.6936412390819509E-4</v>
      </c>
    </row>
    <row r="712" spans="1:16" x14ac:dyDescent="0.25">
      <c r="A712">
        <v>35.5</v>
      </c>
      <c r="B712">
        <v>-0.01</v>
      </c>
      <c r="C712">
        <v>5.2999999999999999E-2</v>
      </c>
      <c r="H712">
        <f t="shared" si="77"/>
        <v>35.5</v>
      </c>
      <c r="I712">
        <f t="shared" si="78"/>
        <v>-0.01</v>
      </c>
      <c r="J712">
        <f t="shared" si="79"/>
        <v>1.9787016939291552E-2</v>
      </c>
      <c r="K712">
        <f t="shared" si="80"/>
        <v>-66.977705217839301</v>
      </c>
      <c r="L712">
        <f t="shared" si="81"/>
        <v>2.6382689252388731E-4</v>
      </c>
      <c r="O712">
        <f t="shared" si="82"/>
        <v>-80.373246261407161</v>
      </c>
      <c r="P712">
        <f t="shared" si="83"/>
        <v>-1.833211752332788E-4</v>
      </c>
    </row>
    <row r="713" spans="1:16" x14ac:dyDescent="0.25">
      <c r="A713">
        <v>35.549999999999997</v>
      </c>
      <c r="B713" s="1">
        <v>-0.01</v>
      </c>
      <c r="C713">
        <v>5.3999999999999999E-2</v>
      </c>
      <c r="H713">
        <f t="shared" si="77"/>
        <v>35.549999999999997</v>
      </c>
      <c r="I713">
        <f t="shared" si="78"/>
        <v>-0.01</v>
      </c>
      <c r="J713">
        <f t="shared" si="79"/>
        <v>2.0740238089910275E-2</v>
      </c>
      <c r="K713">
        <f t="shared" si="80"/>
        <v>-66.977705217839301</v>
      </c>
      <c r="L713">
        <f t="shared" si="81"/>
        <v>2.765365078654703E-4</v>
      </c>
      <c r="O713">
        <f t="shared" si="82"/>
        <v>-80.373246261407161</v>
      </c>
      <c r="P713">
        <f t="shared" si="83"/>
        <v>-1.7061155989169581E-4</v>
      </c>
    </row>
    <row r="714" spans="1:16" x14ac:dyDescent="0.25">
      <c r="A714">
        <v>35.6</v>
      </c>
      <c r="B714" s="1">
        <v>-0.01</v>
      </c>
      <c r="C714">
        <v>5.2999999999999999E-2</v>
      </c>
      <c r="H714">
        <f t="shared" si="77"/>
        <v>35.6</v>
      </c>
      <c r="I714">
        <f t="shared" si="78"/>
        <v>-0.01</v>
      </c>
      <c r="J714">
        <f t="shared" si="79"/>
        <v>1.9693459240528989E-2</v>
      </c>
      <c r="K714">
        <f t="shared" si="80"/>
        <v>-66.977705217839301</v>
      </c>
      <c r="L714">
        <f t="shared" si="81"/>
        <v>2.6257945654038648E-4</v>
      </c>
      <c r="O714">
        <f t="shared" si="82"/>
        <v>-80.373246261407161</v>
      </c>
      <c r="P714">
        <f t="shared" si="83"/>
        <v>-1.8456861121677963E-4</v>
      </c>
    </row>
    <row r="715" spans="1:16" x14ac:dyDescent="0.25">
      <c r="A715">
        <v>35.65</v>
      </c>
      <c r="B715" s="1">
        <v>-0.01</v>
      </c>
      <c r="C715">
        <v>5.3999999999999999E-2</v>
      </c>
      <c r="H715">
        <f t="shared" si="77"/>
        <v>35.65</v>
      </c>
      <c r="I715">
        <f t="shared" si="78"/>
        <v>-0.01</v>
      </c>
      <c r="J715">
        <f t="shared" si="79"/>
        <v>2.0646680391147712E-2</v>
      </c>
      <c r="K715">
        <f t="shared" si="80"/>
        <v>-66.977705217839301</v>
      </c>
      <c r="L715">
        <f t="shared" si="81"/>
        <v>2.7528907188196947E-4</v>
      </c>
      <c r="O715">
        <f t="shared" si="82"/>
        <v>-80.373246261407161</v>
      </c>
      <c r="P715">
        <f t="shared" si="83"/>
        <v>-1.7185899587519665E-4</v>
      </c>
    </row>
    <row r="716" spans="1:16" x14ac:dyDescent="0.25">
      <c r="A716">
        <v>35.700000000000003</v>
      </c>
      <c r="B716" s="1">
        <v>-0.01</v>
      </c>
      <c r="C716">
        <v>5.2999999999999999E-2</v>
      </c>
      <c r="H716">
        <f t="shared" si="77"/>
        <v>35.700000000000003</v>
      </c>
      <c r="I716">
        <f t="shared" si="78"/>
        <v>-0.01</v>
      </c>
      <c r="J716">
        <f t="shared" si="79"/>
        <v>1.9599901541766433E-2</v>
      </c>
      <c r="K716">
        <f t="shared" si="80"/>
        <v>-66.977705217839301</v>
      </c>
      <c r="L716">
        <f t="shared" si="81"/>
        <v>2.613320205568857E-4</v>
      </c>
      <c r="O716">
        <f t="shared" si="82"/>
        <v>-80.373246261407161</v>
      </c>
      <c r="P716">
        <f t="shared" si="83"/>
        <v>-1.8581604720028041E-4</v>
      </c>
    </row>
    <row r="717" spans="1:16" x14ac:dyDescent="0.25">
      <c r="A717">
        <v>35.75</v>
      </c>
      <c r="B717" s="1">
        <v>-0.01</v>
      </c>
      <c r="C717">
        <v>5.3999999999999999E-2</v>
      </c>
      <c r="H717">
        <f t="shared" si="77"/>
        <v>35.75</v>
      </c>
      <c r="I717">
        <f t="shared" si="78"/>
        <v>-0.01</v>
      </c>
      <c r="J717">
        <f t="shared" si="79"/>
        <v>2.0553122692385156E-2</v>
      </c>
      <c r="K717">
        <f t="shared" si="80"/>
        <v>-66.977705217839301</v>
      </c>
      <c r="L717">
        <f t="shared" si="81"/>
        <v>2.7404163589846869E-4</v>
      </c>
      <c r="O717">
        <f t="shared" si="82"/>
        <v>-80.373246261407161</v>
      </c>
      <c r="P717">
        <f t="shared" si="83"/>
        <v>-1.7310643185869742E-4</v>
      </c>
    </row>
    <row r="718" spans="1:16" x14ac:dyDescent="0.25">
      <c r="A718">
        <v>35.799999999999997</v>
      </c>
      <c r="B718" s="1">
        <v>-0.01</v>
      </c>
      <c r="C718">
        <v>5.2999999999999999E-2</v>
      </c>
      <c r="H718">
        <f t="shared" si="77"/>
        <v>35.799999999999997</v>
      </c>
      <c r="I718">
        <f t="shared" si="78"/>
        <v>-0.01</v>
      </c>
      <c r="J718">
        <f t="shared" si="79"/>
        <v>1.9506343843003877E-2</v>
      </c>
      <c r="K718">
        <f t="shared" si="80"/>
        <v>-66.977705217839301</v>
      </c>
      <c r="L718">
        <f t="shared" si="81"/>
        <v>2.6008458457338498E-4</v>
      </c>
      <c r="O718">
        <f t="shared" si="82"/>
        <v>-80.373246261407161</v>
      </c>
      <c r="P718">
        <f t="shared" si="83"/>
        <v>-1.8706348318378113E-4</v>
      </c>
    </row>
    <row r="719" spans="1:16" x14ac:dyDescent="0.25">
      <c r="A719">
        <v>35.85</v>
      </c>
      <c r="B719" s="1">
        <v>-1.0999999999999999E-2</v>
      </c>
      <c r="C719">
        <v>5.2999999999999999E-2</v>
      </c>
      <c r="H719">
        <f t="shared" si="77"/>
        <v>35.85</v>
      </c>
      <c r="I719">
        <f t="shared" si="78"/>
        <v>-1.0999999999999999E-2</v>
      </c>
      <c r="J719">
        <f t="shared" si="79"/>
        <v>1.9459564993622593E-2</v>
      </c>
      <c r="K719">
        <f t="shared" si="80"/>
        <v>-73.675475739623224</v>
      </c>
      <c r="L719">
        <f t="shared" si="81"/>
        <v>2.5946086658163451E-4</v>
      </c>
      <c r="O719">
        <f t="shared" si="82"/>
        <v>-87.071016783191084</v>
      </c>
      <c r="P719">
        <f t="shared" si="83"/>
        <v>-1.876872011755316E-4</v>
      </c>
    </row>
    <row r="720" spans="1:16" x14ac:dyDescent="0.25">
      <c r="A720">
        <v>35.9</v>
      </c>
      <c r="B720">
        <v>-1.0999999999999999E-2</v>
      </c>
      <c r="C720">
        <v>5.1999999999999998E-2</v>
      </c>
      <c r="H720">
        <f t="shared" si="77"/>
        <v>35.9</v>
      </c>
      <c r="I720">
        <f t="shared" si="78"/>
        <v>-1.0999999999999999E-2</v>
      </c>
      <c r="J720">
        <f t="shared" si="79"/>
        <v>1.8412786144241314E-2</v>
      </c>
      <c r="K720">
        <f t="shared" si="80"/>
        <v>-73.675475739623224</v>
      </c>
      <c r="L720">
        <f t="shared" si="81"/>
        <v>2.455038152565508E-4</v>
      </c>
      <c r="O720">
        <f t="shared" si="82"/>
        <v>-87.071016783191084</v>
      </c>
      <c r="P720">
        <f t="shared" si="83"/>
        <v>-2.0164425250061532E-4</v>
      </c>
    </row>
    <row r="721" spans="1:16" x14ac:dyDescent="0.25">
      <c r="A721">
        <v>35.950000000000003</v>
      </c>
      <c r="B721" s="1">
        <v>-1.0999999999999999E-2</v>
      </c>
      <c r="C721">
        <v>5.2999999999999999E-2</v>
      </c>
      <c r="H721">
        <f t="shared" si="77"/>
        <v>35.950000000000003</v>
      </c>
      <c r="I721">
        <f t="shared" si="78"/>
        <v>-1.0999999999999999E-2</v>
      </c>
      <c r="J721">
        <f t="shared" si="79"/>
        <v>1.936600729486003E-2</v>
      </c>
      <c r="K721">
        <f t="shared" si="80"/>
        <v>-73.675475739623224</v>
      </c>
      <c r="L721">
        <f t="shared" si="81"/>
        <v>2.5821343059813368E-4</v>
      </c>
      <c r="O721">
        <f t="shared" si="82"/>
        <v>-87.071016783191084</v>
      </c>
      <c r="P721">
        <f t="shared" si="83"/>
        <v>-1.8893463715903243E-4</v>
      </c>
    </row>
    <row r="722" spans="1:16" x14ac:dyDescent="0.25">
      <c r="A722">
        <v>36</v>
      </c>
      <c r="B722" s="1">
        <v>-1.0999999999999999E-2</v>
      </c>
      <c r="C722">
        <v>5.1999999999999998E-2</v>
      </c>
      <c r="H722">
        <f t="shared" si="77"/>
        <v>36</v>
      </c>
      <c r="I722">
        <f t="shared" si="78"/>
        <v>-1.0999999999999999E-2</v>
      </c>
      <c r="J722">
        <f t="shared" si="79"/>
        <v>1.8319228445478758E-2</v>
      </c>
      <c r="K722">
        <f t="shared" si="80"/>
        <v>-73.675475739623224</v>
      </c>
      <c r="L722">
        <f t="shared" si="81"/>
        <v>2.4425637927305007E-4</v>
      </c>
      <c r="O722">
        <f t="shared" si="82"/>
        <v>-87.071016783191084</v>
      </c>
      <c r="P722">
        <f t="shared" si="83"/>
        <v>-2.0289168848411604E-4</v>
      </c>
    </row>
    <row r="723" spans="1:16" x14ac:dyDescent="0.25">
      <c r="A723">
        <v>36.049999999999997</v>
      </c>
      <c r="B723" s="1">
        <v>-1.2E-2</v>
      </c>
      <c r="C723">
        <v>5.1999999999999998E-2</v>
      </c>
      <c r="H723">
        <f t="shared" si="77"/>
        <v>36.049999999999997</v>
      </c>
      <c r="I723">
        <f t="shared" si="78"/>
        <v>-1.2E-2</v>
      </c>
      <c r="J723">
        <f t="shared" si="79"/>
        <v>1.827244959609748E-2</v>
      </c>
      <c r="K723">
        <f t="shared" si="80"/>
        <v>-80.373246261407147</v>
      </c>
      <c r="L723">
        <f t="shared" si="81"/>
        <v>2.4363266128129969E-4</v>
      </c>
      <c r="O723">
        <f t="shared" si="82"/>
        <v>-93.768787304975007</v>
      </c>
      <c r="P723">
        <f t="shared" si="83"/>
        <v>-2.0351540647586643E-4</v>
      </c>
    </row>
    <row r="724" spans="1:16" x14ac:dyDescent="0.25">
      <c r="A724">
        <v>36.1</v>
      </c>
      <c r="B724" s="1">
        <v>-1.2E-2</v>
      </c>
      <c r="C724">
        <v>5.0999999999999997E-2</v>
      </c>
      <c r="H724">
        <f t="shared" si="77"/>
        <v>36.1</v>
      </c>
      <c r="I724">
        <f t="shared" si="78"/>
        <v>-1.2E-2</v>
      </c>
      <c r="J724">
        <f t="shared" si="79"/>
        <v>1.7225670746716194E-2</v>
      </c>
      <c r="K724">
        <f t="shared" si="80"/>
        <v>-80.373246261407147</v>
      </c>
      <c r="L724">
        <f t="shared" si="81"/>
        <v>2.2967560995621589E-4</v>
      </c>
      <c r="O724">
        <f t="shared" si="82"/>
        <v>-93.768787304975007</v>
      </c>
      <c r="P724">
        <f t="shared" si="83"/>
        <v>-2.1747245780095022E-4</v>
      </c>
    </row>
    <row r="725" spans="1:16" x14ac:dyDescent="0.25">
      <c r="A725">
        <v>36.15</v>
      </c>
      <c r="B725" s="1">
        <v>-1.2E-2</v>
      </c>
      <c r="C725">
        <v>5.1999999999999998E-2</v>
      </c>
      <c r="H725">
        <f t="shared" si="77"/>
        <v>36.15</v>
      </c>
      <c r="I725">
        <f t="shared" si="78"/>
        <v>-1.2E-2</v>
      </c>
      <c r="J725">
        <f t="shared" si="79"/>
        <v>1.8178891897334917E-2</v>
      </c>
      <c r="K725">
        <f t="shared" si="80"/>
        <v>-80.373246261407147</v>
      </c>
      <c r="L725">
        <f t="shared" si="81"/>
        <v>2.4238522529779885E-4</v>
      </c>
      <c r="O725">
        <f t="shared" si="82"/>
        <v>-93.768787304975007</v>
      </c>
      <c r="P725">
        <f t="shared" si="83"/>
        <v>-2.0476284245936726E-4</v>
      </c>
    </row>
    <row r="726" spans="1:16" x14ac:dyDescent="0.25">
      <c r="A726">
        <v>36.200000000000003</v>
      </c>
      <c r="B726" s="1">
        <v>-1.2E-2</v>
      </c>
      <c r="C726">
        <v>5.0999999999999997E-2</v>
      </c>
      <c r="H726">
        <f t="shared" si="77"/>
        <v>36.200000000000003</v>
      </c>
      <c r="I726">
        <f t="shared" si="78"/>
        <v>-1.2E-2</v>
      </c>
      <c r="J726">
        <f t="shared" si="79"/>
        <v>1.7132113047953632E-2</v>
      </c>
      <c r="K726">
        <f t="shared" si="80"/>
        <v>-80.373246261407147</v>
      </c>
      <c r="L726">
        <f t="shared" si="81"/>
        <v>2.2842817397271503E-4</v>
      </c>
      <c r="O726">
        <f t="shared" si="82"/>
        <v>-93.768787304975007</v>
      </c>
      <c r="P726">
        <f t="shared" si="83"/>
        <v>-2.1871989378445108E-4</v>
      </c>
    </row>
    <row r="727" spans="1:16" x14ac:dyDescent="0.25">
      <c r="A727">
        <v>36.25</v>
      </c>
      <c r="B727" s="1">
        <v>-1.2E-2</v>
      </c>
      <c r="C727">
        <v>5.0999999999999997E-2</v>
      </c>
      <c r="H727">
        <f t="shared" si="77"/>
        <v>36.25</v>
      </c>
      <c r="I727">
        <f t="shared" si="78"/>
        <v>-1.2E-2</v>
      </c>
      <c r="J727">
        <f t="shared" si="79"/>
        <v>1.7085334198572354E-2</v>
      </c>
      <c r="K727">
        <f t="shared" si="80"/>
        <v>-80.373246261407147</v>
      </c>
      <c r="L727">
        <f t="shared" si="81"/>
        <v>2.2780445598096467E-4</v>
      </c>
      <c r="O727">
        <f t="shared" si="82"/>
        <v>-93.768787304975007</v>
      </c>
      <c r="P727">
        <f t="shared" si="83"/>
        <v>-2.1934361177620144E-4</v>
      </c>
    </row>
    <row r="728" spans="1:16" x14ac:dyDescent="0.25">
      <c r="A728">
        <v>36.299999999999997</v>
      </c>
      <c r="B728" s="1">
        <v>-1.2E-2</v>
      </c>
      <c r="C728">
        <v>5.0999999999999997E-2</v>
      </c>
      <c r="H728">
        <f t="shared" si="77"/>
        <v>36.299999999999997</v>
      </c>
      <c r="I728">
        <f t="shared" si="78"/>
        <v>-1.2E-2</v>
      </c>
      <c r="J728">
        <f t="shared" si="79"/>
        <v>1.7038555349191083E-2</v>
      </c>
      <c r="K728">
        <f t="shared" si="80"/>
        <v>-80.373246261407147</v>
      </c>
      <c r="L728">
        <f t="shared" si="81"/>
        <v>2.2718073798921439E-4</v>
      </c>
      <c r="O728">
        <f t="shared" si="82"/>
        <v>-93.768787304975007</v>
      </c>
      <c r="P728">
        <f t="shared" si="83"/>
        <v>-2.1996732976795172E-4</v>
      </c>
    </row>
    <row r="729" spans="1:16" x14ac:dyDescent="0.25">
      <c r="A729">
        <v>36.35</v>
      </c>
      <c r="B729" s="1">
        <v>-1.2999999999999999E-2</v>
      </c>
      <c r="C729">
        <v>5.0999999999999997E-2</v>
      </c>
      <c r="H729">
        <f t="shared" si="77"/>
        <v>36.35</v>
      </c>
      <c r="I729">
        <f t="shared" si="78"/>
        <v>-1.2999999999999999E-2</v>
      </c>
      <c r="J729">
        <f t="shared" si="79"/>
        <v>1.6991776499809798E-2</v>
      </c>
      <c r="K729">
        <f t="shared" si="80"/>
        <v>-87.071016783191084</v>
      </c>
      <c r="L729">
        <f t="shared" si="81"/>
        <v>2.2655701999746392E-4</v>
      </c>
      <c r="O729">
        <f t="shared" si="82"/>
        <v>-100.46655782675894</v>
      </c>
      <c r="P729">
        <f t="shared" si="83"/>
        <v>-2.2059104775970219E-4</v>
      </c>
    </row>
    <row r="730" spans="1:16" x14ac:dyDescent="0.25">
      <c r="A730">
        <v>36.4</v>
      </c>
      <c r="B730" s="1">
        <v>-1.2999999999999999E-2</v>
      </c>
      <c r="C730">
        <v>5.0999999999999997E-2</v>
      </c>
      <c r="H730">
        <f t="shared" si="77"/>
        <v>36.4</v>
      </c>
      <c r="I730">
        <f t="shared" si="78"/>
        <v>-1.2999999999999999E-2</v>
      </c>
      <c r="J730">
        <f t="shared" si="79"/>
        <v>1.694499765042852E-2</v>
      </c>
      <c r="K730">
        <f t="shared" si="80"/>
        <v>-87.071016783191084</v>
      </c>
      <c r="L730">
        <f t="shared" si="81"/>
        <v>2.2593330200571356E-4</v>
      </c>
      <c r="O730">
        <f t="shared" si="82"/>
        <v>-100.46655782675894</v>
      </c>
      <c r="P730">
        <f t="shared" si="83"/>
        <v>-2.2121476575145255E-4</v>
      </c>
    </row>
    <row r="731" spans="1:16" x14ac:dyDescent="0.25">
      <c r="A731">
        <v>36.450000000000003</v>
      </c>
      <c r="B731" s="1">
        <v>-1.2999999999999999E-2</v>
      </c>
      <c r="C731">
        <v>5.1999999999999998E-2</v>
      </c>
      <c r="H731">
        <f t="shared" si="77"/>
        <v>36.450000000000003</v>
      </c>
      <c r="I731">
        <f t="shared" si="78"/>
        <v>-1.2999999999999999E-2</v>
      </c>
      <c r="J731">
        <f t="shared" si="79"/>
        <v>1.7898218801047236E-2</v>
      </c>
      <c r="K731">
        <f t="shared" si="80"/>
        <v>-87.071016783191084</v>
      </c>
      <c r="L731">
        <f t="shared" si="81"/>
        <v>2.3864291734729644E-4</v>
      </c>
      <c r="O731">
        <f t="shared" si="82"/>
        <v>-100.46655782675894</v>
      </c>
      <c r="P731">
        <f t="shared" si="83"/>
        <v>-2.0850515040986967E-4</v>
      </c>
    </row>
    <row r="732" spans="1:16" x14ac:dyDescent="0.25">
      <c r="A732">
        <v>36.5</v>
      </c>
      <c r="B732" s="1">
        <v>-1.2E-2</v>
      </c>
      <c r="C732">
        <v>5.0999999999999997E-2</v>
      </c>
      <c r="H732">
        <f t="shared" si="77"/>
        <v>36.5</v>
      </c>
      <c r="I732">
        <f t="shared" si="78"/>
        <v>-1.2E-2</v>
      </c>
      <c r="J732">
        <f t="shared" si="79"/>
        <v>1.6851439951665957E-2</v>
      </c>
      <c r="K732">
        <f t="shared" si="80"/>
        <v>-80.373246261407147</v>
      </c>
      <c r="L732">
        <f t="shared" si="81"/>
        <v>2.2468586602221273E-4</v>
      </c>
      <c r="O732">
        <f t="shared" si="82"/>
        <v>-93.768787304975007</v>
      </c>
      <c r="P732">
        <f t="shared" si="83"/>
        <v>-2.2246220173495338E-4</v>
      </c>
    </row>
    <row r="733" spans="1:16" x14ac:dyDescent="0.25">
      <c r="A733">
        <v>36.549999999999997</v>
      </c>
      <c r="B733" s="1">
        <v>-1.2E-2</v>
      </c>
      <c r="C733">
        <v>5.1999999999999998E-2</v>
      </c>
      <c r="H733">
        <f t="shared" si="77"/>
        <v>36.549999999999997</v>
      </c>
      <c r="I733">
        <f t="shared" si="78"/>
        <v>-1.2E-2</v>
      </c>
      <c r="J733">
        <f t="shared" si="79"/>
        <v>1.780466110228468E-2</v>
      </c>
      <c r="K733">
        <f t="shared" si="80"/>
        <v>-80.373246261407147</v>
      </c>
      <c r="L733">
        <f t="shared" si="81"/>
        <v>2.3739548136379569E-4</v>
      </c>
      <c r="O733">
        <f t="shared" si="82"/>
        <v>-93.768787304975007</v>
      </c>
      <c r="P733">
        <f t="shared" si="83"/>
        <v>-2.0975258639337042E-4</v>
      </c>
    </row>
    <row r="734" spans="1:16" x14ac:dyDescent="0.25">
      <c r="A734">
        <v>36.6</v>
      </c>
      <c r="B734" s="1">
        <v>-1.2999999999999999E-2</v>
      </c>
      <c r="C734">
        <v>5.0999999999999997E-2</v>
      </c>
      <c r="H734">
        <f t="shared" si="77"/>
        <v>36.6</v>
      </c>
      <c r="I734">
        <f t="shared" si="78"/>
        <v>-1.2999999999999999E-2</v>
      </c>
      <c r="J734">
        <f t="shared" si="79"/>
        <v>1.6757882252903401E-2</v>
      </c>
      <c r="K734">
        <f t="shared" si="80"/>
        <v>-87.071016783191084</v>
      </c>
      <c r="L734">
        <f t="shared" si="81"/>
        <v>2.2343843003871198E-4</v>
      </c>
      <c r="O734">
        <f t="shared" si="82"/>
        <v>-100.46655782675894</v>
      </c>
      <c r="P734">
        <f t="shared" si="83"/>
        <v>-2.2370963771845413E-4</v>
      </c>
    </row>
    <row r="735" spans="1:16" x14ac:dyDescent="0.25">
      <c r="A735">
        <v>36.65</v>
      </c>
      <c r="B735" s="1">
        <v>-1.2999999999999999E-2</v>
      </c>
      <c r="C735">
        <v>5.1999999999999998E-2</v>
      </c>
      <c r="H735">
        <f t="shared" si="77"/>
        <v>36.65</v>
      </c>
      <c r="I735">
        <f t="shared" si="78"/>
        <v>-1.2999999999999999E-2</v>
      </c>
      <c r="J735">
        <f t="shared" si="79"/>
        <v>1.7711103403522124E-2</v>
      </c>
      <c r="K735">
        <f t="shared" si="80"/>
        <v>-87.071016783191084</v>
      </c>
      <c r="L735">
        <f t="shared" si="81"/>
        <v>2.3614804538029494E-4</v>
      </c>
      <c r="O735">
        <f t="shared" si="82"/>
        <v>-100.46655782675894</v>
      </c>
      <c r="P735">
        <f t="shared" si="83"/>
        <v>-2.1100002237687117E-4</v>
      </c>
    </row>
    <row r="736" spans="1:16" x14ac:dyDescent="0.25">
      <c r="A736">
        <v>36.700000000000003</v>
      </c>
      <c r="B736">
        <v>-1.2999999999999999E-2</v>
      </c>
      <c r="C736">
        <v>5.0999999999999997E-2</v>
      </c>
      <c r="H736">
        <f t="shared" si="77"/>
        <v>36.700000000000003</v>
      </c>
      <c r="I736">
        <f t="shared" si="78"/>
        <v>-1.2999999999999999E-2</v>
      </c>
      <c r="J736">
        <f t="shared" si="79"/>
        <v>1.6664324554140839E-2</v>
      </c>
      <c r="K736">
        <f t="shared" si="80"/>
        <v>-87.071016783191084</v>
      </c>
      <c r="L736">
        <f t="shared" si="81"/>
        <v>2.2219099405521115E-4</v>
      </c>
      <c r="O736">
        <f t="shared" si="82"/>
        <v>-100.46655782675894</v>
      </c>
      <c r="P736">
        <f t="shared" si="83"/>
        <v>-2.2495707370195496E-4</v>
      </c>
    </row>
    <row r="737" spans="1:16" x14ac:dyDescent="0.25">
      <c r="A737">
        <v>36.75</v>
      </c>
      <c r="B737" s="1">
        <v>-1.2999999999999999E-2</v>
      </c>
      <c r="C737">
        <v>5.1999999999999998E-2</v>
      </c>
      <c r="H737">
        <f t="shared" si="77"/>
        <v>36.75</v>
      </c>
      <c r="I737">
        <f t="shared" si="78"/>
        <v>-1.2999999999999999E-2</v>
      </c>
      <c r="J737">
        <f t="shared" si="79"/>
        <v>1.7617545704759562E-2</v>
      </c>
      <c r="K737">
        <f t="shared" si="80"/>
        <v>-87.071016783191084</v>
      </c>
      <c r="L737">
        <f t="shared" si="81"/>
        <v>2.3490060939679411E-4</v>
      </c>
      <c r="O737">
        <f t="shared" si="82"/>
        <v>-100.46655782675894</v>
      </c>
      <c r="P737">
        <f t="shared" si="83"/>
        <v>-2.12247458360372E-4</v>
      </c>
    </row>
    <row r="738" spans="1:16" x14ac:dyDescent="0.25">
      <c r="A738">
        <v>36.799999999999997</v>
      </c>
      <c r="B738" s="1">
        <v>-1.2999999999999999E-2</v>
      </c>
      <c r="C738">
        <v>5.0999999999999997E-2</v>
      </c>
      <c r="H738">
        <f t="shared" si="77"/>
        <v>36.799999999999997</v>
      </c>
      <c r="I738">
        <f t="shared" si="78"/>
        <v>-1.2999999999999999E-2</v>
      </c>
      <c r="J738">
        <f t="shared" si="79"/>
        <v>1.6570766855378283E-2</v>
      </c>
      <c r="K738">
        <f t="shared" si="80"/>
        <v>-87.071016783191084</v>
      </c>
      <c r="L738">
        <f t="shared" si="81"/>
        <v>2.209435580717104E-4</v>
      </c>
      <c r="O738">
        <f t="shared" si="82"/>
        <v>-100.46655782675894</v>
      </c>
      <c r="P738">
        <f t="shared" si="83"/>
        <v>-2.2620450968545571E-4</v>
      </c>
    </row>
    <row r="739" spans="1:16" x14ac:dyDescent="0.25">
      <c r="A739">
        <v>36.85</v>
      </c>
      <c r="B739" s="1">
        <v>-1.4E-2</v>
      </c>
      <c r="C739">
        <v>5.0999999999999997E-2</v>
      </c>
      <c r="H739">
        <f t="shared" si="77"/>
        <v>36.85</v>
      </c>
      <c r="I739">
        <f t="shared" si="78"/>
        <v>-1.4E-2</v>
      </c>
      <c r="J739">
        <f t="shared" si="79"/>
        <v>1.6523988005997005E-2</v>
      </c>
      <c r="K739">
        <f t="shared" si="80"/>
        <v>-93.768787304975007</v>
      </c>
      <c r="L739">
        <f t="shared" si="81"/>
        <v>2.2031984007996001E-4</v>
      </c>
      <c r="O739">
        <f t="shared" si="82"/>
        <v>-107.16432834854287</v>
      </c>
      <c r="P739">
        <f t="shared" si="83"/>
        <v>-2.268282276772061E-4</v>
      </c>
    </row>
    <row r="740" spans="1:16" x14ac:dyDescent="0.25">
      <c r="A740">
        <v>36.9</v>
      </c>
      <c r="B740" s="1">
        <v>-1.2999999999999999E-2</v>
      </c>
      <c r="C740">
        <v>5.0999999999999997E-2</v>
      </c>
      <c r="H740">
        <f t="shared" si="77"/>
        <v>36.9</v>
      </c>
      <c r="I740">
        <f t="shared" si="78"/>
        <v>-1.2999999999999999E-2</v>
      </c>
      <c r="J740">
        <f t="shared" si="79"/>
        <v>1.6477209156615727E-2</v>
      </c>
      <c r="K740">
        <f t="shared" si="80"/>
        <v>-87.071016783191084</v>
      </c>
      <c r="L740">
        <f t="shared" si="81"/>
        <v>2.1969612208820965E-4</v>
      </c>
      <c r="O740">
        <f t="shared" si="82"/>
        <v>-100.46655782675894</v>
      </c>
      <c r="P740">
        <f t="shared" si="83"/>
        <v>-2.2745194566895646E-4</v>
      </c>
    </row>
    <row r="741" spans="1:16" x14ac:dyDescent="0.25">
      <c r="A741">
        <v>36.950000000000003</v>
      </c>
      <c r="B741" s="1">
        <v>-1.4E-2</v>
      </c>
      <c r="C741">
        <v>5.0999999999999997E-2</v>
      </c>
      <c r="H741">
        <f t="shared" si="77"/>
        <v>36.950000000000003</v>
      </c>
      <c r="I741">
        <f t="shared" si="78"/>
        <v>-1.4E-2</v>
      </c>
      <c r="J741">
        <f t="shared" si="79"/>
        <v>1.6430430307234442E-2</v>
      </c>
      <c r="K741">
        <f t="shared" si="80"/>
        <v>-93.768787304975007</v>
      </c>
      <c r="L741">
        <f t="shared" si="81"/>
        <v>2.1907240409645918E-4</v>
      </c>
      <c r="O741">
        <f t="shared" si="82"/>
        <v>-107.16432834854287</v>
      </c>
      <c r="P741">
        <f t="shared" si="83"/>
        <v>-2.2807566366070693E-4</v>
      </c>
    </row>
    <row r="742" spans="1:16" x14ac:dyDescent="0.25">
      <c r="A742">
        <v>37</v>
      </c>
      <c r="B742" s="1">
        <v>-1.4E-2</v>
      </c>
      <c r="C742">
        <v>0.05</v>
      </c>
      <c r="H742">
        <f t="shared" si="77"/>
        <v>37</v>
      </c>
      <c r="I742">
        <f t="shared" si="78"/>
        <v>-1.4E-2</v>
      </c>
      <c r="J742">
        <f t="shared" si="79"/>
        <v>1.538365145785317E-2</v>
      </c>
      <c r="K742">
        <f t="shared" si="80"/>
        <v>-93.768787304975007</v>
      </c>
      <c r="L742">
        <f t="shared" si="81"/>
        <v>2.0511535277137555E-4</v>
      </c>
      <c r="O742">
        <f t="shared" si="82"/>
        <v>-107.16432834854287</v>
      </c>
      <c r="P742">
        <f t="shared" si="83"/>
        <v>-2.4203271498579056E-4</v>
      </c>
    </row>
    <row r="743" spans="1:16" x14ac:dyDescent="0.25">
      <c r="A743">
        <v>37.049999999999997</v>
      </c>
      <c r="B743" s="1">
        <v>-1.4E-2</v>
      </c>
      <c r="C743">
        <v>0.05</v>
      </c>
      <c r="H743">
        <f t="shared" si="77"/>
        <v>37.049999999999997</v>
      </c>
      <c r="I743">
        <f t="shared" si="78"/>
        <v>-1.4E-2</v>
      </c>
      <c r="J743">
        <f t="shared" si="79"/>
        <v>1.5336872608471892E-2</v>
      </c>
      <c r="K743">
        <f t="shared" si="80"/>
        <v>-93.768787304975007</v>
      </c>
      <c r="L743">
        <f t="shared" si="81"/>
        <v>2.0449163477962519E-4</v>
      </c>
      <c r="O743">
        <f t="shared" si="82"/>
        <v>-107.16432834854287</v>
      </c>
      <c r="P743">
        <f t="shared" si="83"/>
        <v>-2.4265643297754092E-4</v>
      </c>
    </row>
    <row r="744" spans="1:16" x14ac:dyDescent="0.25">
      <c r="A744">
        <v>37.1</v>
      </c>
      <c r="B744" s="1">
        <v>-1.4E-2</v>
      </c>
      <c r="C744">
        <v>0.05</v>
      </c>
      <c r="H744">
        <f t="shared" si="77"/>
        <v>37.1</v>
      </c>
      <c r="I744">
        <f t="shared" si="78"/>
        <v>-1.4E-2</v>
      </c>
      <c r="J744">
        <f t="shared" si="79"/>
        <v>1.5290093759090607E-2</v>
      </c>
      <c r="K744">
        <f t="shared" si="80"/>
        <v>-93.768787304975007</v>
      </c>
      <c r="L744">
        <f t="shared" si="81"/>
        <v>2.0386791678787472E-4</v>
      </c>
      <c r="O744">
        <f t="shared" si="82"/>
        <v>-107.16432834854287</v>
      </c>
      <c r="P744">
        <f t="shared" si="83"/>
        <v>-2.4328015096929139E-4</v>
      </c>
    </row>
    <row r="745" spans="1:16" x14ac:dyDescent="0.25">
      <c r="A745">
        <v>37.15</v>
      </c>
      <c r="B745" s="1">
        <v>-1.4999999999999999E-2</v>
      </c>
      <c r="C745">
        <v>0.05</v>
      </c>
      <c r="H745">
        <f t="shared" si="77"/>
        <v>37.15</v>
      </c>
      <c r="I745">
        <f t="shared" si="78"/>
        <v>-1.4999999999999999E-2</v>
      </c>
      <c r="J745">
        <f t="shared" si="79"/>
        <v>1.5243314909709337E-2</v>
      </c>
      <c r="K745">
        <f t="shared" si="80"/>
        <v>-100.46655782675893</v>
      </c>
      <c r="L745">
        <f t="shared" si="81"/>
        <v>2.0324419879612444E-4</v>
      </c>
      <c r="O745">
        <f t="shared" si="82"/>
        <v>-113.86209887032679</v>
      </c>
      <c r="P745">
        <f t="shared" si="83"/>
        <v>-2.4390386896104167E-4</v>
      </c>
    </row>
    <row r="746" spans="1:16" x14ac:dyDescent="0.25">
      <c r="A746">
        <v>37.200000000000003</v>
      </c>
      <c r="B746" s="1">
        <v>-1.4999999999999999E-2</v>
      </c>
      <c r="C746">
        <v>4.9000000000000002E-2</v>
      </c>
      <c r="H746">
        <f t="shared" si="77"/>
        <v>37.200000000000003</v>
      </c>
      <c r="I746">
        <f t="shared" si="78"/>
        <v>-1.4999999999999999E-2</v>
      </c>
      <c r="J746">
        <f t="shared" si="79"/>
        <v>1.4196536060328051E-2</v>
      </c>
      <c r="K746">
        <f t="shared" si="80"/>
        <v>-100.46655782675893</v>
      </c>
      <c r="L746">
        <f t="shared" si="81"/>
        <v>1.8928714747104065E-4</v>
      </c>
      <c r="O746">
        <f t="shared" si="82"/>
        <v>-113.86209887032679</v>
      </c>
      <c r="P746">
        <f t="shared" si="83"/>
        <v>-2.5786092028612546E-4</v>
      </c>
    </row>
    <row r="747" spans="1:16" x14ac:dyDescent="0.25">
      <c r="A747">
        <v>37.25</v>
      </c>
      <c r="B747" s="1">
        <v>-1.6E-2</v>
      </c>
      <c r="C747">
        <v>4.9000000000000002E-2</v>
      </c>
      <c r="H747">
        <f t="shared" si="77"/>
        <v>37.25</v>
      </c>
      <c r="I747">
        <f t="shared" si="78"/>
        <v>-1.6E-2</v>
      </c>
      <c r="J747">
        <f t="shared" si="79"/>
        <v>1.4149757210946773E-2</v>
      </c>
      <c r="K747">
        <f t="shared" si="80"/>
        <v>-107.16432834854287</v>
      </c>
      <c r="L747">
        <f t="shared" si="81"/>
        <v>1.8866342947929026E-4</v>
      </c>
      <c r="O747">
        <f t="shared" si="82"/>
        <v>-120.55986939211073</v>
      </c>
      <c r="P747">
        <f t="shared" si="83"/>
        <v>-2.5848463827787588E-4</v>
      </c>
    </row>
    <row r="748" spans="1:16" x14ac:dyDescent="0.25">
      <c r="A748">
        <v>37.299999999999997</v>
      </c>
      <c r="B748" s="1">
        <v>-1.6E-2</v>
      </c>
      <c r="C748">
        <v>4.8000000000000001E-2</v>
      </c>
      <c r="H748">
        <f t="shared" si="77"/>
        <v>37.299999999999997</v>
      </c>
      <c r="I748">
        <f t="shared" si="78"/>
        <v>-1.6E-2</v>
      </c>
      <c r="J748">
        <f t="shared" si="79"/>
        <v>1.3102978361565494E-2</v>
      </c>
      <c r="K748">
        <f t="shared" si="80"/>
        <v>-107.16432834854287</v>
      </c>
      <c r="L748">
        <f t="shared" si="81"/>
        <v>1.7470637815420655E-4</v>
      </c>
      <c r="O748">
        <f t="shared" si="82"/>
        <v>-120.55986939211073</v>
      </c>
      <c r="P748">
        <f t="shared" si="83"/>
        <v>-2.7244168960295959E-4</v>
      </c>
    </row>
    <row r="749" spans="1:16" x14ac:dyDescent="0.25">
      <c r="A749">
        <v>37.35</v>
      </c>
      <c r="B749" s="1">
        <v>-1.6E-2</v>
      </c>
      <c r="C749">
        <v>4.9000000000000002E-2</v>
      </c>
      <c r="H749">
        <f t="shared" si="77"/>
        <v>37.35</v>
      </c>
      <c r="I749">
        <f t="shared" si="78"/>
        <v>-1.6E-2</v>
      </c>
      <c r="J749">
        <f t="shared" si="79"/>
        <v>1.405619951218421E-2</v>
      </c>
      <c r="K749">
        <f t="shared" si="80"/>
        <v>-107.16432834854287</v>
      </c>
      <c r="L749">
        <f t="shared" si="81"/>
        <v>1.8741599349578943E-4</v>
      </c>
      <c r="O749">
        <f t="shared" si="82"/>
        <v>-120.55986939211073</v>
      </c>
      <c r="P749">
        <f t="shared" si="83"/>
        <v>-2.5973207426137671E-4</v>
      </c>
    </row>
    <row r="750" spans="1:16" x14ac:dyDescent="0.25">
      <c r="A750">
        <v>37.4</v>
      </c>
      <c r="B750" s="1">
        <v>-1.6E-2</v>
      </c>
      <c r="C750">
        <v>4.9000000000000002E-2</v>
      </c>
      <c r="H750">
        <f t="shared" si="77"/>
        <v>37.4</v>
      </c>
      <c r="I750">
        <f t="shared" si="78"/>
        <v>-1.6E-2</v>
      </c>
      <c r="J750">
        <f t="shared" si="79"/>
        <v>1.4009420662802932E-2</v>
      </c>
      <c r="K750">
        <f t="shared" si="80"/>
        <v>-107.16432834854287</v>
      </c>
      <c r="L750">
        <f t="shared" si="81"/>
        <v>1.8679227550403907E-4</v>
      </c>
      <c r="O750">
        <f t="shared" si="82"/>
        <v>-120.55986939211073</v>
      </c>
      <c r="P750">
        <f t="shared" si="83"/>
        <v>-2.6035579225312702E-4</v>
      </c>
    </row>
    <row r="751" spans="1:16" x14ac:dyDescent="0.25">
      <c r="A751">
        <v>37.450000000000003</v>
      </c>
      <c r="B751" s="1">
        <v>-1.4999999999999999E-2</v>
      </c>
      <c r="C751">
        <v>4.9000000000000002E-2</v>
      </c>
      <c r="H751">
        <f t="shared" si="77"/>
        <v>37.450000000000003</v>
      </c>
      <c r="I751">
        <f t="shared" si="78"/>
        <v>-1.4999999999999999E-2</v>
      </c>
      <c r="J751">
        <f t="shared" si="79"/>
        <v>1.3962641813421654E-2</v>
      </c>
      <c r="K751">
        <f t="shared" si="80"/>
        <v>-100.46655782675893</v>
      </c>
      <c r="L751">
        <f t="shared" si="81"/>
        <v>1.8616855751228868E-4</v>
      </c>
      <c r="O751">
        <f t="shared" si="82"/>
        <v>-113.86209887032679</v>
      </c>
      <c r="P751">
        <f t="shared" si="83"/>
        <v>-2.6097951024487743E-4</v>
      </c>
    </row>
    <row r="752" spans="1:16" x14ac:dyDescent="0.25">
      <c r="A752">
        <v>37.5</v>
      </c>
      <c r="B752" s="1">
        <v>-1.6E-2</v>
      </c>
      <c r="C752">
        <v>4.9000000000000002E-2</v>
      </c>
      <c r="H752">
        <f t="shared" si="77"/>
        <v>37.5</v>
      </c>
      <c r="I752">
        <f t="shared" si="78"/>
        <v>-1.6E-2</v>
      </c>
      <c r="J752">
        <f t="shared" si="79"/>
        <v>1.3915862964040376E-2</v>
      </c>
      <c r="K752">
        <f t="shared" si="80"/>
        <v>-107.16432834854287</v>
      </c>
      <c r="L752">
        <f t="shared" si="81"/>
        <v>1.8554483952053832E-4</v>
      </c>
      <c r="O752">
        <f t="shared" si="82"/>
        <v>-120.55986939211073</v>
      </c>
      <c r="P752">
        <f t="shared" si="83"/>
        <v>-2.6160322823662779E-4</v>
      </c>
    </row>
    <row r="753" spans="1:16" x14ac:dyDescent="0.25">
      <c r="A753">
        <v>37.549999999999997</v>
      </c>
      <c r="B753" s="1">
        <v>-1.4999999999999999E-2</v>
      </c>
      <c r="C753">
        <v>4.9000000000000002E-2</v>
      </c>
      <c r="H753">
        <f t="shared" si="77"/>
        <v>37.549999999999997</v>
      </c>
      <c r="I753">
        <f t="shared" si="78"/>
        <v>-1.4999999999999999E-2</v>
      </c>
      <c r="J753">
        <f t="shared" si="79"/>
        <v>1.3869084114659098E-2</v>
      </c>
      <c r="K753">
        <f t="shared" si="80"/>
        <v>-100.46655782675893</v>
      </c>
      <c r="L753">
        <f t="shared" si="81"/>
        <v>1.8492112152878796E-4</v>
      </c>
      <c r="O753">
        <f t="shared" si="82"/>
        <v>-113.86209887032679</v>
      </c>
      <c r="P753">
        <f t="shared" si="83"/>
        <v>-2.6222694622837816E-4</v>
      </c>
    </row>
    <row r="754" spans="1:16" x14ac:dyDescent="0.25">
      <c r="A754">
        <v>37.6</v>
      </c>
      <c r="B754" s="1">
        <v>-1.6E-2</v>
      </c>
      <c r="C754">
        <v>4.9000000000000002E-2</v>
      </c>
      <c r="H754">
        <f t="shared" si="77"/>
        <v>37.6</v>
      </c>
      <c r="I754">
        <f t="shared" si="78"/>
        <v>-1.6E-2</v>
      </c>
      <c r="J754">
        <f t="shared" si="79"/>
        <v>1.3822305265277814E-2</v>
      </c>
      <c r="K754">
        <f t="shared" si="80"/>
        <v>-107.16432834854287</v>
      </c>
      <c r="L754">
        <f t="shared" si="81"/>
        <v>1.8429740353703749E-4</v>
      </c>
      <c r="O754">
        <f t="shared" si="82"/>
        <v>-120.55986939211073</v>
      </c>
      <c r="P754">
        <f t="shared" si="83"/>
        <v>-2.6285066422012863E-4</v>
      </c>
    </row>
    <row r="755" spans="1:16" x14ac:dyDescent="0.25">
      <c r="A755">
        <v>37.65</v>
      </c>
      <c r="B755" s="1">
        <v>-1.6E-2</v>
      </c>
      <c r="C755">
        <v>4.9000000000000002E-2</v>
      </c>
      <c r="H755">
        <f t="shared" si="77"/>
        <v>37.65</v>
      </c>
      <c r="I755">
        <f t="shared" si="78"/>
        <v>-1.6E-2</v>
      </c>
      <c r="J755">
        <f t="shared" si="79"/>
        <v>1.3775526415896536E-2</v>
      </c>
      <c r="K755">
        <f t="shared" si="80"/>
        <v>-107.16432834854287</v>
      </c>
      <c r="L755">
        <f t="shared" si="81"/>
        <v>1.836736855452871E-4</v>
      </c>
      <c r="O755">
        <f t="shared" si="82"/>
        <v>-120.55986939211073</v>
      </c>
      <c r="P755">
        <f t="shared" si="83"/>
        <v>-2.6347438221187899E-4</v>
      </c>
    </row>
    <row r="756" spans="1:16" x14ac:dyDescent="0.25">
      <c r="A756">
        <v>37.700000000000003</v>
      </c>
      <c r="B756">
        <v>-1.6E-2</v>
      </c>
      <c r="C756">
        <v>4.9000000000000002E-2</v>
      </c>
      <c r="H756">
        <f t="shared" si="77"/>
        <v>37.700000000000003</v>
      </c>
      <c r="I756">
        <f t="shared" si="78"/>
        <v>-1.6E-2</v>
      </c>
      <c r="J756">
        <f t="shared" si="79"/>
        <v>1.3728747566515251E-2</v>
      </c>
      <c r="K756">
        <f t="shared" si="80"/>
        <v>-107.16432834854287</v>
      </c>
      <c r="L756">
        <f t="shared" si="81"/>
        <v>1.8304996755353665E-4</v>
      </c>
      <c r="O756">
        <f t="shared" si="82"/>
        <v>-120.55986939211073</v>
      </c>
      <c r="P756">
        <f t="shared" si="83"/>
        <v>-2.6409810020362946E-4</v>
      </c>
    </row>
    <row r="757" spans="1:16" x14ac:dyDescent="0.25">
      <c r="A757">
        <v>37.75</v>
      </c>
      <c r="B757">
        <v>-1.6E-2</v>
      </c>
      <c r="C757">
        <v>4.9000000000000002E-2</v>
      </c>
      <c r="H757">
        <f t="shared" si="77"/>
        <v>37.75</v>
      </c>
      <c r="I757">
        <f t="shared" si="78"/>
        <v>-1.6E-2</v>
      </c>
      <c r="J757">
        <f t="shared" si="79"/>
        <v>1.368196871713398E-2</v>
      </c>
      <c r="K757">
        <f t="shared" si="80"/>
        <v>-107.16432834854287</v>
      </c>
      <c r="L757">
        <f t="shared" si="81"/>
        <v>1.8242624956178637E-4</v>
      </c>
      <c r="O757">
        <f t="shared" si="82"/>
        <v>-120.55986939211073</v>
      </c>
      <c r="P757">
        <f t="shared" si="83"/>
        <v>-2.6472181819537971E-4</v>
      </c>
    </row>
    <row r="758" spans="1:16" x14ac:dyDescent="0.25">
      <c r="A758">
        <v>37.799999999999997</v>
      </c>
      <c r="B758">
        <v>-1.6E-2</v>
      </c>
      <c r="C758">
        <v>4.9000000000000002E-2</v>
      </c>
      <c r="H758">
        <f t="shared" si="77"/>
        <v>37.799999999999997</v>
      </c>
      <c r="I758">
        <f t="shared" si="78"/>
        <v>-1.6E-2</v>
      </c>
      <c r="J758">
        <f t="shared" si="79"/>
        <v>1.3635189867752702E-2</v>
      </c>
      <c r="K758">
        <f t="shared" si="80"/>
        <v>-107.16432834854287</v>
      </c>
      <c r="L758">
        <f t="shared" si="81"/>
        <v>1.8180253157003599E-4</v>
      </c>
      <c r="O758">
        <f t="shared" si="82"/>
        <v>-120.55986939211073</v>
      </c>
      <c r="P758">
        <f t="shared" si="83"/>
        <v>-2.6534553618713012E-4</v>
      </c>
    </row>
    <row r="759" spans="1:16" x14ac:dyDescent="0.25">
      <c r="A759">
        <v>37.85</v>
      </c>
      <c r="B759">
        <v>-1.6E-2</v>
      </c>
      <c r="C759">
        <v>4.9000000000000002E-2</v>
      </c>
      <c r="H759">
        <f t="shared" si="77"/>
        <v>37.85</v>
      </c>
      <c r="I759">
        <f t="shared" si="78"/>
        <v>-1.6E-2</v>
      </c>
      <c r="J759">
        <f t="shared" si="79"/>
        <v>1.3588411018371417E-2</v>
      </c>
      <c r="K759">
        <f t="shared" si="80"/>
        <v>-107.16432834854287</v>
      </c>
      <c r="L759">
        <f t="shared" si="81"/>
        <v>1.8117881357828552E-4</v>
      </c>
      <c r="O759">
        <f t="shared" si="82"/>
        <v>-120.55986939211073</v>
      </c>
      <c r="P759">
        <f t="shared" si="83"/>
        <v>-2.6596925417888059E-4</v>
      </c>
    </row>
    <row r="760" spans="1:16" x14ac:dyDescent="0.25">
      <c r="A760">
        <v>37.9</v>
      </c>
      <c r="B760">
        <v>-1.6E-2</v>
      </c>
      <c r="C760">
        <v>4.8000000000000001E-2</v>
      </c>
      <c r="H760">
        <f t="shared" si="77"/>
        <v>37.9</v>
      </c>
      <c r="I760">
        <f t="shared" si="78"/>
        <v>-1.6E-2</v>
      </c>
      <c r="J760">
        <f t="shared" si="79"/>
        <v>1.2541632168990138E-2</v>
      </c>
      <c r="K760">
        <f t="shared" si="80"/>
        <v>-107.16432834854287</v>
      </c>
      <c r="L760">
        <f t="shared" si="81"/>
        <v>1.6722176225320181E-4</v>
      </c>
      <c r="O760">
        <f t="shared" si="82"/>
        <v>-120.55986939211073</v>
      </c>
      <c r="P760">
        <f t="shared" si="83"/>
        <v>-2.7992630550396431E-4</v>
      </c>
    </row>
    <row r="761" spans="1:16" x14ac:dyDescent="0.25">
      <c r="A761">
        <v>37.950000000000003</v>
      </c>
      <c r="B761">
        <v>-1.6E-2</v>
      </c>
      <c r="C761">
        <v>4.9000000000000002E-2</v>
      </c>
      <c r="H761">
        <f t="shared" si="77"/>
        <v>37.950000000000003</v>
      </c>
      <c r="I761">
        <f t="shared" si="78"/>
        <v>-1.6E-2</v>
      </c>
      <c r="J761">
        <f t="shared" si="79"/>
        <v>1.3494853319608854E-2</v>
      </c>
      <c r="K761">
        <f t="shared" si="80"/>
        <v>-107.16432834854287</v>
      </c>
      <c r="L761">
        <f t="shared" si="81"/>
        <v>1.7993137759478469E-4</v>
      </c>
      <c r="O761">
        <f t="shared" si="82"/>
        <v>-120.55986939211073</v>
      </c>
      <c r="P761">
        <f t="shared" si="83"/>
        <v>-2.6721669016238143E-4</v>
      </c>
    </row>
    <row r="762" spans="1:16" x14ac:dyDescent="0.25">
      <c r="A762">
        <v>38</v>
      </c>
      <c r="B762">
        <v>-1.7000000000000001E-2</v>
      </c>
      <c r="C762">
        <v>4.8000000000000001E-2</v>
      </c>
      <c r="H762">
        <f t="shared" si="77"/>
        <v>38</v>
      </c>
      <c r="I762">
        <f t="shared" si="78"/>
        <v>-1.7000000000000001E-2</v>
      </c>
      <c r="J762">
        <f t="shared" si="79"/>
        <v>1.2448074470227576E-2</v>
      </c>
      <c r="K762">
        <f t="shared" si="80"/>
        <v>-113.8620988703268</v>
      </c>
      <c r="L762">
        <f t="shared" si="81"/>
        <v>1.6597432626970097E-4</v>
      </c>
      <c r="O762">
        <f t="shared" si="82"/>
        <v>-127.25763991389466</v>
      </c>
      <c r="P762">
        <f t="shared" si="83"/>
        <v>-2.8117374148746514E-4</v>
      </c>
    </row>
    <row r="763" spans="1:16" x14ac:dyDescent="0.25">
      <c r="A763">
        <v>38.049999999999997</v>
      </c>
      <c r="B763">
        <v>-1.7000000000000001E-2</v>
      </c>
      <c r="C763">
        <v>4.8000000000000001E-2</v>
      </c>
      <c r="H763">
        <f t="shared" si="77"/>
        <v>38.049999999999997</v>
      </c>
      <c r="I763">
        <f t="shared" si="78"/>
        <v>-1.7000000000000001E-2</v>
      </c>
      <c r="J763">
        <f t="shared" si="79"/>
        <v>1.2401295620846305E-2</v>
      </c>
      <c r="K763">
        <f t="shared" si="80"/>
        <v>-113.8620988703268</v>
      </c>
      <c r="L763">
        <f t="shared" si="81"/>
        <v>1.6535060827795069E-4</v>
      </c>
      <c r="O763">
        <f t="shared" si="82"/>
        <v>-127.25763991389466</v>
      </c>
      <c r="P763">
        <f t="shared" si="83"/>
        <v>-2.8179745947921539E-4</v>
      </c>
    </row>
    <row r="764" spans="1:16" x14ac:dyDescent="0.25">
      <c r="A764">
        <v>38.1</v>
      </c>
      <c r="B764">
        <v>-1.7000000000000001E-2</v>
      </c>
      <c r="C764">
        <v>4.7E-2</v>
      </c>
      <c r="H764">
        <f t="shared" si="77"/>
        <v>38.1</v>
      </c>
      <c r="I764">
        <f t="shared" si="78"/>
        <v>-1.7000000000000001E-2</v>
      </c>
      <c r="J764">
        <f t="shared" si="79"/>
        <v>1.1354516771465019E-2</v>
      </c>
      <c r="K764">
        <f t="shared" si="80"/>
        <v>-113.8620988703268</v>
      </c>
      <c r="L764">
        <f t="shared" si="81"/>
        <v>1.513935569528669E-4</v>
      </c>
      <c r="O764">
        <f t="shared" si="82"/>
        <v>-127.25763991389466</v>
      </c>
      <c r="P764">
        <f t="shared" si="83"/>
        <v>-2.9575451080429921E-4</v>
      </c>
    </row>
    <row r="765" spans="1:16" x14ac:dyDescent="0.25">
      <c r="A765">
        <v>38.15</v>
      </c>
      <c r="B765">
        <v>-1.7000000000000001E-2</v>
      </c>
      <c r="C765">
        <v>4.8000000000000001E-2</v>
      </c>
      <c r="H765">
        <f t="shared" si="77"/>
        <v>38.15</v>
      </c>
      <c r="I765">
        <f t="shared" si="78"/>
        <v>-1.7000000000000001E-2</v>
      </c>
      <c r="J765">
        <f t="shared" si="79"/>
        <v>1.2307737922083742E-2</v>
      </c>
      <c r="K765">
        <f t="shared" si="80"/>
        <v>-113.8620988703268</v>
      </c>
      <c r="L765">
        <f t="shared" si="81"/>
        <v>1.6410317229444986E-4</v>
      </c>
      <c r="O765">
        <f t="shared" si="82"/>
        <v>-127.25763991389466</v>
      </c>
      <c r="P765">
        <f t="shared" si="83"/>
        <v>-2.8304489546271622E-4</v>
      </c>
    </row>
    <row r="766" spans="1:16" x14ac:dyDescent="0.25">
      <c r="A766">
        <v>38.200000000000003</v>
      </c>
      <c r="B766">
        <v>-1.7999999999999999E-2</v>
      </c>
      <c r="C766">
        <v>4.7E-2</v>
      </c>
      <c r="H766">
        <f t="shared" si="77"/>
        <v>38.200000000000003</v>
      </c>
      <c r="I766">
        <f t="shared" si="78"/>
        <v>-1.7999999999999999E-2</v>
      </c>
      <c r="J766">
        <f t="shared" si="79"/>
        <v>1.1260959072702456E-2</v>
      </c>
      <c r="K766">
        <f t="shared" si="80"/>
        <v>-120.55986939211071</v>
      </c>
      <c r="L766">
        <f t="shared" si="81"/>
        <v>1.5014612096936604E-4</v>
      </c>
      <c r="O766">
        <f t="shared" si="82"/>
        <v>-133.95541043567857</v>
      </c>
      <c r="P766">
        <f t="shared" si="83"/>
        <v>-2.9700194678780004E-4</v>
      </c>
    </row>
    <row r="767" spans="1:16" x14ac:dyDescent="0.25">
      <c r="A767">
        <v>38.25</v>
      </c>
      <c r="B767">
        <v>-1.7999999999999999E-2</v>
      </c>
      <c r="C767">
        <v>4.7E-2</v>
      </c>
      <c r="H767">
        <f t="shared" si="77"/>
        <v>38.25</v>
      </c>
      <c r="I767">
        <f t="shared" si="78"/>
        <v>-1.7999999999999999E-2</v>
      </c>
      <c r="J767">
        <f t="shared" si="79"/>
        <v>1.1214180223321178E-2</v>
      </c>
      <c r="K767">
        <f t="shared" si="80"/>
        <v>-120.55986939211071</v>
      </c>
      <c r="L767">
        <f t="shared" si="81"/>
        <v>1.4952240297761568E-4</v>
      </c>
      <c r="O767">
        <f t="shared" si="82"/>
        <v>-133.95541043567857</v>
      </c>
      <c r="P767">
        <f t="shared" si="83"/>
        <v>-2.9762566477955046E-4</v>
      </c>
    </row>
    <row r="768" spans="1:16" x14ac:dyDescent="0.25">
      <c r="A768">
        <v>38.299999999999997</v>
      </c>
      <c r="B768">
        <v>-1.7999999999999999E-2</v>
      </c>
      <c r="C768">
        <v>4.7E-2</v>
      </c>
      <c r="H768">
        <f t="shared" si="77"/>
        <v>38.299999999999997</v>
      </c>
      <c r="I768">
        <f t="shared" si="78"/>
        <v>-1.7999999999999999E-2</v>
      </c>
      <c r="J768">
        <f t="shared" si="79"/>
        <v>1.11674013739399E-2</v>
      </c>
      <c r="K768">
        <f t="shared" si="80"/>
        <v>-120.55986939211071</v>
      </c>
      <c r="L768">
        <f t="shared" si="81"/>
        <v>1.4889868498586532E-4</v>
      </c>
      <c r="O768">
        <f t="shared" si="82"/>
        <v>-133.95541043567857</v>
      </c>
      <c r="P768">
        <f t="shared" si="83"/>
        <v>-2.9824938277130076E-4</v>
      </c>
    </row>
    <row r="769" spans="1:16" x14ac:dyDescent="0.25">
      <c r="A769">
        <v>38.35</v>
      </c>
      <c r="B769">
        <v>-1.7999999999999999E-2</v>
      </c>
      <c r="C769">
        <v>4.8000000000000001E-2</v>
      </c>
      <c r="H769">
        <f t="shared" si="77"/>
        <v>38.35</v>
      </c>
      <c r="I769">
        <f t="shared" si="78"/>
        <v>-1.7999999999999999E-2</v>
      </c>
      <c r="J769">
        <f t="shared" si="79"/>
        <v>1.2120622524558623E-2</v>
      </c>
      <c r="K769">
        <f t="shared" si="80"/>
        <v>-120.55986939211071</v>
      </c>
      <c r="L769">
        <f t="shared" si="81"/>
        <v>1.6160830032744828E-4</v>
      </c>
      <c r="O769">
        <f t="shared" si="82"/>
        <v>-133.95541043567857</v>
      </c>
      <c r="P769">
        <f t="shared" si="83"/>
        <v>-2.8553976742971783E-4</v>
      </c>
    </row>
    <row r="770" spans="1:16" x14ac:dyDescent="0.25">
      <c r="A770">
        <v>38.4</v>
      </c>
      <c r="B770">
        <v>-1.7999999999999999E-2</v>
      </c>
      <c r="C770">
        <v>4.7E-2</v>
      </c>
      <c r="H770">
        <f t="shared" si="77"/>
        <v>38.4</v>
      </c>
      <c r="I770">
        <f t="shared" si="78"/>
        <v>-1.7999999999999999E-2</v>
      </c>
      <c r="J770">
        <f t="shared" si="79"/>
        <v>1.1073843675177344E-2</v>
      </c>
      <c r="K770">
        <f t="shared" si="80"/>
        <v>-120.55986939211071</v>
      </c>
      <c r="L770">
        <f t="shared" si="81"/>
        <v>1.4765124900236457E-4</v>
      </c>
      <c r="O770">
        <f t="shared" si="82"/>
        <v>-133.95541043567857</v>
      </c>
      <c r="P770">
        <f t="shared" si="83"/>
        <v>-2.9949681875480154E-4</v>
      </c>
    </row>
    <row r="771" spans="1:16" x14ac:dyDescent="0.25">
      <c r="A771">
        <v>38.450000000000003</v>
      </c>
      <c r="B771">
        <v>-1.7999999999999999E-2</v>
      </c>
      <c r="C771">
        <v>4.8000000000000001E-2</v>
      </c>
      <c r="H771">
        <f t="shared" ref="H771:H806" si="84">A771</f>
        <v>38.450000000000003</v>
      </c>
      <c r="I771">
        <f t="shared" ref="I771:I806" si="85">B771</f>
        <v>-1.7999999999999999E-2</v>
      </c>
      <c r="J771">
        <f t="shared" ref="J771:J806" si="86">C771-E$12*A771</f>
        <v>1.2027064825796061E-2</v>
      </c>
      <c r="K771">
        <f t="shared" ref="K771:K806" si="87">F$24*I771</f>
        <v>-120.55986939211071</v>
      </c>
      <c r="L771">
        <f t="shared" ref="L771:L806" si="88">F$25*J771</f>
        <v>1.6036086434394745E-4</v>
      </c>
      <c r="O771">
        <f t="shared" ref="O771:O806" si="89">K771-N$12</f>
        <v>-133.95541043567857</v>
      </c>
      <c r="P771">
        <f t="shared" ref="P771:P806" si="90">L771-N$15</f>
        <v>-2.8678720341321866E-4</v>
      </c>
    </row>
    <row r="772" spans="1:16" x14ac:dyDescent="0.25">
      <c r="A772">
        <v>38.5</v>
      </c>
      <c r="B772">
        <v>-1.7999999999999999E-2</v>
      </c>
      <c r="C772">
        <v>4.7E-2</v>
      </c>
      <c r="H772">
        <f t="shared" si="84"/>
        <v>38.5</v>
      </c>
      <c r="I772">
        <f t="shared" si="85"/>
        <v>-1.7999999999999999E-2</v>
      </c>
      <c r="J772">
        <f t="shared" si="86"/>
        <v>1.0980285976414782E-2</v>
      </c>
      <c r="K772">
        <f t="shared" si="87"/>
        <v>-120.55986939211071</v>
      </c>
      <c r="L772">
        <f t="shared" si="88"/>
        <v>1.4640381301886374E-4</v>
      </c>
      <c r="O772">
        <f t="shared" si="89"/>
        <v>-133.95541043567857</v>
      </c>
      <c r="P772">
        <f t="shared" si="90"/>
        <v>-3.0074425473830237E-4</v>
      </c>
    </row>
    <row r="773" spans="1:16" x14ac:dyDescent="0.25">
      <c r="A773">
        <v>38.549999999999997</v>
      </c>
      <c r="B773">
        <v>-1.7999999999999999E-2</v>
      </c>
      <c r="C773">
        <v>4.8000000000000001E-2</v>
      </c>
      <c r="H773">
        <f t="shared" si="84"/>
        <v>38.549999999999997</v>
      </c>
      <c r="I773">
        <f t="shared" si="85"/>
        <v>-1.7999999999999999E-2</v>
      </c>
      <c r="J773">
        <f t="shared" si="86"/>
        <v>1.1933507127033505E-2</v>
      </c>
      <c r="K773">
        <f t="shared" si="87"/>
        <v>-120.55986939211071</v>
      </c>
      <c r="L773">
        <f t="shared" si="88"/>
        <v>1.591134283604467E-4</v>
      </c>
      <c r="O773">
        <f t="shared" si="89"/>
        <v>-133.95541043567857</v>
      </c>
      <c r="P773">
        <f t="shared" si="90"/>
        <v>-2.8803463939671944E-4</v>
      </c>
    </row>
    <row r="774" spans="1:16" x14ac:dyDescent="0.25">
      <c r="A774">
        <v>38.6</v>
      </c>
      <c r="B774">
        <v>-1.7999999999999999E-2</v>
      </c>
      <c r="C774">
        <v>4.7E-2</v>
      </c>
      <c r="H774">
        <f t="shared" si="84"/>
        <v>38.6</v>
      </c>
      <c r="I774">
        <f t="shared" si="85"/>
        <v>-1.7999999999999999E-2</v>
      </c>
      <c r="J774">
        <f t="shared" si="86"/>
        <v>1.0886728277652219E-2</v>
      </c>
      <c r="K774">
        <f t="shared" si="87"/>
        <v>-120.55986939211071</v>
      </c>
      <c r="L774">
        <f t="shared" si="88"/>
        <v>1.4515637703536288E-4</v>
      </c>
      <c r="O774">
        <f t="shared" si="89"/>
        <v>-133.95541043567857</v>
      </c>
      <c r="P774">
        <f t="shared" si="90"/>
        <v>-3.0199169072180326E-4</v>
      </c>
    </row>
    <row r="775" spans="1:16" x14ac:dyDescent="0.25">
      <c r="A775">
        <v>38.65</v>
      </c>
      <c r="B775">
        <v>-1.7999999999999999E-2</v>
      </c>
      <c r="C775">
        <v>4.8000000000000001E-2</v>
      </c>
      <c r="H775">
        <f t="shared" si="84"/>
        <v>38.65</v>
      </c>
      <c r="I775">
        <f t="shared" si="85"/>
        <v>-1.7999999999999999E-2</v>
      </c>
      <c r="J775">
        <f t="shared" si="86"/>
        <v>1.1839949428270949E-2</v>
      </c>
      <c r="K775">
        <f t="shared" si="87"/>
        <v>-120.55986939211071</v>
      </c>
      <c r="L775">
        <f t="shared" si="88"/>
        <v>1.5786599237694595E-4</v>
      </c>
      <c r="O775">
        <f t="shared" si="89"/>
        <v>-133.95541043567857</v>
      </c>
      <c r="P775">
        <f t="shared" si="90"/>
        <v>-2.8928207538022016E-4</v>
      </c>
    </row>
    <row r="776" spans="1:16" x14ac:dyDescent="0.25">
      <c r="A776">
        <v>38.700000000000003</v>
      </c>
      <c r="B776">
        <v>-1.7999999999999999E-2</v>
      </c>
      <c r="C776">
        <v>4.7E-2</v>
      </c>
      <c r="H776">
        <f t="shared" si="84"/>
        <v>38.700000000000003</v>
      </c>
      <c r="I776">
        <f t="shared" si="85"/>
        <v>-1.7999999999999999E-2</v>
      </c>
      <c r="J776">
        <f t="shared" si="86"/>
        <v>1.0793170578889663E-2</v>
      </c>
      <c r="K776">
        <f t="shared" si="87"/>
        <v>-120.55986939211071</v>
      </c>
      <c r="L776">
        <f t="shared" si="88"/>
        <v>1.4390894105186216E-4</v>
      </c>
      <c r="O776">
        <f t="shared" si="89"/>
        <v>-133.95541043567857</v>
      </c>
      <c r="P776">
        <f t="shared" si="90"/>
        <v>-3.0323912670530398E-4</v>
      </c>
    </row>
    <row r="777" spans="1:16" x14ac:dyDescent="0.25">
      <c r="A777">
        <v>38.75</v>
      </c>
      <c r="B777">
        <v>-1.7999999999999999E-2</v>
      </c>
      <c r="C777">
        <v>4.7E-2</v>
      </c>
      <c r="H777">
        <f t="shared" si="84"/>
        <v>38.75</v>
      </c>
      <c r="I777">
        <f t="shared" si="85"/>
        <v>-1.7999999999999999E-2</v>
      </c>
      <c r="J777">
        <f t="shared" si="86"/>
        <v>1.0746391729508385E-2</v>
      </c>
      <c r="K777">
        <f t="shared" si="87"/>
        <v>-120.55986939211071</v>
      </c>
      <c r="L777">
        <f t="shared" si="88"/>
        <v>1.4328522306011177E-4</v>
      </c>
      <c r="O777">
        <f t="shared" si="89"/>
        <v>-133.95541043567857</v>
      </c>
      <c r="P777">
        <f t="shared" si="90"/>
        <v>-3.0386284469705434E-4</v>
      </c>
    </row>
    <row r="778" spans="1:16" x14ac:dyDescent="0.25">
      <c r="A778">
        <v>38.799999999999997</v>
      </c>
      <c r="B778">
        <v>-1.9E-2</v>
      </c>
      <c r="C778">
        <v>4.5999999999999999E-2</v>
      </c>
      <c r="H778">
        <f t="shared" si="84"/>
        <v>38.799999999999997</v>
      </c>
      <c r="I778">
        <f t="shared" si="85"/>
        <v>-1.9E-2</v>
      </c>
      <c r="J778">
        <f t="shared" si="86"/>
        <v>9.6996128801271064E-3</v>
      </c>
      <c r="K778">
        <f t="shared" si="87"/>
        <v>-127.25763991389465</v>
      </c>
      <c r="L778">
        <f t="shared" si="88"/>
        <v>1.2932817173502806E-4</v>
      </c>
      <c r="O778">
        <f t="shared" si="89"/>
        <v>-140.6531809574625</v>
      </c>
      <c r="P778">
        <f t="shared" si="90"/>
        <v>-3.1781989602213805E-4</v>
      </c>
    </row>
    <row r="779" spans="1:16" x14ac:dyDescent="0.25">
      <c r="A779">
        <v>38.85</v>
      </c>
      <c r="B779">
        <v>-1.9E-2</v>
      </c>
      <c r="C779">
        <v>4.7E-2</v>
      </c>
      <c r="H779">
        <f t="shared" si="84"/>
        <v>38.85</v>
      </c>
      <c r="I779">
        <f t="shared" si="85"/>
        <v>-1.9E-2</v>
      </c>
      <c r="J779">
        <f t="shared" si="86"/>
        <v>1.0652834030745822E-2</v>
      </c>
      <c r="K779">
        <f t="shared" si="87"/>
        <v>-127.25763991389465</v>
      </c>
      <c r="L779">
        <f t="shared" si="88"/>
        <v>1.4203778707661094E-4</v>
      </c>
      <c r="O779">
        <f t="shared" si="89"/>
        <v>-140.6531809574625</v>
      </c>
      <c r="P779">
        <f t="shared" si="90"/>
        <v>-3.0511028068055517E-4</v>
      </c>
    </row>
    <row r="780" spans="1:16" x14ac:dyDescent="0.25">
      <c r="A780">
        <v>38.9</v>
      </c>
      <c r="B780">
        <v>-1.9E-2</v>
      </c>
      <c r="C780">
        <v>4.5999999999999999E-2</v>
      </c>
      <c r="H780">
        <f t="shared" si="84"/>
        <v>38.9</v>
      </c>
      <c r="I780">
        <f t="shared" si="85"/>
        <v>-1.9E-2</v>
      </c>
      <c r="J780">
        <f t="shared" si="86"/>
        <v>9.6060551813645437E-3</v>
      </c>
      <c r="K780">
        <f t="shared" si="87"/>
        <v>-127.25763991389465</v>
      </c>
      <c r="L780">
        <f t="shared" si="88"/>
        <v>1.2808073575152723E-4</v>
      </c>
      <c r="O780">
        <f t="shared" si="89"/>
        <v>-140.6531809574625</v>
      </c>
      <c r="P780">
        <f t="shared" si="90"/>
        <v>-3.1906733200563888E-4</v>
      </c>
    </row>
    <row r="781" spans="1:16" x14ac:dyDescent="0.25">
      <c r="A781">
        <v>38.950000000000003</v>
      </c>
      <c r="B781">
        <v>-1.9E-2</v>
      </c>
      <c r="C781">
        <v>4.7E-2</v>
      </c>
      <c r="H781">
        <f t="shared" si="84"/>
        <v>38.950000000000003</v>
      </c>
      <c r="I781">
        <f t="shared" si="85"/>
        <v>-1.9E-2</v>
      </c>
      <c r="J781">
        <f t="shared" si="86"/>
        <v>1.0559276331983267E-2</v>
      </c>
      <c r="K781">
        <f t="shared" si="87"/>
        <v>-127.25763991389465</v>
      </c>
      <c r="L781">
        <f t="shared" si="88"/>
        <v>1.4079035109311019E-4</v>
      </c>
      <c r="O781">
        <f t="shared" si="89"/>
        <v>-140.6531809574625</v>
      </c>
      <c r="P781">
        <f t="shared" si="90"/>
        <v>-3.0635771666405595E-4</v>
      </c>
    </row>
    <row r="782" spans="1:16" x14ac:dyDescent="0.25">
      <c r="A782">
        <v>39</v>
      </c>
      <c r="B782">
        <v>-1.9E-2</v>
      </c>
      <c r="C782">
        <v>4.5999999999999999E-2</v>
      </c>
      <c r="H782">
        <f t="shared" si="84"/>
        <v>39</v>
      </c>
      <c r="I782">
        <f t="shared" si="85"/>
        <v>-1.9E-2</v>
      </c>
      <c r="J782">
        <f t="shared" si="86"/>
        <v>9.5124974826019879E-3</v>
      </c>
      <c r="K782">
        <f t="shared" si="87"/>
        <v>-127.25763991389465</v>
      </c>
      <c r="L782">
        <f t="shared" si="88"/>
        <v>1.2683329976802648E-4</v>
      </c>
      <c r="O782">
        <f t="shared" si="89"/>
        <v>-140.6531809574625</v>
      </c>
      <c r="P782">
        <f t="shared" si="90"/>
        <v>-3.2031476798913966E-4</v>
      </c>
    </row>
    <row r="783" spans="1:16" x14ac:dyDescent="0.25">
      <c r="A783">
        <v>39.049999999999997</v>
      </c>
      <c r="B783">
        <v>-1.9E-2</v>
      </c>
      <c r="C783">
        <v>4.7E-2</v>
      </c>
      <c r="H783">
        <f t="shared" si="84"/>
        <v>39.049999999999997</v>
      </c>
      <c r="I783">
        <f t="shared" si="85"/>
        <v>-1.9E-2</v>
      </c>
      <c r="J783">
        <f t="shared" si="86"/>
        <v>1.0465718633220711E-2</v>
      </c>
      <c r="K783">
        <f t="shared" si="87"/>
        <v>-127.25763991389465</v>
      </c>
      <c r="L783">
        <f t="shared" si="88"/>
        <v>1.3954291510960944E-4</v>
      </c>
      <c r="O783">
        <f t="shared" si="89"/>
        <v>-140.6531809574625</v>
      </c>
      <c r="P783">
        <f t="shared" si="90"/>
        <v>-3.0760515264755667E-4</v>
      </c>
    </row>
    <row r="784" spans="1:16" x14ac:dyDescent="0.25">
      <c r="A784">
        <v>39.1</v>
      </c>
      <c r="B784">
        <v>-1.9E-2</v>
      </c>
      <c r="C784">
        <v>4.7E-2</v>
      </c>
      <c r="H784">
        <f t="shared" si="84"/>
        <v>39.1</v>
      </c>
      <c r="I784">
        <f t="shared" si="85"/>
        <v>-1.9E-2</v>
      </c>
      <c r="J784">
        <f t="shared" si="86"/>
        <v>1.0418939783839426E-2</v>
      </c>
      <c r="K784">
        <f t="shared" si="87"/>
        <v>-127.25763991389465</v>
      </c>
      <c r="L784">
        <f t="shared" si="88"/>
        <v>1.38919197117859E-4</v>
      </c>
      <c r="O784">
        <f t="shared" si="89"/>
        <v>-140.6531809574625</v>
      </c>
      <c r="P784">
        <f t="shared" si="90"/>
        <v>-3.0822887063930709E-4</v>
      </c>
    </row>
    <row r="785" spans="1:16" x14ac:dyDescent="0.25">
      <c r="A785">
        <v>39.15</v>
      </c>
      <c r="B785">
        <v>-1.9E-2</v>
      </c>
      <c r="C785">
        <v>4.5999999999999999E-2</v>
      </c>
      <c r="H785">
        <f t="shared" si="84"/>
        <v>39.15</v>
      </c>
      <c r="I785">
        <f t="shared" si="85"/>
        <v>-1.9E-2</v>
      </c>
      <c r="J785">
        <f t="shared" si="86"/>
        <v>9.3721609344581472E-3</v>
      </c>
      <c r="K785">
        <f t="shared" si="87"/>
        <v>-127.25763991389465</v>
      </c>
      <c r="L785">
        <f t="shared" si="88"/>
        <v>1.2496214579277526E-4</v>
      </c>
      <c r="O785">
        <f t="shared" si="89"/>
        <v>-140.6531809574625</v>
      </c>
      <c r="P785">
        <f t="shared" si="90"/>
        <v>-3.2218592196439085E-4</v>
      </c>
    </row>
    <row r="786" spans="1:16" x14ac:dyDescent="0.25">
      <c r="A786">
        <v>39.200000000000003</v>
      </c>
      <c r="B786">
        <v>-1.9E-2</v>
      </c>
      <c r="C786">
        <v>4.5999999999999999E-2</v>
      </c>
      <c r="H786">
        <f t="shared" si="84"/>
        <v>39.200000000000003</v>
      </c>
      <c r="I786">
        <f t="shared" si="85"/>
        <v>-1.9E-2</v>
      </c>
      <c r="J786">
        <f t="shared" si="86"/>
        <v>9.3253820850768693E-3</v>
      </c>
      <c r="K786">
        <f t="shared" si="87"/>
        <v>-127.25763991389465</v>
      </c>
      <c r="L786">
        <f t="shared" si="88"/>
        <v>1.243384278010249E-4</v>
      </c>
      <c r="O786">
        <f t="shared" si="89"/>
        <v>-140.6531809574625</v>
      </c>
      <c r="P786">
        <f t="shared" si="90"/>
        <v>-3.2280963995614121E-4</v>
      </c>
    </row>
    <row r="787" spans="1:16" x14ac:dyDescent="0.25">
      <c r="A787">
        <v>39.25</v>
      </c>
      <c r="B787">
        <v>-1.9E-2</v>
      </c>
      <c r="C787">
        <v>4.7E-2</v>
      </c>
      <c r="H787">
        <f t="shared" si="84"/>
        <v>39.25</v>
      </c>
      <c r="I787">
        <f t="shared" si="85"/>
        <v>-1.9E-2</v>
      </c>
      <c r="J787">
        <f t="shared" si="86"/>
        <v>1.0278603235695592E-2</v>
      </c>
      <c r="K787">
        <f t="shared" si="87"/>
        <v>-127.25763991389465</v>
      </c>
      <c r="L787">
        <f t="shared" si="88"/>
        <v>1.3704804314260786E-4</v>
      </c>
      <c r="O787">
        <f t="shared" si="89"/>
        <v>-140.6531809574625</v>
      </c>
      <c r="P787">
        <f t="shared" si="90"/>
        <v>-3.1010002461455822E-4</v>
      </c>
    </row>
    <row r="788" spans="1:16" x14ac:dyDescent="0.25">
      <c r="A788">
        <v>39.299999999999997</v>
      </c>
      <c r="B788">
        <v>-1.9E-2</v>
      </c>
      <c r="C788">
        <v>4.7E-2</v>
      </c>
      <c r="H788">
        <f t="shared" si="84"/>
        <v>39.299999999999997</v>
      </c>
      <c r="I788">
        <f t="shared" si="85"/>
        <v>-1.9E-2</v>
      </c>
      <c r="J788">
        <f t="shared" si="86"/>
        <v>1.0231824386314314E-2</v>
      </c>
      <c r="K788">
        <f t="shared" si="87"/>
        <v>-127.25763991389465</v>
      </c>
      <c r="L788">
        <f t="shared" si="88"/>
        <v>1.364243251508575E-4</v>
      </c>
      <c r="O788">
        <f t="shared" si="89"/>
        <v>-140.6531809574625</v>
      </c>
      <c r="P788">
        <f t="shared" si="90"/>
        <v>-3.1072374260630864E-4</v>
      </c>
    </row>
    <row r="789" spans="1:16" x14ac:dyDescent="0.25">
      <c r="A789">
        <v>39.35</v>
      </c>
      <c r="B789">
        <v>-1.9E-2</v>
      </c>
      <c r="C789">
        <v>4.7E-2</v>
      </c>
      <c r="H789">
        <f t="shared" si="84"/>
        <v>39.35</v>
      </c>
      <c r="I789">
        <f t="shared" si="85"/>
        <v>-1.9E-2</v>
      </c>
      <c r="J789">
        <f t="shared" si="86"/>
        <v>1.0185045536933029E-2</v>
      </c>
      <c r="K789">
        <f t="shared" si="87"/>
        <v>-127.25763991389465</v>
      </c>
      <c r="L789">
        <f t="shared" si="88"/>
        <v>1.3580060715910703E-4</v>
      </c>
      <c r="O789">
        <f t="shared" si="89"/>
        <v>-140.6531809574625</v>
      </c>
      <c r="P789">
        <f t="shared" si="90"/>
        <v>-3.1134746059805905E-4</v>
      </c>
    </row>
    <row r="790" spans="1:16" x14ac:dyDescent="0.25">
      <c r="A790">
        <v>39.4</v>
      </c>
      <c r="B790">
        <v>-1.9E-2</v>
      </c>
      <c r="C790">
        <v>4.5999999999999999E-2</v>
      </c>
      <c r="H790">
        <f t="shared" si="84"/>
        <v>39.4</v>
      </c>
      <c r="I790">
        <f t="shared" si="85"/>
        <v>-1.9E-2</v>
      </c>
      <c r="J790">
        <f t="shared" si="86"/>
        <v>9.1382666875517507E-3</v>
      </c>
      <c r="K790">
        <f t="shared" si="87"/>
        <v>-127.25763991389465</v>
      </c>
      <c r="L790">
        <f t="shared" si="88"/>
        <v>1.2184355583402332E-4</v>
      </c>
      <c r="O790">
        <f t="shared" si="89"/>
        <v>-140.6531809574625</v>
      </c>
      <c r="P790">
        <f t="shared" si="90"/>
        <v>-3.2530451192314277E-4</v>
      </c>
    </row>
    <row r="791" spans="1:16" x14ac:dyDescent="0.25">
      <c r="A791">
        <v>39.450000000000003</v>
      </c>
      <c r="B791">
        <v>-1.9E-2</v>
      </c>
      <c r="C791">
        <v>4.7E-2</v>
      </c>
      <c r="H791">
        <f t="shared" si="84"/>
        <v>39.450000000000003</v>
      </c>
      <c r="I791">
        <f t="shared" si="85"/>
        <v>-1.9E-2</v>
      </c>
      <c r="J791">
        <f t="shared" si="86"/>
        <v>1.0091487838170467E-2</v>
      </c>
      <c r="K791">
        <f t="shared" si="87"/>
        <v>-127.25763991389465</v>
      </c>
      <c r="L791">
        <f t="shared" si="88"/>
        <v>1.345531711756062E-4</v>
      </c>
      <c r="O791">
        <f t="shared" si="89"/>
        <v>-140.6531809574625</v>
      </c>
      <c r="P791">
        <f t="shared" si="90"/>
        <v>-3.1259489658155989E-4</v>
      </c>
    </row>
    <row r="792" spans="1:16" x14ac:dyDescent="0.25">
      <c r="A792">
        <v>39.5</v>
      </c>
      <c r="B792">
        <v>-1.9E-2</v>
      </c>
      <c r="C792">
        <v>4.5999999999999999E-2</v>
      </c>
      <c r="H792">
        <f t="shared" si="84"/>
        <v>39.5</v>
      </c>
      <c r="I792">
        <f t="shared" si="85"/>
        <v>-1.9E-2</v>
      </c>
      <c r="J792">
        <f t="shared" si="86"/>
        <v>9.0447089887891949E-3</v>
      </c>
      <c r="K792">
        <f t="shared" si="87"/>
        <v>-127.25763991389465</v>
      </c>
      <c r="L792">
        <f t="shared" si="88"/>
        <v>1.2059611985052257E-4</v>
      </c>
      <c r="O792">
        <f t="shared" si="89"/>
        <v>-140.6531809574625</v>
      </c>
      <c r="P792">
        <f t="shared" si="90"/>
        <v>-3.2655194790664354E-4</v>
      </c>
    </row>
    <row r="793" spans="1:16" x14ac:dyDescent="0.25">
      <c r="A793">
        <v>39.549999999999997</v>
      </c>
      <c r="B793">
        <v>-1.9E-2</v>
      </c>
      <c r="C793">
        <v>4.7E-2</v>
      </c>
      <c r="H793">
        <f t="shared" si="84"/>
        <v>39.549999999999997</v>
      </c>
      <c r="I793">
        <f t="shared" si="85"/>
        <v>-1.9E-2</v>
      </c>
      <c r="J793">
        <f t="shared" si="86"/>
        <v>9.9979301394079179E-3</v>
      </c>
      <c r="K793">
        <f t="shared" si="87"/>
        <v>-127.25763991389465</v>
      </c>
      <c r="L793">
        <f t="shared" si="88"/>
        <v>1.3330573519210556E-4</v>
      </c>
      <c r="O793">
        <f t="shared" si="89"/>
        <v>-140.6531809574625</v>
      </c>
      <c r="P793">
        <f t="shared" si="90"/>
        <v>-3.1384233256506055E-4</v>
      </c>
    </row>
    <row r="794" spans="1:16" x14ac:dyDescent="0.25">
      <c r="A794">
        <v>39.6</v>
      </c>
      <c r="B794">
        <v>-1.9E-2</v>
      </c>
      <c r="C794">
        <v>4.5999999999999999E-2</v>
      </c>
      <c r="H794">
        <f t="shared" si="84"/>
        <v>39.6</v>
      </c>
      <c r="I794">
        <f t="shared" si="85"/>
        <v>-1.9E-2</v>
      </c>
      <c r="J794">
        <f t="shared" si="86"/>
        <v>8.9511512900266321E-3</v>
      </c>
      <c r="K794">
        <f t="shared" si="87"/>
        <v>-127.25763991389465</v>
      </c>
      <c r="L794">
        <f t="shared" si="88"/>
        <v>1.1934868386702174E-4</v>
      </c>
      <c r="O794">
        <f t="shared" si="89"/>
        <v>-140.6531809574625</v>
      </c>
      <c r="P794">
        <f t="shared" si="90"/>
        <v>-3.2779938389014437E-4</v>
      </c>
    </row>
    <row r="795" spans="1:16" x14ac:dyDescent="0.25">
      <c r="A795">
        <v>39.65</v>
      </c>
      <c r="B795">
        <v>-1.9E-2</v>
      </c>
      <c r="C795">
        <v>4.7E-2</v>
      </c>
      <c r="H795">
        <f t="shared" si="84"/>
        <v>39.65</v>
      </c>
      <c r="I795">
        <f t="shared" si="85"/>
        <v>-1.9E-2</v>
      </c>
      <c r="J795">
        <f t="shared" si="86"/>
        <v>9.9043724406453551E-3</v>
      </c>
      <c r="K795">
        <f t="shared" si="87"/>
        <v>-127.25763991389465</v>
      </c>
      <c r="L795">
        <f t="shared" si="88"/>
        <v>1.320582992086047E-4</v>
      </c>
      <c r="O795">
        <f t="shared" si="89"/>
        <v>-140.6531809574625</v>
      </c>
      <c r="P795">
        <f t="shared" si="90"/>
        <v>-3.1508976854856144E-4</v>
      </c>
    </row>
    <row r="796" spans="1:16" x14ac:dyDescent="0.25">
      <c r="A796">
        <v>39.700000000000003</v>
      </c>
      <c r="B796">
        <v>-1.9E-2</v>
      </c>
      <c r="C796">
        <v>4.7E-2</v>
      </c>
      <c r="H796">
        <f t="shared" si="84"/>
        <v>39.700000000000003</v>
      </c>
      <c r="I796">
        <f t="shared" si="85"/>
        <v>-1.9E-2</v>
      </c>
      <c r="J796">
        <f t="shared" si="86"/>
        <v>9.8575935912640703E-3</v>
      </c>
      <c r="K796">
        <f t="shared" si="87"/>
        <v>-127.25763991389465</v>
      </c>
      <c r="L796">
        <f t="shared" si="88"/>
        <v>1.3143458121685426E-4</v>
      </c>
      <c r="O796">
        <f t="shared" si="89"/>
        <v>-140.6531809574625</v>
      </c>
      <c r="P796">
        <f t="shared" si="90"/>
        <v>-3.1571348654031185E-4</v>
      </c>
    </row>
    <row r="797" spans="1:16" x14ac:dyDescent="0.25">
      <c r="A797">
        <v>39.75</v>
      </c>
      <c r="B797">
        <v>-1.9E-2</v>
      </c>
      <c r="C797">
        <v>4.7E-2</v>
      </c>
      <c r="H797">
        <f t="shared" si="84"/>
        <v>39.75</v>
      </c>
      <c r="I797">
        <f t="shared" si="85"/>
        <v>-1.9E-2</v>
      </c>
      <c r="J797">
        <f t="shared" si="86"/>
        <v>9.8108147418827923E-3</v>
      </c>
      <c r="K797">
        <f t="shared" si="87"/>
        <v>-127.25763991389465</v>
      </c>
      <c r="L797">
        <f t="shared" si="88"/>
        <v>1.3081086322510387E-4</v>
      </c>
      <c r="O797">
        <f t="shared" si="89"/>
        <v>-140.6531809574625</v>
      </c>
      <c r="P797">
        <f t="shared" si="90"/>
        <v>-3.1633720453206227E-4</v>
      </c>
    </row>
    <row r="798" spans="1:16" x14ac:dyDescent="0.25">
      <c r="A798">
        <v>39.799999999999997</v>
      </c>
      <c r="B798">
        <v>-1.9E-2</v>
      </c>
      <c r="C798">
        <v>4.7E-2</v>
      </c>
      <c r="H798">
        <f t="shared" si="84"/>
        <v>39.799999999999997</v>
      </c>
      <c r="I798">
        <f t="shared" si="85"/>
        <v>-1.9E-2</v>
      </c>
      <c r="J798">
        <f t="shared" si="86"/>
        <v>9.7640358925015214E-3</v>
      </c>
      <c r="K798">
        <f t="shared" si="87"/>
        <v>-127.25763991389465</v>
      </c>
      <c r="L798">
        <f t="shared" si="88"/>
        <v>1.3018714523335359E-4</v>
      </c>
      <c r="O798">
        <f t="shared" si="89"/>
        <v>-140.6531809574625</v>
      </c>
      <c r="P798">
        <f t="shared" si="90"/>
        <v>-3.1696092252381252E-4</v>
      </c>
    </row>
    <row r="799" spans="1:16" x14ac:dyDescent="0.25">
      <c r="A799">
        <v>39.85</v>
      </c>
      <c r="B799">
        <v>-1.9E-2</v>
      </c>
      <c r="C799">
        <v>4.7E-2</v>
      </c>
      <c r="H799">
        <f t="shared" si="84"/>
        <v>39.85</v>
      </c>
      <c r="I799">
        <f t="shared" si="85"/>
        <v>-1.9E-2</v>
      </c>
      <c r="J799">
        <f t="shared" si="86"/>
        <v>9.7172570431202365E-3</v>
      </c>
      <c r="K799">
        <f t="shared" si="87"/>
        <v>-127.25763991389465</v>
      </c>
      <c r="L799">
        <f t="shared" si="88"/>
        <v>1.2956342724160312E-4</v>
      </c>
      <c r="O799">
        <f t="shared" si="89"/>
        <v>-140.6531809574625</v>
      </c>
      <c r="P799">
        <f t="shared" si="90"/>
        <v>-3.1758464051556299E-4</v>
      </c>
    </row>
    <row r="800" spans="1:16" x14ac:dyDescent="0.25">
      <c r="A800">
        <v>39.9</v>
      </c>
      <c r="B800">
        <v>-1.9E-2</v>
      </c>
      <c r="C800">
        <v>4.7E-2</v>
      </c>
      <c r="E800">
        <f>SUM(C778:C806)/COUNT(C778:C806)</f>
        <v>4.6793103448275863E-2</v>
      </c>
      <c r="H800">
        <f t="shared" si="84"/>
        <v>39.9</v>
      </c>
      <c r="I800">
        <f t="shared" si="85"/>
        <v>-1.9E-2</v>
      </c>
      <c r="J800">
        <f t="shared" si="86"/>
        <v>9.6704781937389586E-3</v>
      </c>
      <c r="K800">
        <f t="shared" si="87"/>
        <v>-127.25763991389465</v>
      </c>
      <c r="L800">
        <f t="shared" si="88"/>
        <v>1.2893970924985276E-4</v>
      </c>
      <c r="O800">
        <f t="shared" si="89"/>
        <v>-140.6531809574625</v>
      </c>
      <c r="P800">
        <f t="shared" si="90"/>
        <v>-3.1820835850731335E-4</v>
      </c>
    </row>
    <row r="801" spans="1:16" x14ac:dyDescent="0.25">
      <c r="A801">
        <v>39.950000000000003</v>
      </c>
      <c r="B801">
        <v>-1.9E-2</v>
      </c>
      <c r="C801">
        <v>4.7E-2</v>
      </c>
      <c r="E801">
        <f>SUM(A778:A806)/COUNT(A778:A806)</f>
        <v>39.5</v>
      </c>
      <c r="H801">
        <f t="shared" si="84"/>
        <v>39.950000000000003</v>
      </c>
      <c r="I801">
        <f t="shared" si="85"/>
        <v>-1.9E-2</v>
      </c>
      <c r="J801">
        <f t="shared" si="86"/>
        <v>9.6236993443576738E-3</v>
      </c>
      <c r="K801">
        <f t="shared" si="87"/>
        <v>-127.25763991389465</v>
      </c>
      <c r="L801">
        <f t="shared" si="88"/>
        <v>1.2831599125810229E-4</v>
      </c>
      <c r="O801">
        <f t="shared" si="89"/>
        <v>-140.6531809574625</v>
      </c>
      <c r="P801">
        <f t="shared" si="90"/>
        <v>-3.1883207649906382E-4</v>
      </c>
    </row>
    <row r="802" spans="1:16" x14ac:dyDescent="0.25">
      <c r="A802">
        <v>40</v>
      </c>
      <c r="B802">
        <v>-1.9E-2</v>
      </c>
      <c r="C802">
        <v>4.7E-2</v>
      </c>
      <c r="H802">
        <f t="shared" si="84"/>
        <v>40</v>
      </c>
      <c r="I802">
        <f t="shared" si="85"/>
        <v>-1.9E-2</v>
      </c>
      <c r="J802">
        <f t="shared" si="86"/>
        <v>9.5769204949763959E-3</v>
      </c>
      <c r="K802">
        <f t="shared" si="87"/>
        <v>-127.25763991389465</v>
      </c>
      <c r="L802">
        <f t="shared" si="88"/>
        <v>1.2769227326635193E-4</v>
      </c>
      <c r="O802">
        <f t="shared" si="89"/>
        <v>-140.6531809574625</v>
      </c>
      <c r="P802">
        <f t="shared" si="90"/>
        <v>-3.1945579449081419E-4</v>
      </c>
    </row>
    <row r="803" spans="1:16" x14ac:dyDescent="0.25">
      <c r="A803">
        <v>40.049999999999997</v>
      </c>
      <c r="B803">
        <v>-1.9E-2</v>
      </c>
      <c r="C803">
        <v>4.8000000000000001E-2</v>
      </c>
      <c r="H803">
        <f t="shared" si="84"/>
        <v>40.049999999999997</v>
      </c>
      <c r="I803">
        <f t="shared" si="85"/>
        <v>-1.9E-2</v>
      </c>
      <c r="J803">
        <f t="shared" si="86"/>
        <v>1.0530141645595119E-2</v>
      </c>
      <c r="K803">
        <f t="shared" si="87"/>
        <v>-127.25763991389465</v>
      </c>
      <c r="L803">
        <f t="shared" si="88"/>
        <v>1.4040188860793489E-4</v>
      </c>
      <c r="O803">
        <f t="shared" si="89"/>
        <v>-140.6531809574625</v>
      </c>
      <c r="P803">
        <f t="shared" si="90"/>
        <v>-3.0674617914923125E-4</v>
      </c>
    </row>
    <row r="804" spans="1:16" x14ac:dyDescent="0.25">
      <c r="A804">
        <v>40.1</v>
      </c>
      <c r="B804">
        <v>-1.9E-2</v>
      </c>
      <c r="C804">
        <v>4.7E-2</v>
      </c>
      <c r="H804">
        <f t="shared" si="84"/>
        <v>40.1</v>
      </c>
      <c r="I804">
        <f t="shared" si="85"/>
        <v>-1.9E-2</v>
      </c>
      <c r="J804">
        <f t="shared" si="86"/>
        <v>9.48336279621384E-3</v>
      </c>
      <c r="K804">
        <f t="shared" si="87"/>
        <v>-127.25763991389465</v>
      </c>
      <c r="L804">
        <f t="shared" si="88"/>
        <v>1.2644483728285118E-4</v>
      </c>
      <c r="O804">
        <f t="shared" si="89"/>
        <v>-140.6531809574625</v>
      </c>
      <c r="P804">
        <f t="shared" si="90"/>
        <v>-3.2070323047431496E-4</v>
      </c>
    </row>
    <row r="805" spans="1:16" x14ac:dyDescent="0.25">
      <c r="A805">
        <v>40.15</v>
      </c>
      <c r="B805">
        <v>-1.9E-2</v>
      </c>
      <c r="C805">
        <v>4.7E-2</v>
      </c>
      <c r="H805">
        <f t="shared" si="84"/>
        <v>40.15</v>
      </c>
      <c r="I805">
        <f t="shared" si="85"/>
        <v>-1.9E-2</v>
      </c>
      <c r="J805">
        <f t="shared" si="86"/>
        <v>9.4365839468325621E-3</v>
      </c>
      <c r="K805">
        <f t="shared" si="87"/>
        <v>-127.25763991389465</v>
      </c>
      <c r="L805">
        <f t="shared" si="88"/>
        <v>1.2582111929110082E-4</v>
      </c>
      <c r="O805">
        <f t="shared" si="89"/>
        <v>-140.6531809574625</v>
      </c>
      <c r="P805">
        <f t="shared" si="90"/>
        <v>-3.2132694846606527E-4</v>
      </c>
    </row>
    <row r="806" spans="1:16" x14ac:dyDescent="0.25">
      <c r="A806">
        <v>40.200000000000003</v>
      </c>
      <c r="B806">
        <v>-1.9E-2</v>
      </c>
      <c r="C806">
        <v>4.8000000000000001E-2</v>
      </c>
      <c r="H806">
        <f t="shared" si="84"/>
        <v>40.200000000000003</v>
      </c>
      <c r="I806">
        <f t="shared" si="85"/>
        <v>-1.9E-2</v>
      </c>
      <c r="J806">
        <f t="shared" si="86"/>
        <v>1.0389805097451278E-2</v>
      </c>
      <c r="K806">
        <f t="shared" si="87"/>
        <v>-127.25763991389465</v>
      </c>
      <c r="L806">
        <f t="shared" si="88"/>
        <v>1.3853073463268367E-4</v>
      </c>
      <c r="O806">
        <f t="shared" si="89"/>
        <v>-140.6531809574625</v>
      </c>
      <c r="P806">
        <f t="shared" si="90"/>
        <v>-3.0861733312448244E-4</v>
      </c>
    </row>
    <row r="2131" spans="2:2" x14ac:dyDescent="0.25">
      <c r="B2131" s="1"/>
    </row>
    <row r="2132" spans="2:2" x14ac:dyDescent="0.25">
      <c r="B2132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418" spans="3:3" x14ac:dyDescent="0.25">
      <c r="C2418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9" spans="3:3" x14ac:dyDescent="0.25">
      <c r="C2429" s="1"/>
    </row>
    <row r="2431" spans="3:3" x14ac:dyDescent="0.25">
      <c r="C2431" s="1"/>
    </row>
    <row r="2433" spans="3:3" x14ac:dyDescent="0.25">
      <c r="C2433" s="1"/>
    </row>
    <row r="2435" spans="3:3" x14ac:dyDescent="0.25">
      <c r="C2435" s="1"/>
    </row>
    <row r="2437" spans="3:3" x14ac:dyDescent="0.25">
      <c r="C2437" s="1"/>
    </row>
    <row r="2439" spans="3:3" x14ac:dyDescent="0.25">
      <c r="C24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2022-04-02T09:08:06Z</dcterms:created>
  <dcterms:modified xsi:type="dcterms:W3CDTF">2022-04-05T08:17:55Z</dcterms:modified>
</cp:coreProperties>
</file>