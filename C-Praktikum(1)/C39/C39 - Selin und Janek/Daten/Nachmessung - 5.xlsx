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xtcloud\Physik\Experimentalphysik\Physikalisches Praktikum\C\C39\C39 - Selin und Janek\Daten\"/>
    </mc:Choice>
  </mc:AlternateContent>
  <xr:revisionPtr revIDLastSave="0" documentId="13_ncr:1_{F93C7545-7E14-4583-896F-B019317EB7C2}" xr6:coauthVersionLast="47" xr6:coauthVersionMax="47" xr10:uidLastSave="{00000000-0000-0000-0000-000000000000}"/>
  <bookViews>
    <workbookView xWindow="1095" yWindow="735" windowWidth="34605" windowHeight="21705" xr2:uid="{82151313-C36B-4BC6-A442-E195549D53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1" l="1"/>
  <c r="E12" i="1"/>
  <c r="E1123" i="1"/>
  <c r="E1122" i="1"/>
  <c r="E7" i="1"/>
  <c r="E5" i="1"/>
  <c r="F24" i="1"/>
  <c r="H3" i="1"/>
  <c r="I3" i="1"/>
  <c r="H4" i="1"/>
  <c r="I4" i="1"/>
  <c r="K4" i="1" s="1"/>
  <c r="H5" i="1"/>
  <c r="I5" i="1"/>
  <c r="H6" i="1"/>
  <c r="I6" i="1"/>
  <c r="H7" i="1"/>
  <c r="I7" i="1"/>
  <c r="H8" i="1"/>
  <c r="I8" i="1"/>
  <c r="H9" i="1"/>
  <c r="I9" i="1"/>
  <c r="H10" i="1"/>
  <c r="I10" i="1"/>
  <c r="K10" i="1" s="1"/>
  <c r="H11" i="1"/>
  <c r="I11" i="1"/>
  <c r="H12" i="1"/>
  <c r="I12" i="1"/>
  <c r="K12" i="1" s="1"/>
  <c r="H13" i="1"/>
  <c r="I13" i="1"/>
  <c r="H14" i="1"/>
  <c r="I14" i="1"/>
  <c r="H15" i="1"/>
  <c r="I15" i="1"/>
  <c r="H16" i="1"/>
  <c r="I16" i="1"/>
  <c r="H17" i="1"/>
  <c r="I17" i="1"/>
  <c r="H18" i="1"/>
  <c r="I18" i="1"/>
  <c r="K18" i="1" s="1"/>
  <c r="H19" i="1"/>
  <c r="I19" i="1"/>
  <c r="H20" i="1"/>
  <c r="I20" i="1"/>
  <c r="K20" i="1" s="1"/>
  <c r="H21" i="1"/>
  <c r="I21" i="1"/>
  <c r="H22" i="1"/>
  <c r="I22" i="1"/>
  <c r="H23" i="1"/>
  <c r="I23" i="1"/>
  <c r="H24" i="1"/>
  <c r="I24" i="1"/>
  <c r="H25" i="1"/>
  <c r="I25" i="1"/>
  <c r="H26" i="1"/>
  <c r="I26" i="1"/>
  <c r="K26" i="1" s="1"/>
  <c r="H27" i="1"/>
  <c r="I27" i="1"/>
  <c r="H28" i="1"/>
  <c r="I28" i="1"/>
  <c r="K28" i="1" s="1"/>
  <c r="H29" i="1"/>
  <c r="I29" i="1"/>
  <c r="H30" i="1"/>
  <c r="I30" i="1"/>
  <c r="H31" i="1"/>
  <c r="I31" i="1"/>
  <c r="H32" i="1"/>
  <c r="I32" i="1"/>
  <c r="H33" i="1"/>
  <c r="I33" i="1"/>
  <c r="H34" i="1"/>
  <c r="I34" i="1"/>
  <c r="K34" i="1" s="1"/>
  <c r="H35" i="1"/>
  <c r="I35" i="1"/>
  <c r="H36" i="1"/>
  <c r="I36" i="1"/>
  <c r="K36" i="1" s="1"/>
  <c r="H37" i="1"/>
  <c r="I37" i="1"/>
  <c r="H38" i="1"/>
  <c r="I38" i="1"/>
  <c r="H39" i="1"/>
  <c r="I39" i="1"/>
  <c r="H40" i="1"/>
  <c r="I40" i="1"/>
  <c r="H41" i="1"/>
  <c r="I41" i="1"/>
  <c r="H42" i="1"/>
  <c r="I42" i="1"/>
  <c r="K42" i="1" s="1"/>
  <c r="H43" i="1"/>
  <c r="I43" i="1"/>
  <c r="H44" i="1"/>
  <c r="I44" i="1"/>
  <c r="K44" i="1" s="1"/>
  <c r="H45" i="1"/>
  <c r="I45" i="1"/>
  <c r="H46" i="1"/>
  <c r="I46" i="1"/>
  <c r="H47" i="1"/>
  <c r="I47" i="1"/>
  <c r="H48" i="1"/>
  <c r="I48" i="1"/>
  <c r="H49" i="1"/>
  <c r="I49" i="1"/>
  <c r="H50" i="1"/>
  <c r="I50" i="1"/>
  <c r="K50" i="1" s="1"/>
  <c r="H51" i="1"/>
  <c r="I51" i="1"/>
  <c r="H52" i="1"/>
  <c r="I52" i="1"/>
  <c r="K52" i="1" s="1"/>
  <c r="H53" i="1"/>
  <c r="I53" i="1"/>
  <c r="H54" i="1"/>
  <c r="I54" i="1"/>
  <c r="H55" i="1"/>
  <c r="I55" i="1"/>
  <c r="H56" i="1"/>
  <c r="I56" i="1"/>
  <c r="H57" i="1"/>
  <c r="I57" i="1"/>
  <c r="H58" i="1"/>
  <c r="I58" i="1"/>
  <c r="K58" i="1" s="1"/>
  <c r="H59" i="1"/>
  <c r="I59" i="1"/>
  <c r="H60" i="1"/>
  <c r="I60" i="1"/>
  <c r="K60" i="1" s="1"/>
  <c r="H61" i="1"/>
  <c r="I61" i="1"/>
  <c r="H62" i="1"/>
  <c r="I62" i="1"/>
  <c r="H63" i="1"/>
  <c r="I63" i="1"/>
  <c r="H64" i="1"/>
  <c r="I64" i="1"/>
  <c r="H65" i="1"/>
  <c r="I65" i="1"/>
  <c r="H66" i="1"/>
  <c r="I66" i="1"/>
  <c r="K66" i="1" s="1"/>
  <c r="H67" i="1"/>
  <c r="I67" i="1"/>
  <c r="H68" i="1"/>
  <c r="I68" i="1"/>
  <c r="K68" i="1" s="1"/>
  <c r="H69" i="1"/>
  <c r="I69" i="1"/>
  <c r="H70" i="1"/>
  <c r="I70" i="1"/>
  <c r="H71" i="1"/>
  <c r="I71" i="1"/>
  <c r="H72" i="1"/>
  <c r="I72" i="1"/>
  <c r="H73" i="1"/>
  <c r="I73" i="1"/>
  <c r="H74" i="1"/>
  <c r="I74" i="1"/>
  <c r="K74" i="1" s="1"/>
  <c r="H75" i="1"/>
  <c r="I75" i="1"/>
  <c r="H76" i="1"/>
  <c r="I76" i="1"/>
  <c r="K76" i="1" s="1"/>
  <c r="H77" i="1"/>
  <c r="I77" i="1"/>
  <c r="H78" i="1"/>
  <c r="I78" i="1"/>
  <c r="H79" i="1"/>
  <c r="I79" i="1"/>
  <c r="H80" i="1"/>
  <c r="I80" i="1"/>
  <c r="H81" i="1"/>
  <c r="I81" i="1"/>
  <c r="H82" i="1"/>
  <c r="I82" i="1"/>
  <c r="K82" i="1" s="1"/>
  <c r="H83" i="1"/>
  <c r="I83" i="1"/>
  <c r="H84" i="1"/>
  <c r="I84" i="1"/>
  <c r="K84" i="1" s="1"/>
  <c r="H85" i="1"/>
  <c r="I85" i="1"/>
  <c r="H86" i="1"/>
  <c r="I86" i="1"/>
  <c r="H87" i="1"/>
  <c r="I87" i="1"/>
  <c r="H88" i="1"/>
  <c r="I88" i="1"/>
  <c r="H89" i="1"/>
  <c r="I89" i="1"/>
  <c r="H90" i="1"/>
  <c r="I90" i="1"/>
  <c r="K90" i="1" s="1"/>
  <c r="H91" i="1"/>
  <c r="I91" i="1"/>
  <c r="H92" i="1"/>
  <c r="I92" i="1"/>
  <c r="K92" i="1" s="1"/>
  <c r="H93" i="1"/>
  <c r="I93" i="1"/>
  <c r="H94" i="1"/>
  <c r="I94" i="1"/>
  <c r="H95" i="1"/>
  <c r="I95" i="1"/>
  <c r="H96" i="1"/>
  <c r="I96" i="1"/>
  <c r="H97" i="1"/>
  <c r="I97" i="1"/>
  <c r="H98" i="1"/>
  <c r="I98" i="1"/>
  <c r="K98" i="1" s="1"/>
  <c r="H99" i="1"/>
  <c r="I99" i="1"/>
  <c r="H100" i="1"/>
  <c r="I100" i="1"/>
  <c r="K100" i="1" s="1"/>
  <c r="H101" i="1"/>
  <c r="I101" i="1"/>
  <c r="H102" i="1"/>
  <c r="I102" i="1"/>
  <c r="H103" i="1"/>
  <c r="I103" i="1"/>
  <c r="H104" i="1"/>
  <c r="I104" i="1"/>
  <c r="H105" i="1"/>
  <c r="I105" i="1"/>
  <c r="H106" i="1"/>
  <c r="I106" i="1"/>
  <c r="K106" i="1" s="1"/>
  <c r="H107" i="1"/>
  <c r="I107" i="1"/>
  <c r="H108" i="1"/>
  <c r="I108" i="1"/>
  <c r="K108" i="1" s="1"/>
  <c r="H109" i="1"/>
  <c r="I109" i="1"/>
  <c r="H110" i="1"/>
  <c r="I110" i="1"/>
  <c r="H111" i="1"/>
  <c r="I111" i="1"/>
  <c r="H112" i="1"/>
  <c r="I112" i="1"/>
  <c r="H113" i="1"/>
  <c r="I113" i="1"/>
  <c r="H114" i="1"/>
  <c r="I114" i="1"/>
  <c r="K114" i="1" s="1"/>
  <c r="H115" i="1"/>
  <c r="I115" i="1"/>
  <c r="H116" i="1"/>
  <c r="I116" i="1"/>
  <c r="K116" i="1" s="1"/>
  <c r="H117" i="1"/>
  <c r="I117" i="1"/>
  <c r="H118" i="1"/>
  <c r="I118" i="1"/>
  <c r="H119" i="1"/>
  <c r="I119" i="1"/>
  <c r="H120" i="1"/>
  <c r="I120" i="1"/>
  <c r="H121" i="1"/>
  <c r="I121" i="1"/>
  <c r="H122" i="1"/>
  <c r="I122" i="1"/>
  <c r="K122" i="1" s="1"/>
  <c r="H123" i="1"/>
  <c r="I123" i="1"/>
  <c r="H124" i="1"/>
  <c r="I124" i="1"/>
  <c r="K124" i="1" s="1"/>
  <c r="H125" i="1"/>
  <c r="I125" i="1"/>
  <c r="H126" i="1"/>
  <c r="I126" i="1"/>
  <c r="H127" i="1"/>
  <c r="I127" i="1"/>
  <c r="H128" i="1"/>
  <c r="I128" i="1"/>
  <c r="H129" i="1"/>
  <c r="I129" i="1"/>
  <c r="H130" i="1"/>
  <c r="I130" i="1"/>
  <c r="K130" i="1" s="1"/>
  <c r="H131" i="1"/>
  <c r="I131" i="1"/>
  <c r="H132" i="1"/>
  <c r="I132" i="1"/>
  <c r="K132" i="1" s="1"/>
  <c r="H133" i="1"/>
  <c r="I133" i="1"/>
  <c r="H134" i="1"/>
  <c r="I134" i="1"/>
  <c r="H135" i="1"/>
  <c r="I135" i="1"/>
  <c r="H136" i="1"/>
  <c r="I136" i="1"/>
  <c r="H137" i="1"/>
  <c r="I137" i="1"/>
  <c r="H138" i="1"/>
  <c r="I138" i="1"/>
  <c r="K138" i="1" s="1"/>
  <c r="H139" i="1"/>
  <c r="I139" i="1"/>
  <c r="H140" i="1"/>
  <c r="I140" i="1"/>
  <c r="K140" i="1" s="1"/>
  <c r="H141" i="1"/>
  <c r="I141" i="1"/>
  <c r="H142" i="1"/>
  <c r="I142" i="1"/>
  <c r="H143" i="1"/>
  <c r="I143" i="1"/>
  <c r="H144" i="1"/>
  <c r="I144" i="1"/>
  <c r="H145" i="1"/>
  <c r="I145" i="1"/>
  <c r="H146" i="1"/>
  <c r="I146" i="1"/>
  <c r="K146" i="1" s="1"/>
  <c r="H147" i="1"/>
  <c r="I147" i="1"/>
  <c r="H148" i="1"/>
  <c r="I148" i="1"/>
  <c r="K148" i="1" s="1"/>
  <c r="H149" i="1"/>
  <c r="I149" i="1"/>
  <c r="H150" i="1"/>
  <c r="I150" i="1"/>
  <c r="H151" i="1"/>
  <c r="I151" i="1"/>
  <c r="H152" i="1"/>
  <c r="I152" i="1"/>
  <c r="H153" i="1"/>
  <c r="I153" i="1"/>
  <c r="H154" i="1"/>
  <c r="I154" i="1"/>
  <c r="K154" i="1" s="1"/>
  <c r="H155" i="1"/>
  <c r="I155" i="1"/>
  <c r="H156" i="1"/>
  <c r="I156" i="1"/>
  <c r="K156" i="1" s="1"/>
  <c r="H157" i="1"/>
  <c r="I157" i="1"/>
  <c r="H158" i="1"/>
  <c r="I158" i="1"/>
  <c r="H159" i="1"/>
  <c r="I159" i="1"/>
  <c r="H160" i="1"/>
  <c r="I160" i="1"/>
  <c r="H161" i="1"/>
  <c r="I161" i="1"/>
  <c r="H162" i="1"/>
  <c r="I162" i="1"/>
  <c r="K162" i="1" s="1"/>
  <c r="H163" i="1"/>
  <c r="I163" i="1"/>
  <c r="H164" i="1"/>
  <c r="I164" i="1"/>
  <c r="K164" i="1" s="1"/>
  <c r="H165" i="1"/>
  <c r="I165" i="1"/>
  <c r="H166" i="1"/>
  <c r="I166" i="1"/>
  <c r="H167" i="1"/>
  <c r="I167" i="1"/>
  <c r="H168" i="1"/>
  <c r="I168" i="1"/>
  <c r="H169" i="1"/>
  <c r="I169" i="1"/>
  <c r="H170" i="1"/>
  <c r="I170" i="1"/>
  <c r="K170" i="1" s="1"/>
  <c r="H171" i="1"/>
  <c r="I171" i="1"/>
  <c r="H172" i="1"/>
  <c r="I172" i="1"/>
  <c r="K172" i="1" s="1"/>
  <c r="H173" i="1"/>
  <c r="I173" i="1"/>
  <c r="H174" i="1"/>
  <c r="I174" i="1"/>
  <c r="H175" i="1"/>
  <c r="I175" i="1"/>
  <c r="H176" i="1"/>
  <c r="I176" i="1"/>
  <c r="H177" i="1"/>
  <c r="I177" i="1"/>
  <c r="H178" i="1"/>
  <c r="I178" i="1"/>
  <c r="K178" i="1" s="1"/>
  <c r="H179" i="1"/>
  <c r="I179" i="1"/>
  <c r="H180" i="1"/>
  <c r="I180" i="1"/>
  <c r="K180" i="1" s="1"/>
  <c r="H181" i="1"/>
  <c r="I181" i="1"/>
  <c r="H182" i="1"/>
  <c r="I182" i="1"/>
  <c r="H183" i="1"/>
  <c r="I183" i="1"/>
  <c r="H184" i="1"/>
  <c r="I184" i="1"/>
  <c r="H185" i="1"/>
  <c r="I185" i="1"/>
  <c r="H186" i="1"/>
  <c r="I186" i="1"/>
  <c r="K186" i="1" s="1"/>
  <c r="H187" i="1"/>
  <c r="I187" i="1"/>
  <c r="H188" i="1"/>
  <c r="I188" i="1"/>
  <c r="K188" i="1" s="1"/>
  <c r="H189" i="1"/>
  <c r="I189" i="1"/>
  <c r="H190" i="1"/>
  <c r="I190" i="1"/>
  <c r="H191" i="1"/>
  <c r="I191" i="1"/>
  <c r="H192" i="1"/>
  <c r="I192" i="1"/>
  <c r="H193" i="1"/>
  <c r="I193" i="1"/>
  <c r="H194" i="1"/>
  <c r="I194" i="1"/>
  <c r="K194" i="1" s="1"/>
  <c r="H195" i="1"/>
  <c r="I195" i="1"/>
  <c r="H196" i="1"/>
  <c r="I196" i="1"/>
  <c r="K196" i="1" s="1"/>
  <c r="H197" i="1"/>
  <c r="I197" i="1"/>
  <c r="H198" i="1"/>
  <c r="I198" i="1"/>
  <c r="H199" i="1"/>
  <c r="I199" i="1"/>
  <c r="H200" i="1"/>
  <c r="I200" i="1"/>
  <c r="H201" i="1"/>
  <c r="I201" i="1"/>
  <c r="H202" i="1"/>
  <c r="I202" i="1"/>
  <c r="K202" i="1" s="1"/>
  <c r="H203" i="1"/>
  <c r="I203" i="1"/>
  <c r="H204" i="1"/>
  <c r="I204" i="1"/>
  <c r="K204" i="1" s="1"/>
  <c r="H205" i="1"/>
  <c r="I205" i="1"/>
  <c r="H206" i="1"/>
  <c r="I206" i="1"/>
  <c r="H207" i="1"/>
  <c r="I207" i="1"/>
  <c r="H208" i="1"/>
  <c r="I208" i="1"/>
  <c r="H209" i="1"/>
  <c r="I209" i="1"/>
  <c r="H210" i="1"/>
  <c r="I210" i="1"/>
  <c r="K210" i="1" s="1"/>
  <c r="H211" i="1"/>
  <c r="I211" i="1"/>
  <c r="H212" i="1"/>
  <c r="I212" i="1"/>
  <c r="K212" i="1" s="1"/>
  <c r="H213" i="1"/>
  <c r="I213" i="1"/>
  <c r="H214" i="1"/>
  <c r="I214" i="1"/>
  <c r="K214" i="1" s="1"/>
  <c r="H215" i="1"/>
  <c r="I215" i="1"/>
  <c r="H216" i="1"/>
  <c r="I216" i="1"/>
  <c r="H217" i="1"/>
  <c r="I217" i="1"/>
  <c r="K217" i="1" s="1"/>
  <c r="H218" i="1"/>
  <c r="I218" i="1"/>
  <c r="K218" i="1" s="1"/>
  <c r="H219" i="1"/>
  <c r="I219" i="1"/>
  <c r="H220" i="1"/>
  <c r="I220" i="1"/>
  <c r="K220" i="1" s="1"/>
  <c r="H221" i="1"/>
  <c r="I221" i="1"/>
  <c r="H222" i="1"/>
  <c r="I222" i="1"/>
  <c r="K222" i="1" s="1"/>
  <c r="H223" i="1"/>
  <c r="I223" i="1"/>
  <c r="H224" i="1"/>
  <c r="I224" i="1"/>
  <c r="H225" i="1"/>
  <c r="I225" i="1"/>
  <c r="K225" i="1" s="1"/>
  <c r="H226" i="1"/>
  <c r="I226" i="1"/>
  <c r="K226" i="1" s="1"/>
  <c r="H227" i="1"/>
  <c r="I227" i="1"/>
  <c r="H228" i="1"/>
  <c r="I228" i="1"/>
  <c r="K228" i="1" s="1"/>
  <c r="H229" i="1"/>
  <c r="I229" i="1"/>
  <c r="H230" i="1"/>
  <c r="I230" i="1"/>
  <c r="K230" i="1" s="1"/>
  <c r="H231" i="1"/>
  <c r="I231" i="1"/>
  <c r="H232" i="1"/>
  <c r="I232" i="1"/>
  <c r="H233" i="1"/>
  <c r="I233" i="1"/>
  <c r="K233" i="1" s="1"/>
  <c r="H234" i="1"/>
  <c r="I234" i="1"/>
  <c r="K234" i="1" s="1"/>
  <c r="H235" i="1"/>
  <c r="I235" i="1"/>
  <c r="H236" i="1"/>
  <c r="I236" i="1"/>
  <c r="K236" i="1" s="1"/>
  <c r="H237" i="1"/>
  <c r="I237" i="1"/>
  <c r="H238" i="1"/>
  <c r="I238" i="1"/>
  <c r="K238" i="1" s="1"/>
  <c r="H239" i="1"/>
  <c r="I239" i="1"/>
  <c r="H240" i="1"/>
  <c r="I240" i="1"/>
  <c r="H241" i="1"/>
  <c r="I241" i="1"/>
  <c r="K241" i="1" s="1"/>
  <c r="H242" i="1"/>
  <c r="I242" i="1"/>
  <c r="K242" i="1" s="1"/>
  <c r="H243" i="1"/>
  <c r="I243" i="1"/>
  <c r="H244" i="1"/>
  <c r="I244" i="1"/>
  <c r="K244" i="1" s="1"/>
  <c r="H245" i="1"/>
  <c r="I245" i="1"/>
  <c r="H246" i="1"/>
  <c r="I246" i="1"/>
  <c r="K246" i="1" s="1"/>
  <c r="H247" i="1"/>
  <c r="I247" i="1"/>
  <c r="H248" i="1"/>
  <c r="I248" i="1"/>
  <c r="H249" i="1"/>
  <c r="I249" i="1"/>
  <c r="K249" i="1" s="1"/>
  <c r="H250" i="1"/>
  <c r="I250" i="1"/>
  <c r="K250" i="1" s="1"/>
  <c r="H251" i="1"/>
  <c r="I251" i="1"/>
  <c r="H252" i="1"/>
  <c r="I252" i="1"/>
  <c r="K252" i="1" s="1"/>
  <c r="H253" i="1"/>
  <c r="I253" i="1"/>
  <c r="H254" i="1"/>
  <c r="I254" i="1"/>
  <c r="K254" i="1" s="1"/>
  <c r="H255" i="1"/>
  <c r="I255" i="1"/>
  <c r="H256" i="1"/>
  <c r="I256" i="1"/>
  <c r="H257" i="1"/>
  <c r="I257" i="1"/>
  <c r="K257" i="1" s="1"/>
  <c r="H258" i="1"/>
  <c r="I258" i="1"/>
  <c r="K258" i="1" s="1"/>
  <c r="H259" i="1"/>
  <c r="I259" i="1"/>
  <c r="H260" i="1"/>
  <c r="I260" i="1"/>
  <c r="K260" i="1" s="1"/>
  <c r="H261" i="1"/>
  <c r="I261" i="1"/>
  <c r="H262" i="1"/>
  <c r="I262" i="1"/>
  <c r="K262" i="1" s="1"/>
  <c r="H263" i="1"/>
  <c r="I263" i="1"/>
  <c r="H264" i="1"/>
  <c r="I264" i="1"/>
  <c r="H265" i="1"/>
  <c r="I265" i="1"/>
  <c r="K265" i="1" s="1"/>
  <c r="H266" i="1"/>
  <c r="I266" i="1"/>
  <c r="K266" i="1" s="1"/>
  <c r="H267" i="1"/>
  <c r="I267" i="1"/>
  <c r="H268" i="1"/>
  <c r="I268" i="1"/>
  <c r="K268" i="1" s="1"/>
  <c r="H269" i="1"/>
  <c r="I269" i="1"/>
  <c r="H270" i="1"/>
  <c r="I270" i="1"/>
  <c r="K270" i="1" s="1"/>
  <c r="H271" i="1"/>
  <c r="I271" i="1"/>
  <c r="H272" i="1"/>
  <c r="I272" i="1"/>
  <c r="H273" i="1"/>
  <c r="I273" i="1"/>
  <c r="K273" i="1" s="1"/>
  <c r="H274" i="1"/>
  <c r="I274" i="1"/>
  <c r="K274" i="1" s="1"/>
  <c r="H275" i="1"/>
  <c r="I275" i="1"/>
  <c r="K275" i="1" s="1"/>
  <c r="H276" i="1"/>
  <c r="I276" i="1"/>
  <c r="K276" i="1" s="1"/>
  <c r="H277" i="1"/>
  <c r="I277" i="1"/>
  <c r="K277" i="1" s="1"/>
  <c r="H278" i="1"/>
  <c r="I278" i="1"/>
  <c r="K278" i="1" s="1"/>
  <c r="H279" i="1"/>
  <c r="I279" i="1"/>
  <c r="K279" i="1" s="1"/>
  <c r="H280" i="1"/>
  <c r="I280" i="1"/>
  <c r="K280" i="1" s="1"/>
  <c r="H281" i="1"/>
  <c r="I281" i="1"/>
  <c r="K281" i="1" s="1"/>
  <c r="H282" i="1"/>
  <c r="I282" i="1"/>
  <c r="K282" i="1" s="1"/>
  <c r="H283" i="1"/>
  <c r="I283" i="1"/>
  <c r="K283" i="1" s="1"/>
  <c r="H284" i="1"/>
  <c r="I284" i="1"/>
  <c r="K284" i="1" s="1"/>
  <c r="H285" i="1"/>
  <c r="I285" i="1"/>
  <c r="K285" i="1" s="1"/>
  <c r="H286" i="1"/>
  <c r="I286" i="1"/>
  <c r="K286" i="1" s="1"/>
  <c r="H287" i="1"/>
  <c r="I287" i="1"/>
  <c r="K287" i="1" s="1"/>
  <c r="H288" i="1"/>
  <c r="I288" i="1"/>
  <c r="K288" i="1" s="1"/>
  <c r="H289" i="1"/>
  <c r="I289" i="1"/>
  <c r="K289" i="1" s="1"/>
  <c r="H290" i="1"/>
  <c r="I290" i="1"/>
  <c r="K290" i="1" s="1"/>
  <c r="H291" i="1"/>
  <c r="I291" i="1"/>
  <c r="K291" i="1" s="1"/>
  <c r="H292" i="1"/>
  <c r="I292" i="1"/>
  <c r="K292" i="1" s="1"/>
  <c r="H293" i="1"/>
  <c r="I293" i="1"/>
  <c r="K293" i="1" s="1"/>
  <c r="H294" i="1"/>
  <c r="I294" i="1"/>
  <c r="K294" i="1" s="1"/>
  <c r="H295" i="1"/>
  <c r="I295" i="1"/>
  <c r="K295" i="1" s="1"/>
  <c r="H296" i="1"/>
  <c r="I296" i="1"/>
  <c r="K296" i="1" s="1"/>
  <c r="H297" i="1"/>
  <c r="I297" i="1"/>
  <c r="K297" i="1" s="1"/>
  <c r="H298" i="1"/>
  <c r="I298" i="1"/>
  <c r="K298" i="1" s="1"/>
  <c r="H299" i="1"/>
  <c r="I299" i="1"/>
  <c r="K299" i="1" s="1"/>
  <c r="H300" i="1"/>
  <c r="I300" i="1"/>
  <c r="K300" i="1" s="1"/>
  <c r="H301" i="1"/>
  <c r="I301" i="1"/>
  <c r="K301" i="1" s="1"/>
  <c r="H302" i="1"/>
  <c r="I302" i="1"/>
  <c r="K302" i="1" s="1"/>
  <c r="H303" i="1"/>
  <c r="I303" i="1"/>
  <c r="K303" i="1" s="1"/>
  <c r="H304" i="1"/>
  <c r="I304" i="1"/>
  <c r="K304" i="1" s="1"/>
  <c r="H305" i="1"/>
  <c r="I305" i="1"/>
  <c r="K305" i="1" s="1"/>
  <c r="H306" i="1"/>
  <c r="I306" i="1"/>
  <c r="K306" i="1" s="1"/>
  <c r="H307" i="1"/>
  <c r="I307" i="1"/>
  <c r="K307" i="1" s="1"/>
  <c r="H308" i="1"/>
  <c r="I308" i="1"/>
  <c r="K308" i="1" s="1"/>
  <c r="H309" i="1"/>
  <c r="I309" i="1"/>
  <c r="K309" i="1" s="1"/>
  <c r="H310" i="1"/>
  <c r="I310" i="1"/>
  <c r="K310" i="1" s="1"/>
  <c r="H311" i="1"/>
  <c r="I311" i="1"/>
  <c r="K311" i="1" s="1"/>
  <c r="H312" i="1"/>
  <c r="I312" i="1"/>
  <c r="K312" i="1" s="1"/>
  <c r="H313" i="1"/>
  <c r="I313" i="1"/>
  <c r="K313" i="1" s="1"/>
  <c r="H314" i="1"/>
  <c r="I314" i="1"/>
  <c r="K314" i="1" s="1"/>
  <c r="H315" i="1"/>
  <c r="I315" i="1"/>
  <c r="K315" i="1" s="1"/>
  <c r="H316" i="1"/>
  <c r="I316" i="1"/>
  <c r="K316" i="1" s="1"/>
  <c r="H317" i="1"/>
  <c r="I317" i="1"/>
  <c r="K317" i="1" s="1"/>
  <c r="H318" i="1"/>
  <c r="I318" i="1"/>
  <c r="K318" i="1" s="1"/>
  <c r="H319" i="1"/>
  <c r="I319" i="1"/>
  <c r="K319" i="1" s="1"/>
  <c r="H320" i="1"/>
  <c r="I320" i="1"/>
  <c r="K320" i="1" s="1"/>
  <c r="H321" i="1"/>
  <c r="I321" i="1"/>
  <c r="K321" i="1" s="1"/>
  <c r="H322" i="1"/>
  <c r="I322" i="1"/>
  <c r="K322" i="1" s="1"/>
  <c r="H323" i="1"/>
  <c r="I323" i="1"/>
  <c r="K323" i="1" s="1"/>
  <c r="H324" i="1"/>
  <c r="I324" i="1"/>
  <c r="K324" i="1" s="1"/>
  <c r="H325" i="1"/>
  <c r="I325" i="1"/>
  <c r="K325" i="1" s="1"/>
  <c r="H326" i="1"/>
  <c r="I326" i="1"/>
  <c r="K326" i="1" s="1"/>
  <c r="H327" i="1"/>
  <c r="I327" i="1"/>
  <c r="K327" i="1" s="1"/>
  <c r="H328" i="1"/>
  <c r="I328" i="1"/>
  <c r="K328" i="1" s="1"/>
  <c r="H329" i="1"/>
  <c r="I329" i="1"/>
  <c r="K329" i="1" s="1"/>
  <c r="H330" i="1"/>
  <c r="I330" i="1"/>
  <c r="K330" i="1" s="1"/>
  <c r="H331" i="1"/>
  <c r="I331" i="1"/>
  <c r="K331" i="1" s="1"/>
  <c r="H332" i="1"/>
  <c r="I332" i="1"/>
  <c r="K332" i="1" s="1"/>
  <c r="H333" i="1"/>
  <c r="I333" i="1"/>
  <c r="K333" i="1" s="1"/>
  <c r="H334" i="1"/>
  <c r="I334" i="1"/>
  <c r="K334" i="1" s="1"/>
  <c r="H335" i="1"/>
  <c r="I335" i="1"/>
  <c r="K335" i="1" s="1"/>
  <c r="H336" i="1"/>
  <c r="I336" i="1"/>
  <c r="K336" i="1" s="1"/>
  <c r="H337" i="1"/>
  <c r="I337" i="1"/>
  <c r="K337" i="1" s="1"/>
  <c r="H338" i="1"/>
  <c r="I338" i="1"/>
  <c r="K338" i="1" s="1"/>
  <c r="H339" i="1"/>
  <c r="I339" i="1"/>
  <c r="K339" i="1" s="1"/>
  <c r="H340" i="1"/>
  <c r="I340" i="1"/>
  <c r="K340" i="1" s="1"/>
  <c r="H341" i="1"/>
  <c r="I341" i="1"/>
  <c r="K341" i="1" s="1"/>
  <c r="H342" i="1"/>
  <c r="I342" i="1"/>
  <c r="K342" i="1" s="1"/>
  <c r="H343" i="1"/>
  <c r="I343" i="1"/>
  <c r="K343" i="1" s="1"/>
  <c r="H344" i="1"/>
  <c r="I344" i="1"/>
  <c r="K344" i="1" s="1"/>
  <c r="H345" i="1"/>
  <c r="I345" i="1"/>
  <c r="K345" i="1" s="1"/>
  <c r="H346" i="1"/>
  <c r="I346" i="1"/>
  <c r="K346" i="1" s="1"/>
  <c r="H347" i="1"/>
  <c r="I347" i="1"/>
  <c r="K347" i="1" s="1"/>
  <c r="H348" i="1"/>
  <c r="I348" i="1"/>
  <c r="K348" i="1" s="1"/>
  <c r="H349" i="1"/>
  <c r="I349" i="1"/>
  <c r="K349" i="1" s="1"/>
  <c r="H350" i="1"/>
  <c r="I350" i="1"/>
  <c r="K350" i="1" s="1"/>
  <c r="H351" i="1"/>
  <c r="I351" i="1"/>
  <c r="K351" i="1" s="1"/>
  <c r="H352" i="1"/>
  <c r="I352" i="1"/>
  <c r="K352" i="1" s="1"/>
  <c r="H353" i="1"/>
  <c r="I353" i="1"/>
  <c r="K353" i="1" s="1"/>
  <c r="H354" i="1"/>
  <c r="I354" i="1"/>
  <c r="K354" i="1" s="1"/>
  <c r="H355" i="1"/>
  <c r="I355" i="1"/>
  <c r="K355" i="1" s="1"/>
  <c r="H356" i="1"/>
  <c r="I356" i="1"/>
  <c r="K356" i="1" s="1"/>
  <c r="H357" i="1"/>
  <c r="I357" i="1"/>
  <c r="K357" i="1" s="1"/>
  <c r="H358" i="1"/>
  <c r="I358" i="1"/>
  <c r="K358" i="1" s="1"/>
  <c r="H359" i="1"/>
  <c r="I359" i="1"/>
  <c r="K359" i="1" s="1"/>
  <c r="H360" i="1"/>
  <c r="I360" i="1"/>
  <c r="K360" i="1" s="1"/>
  <c r="H361" i="1"/>
  <c r="I361" i="1"/>
  <c r="K361" i="1" s="1"/>
  <c r="H362" i="1"/>
  <c r="I362" i="1"/>
  <c r="K362" i="1" s="1"/>
  <c r="H363" i="1"/>
  <c r="I363" i="1"/>
  <c r="K363" i="1" s="1"/>
  <c r="H364" i="1"/>
  <c r="I364" i="1"/>
  <c r="K364" i="1" s="1"/>
  <c r="H365" i="1"/>
  <c r="I365" i="1"/>
  <c r="K365" i="1" s="1"/>
  <c r="H366" i="1"/>
  <c r="I366" i="1"/>
  <c r="K366" i="1" s="1"/>
  <c r="H367" i="1"/>
  <c r="I367" i="1"/>
  <c r="K367" i="1" s="1"/>
  <c r="H368" i="1"/>
  <c r="I368" i="1"/>
  <c r="K368" i="1" s="1"/>
  <c r="H369" i="1"/>
  <c r="I369" i="1"/>
  <c r="K369" i="1" s="1"/>
  <c r="H370" i="1"/>
  <c r="I370" i="1"/>
  <c r="K370" i="1" s="1"/>
  <c r="H371" i="1"/>
  <c r="I371" i="1"/>
  <c r="K371" i="1" s="1"/>
  <c r="H372" i="1"/>
  <c r="I372" i="1"/>
  <c r="K372" i="1" s="1"/>
  <c r="H373" i="1"/>
  <c r="I373" i="1"/>
  <c r="K373" i="1" s="1"/>
  <c r="H374" i="1"/>
  <c r="I374" i="1"/>
  <c r="K374" i="1" s="1"/>
  <c r="H375" i="1"/>
  <c r="I375" i="1"/>
  <c r="K375" i="1" s="1"/>
  <c r="H376" i="1"/>
  <c r="I376" i="1"/>
  <c r="K376" i="1" s="1"/>
  <c r="H377" i="1"/>
  <c r="I377" i="1"/>
  <c r="K377" i="1" s="1"/>
  <c r="H378" i="1"/>
  <c r="I378" i="1"/>
  <c r="K378" i="1" s="1"/>
  <c r="H379" i="1"/>
  <c r="I379" i="1"/>
  <c r="K379" i="1" s="1"/>
  <c r="H380" i="1"/>
  <c r="I380" i="1"/>
  <c r="K380" i="1" s="1"/>
  <c r="H381" i="1"/>
  <c r="I381" i="1"/>
  <c r="K381" i="1" s="1"/>
  <c r="H382" i="1"/>
  <c r="I382" i="1"/>
  <c r="K382" i="1" s="1"/>
  <c r="H383" i="1"/>
  <c r="I383" i="1"/>
  <c r="K383" i="1" s="1"/>
  <c r="H384" i="1"/>
  <c r="I384" i="1"/>
  <c r="K384" i="1" s="1"/>
  <c r="H385" i="1"/>
  <c r="I385" i="1"/>
  <c r="K385" i="1" s="1"/>
  <c r="H386" i="1"/>
  <c r="I386" i="1"/>
  <c r="K386" i="1" s="1"/>
  <c r="H387" i="1"/>
  <c r="I387" i="1"/>
  <c r="K387" i="1" s="1"/>
  <c r="H388" i="1"/>
  <c r="I388" i="1"/>
  <c r="K388" i="1" s="1"/>
  <c r="H389" i="1"/>
  <c r="I389" i="1"/>
  <c r="K389" i="1" s="1"/>
  <c r="H390" i="1"/>
  <c r="I390" i="1"/>
  <c r="K390" i="1" s="1"/>
  <c r="H391" i="1"/>
  <c r="I391" i="1"/>
  <c r="K391" i="1" s="1"/>
  <c r="H392" i="1"/>
  <c r="I392" i="1"/>
  <c r="K392" i="1" s="1"/>
  <c r="H393" i="1"/>
  <c r="I393" i="1"/>
  <c r="K393" i="1" s="1"/>
  <c r="H394" i="1"/>
  <c r="I394" i="1"/>
  <c r="K394" i="1" s="1"/>
  <c r="H395" i="1"/>
  <c r="I395" i="1"/>
  <c r="K395" i="1" s="1"/>
  <c r="H396" i="1"/>
  <c r="I396" i="1"/>
  <c r="K396" i="1" s="1"/>
  <c r="H397" i="1"/>
  <c r="I397" i="1"/>
  <c r="K397" i="1" s="1"/>
  <c r="H398" i="1"/>
  <c r="I398" i="1"/>
  <c r="K398" i="1" s="1"/>
  <c r="H399" i="1"/>
  <c r="I399" i="1"/>
  <c r="K399" i="1" s="1"/>
  <c r="H400" i="1"/>
  <c r="I400" i="1"/>
  <c r="K400" i="1" s="1"/>
  <c r="H401" i="1"/>
  <c r="I401" i="1"/>
  <c r="K401" i="1" s="1"/>
  <c r="H402" i="1"/>
  <c r="I402" i="1"/>
  <c r="K402" i="1" s="1"/>
  <c r="H403" i="1"/>
  <c r="I403" i="1"/>
  <c r="K403" i="1" s="1"/>
  <c r="H404" i="1"/>
  <c r="I404" i="1"/>
  <c r="K404" i="1" s="1"/>
  <c r="H405" i="1"/>
  <c r="I405" i="1"/>
  <c r="K405" i="1" s="1"/>
  <c r="H406" i="1"/>
  <c r="I406" i="1"/>
  <c r="K406" i="1" s="1"/>
  <c r="H407" i="1"/>
  <c r="I407" i="1"/>
  <c r="K407" i="1" s="1"/>
  <c r="H408" i="1"/>
  <c r="I408" i="1"/>
  <c r="K408" i="1" s="1"/>
  <c r="H409" i="1"/>
  <c r="I409" i="1"/>
  <c r="K409" i="1" s="1"/>
  <c r="H410" i="1"/>
  <c r="I410" i="1"/>
  <c r="K410" i="1" s="1"/>
  <c r="H411" i="1"/>
  <c r="I411" i="1"/>
  <c r="K411" i="1" s="1"/>
  <c r="H412" i="1"/>
  <c r="I412" i="1"/>
  <c r="K412" i="1" s="1"/>
  <c r="H413" i="1"/>
  <c r="I413" i="1"/>
  <c r="K413" i="1" s="1"/>
  <c r="H414" i="1"/>
  <c r="I414" i="1"/>
  <c r="K414" i="1" s="1"/>
  <c r="H415" i="1"/>
  <c r="I415" i="1"/>
  <c r="K415" i="1" s="1"/>
  <c r="H416" i="1"/>
  <c r="I416" i="1"/>
  <c r="K416" i="1" s="1"/>
  <c r="H417" i="1"/>
  <c r="I417" i="1"/>
  <c r="K417" i="1" s="1"/>
  <c r="H418" i="1"/>
  <c r="I418" i="1"/>
  <c r="K418" i="1" s="1"/>
  <c r="H419" i="1"/>
  <c r="I419" i="1"/>
  <c r="K419" i="1" s="1"/>
  <c r="H420" i="1"/>
  <c r="I420" i="1"/>
  <c r="K420" i="1" s="1"/>
  <c r="H421" i="1"/>
  <c r="I421" i="1"/>
  <c r="K421" i="1" s="1"/>
  <c r="H422" i="1"/>
  <c r="I422" i="1"/>
  <c r="K422" i="1" s="1"/>
  <c r="H423" i="1"/>
  <c r="I423" i="1"/>
  <c r="K423" i="1" s="1"/>
  <c r="H424" i="1"/>
  <c r="I424" i="1"/>
  <c r="K424" i="1" s="1"/>
  <c r="H425" i="1"/>
  <c r="I425" i="1"/>
  <c r="K425" i="1" s="1"/>
  <c r="H426" i="1"/>
  <c r="I426" i="1"/>
  <c r="K426" i="1" s="1"/>
  <c r="H427" i="1"/>
  <c r="I427" i="1"/>
  <c r="K427" i="1" s="1"/>
  <c r="H428" i="1"/>
  <c r="I428" i="1"/>
  <c r="K428" i="1" s="1"/>
  <c r="H429" i="1"/>
  <c r="I429" i="1"/>
  <c r="K429" i="1" s="1"/>
  <c r="H430" i="1"/>
  <c r="I430" i="1"/>
  <c r="K430" i="1" s="1"/>
  <c r="H431" i="1"/>
  <c r="I431" i="1"/>
  <c r="K431" i="1" s="1"/>
  <c r="H432" i="1"/>
  <c r="I432" i="1"/>
  <c r="K432" i="1" s="1"/>
  <c r="H433" i="1"/>
  <c r="I433" i="1"/>
  <c r="K433" i="1" s="1"/>
  <c r="H434" i="1"/>
  <c r="I434" i="1"/>
  <c r="K434" i="1" s="1"/>
  <c r="H435" i="1"/>
  <c r="I435" i="1"/>
  <c r="K435" i="1" s="1"/>
  <c r="H436" i="1"/>
  <c r="I436" i="1"/>
  <c r="K436" i="1" s="1"/>
  <c r="H437" i="1"/>
  <c r="I437" i="1"/>
  <c r="K437" i="1" s="1"/>
  <c r="H438" i="1"/>
  <c r="I438" i="1"/>
  <c r="K438" i="1" s="1"/>
  <c r="H439" i="1"/>
  <c r="I439" i="1"/>
  <c r="K439" i="1" s="1"/>
  <c r="H440" i="1"/>
  <c r="I440" i="1"/>
  <c r="K440" i="1" s="1"/>
  <c r="H441" i="1"/>
  <c r="I441" i="1"/>
  <c r="K441" i="1" s="1"/>
  <c r="H442" i="1"/>
  <c r="I442" i="1"/>
  <c r="K442" i="1" s="1"/>
  <c r="H443" i="1"/>
  <c r="I443" i="1"/>
  <c r="K443" i="1" s="1"/>
  <c r="H444" i="1"/>
  <c r="I444" i="1"/>
  <c r="K444" i="1" s="1"/>
  <c r="H445" i="1"/>
  <c r="I445" i="1"/>
  <c r="K445" i="1" s="1"/>
  <c r="H446" i="1"/>
  <c r="I446" i="1"/>
  <c r="K446" i="1" s="1"/>
  <c r="H447" i="1"/>
  <c r="I447" i="1"/>
  <c r="K447" i="1" s="1"/>
  <c r="H448" i="1"/>
  <c r="I448" i="1"/>
  <c r="K448" i="1" s="1"/>
  <c r="H449" i="1"/>
  <c r="I449" i="1"/>
  <c r="K449" i="1" s="1"/>
  <c r="H450" i="1"/>
  <c r="I450" i="1"/>
  <c r="K450" i="1" s="1"/>
  <c r="H451" i="1"/>
  <c r="I451" i="1"/>
  <c r="K451" i="1" s="1"/>
  <c r="H452" i="1"/>
  <c r="I452" i="1"/>
  <c r="K452" i="1" s="1"/>
  <c r="H453" i="1"/>
  <c r="I453" i="1"/>
  <c r="K453" i="1" s="1"/>
  <c r="H454" i="1"/>
  <c r="I454" i="1"/>
  <c r="K454" i="1" s="1"/>
  <c r="H455" i="1"/>
  <c r="I455" i="1"/>
  <c r="K455" i="1" s="1"/>
  <c r="H456" i="1"/>
  <c r="I456" i="1"/>
  <c r="K456" i="1" s="1"/>
  <c r="H457" i="1"/>
  <c r="I457" i="1"/>
  <c r="K457" i="1" s="1"/>
  <c r="H458" i="1"/>
  <c r="I458" i="1"/>
  <c r="K458" i="1" s="1"/>
  <c r="H459" i="1"/>
  <c r="I459" i="1"/>
  <c r="K459" i="1" s="1"/>
  <c r="H460" i="1"/>
  <c r="I460" i="1"/>
  <c r="K460" i="1" s="1"/>
  <c r="H461" i="1"/>
  <c r="I461" i="1"/>
  <c r="K461" i="1" s="1"/>
  <c r="H462" i="1"/>
  <c r="I462" i="1"/>
  <c r="K462" i="1" s="1"/>
  <c r="H463" i="1"/>
  <c r="I463" i="1"/>
  <c r="K463" i="1" s="1"/>
  <c r="H464" i="1"/>
  <c r="I464" i="1"/>
  <c r="K464" i="1" s="1"/>
  <c r="H465" i="1"/>
  <c r="I465" i="1"/>
  <c r="K465" i="1" s="1"/>
  <c r="H466" i="1"/>
  <c r="I466" i="1"/>
  <c r="K466" i="1" s="1"/>
  <c r="H467" i="1"/>
  <c r="I467" i="1"/>
  <c r="K467" i="1" s="1"/>
  <c r="H468" i="1"/>
  <c r="I468" i="1"/>
  <c r="K468" i="1" s="1"/>
  <c r="H469" i="1"/>
  <c r="I469" i="1"/>
  <c r="K469" i="1" s="1"/>
  <c r="H470" i="1"/>
  <c r="I470" i="1"/>
  <c r="K470" i="1" s="1"/>
  <c r="H471" i="1"/>
  <c r="I471" i="1"/>
  <c r="K471" i="1" s="1"/>
  <c r="H472" i="1"/>
  <c r="I472" i="1"/>
  <c r="K472" i="1" s="1"/>
  <c r="H473" i="1"/>
  <c r="I473" i="1"/>
  <c r="K473" i="1" s="1"/>
  <c r="H474" i="1"/>
  <c r="I474" i="1"/>
  <c r="K474" i="1" s="1"/>
  <c r="H475" i="1"/>
  <c r="I475" i="1"/>
  <c r="K475" i="1" s="1"/>
  <c r="H476" i="1"/>
  <c r="I476" i="1"/>
  <c r="K476" i="1" s="1"/>
  <c r="H477" i="1"/>
  <c r="I477" i="1"/>
  <c r="K477" i="1" s="1"/>
  <c r="H478" i="1"/>
  <c r="I478" i="1"/>
  <c r="K478" i="1" s="1"/>
  <c r="H479" i="1"/>
  <c r="I479" i="1"/>
  <c r="K479" i="1" s="1"/>
  <c r="H480" i="1"/>
  <c r="I480" i="1"/>
  <c r="K480" i="1" s="1"/>
  <c r="H481" i="1"/>
  <c r="I481" i="1"/>
  <c r="K481" i="1" s="1"/>
  <c r="H482" i="1"/>
  <c r="I482" i="1"/>
  <c r="K482" i="1" s="1"/>
  <c r="H483" i="1"/>
  <c r="I483" i="1"/>
  <c r="K483" i="1" s="1"/>
  <c r="H484" i="1"/>
  <c r="I484" i="1"/>
  <c r="K484" i="1" s="1"/>
  <c r="H485" i="1"/>
  <c r="I485" i="1"/>
  <c r="K485" i="1" s="1"/>
  <c r="H486" i="1"/>
  <c r="I486" i="1"/>
  <c r="K486" i="1" s="1"/>
  <c r="H487" i="1"/>
  <c r="I487" i="1"/>
  <c r="K487" i="1" s="1"/>
  <c r="H488" i="1"/>
  <c r="I488" i="1"/>
  <c r="K488" i="1" s="1"/>
  <c r="H489" i="1"/>
  <c r="I489" i="1"/>
  <c r="K489" i="1" s="1"/>
  <c r="H490" i="1"/>
  <c r="I490" i="1"/>
  <c r="K490" i="1" s="1"/>
  <c r="H491" i="1"/>
  <c r="I491" i="1"/>
  <c r="K491" i="1" s="1"/>
  <c r="H492" i="1"/>
  <c r="I492" i="1"/>
  <c r="K492" i="1" s="1"/>
  <c r="H493" i="1"/>
  <c r="I493" i="1"/>
  <c r="K493" i="1" s="1"/>
  <c r="H494" i="1"/>
  <c r="I494" i="1"/>
  <c r="K494" i="1" s="1"/>
  <c r="H495" i="1"/>
  <c r="I495" i="1"/>
  <c r="K495" i="1" s="1"/>
  <c r="H496" i="1"/>
  <c r="I496" i="1"/>
  <c r="K496" i="1" s="1"/>
  <c r="H497" i="1"/>
  <c r="I497" i="1"/>
  <c r="K497" i="1" s="1"/>
  <c r="H498" i="1"/>
  <c r="I498" i="1"/>
  <c r="K498" i="1" s="1"/>
  <c r="H499" i="1"/>
  <c r="I499" i="1"/>
  <c r="K499" i="1" s="1"/>
  <c r="H500" i="1"/>
  <c r="I500" i="1"/>
  <c r="K500" i="1" s="1"/>
  <c r="H501" i="1"/>
  <c r="I501" i="1"/>
  <c r="K501" i="1" s="1"/>
  <c r="H502" i="1"/>
  <c r="I502" i="1"/>
  <c r="K502" i="1" s="1"/>
  <c r="H503" i="1"/>
  <c r="I503" i="1"/>
  <c r="K503" i="1" s="1"/>
  <c r="H504" i="1"/>
  <c r="I504" i="1"/>
  <c r="K504" i="1" s="1"/>
  <c r="H505" i="1"/>
  <c r="I505" i="1"/>
  <c r="K505" i="1" s="1"/>
  <c r="H506" i="1"/>
  <c r="I506" i="1"/>
  <c r="K506" i="1" s="1"/>
  <c r="H507" i="1"/>
  <c r="I507" i="1"/>
  <c r="K507" i="1" s="1"/>
  <c r="H508" i="1"/>
  <c r="I508" i="1"/>
  <c r="K508" i="1" s="1"/>
  <c r="H509" i="1"/>
  <c r="I509" i="1"/>
  <c r="K509" i="1" s="1"/>
  <c r="H510" i="1"/>
  <c r="I510" i="1"/>
  <c r="K510" i="1" s="1"/>
  <c r="H511" i="1"/>
  <c r="I511" i="1"/>
  <c r="K511" i="1" s="1"/>
  <c r="H512" i="1"/>
  <c r="I512" i="1"/>
  <c r="K512" i="1" s="1"/>
  <c r="H513" i="1"/>
  <c r="I513" i="1"/>
  <c r="K513" i="1" s="1"/>
  <c r="H514" i="1"/>
  <c r="I514" i="1"/>
  <c r="K514" i="1" s="1"/>
  <c r="H515" i="1"/>
  <c r="I515" i="1"/>
  <c r="K515" i="1" s="1"/>
  <c r="H516" i="1"/>
  <c r="I516" i="1"/>
  <c r="K516" i="1" s="1"/>
  <c r="H517" i="1"/>
  <c r="I517" i="1"/>
  <c r="K517" i="1" s="1"/>
  <c r="H518" i="1"/>
  <c r="I518" i="1"/>
  <c r="K518" i="1" s="1"/>
  <c r="H519" i="1"/>
  <c r="I519" i="1"/>
  <c r="K519" i="1" s="1"/>
  <c r="H520" i="1"/>
  <c r="I520" i="1"/>
  <c r="K520" i="1" s="1"/>
  <c r="H521" i="1"/>
  <c r="I521" i="1"/>
  <c r="K521" i="1" s="1"/>
  <c r="H522" i="1"/>
  <c r="I522" i="1"/>
  <c r="K522" i="1" s="1"/>
  <c r="H523" i="1"/>
  <c r="I523" i="1"/>
  <c r="K523" i="1" s="1"/>
  <c r="H524" i="1"/>
  <c r="I524" i="1"/>
  <c r="K524" i="1" s="1"/>
  <c r="H525" i="1"/>
  <c r="I525" i="1"/>
  <c r="K525" i="1" s="1"/>
  <c r="H526" i="1"/>
  <c r="I526" i="1"/>
  <c r="K526" i="1" s="1"/>
  <c r="H527" i="1"/>
  <c r="I527" i="1"/>
  <c r="K527" i="1" s="1"/>
  <c r="H528" i="1"/>
  <c r="I528" i="1"/>
  <c r="K528" i="1" s="1"/>
  <c r="H529" i="1"/>
  <c r="I529" i="1"/>
  <c r="K529" i="1" s="1"/>
  <c r="H530" i="1"/>
  <c r="I530" i="1"/>
  <c r="K530" i="1" s="1"/>
  <c r="H531" i="1"/>
  <c r="I531" i="1"/>
  <c r="K531" i="1" s="1"/>
  <c r="H532" i="1"/>
  <c r="I532" i="1"/>
  <c r="K532" i="1" s="1"/>
  <c r="H533" i="1"/>
  <c r="I533" i="1"/>
  <c r="K533" i="1" s="1"/>
  <c r="H534" i="1"/>
  <c r="I534" i="1"/>
  <c r="K534" i="1" s="1"/>
  <c r="H535" i="1"/>
  <c r="I535" i="1"/>
  <c r="K535" i="1" s="1"/>
  <c r="H536" i="1"/>
  <c r="I536" i="1"/>
  <c r="K536" i="1" s="1"/>
  <c r="H537" i="1"/>
  <c r="I537" i="1"/>
  <c r="K537" i="1" s="1"/>
  <c r="H538" i="1"/>
  <c r="I538" i="1"/>
  <c r="K538" i="1" s="1"/>
  <c r="H539" i="1"/>
  <c r="I539" i="1"/>
  <c r="K539" i="1" s="1"/>
  <c r="H540" i="1"/>
  <c r="I540" i="1"/>
  <c r="K540" i="1" s="1"/>
  <c r="H541" i="1"/>
  <c r="I541" i="1"/>
  <c r="K541" i="1" s="1"/>
  <c r="H542" i="1"/>
  <c r="I542" i="1"/>
  <c r="K542" i="1" s="1"/>
  <c r="H543" i="1"/>
  <c r="I543" i="1"/>
  <c r="K543" i="1" s="1"/>
  <c r="H544" i="1"/>
  <c r="I544" i="1"/>
  <c r="K544" i="1" s="1"/>
  <c r="H545" i="1"/>
  <c r="I545" i="1"/>
  <c r="K545" i="1" s="1"/>
  <c r="H546" i="1"/>
  <c r="I546" i="1"/>
  <c r="K546" i="1" s="1"/>
  <c r="H547" i="1"/>
  <c r="I547" i="1"/>
  <c r="K547" i="1" s="1"/>
  <c r="H548" i="1"/>
  <c r="I548" i="1"/>
  <c r="K548" i="1" s="1"/>
  <c r="H549" i="1"/>
  <c r="I549" i="1"/>
  <c r="K549" i="1" s="1"/>
  <c r="H550" i="1"/>
  <c r="I550" i="1"/>
  <c r="K550" i="1" s="1"/>
  <c r="H551" i="1"/>
  <c r="I551" i="1"/>
  <c r="K551" i="1" s="1"/>
  <c r="H552" i="1"/>
  <c r="I552" i="1"/>
  <c r="K552" i="1" s="1"/>
  <c r="H553" i="1"/>
  <c r="I553" i="1"/>
  <c r="K553" i="1" s="1"/>
  <c r="H554" i="1"/>
  <c r="I554" i="1"/>
  <c r="K554" i="1" s="1"/>
  <c r="H555" i="1"/>
  <c r="I555" i="1"/>
  <c r="K555" i="1" s="1"/>
  <c r="H556" i="1"/>
  <c r="I556" i="1"/>
  <c r="K556" i="1" s="1"/>
  <c r="H557" i="1"/>
  <c r="I557" i="1"/>
  <c r="K557" i="1" s="1"/>
  <c r="H558" i="1"/>
  <c r="I558" i="1"/>
  <c r="K558" i="1" s="1"/>
  <c r="H559" i="1"/>
  <c r="I559" i="1"/>
  <c r="K559" i="1" s="1"/>
  <c r="H560" i="1"/>
  <c r="I560" i="1"/>
  <c r="K560" i="1" s="1"/>
  <c r="H561" i="1"/>
  <c r="I561" i="1"/>
  <c r="K561" i="1" s="1"/>
  <c r="H562" i="1"/>
  <c r="I562" i="1"/>
  <c r="K562" i="1" s="1"/>
  <c r="H563" i="1"/>
  <c r="I563" i="1"/>
  <c r="K563" i="1" s="1"/>
  <c r="H564" i="1"/>
  <c r="I564" i="1"/>
  <c r="K564" i="1" s="1"/>
  <c r="H565" i="1"/>
  <c r="I565" i="1"/>
  <c r="K565" i="1" s="1"/>
  <c r="H566" i="1"/>
  <c r="I566" i="1"/>
  <c r="K566" i="1" s="1"/>
  <c r="H567" i="1"/>
  <c r="I567" i="1"/>
  <c r="K567" i="1" s="1"/>
  <c r="H568" i="1"/>
  <c r="I568" i="1"/>
  <c r="K568" i="1" s="1"/>
  <c r="H569" i="1"/>
  <c r="I569" i="1"/>
  <c r="K569" i="1" s="1"/>
  <c r="H570" i="1"/>
  <c r="I570" i="1"/>
  <c r="K570" i="1" s="1"/>
  <c r="H571" i="1"/>
  <c r="I571" i="1"/>
  <c r="K571" i="1" s="1"/>
  <c r="H572" i="1"/>
  <c r="I572" i="1"/>
  <c r="K572" i="1" s="1"/>
  <c r="H573" i="1"/>
  <c r="I573" i="1"/>
  <c r="K573" i="1" s="1"/>
  <c r="H574" i="1"/>
  <c r="I574" i="1"/>
  <c r="K574" i="1" s="1"/>
  <c r="H575" i="1"/>
  <c r="I575" i="1"/>
  <c r="K575" i="1" s="1"/>
  <c r="H576" i="1"/>
  <c r="I576" i="1"/>
  <c r="K576" i="1" s="1"/>
  <c r="H577" i="1"/>
  <c r="I577" i="1"/>
  <c r="K577" i="1" s="1"/>
  <c r="H578" i="1"/>
  <c r="I578" i="1"/>
  <c r="K578" i="1" s="1"/>
  <c r="H579" i="1"/>
  <c r="I579" i="1"/>
  <c r="K579" i="1" s="1"/>
  <c r="H580" i="1"/>
  <c r="I580" i="1"/>
  <c r="K580" i="1" s="1"/>
  <c r="H581" i="1"/>
  <c r="I581" i="1"/>
  <c r="K581" i="1" s="1"/>
  <c r="H582" i="1"/>
  <c r="I582" i="1"/>
  <c r="K582" i="1" s="1"/>
  <c r="H583" i="1"/>
  <c r="I583" i="1"/>
  <c r="K583" i="1" s="1"/>
  <c r="H584" i="1"/>
  <c r="I584" i="1"/>
  <c r="K584" i="1" s="1"/>
  <c r="H585" i="1"/>
  <c r="I585" i="1"/>
  <c r="K585" i="1" s="1"/>
  <c r="H586" i="1"/>
  <c r="I586" i="1"/>
  <c r="K586" i="1" s="1"/>
  <c r="H587" i="1"/>
  <c r="I587" i="1"/>
  <c r="K587" i="1" s="1"/>
  <c r="H588" i="1"/>
  <c r="I588" i="1"/>
  <c r="K588" i="1" s="1"/>
  <c r="H589" i="1"/>
  <c r="I589" i="1"/>
  <c r="K589" i="1" s="1"/>
  <c r="H590" i="1"/>
  <c r="I590" i="1"/>
  <c r="K590" i="1" s="1"/>
  <c r="H591" i="1"/>
  <c r="I591" i="1"/>
  <c r="K591" i="1" s="1"/>
  <c r="H592" i="1"/>
  <c r="I592" i="1"/>
  <c r="K592" i="1" s="1"/>
  <c r="H593" i="1"/>
  <c r="I593" i="1"/>
  <c r="K593" i="1" s="1"/>
  <c r="H594" i="1"/>
  <c r="I594" i="1"/>
  <c r="K594" i="1" s="1"/>
  <c r="H595" i="1"/>
  <c r="I595" i="1"/>
  <c r="K595" i="1" s="1"/>
  <c r="H596" i="1"/>
  <c r="I596" i="1"/>
  <c r="K596" i="1" s="1"/>
  <c r="H597" i="1"/>
  <c r="I597" i="1"/>
  <c r="K597" i="1" s="1"/>
  <c r="H598" i="1"/>
  <c r="I598" i="1"/>
  <c r="K598" i="1" s="1"/>
  <c r="H599" i="1"/>
  <c r="I599" i="1"/>
  <c r="K599" i="1" s="1"/>
  <c r="H600" i="1"/>
  <c r="I600" i="1"/>
  <c r="K600" i="1" s="1"/>
  <c r="H601" i="1"/>
  <c r="I601" i="1"/>
  <c r="K601" i="1" s="1"/>
  <c r="H602" i="1"/>
  <c r="I602" i="1"/>
  <c r="K602" i="1" s="1"/>
  <c r="H603" i="1"/>
  <c r="I603" i="1"/>
  <c r="K603" i="1" s="1"/>
  <c r="H604" i="1"/>
  <c r="I604" i="1"/>
  <c r="K604" i="1" s="1"/>
  <c r="H605" i="1"/>
  <c r="I605" i="1"/>
  <c r="K605" i="1" s="1"/>
  <c r="H606" i="1"/>
  <c r="I606" i="1"/>
  <c r="K606" i="1" s="1"/>
  <c r="H607" i="1"/>
  <c r="I607" i="1"/>
  <c r="K607" i="1" s="1"/>
  <c r="H608" i="1"/>
  <c r="I608" i="1"/>
  <c r="K608" i="1" s="1"/>
  <c r="H609" i="1"/>
  <c r="I609" i="1"/>
  <c r="K609" i="1" s="1"/>
  <c r="H610" i="1"/>
  <c r="I610" i="1"/>
  <c r="K610" i="1" s="1"/>
  <c r="H611" i="1"/>
  <c r="I611" i="1"/>
  <c r="K611" i="1" s="1"/>
  <c r="H612" i="1"/>
  <c r="I612" i="1"/>
  <c r="K612" i="1" s="1"/>
  <c r="H613" i="1"/>
  <c r="I613" i="1"/>
  <c r="K613" i="1" s="1"/>
  <c r="H614" i="1"/>
  <c r="I614" i="1"/>
  <c r="K614" i="1" s="1"/>
  <c r="H615" i="1"/>
  <c r="I615" i="1"/>
  <c r="K615" i="1" s="1"/>
  <c r="H616" i="1"/>
  <c r="I616" i="1"/>
  <c r="K616" i="1" s="1"/>
  <c r="H617" i="1"/>
  <c r="I617" i="1"/>
  <c r="K617" i="1" s="1"/>
  <c r="H618" i="1"/>
  <c r="I618" i="1"/>
  <c r="K618" i="1" s="1"/>
  <c r="H619" i="1"/>
  <c r="I619" i="1"/>
  <c r="K619" i="1" s="1"/>
  <c r="H620" i="1"/>
  <c r="I620" i="1"/>
  <c r="K620" i="1" s="1"/>
  <c r="H621" i="1"/>
  <c r="I621" i="1"/>
  <c r="K621" i="1" s="1"/>
  <c r="H622" i="1"/>
  <c r="I622" i="1"/>
  <c r="K622" i="1" s="1"/>
  <c r="H623" i="1"/>
  <c r="I623" i="1"/>
  <c r="K623" i="1" s="1"/>
  <c r="H624" i="1"/>
  <c r="I624" i="1"/>
  <c r="K624" i="1" s="1"/>
  <c r="H625" i="1"/>
  <c r="I625" i="1"/>
  <c r="K625" i="1" s="1"/>
  <c r="H626" i="1"/>
  <c r="I626" i="1"/>
  <c r="K626" i="1" s="1"/>
  <c r="H627" i="1"/>
  <c r="I627" i="1"/>
  <c r="K627" i="1" s="1"/>
  <c r="H628" i="1"/>
  <c r="I628" i="1"/>
  <c r="K628" i="1" s="1"/>
  <c r="H629" i="1"/>
  <c r="I629" i="1"/>
  <c r="K629" i="1" s="1"/>
  <c r="H630" i="1"/>
  <c r="I630" i="1"/>
  <c r="K630" i="1" s="1"/>
  <c r="H631" i="1"/>
  <c r="I631" i="1"/>
  <c r="K631" i="1" s="1"/>
  <c r="H632" i="1"/>
  <c r="I632" i="1"/>
  <c r="K632" i="1" s="1"/>
  <c r="H633" i="1"/>
  <c r="I633" i="1"/>
  <c r="K633" i="1" s="1"/>
  <c r="H634" i="1"/>
  <c r="I634" i="1"/>
  <c r="K634" i="1" s="1"/>
  <c r="H635" i="1"/>
  <c r="I635" i="1"/>
  <c r="K635" i="1" s="1"/>
  <c r="H636" i="1"/>
  <c r="I636" i="1"/>
  <c r="K636" i="1" s="1"/>
  <c r="H637" i="1"/>
  <c r="I637" i="1"/>
  <c r="K637" i="1" s="1"/>
  <c r="H638" i="1"/>
  <c r="I638" i="1"/>
  <c r="K638" i="1" s="1"/>
  <c r="H639" i="1"/>
  <c r="I639" i="1"/>
  <c r="K639" i="1" s="1"/>
  <c r="H640" i="1"/>
  <c r="I640" i="1"/>
  <c r="K640" i="1" s="1"/>
  <c r="H641" i="1"/>
  <c r="I641" i="1"/>
  <c r="K641" i="1" s="1"/>
  <c r="H642" i="1"/>
  <c r="I642" i="1"/>
  <c r="K642" i="1" s="1"/>
  <c r="H643" i="1"/>
  <c r="I643" i="1"/>
  <c r="K643" i="1" s="1"/>
  <c r="H644" i="1"/>
  <c r="I644" i="1"/>
  <c r="K644" i="1" s="1"/>
  <c r="H645" i="1"/>
  <c r="I645" i="1"/>
  <c r="K645" i="1" s="1"/>
  <c r="H646" i="1"/>
  <c r="I646" i="1"/>
  <c r="K646" i="1" s="1"/>
  <c r="H647" i="1"/>
  <c r="I647" i="1"/>
  <c r="K647" i="1" s="1"/>
  <c r="H648" i="1"/>
  <c r="I648" i="1"/>
  <c r="K648" i="1" s="1"/>
  <c r="H649" i="1"/>
  <c r="I649" i="1"/>
  <c r="K649" i="1" s="1"/>
  <c r="H650" i="1"/>
  <c r="I650" i="1"/>
  <c r="K650" i="1" s="1"/>
  <c r="H651" i="1"/>
  <c r="I651" i="1"/>
  <c r="K651" i="1" s="1"/>
  <c r="H652" i="1"/>
  <c r="I652" i="1"/>
  <c r="K652" i="1" s="1"/>
  <c r="H653" i="1"/>
  <c r="I653" i="1"/>
  <c r="K653" i="1" s="1"/>
  <c r="H654" i="1"/>
  <c r="I654" i="1"/>
  <c r="K654" i="1" s="1"/>
  <c r="H655" i="1"/>
  <c r="I655" i="1"/>
  <c r="K655" i="1" s="1"/>
  <c r="H656" i="1"/>
  <c r="I656" i="1"/>
  <c r="K656" i="1" s="1"/>
  <c r="H657" i="1"/>
  <c r="I657" i="1"/>
  <c r="K657" i="1" s="1"/>
  <c r="H658" i="1"/>
  <c r="I658" i="1"/>
  <c r="K658" i="1" s="1"/>
  <c r="H659" i="1"/>
  <c r="I659" i="1"/>
  <c r="K659" i="1" s="1"/>
  <c r="H660" i="1"/>
  <c r="I660" i="1"/>
  <c r="K660" i="1" s="1"/>
  <c r="H661" i="1"/>
  <c r="I661" i="1"/>
  <c r="K661" i="1" s="1"/>
  <c r="H662" i="1"/>
  <c r="I662" i="1"/>
  <c r="K662" i="1" s="1"/>
  <c r="H663" i="1"/>
  <c r="I663" i="1"/>
  <c r="K663" i="1" s="1"/>
  <c r="H664" i="1"/>
  <c r="I664" i="1"/>
  <c r="K664" i="1" s="1"/>
  <c r="H665" i="1"/>
  <c r="I665" i="1"/>
  <c r="K665" i="1" s="1"/>
  <c r="H666" i="1"/>
  <c r="I666" i="1"/>
  <c r="K666" i="1" s="1"/>
  <c r="H667" i="1"/>
  <c r="I667" i="1"/>
  <c r="K667" i="1" s="1"/>
  <c r="H668" i="1"/>
  <c r="I668" i="1"/>
  <c r="K668" i="1" s="1"/>
  <c r="H669" i="1"/>
  <c r="I669" i="1"/>
  <c r="K669" i="1" s="1"/>
  <c r="H670" i="1"/>
  <c r="I670" i="1"/>
  <c r="K670" i="1" s="1"/>
  <c r="H671" i="1"/>
  <c r="I671" i="1"/>
  <c r="K671" i="1" s="1"/>
  <c r="H672" i="1"/>
  <c r="I672" i="1"/>
  <c r="K672" i="1" s="1"/>
  <c r="H673" i="1"/>
  <c r="I673" i="1"/>
  <c r="K673" i="1" s="1"/>
  <c r="H674" i="1"/>
  <c r="I674" i="1"/>
  <c r="K674" i="1" s="1"/>
  <c r="H675" i="1"/>
  <c r="I675" i="1"/>
  <c r="K675" i="1" s="1"/>
  <c r="H676" i="1"/>
  <c r="I676" i="1"/>
  <c r="K676" i="1" s="1"/>
  <c r="H677" i="1"/>
  <c r="I677" i="1"/>
  <c r="K677" i="1" s="1"/>
  <c r="H678" i="1"/>
  <c r="I678" i="1"/>
  <c r="K678" i="1" s="1"/>
  <c r="H679" i="1"/>
  <c r="I679" i="1"/>
  <c r="K679" i="1" s="1"/>
  <c r="H680" i="1"/>
  <c r="I680" i="1"/>
  <c r="K680" i="1" s="1"/>
  <c r="H681" i="1"/>
  <c r="I681" i="1"/>
  <c r="K681" i="1" s="1"/>
  <c r="H682" i="1"/>
  <c r="I682" i="1"/>
  <c r="K682" i="1" s="1"/>
  <c r="H683" i="1"/>
  <c r="I683" i="1"/>
  <c r="K683" i="1" s="1"/>
  <c r="H684" i="1"/>
  <c r="I684" i="1"/>
  <c r="K684" i="1" s="1"/>
  <c r="H685" i="1"/>
  <c r="I685" i="1"/>
  <c r="K685" i="1" s="1"/>
  <c r="H686" i="1"/>
  <c r="I686" i="1"/>
  <c r="K686" i="1" s="1"/>
  <c r="H687" i="1"/>
  <c r="I687" i="1"/>
  <c r="K687" i="1" s="1"/>
  <c r="H688" i="1"/>
  <c r="I688" i="1"/>
  <c r="K688" i="1" s="1"/>
  <c r="H689" i="1"/>
  <c r="I689" i="1"/>
  <c r="K689" i="1" s="1"/>
  <c r="H690" i="1"/>
  <c r="I690" i="1"/>
  <c r="K690" i="1" s="1"/>
  <c r="H691" i="1"/>
  <c r="I691" i="1"/>
  <c r="K691" i="1" s="1"/>
  <c r="H692" i="1"/>
  <c r="I692" i="1"/>
  <c r="K692" i="1" s="1"/>
  <c r="H693" i="1"/>
  <c r="I693" i="1"/>
  <c r="K693" i="1" s="1"/>
  <c r="H694" i="1"/>
  <c r="I694" i="1"/>
  <c r="K694" i="1" s="1"/>
  <c r="H695" i="1"/>
  <c r="I695" i="1"/>
  <c r="K695" i="1" s="1"/>
  <c r="H696" i="1"/>
  <c r="I696" i="1"/>
  <c r="K696" i="1" s="1"/>
  <c r="H697" i="1"/>
  <c r="I697" i="1"/>
  <c r="K697" i="1" s="1"/>
  <c r="H698" i="1"/>
  <c r="I698" i="1"/>
  <c r="K698" i="1" s="1"/>
  <c r="H699" i="1"/>
  <c r="I699" i="1"/>
  <c r="K699" i="1" s="1"/>
  <c r="H700" i="1"/>
  <c r="I700" i="1"/>
  <c r="K700" i="1" s="1"/>
  <c r="H701" i="1"/>
  <c r="I701" i="1"/>
  <c r="K701" i="1" s="1"/>
  <c r="H702" i="1"/>
  <c r="I702" i="1"/>
  <c r="K702" i="1" s="1"/>
  <c r="H703" i="1"/>
  <c r="I703" i="1"/>
  <c r="K703" i="1" s="1"/>
  <c r="H704" i="1"/>
  <c r="I704" i="1"/>
  <c r="K704" i="1" s="1"/>
  <c r="H705" i="1"/>
  <c r="I705" i="1"/>
  <c r="K705" i="1" s="1"/>
  <c r="H706" i="1"/>
  <c r="I706" i="1"/>
  <c r="K706" i="1" s="1"/>
  <c r="H707" i="1"/>
  <c r="I707" i="1"/>
  <c r="K707" i="1" s="1"/>
  <c r="H708" i="1"/>
  <c r="I708" i="1"/>
  <c r="K708" i="1" s="1"/>
  <c r="H709" i="1"/>
  <c r="I709" i="1"/>
  <c r="K709" i="1" s="1"/>
  <c r="H710" i="1"/>
  <c r="I710" i="1"/>
  <c r="K710" i="1" s="1"/>
  <c r="H711" i="1"/>
  <c r="I711" i="1"/>
  <c r="K711" i="1" s="1"/>
  <c r="H712" i="1"/>
  <c r="I712" i="1"/>
  <c r="K712" i="1" s="1"/>
  <c r="H713" i="1"/>
  <c r="I713" i="1"/>
  <c r="K713" i="1" s="1"/>
  <c r="H714" i="1"/>
  <c r="I714" i="1"/>
  <c r="K714" i="1" s="1"/>
  <c r="H715" i="1"/>
  <c r="I715" i="1"/>
  <c r="K715" i="1" s="1"/>
  <c r="H716" i="1"/>
  <c r="I716" i="1"/>
  <c r="K716" i="1" s="1"/>
  <c r="H717" i="1"/>
  <c r="I717" i="1"/>
  <c r="K717" i="1" s="1"/>
  <c r="H718" i="1"/>
  <c r="I718" i="1"/>
  <c r="K718" i="1" s="1"/>
  <c r="H719" i="1"/>
  <c r="I719" i="1"/>
  <c r="K719" i="1" s="1"/>
  <c r="H720" i="1"/>
  <c r="I720" i="1"/>
  <c r="K720" i="1" s="1"/>
  <c r="H721" i="1"/>
  <c r="I721" i="1"/>
  <c r="K721" i="1" s="1"/>
  <c r="H722" i="1"/>
  <c r="I722" i="1"/>
  <c r="K722" i="1" s="1"/>
  <c r="H723" i="1"/>
  <c r="I723" i="1"/>
  <c r="K723" i="1" s="1"/>
  <c r="H724" i="1"/>
  <c r="I724" i="1"/>
  <c r="K724" i="1" s="1"/>
  <c r="H725" i="1"/>
  <c r="I725" i="1"/>
  <c r="K725" i="1" s="1"/>
  <c r="H726" i="1"/>
  <c r="I726" i="1"/>
  <c r="K726" i="1" s="1"/>
  <c r="H727" i="1"/>
  <c r="I727" i="1"/>
  <c r="K727" i="1" s="1"/>
  <c r="H728" i="1"/>
  <c r="I728" i="1"/>
  <c r="K728" i="1" s="1"/>
  <c r="H729" i="1"/>
  <c r="I729" i="1"/>
  <c r="K729" i="1" s="1"/>
  <c r="H730" i="1"/>
  <c r="I730" i="1"/>
  <c r="K730" i="1" s="1"/>
  <c r="H731" i="1"/>
  <c r="I731" i="1"/>
  <c r="K731" i="1" s="1"/>
  <c r="H732" i="1"/>
  <c r="I732" i="1"/>
  <c r="K732" i="1" s="1"/>
  <c r="H733" i="1"/>
  <c r="I733" i="1"/>
  <c r="K733" i="1" s="1"/>
  <c r="H734" i="1"/>
  <c r="I734" i="1"/>
  <c r="K734" i="1" s="1"/>
  <c r="H735" i="1"/>
  <c r="I735" i="1"/>
  <c r="K735" i="1" s="1"/>
  <c r="H736" i="1"/>
  <c r="I736" i="1"/>
  <c r="K736" i="1" s="1"/>
  <c r="H737" i="1"/>
  <c r="I737" i="1"/>
  <c r="K737" i="1" s="1"/>
  <c r="H738" i="1"/>
  <c r="I738" i="1"/>
  <c r="K738" i="1" s="1"/>
  <c r="H739" i="1"/>
  <c r="I739" i="1"/>
  <c r="K739" i="1" s="1"/>
  <c r="H740" i="1"/>
  <c r="I740" i="1"/>
  <c r="K740" i="1" s="1"/>
  <c r="H741" i="1"/>
  <c r="I741" i="1"/>
  <c r="K741" i="1" s="1"/>
  <c r="H742" i="1"/>
  <c r="I742" i="1"/>
  <c r="K742" i="1" s="1"/>
  <c r="H743" i="1"/>
  <c r="I743" i="1"/>
  <c r="K743" i="1" s="1"/>
  <c r="H744" i="1"/>
  <c r="I744" i="1"/>
  <c r="K744" i="1" s="1"/>
  <c r="H745" i="1"/>
  <c r="I745" i="1"/>
  <c r="K745" i="1" s="1"/>
  <c r="H746" i="1"/>
  <c r="I746" i="1"/>
  <c r="K746" i="1" s="1"/>
  <c r="H747" i="1"/>
  <c r="I747" i="1"/>
  <c r="K747" i="1" s="1"/>
  <c r="H748" i="1"/>
  <c r="I748" i="1"/>
  <c r="K748" i="1" s="1"/>
  <c r="H749" i="1"/>
  <c r="I749" i="1"/>
  <c r="K749" i="1" s="1"/>
  <c r="H750" i="1"/>
  <c r="I750" i="1"/>
  <c r="K750" i="1" s="1"/>
  <c r="H751" i="1"/>
  <c r="I751" i="1"/>
  <c r="K751" i="1" s="1"/>
  <c r="H752" i="1"/>
  <c r="I752" i="1"/>
  <c r="K752" i="1" s="1"/>
  <c r="H753" i="1"/>
  <c r="I753" i="1"/>
  <c r="K753" i="1" s="1"/>
  <c r="H754" i="1"/>
  <c r="I754" i="1"/>
  <c r="K754" i="1" s="1"/>
  <c r="H755" i="1"/>
  <c r="I755" i="1"/>
  <c r="K755" i="1" s="1"/>
  <c r="H756" i="1"/>
  <c r="I756" i="1"/>
  <c r="K756" i="1" s="1"/>
  <c r="H757" i="1"/>
  <c r="I757" i="1"/>
  <c r="K757" i="1" s="1"/>
  <c r="H758" i="1"/>
  <c r="I758" i="1"/>
  <c r="K758" i="1" s="1"/>
  <c r="H759" i="1"/>
  <c r="I759" i="1"/>
  <c r="K759" i="1" s="1"/>
  <c r="H760" i="1"/>
  <c r="I760" i="1"/>
  <c r="K760" i="1" s="1"/>
  <c r="H761" i="1"/>
  <c r="I761" i="1"/>
  <c r="K761" i="1" s="1"/>
  <c r="H762" i="1"/>
  <c r="I762" i="1"/>
  <c r="K762" i="1" s="1"/>
  <c r="H763" i="1"/>
  <c r="I763" i="1"/>
  <c r="K763" i="1" s="1"/>
  <c r="H764" i="1"/>
  <c r="I764" i="1"/>
  <c r="K764" i="1" s="1"/>
  <c r="H765" i="1"/>
  <c r="I765" i="1"/>
  <c r="K765" i="1" s="1"/>
  <c r="H766" i="1"/>
  <c r="I766" i="1"/>
  <c r="K766" i="1" s="1"/>
  <c r="H767" i="1"/>
  <c r="I767" i="1"/>
  <c r="K767" i="1" s="1"/>
  <c r="H768" i="1"/>
  <c r="I768" i="1"/>
  <c r="K768" i="1" s="1"/>
  <c r="H769" i="1"/>
  <c r="I769" i="1"/>
  <c r="K769" i="1" s="1"/>
  <c r="H770" i="1"/>
  <c r="I770" i="1"/>
  <c r="K770" i="1" s="1"/>
  <c r="H771" i="1"/>
  <c r="I771" i="1"/>
  <c r="K771" i="1" s="1"/>
  <c r="H772" i="1"/>
  <c r="I772" i="1"/>
  <c r="K772" i="1" s="1"/>
  <c r="H773" i="1"/>
  <c r="I773" i="1"/>
  <c r="K773" i="1" s="1"/>
  <c r="H774" i="1"/>
  <c r="I774" i="1"/>
  <c r="K774" i="1" s="1"/>
  <c r="H775" i="1"/>
  <c r="I775" i="1"/>
  <c r="K775" i="1" s="1"/>
  <c r="H776" i="1"/>
  <c r="I776" i="1"/>
  <c r="K776" i="1" s="1"/>
  <c r="H777" i="1"/>
  <c r="I777" i="1"/>
  <c r="K777" i="1" s="1"/>
  <c r="H778" i="1"/>
  <c r="I778" i="1"/>
  <c r="K778" i="1" s="1"/>
  <c r="H779" i="1"/>
  <c r="I779" i="1"/>
  <c r="K779" i="1" s="1"/>
  <c r="H780" i="1"/>
  <c r="I780" i="1"/>
  <c r="K780" i="1" s="1"/>
  <c r="H781" i="1"/>
  <c r="I781" i="1"/>
  <c r="K781" i="1" s="1"/>
  <c r="H782" i="1"/>
  <c r="I782" i="1"/>
  <c r="K782" i="1" s="1"/>
  <c r="H783" i="1"/>
  <c r="I783" i="1"/>
  <c r="K783" i="1" s="1"/>
  <c r="H784" i="1"/>
  <c r="I784" i="1"/>
  <c r="K784" i="1" s="1"/>
  <c r="H785" i="1"/>
  <c r="I785" i="1"/>
  <c r="K785" i="1" s="1"/>
  <c r="H786" i="1"/>
  <c r="I786" i="1"/>
  <c r="K786" i="1" s="1"/>
  <c r="H787" i="1"/>
  <c r="I787" i="1"/>
  <c r="K787" i="1" s="1"/>
  <c r="H788" i="1"/>
  <c r="I788" i="1"/>
  <c r="K788" i="1" s="1"/>
  <c r="H789" i="1"/>
  <c r="I789" i="1"/>
  <c r="K789" i="1" s="1"/>
  <c r="H790" i="1"/>
  <c r="I790" i="1"/>
  <c r="K790" i="1" s="1"/>
  <c r="H791" i="1"/>
  <c r="I791" i="1"/>
  <c r="K791" i="1" s="1"/>
  <c r="H792" i="1"/>
  <c r="I792" i="1"/>
  <c r="K792" i="1" s="1"/>
  <c r="H793" i="1"/>
  <c r="I793" i="1"/>
  <c r="K793" i="1" s="1"/>
  <c r="H794" i="1"/>
  <c r="I794" i="1"/>
  <c r="K794" i="1" s="1"/>
  <c r="H795" i="1"/>
  <c r="I795" i="1"/>
  <c r="K795" i="1" s="1"/>
  <c r="H796" i="1"/>
  <c r="I796" i="1"/>
  <c r="K796" i="1" s="1"/>
  <c r="H797" i="1"/>
  <c r="I797" i="1"/>
  <c r="K797" i="1" s="1"/>
  <c r="H798" i="1"/>
  <c r="I798" i="1"/>
  <c r="K798" i="1" s="1"/>
  <c r="H799" i="1"/>
  <c r="I799" i="1"/>
  <c r="K799" i="1" s="1"/>
  <c r="H800" i="1"/>
  <c r="I800" i="1"/>
  <c r="K800" i="1" s="1"/>
  <c r="H801" i="1"/>
  <c r="I801" i="1"/>
  <c r="K801" i="1" s="1"/>
  <c r="H802" i="1"/>
  <c r="I802" i="1"/>
  <c r="K802" i="1" s="1"/>
  <c r="H803" i="1"/>
  <c r="I803" i="1"/>
  <c r="K803" i="1" s="1"/>
  <c r="H804" i="1"/>
  <c r="I804" i="1"/>
  <c r="K804" i="1" s="1"/>
  <c r="H805" i="1"/>
  <c r="I805" i="1"/>
  <c r="K805" i="1" s="1"/>
  <c r="H806" i="1"/>
  <c r="I806" i="1"/>
  <c r="K806" i="1" s="1"/>
  <c r="H807" i="1"/>
  <c r="I807" i="1"/>
  <c r="K807" i="1" s="1"/>
  <c r="H808" i="1"/>
  <c r="I808" i="1"/>
  <c r="K808" i="1" s="1"/>
  <c r="H809" i="1"/>
  <c r="I809" i="1"/>
  <c r="K809" i="1" s="1"/>
  <c r="H810" i="1"/>
  <c r="I810" i="1"/>
  <c r="K810" i="1" s="1"/>
  <c r="H811" i="1"/>
  <c r="I811" i="1"/>
  <c r="K811" i="1" s="1"/>
  <c r="H812" i="1"/>
  <c r="I812" i="1"/>
  <c r="K812" i="1" s="1"/>
  <c r="H813" i="1"/>
  <c r="I813" i="1"/>
  <c r="K813" i="1" s="1"/>
  <c r="H814" i="1"/>
  <c r="I814" i="1"/>
  <c r="K814" i="1" s="1"/>
  <c r="H815" i="1"/>
  <c r="I815" i="1"/>
  <c r="K815" i="1" s="1"/>
  <c r="H816" i="1"/>
  <c r="I816" i="1"/>
  <c r="K816" i="1" s="1"/>
  <c r="H817" i="1"/>
  <c r="I817" i="1"/>
  <c r="K817" i="1" s="1"/>
  <c r="H818" i="1"/>
  <c r="I818" i="1"/>
  <c r="K818" i="1" s="1"/>
  <c r="H819" i="1"/>
  <c r="I819" i="1"/>
  <c r="K819" i="1" s="1"/>
  <c r="H820" i="1"/>
  <c r="I820" i="1"/>
  <c r="K820" i="1" s="1"/>
  <c r="H821" i="1"/>
  <c r="I821" i="1"/>
  <c r="K821" i="1" s="1"/>
  <c r="H822" i="1"/>
  <c r="I822" i="1"/>
  <c r="K822" i="1" s="1"/>
  <c r="H823" i="1"/>
  <c r="I823" i="1"/>
  <c r="K823" i="1" s="1"/>
  <c r="H824" i="1"/>
  <c r="I824" i="1"/>
  <c r="K824" i="1" s="1"/>
  <c r="H825" i="1"/>
  <c r="I825" i="1"/>
  <c r="K825" i="1" s="1"/>
  <c r="H826" i="1"/>
  <c r="I826" i="1"/>
  <c r="K826" i="1" s="1"/>
  <c r="H827" i="1"/>
  <c r="I827" i="1"/>
  <c r="K827" i="1" s="1"/>
  <c r="H828" i="1"/>
  <c r="I828" i="1"/>
  <c r="K828" i="1" s="1"/>
  <c r="H829" i="1"/>
  <c r="I829" i="1"/>
  <c r="K829" i="1" s="1"/>
  <c r="H830" i="1"/>
  <c r="I830" i="1"/>
  <c r="K830" i="1" s="1"/>
  <c r="H831" i="1"/>
  <c r="I831" i="1"/>
  <c r="K831" i="1" s="1"/>
  <c r="H832" i="1"/>
  <c r="I832" i="1"/>
  <c r="K832" i="1" s="1"/>
  <c r="H833" i="1"/>
  <c r="I833" i="1"/>
  <c r="K833" i="1" s="1"/>
  <c r="H834" i="1"/>
  <c r="I834" i="1"/>
  <c r="K834" i="1" s="1"/>
  <c r="H835" i="1"/>
  <c r="I835" i="1"/>
  <c r="K835" i="1" s="1"/>
  <c r="H836" i="1"/>
  <c r="I836" i="1"/>
  <c r="K836" i="1" s="1"/>
  <c r="H837" i="1"/>
  <c r="I837" i="1"/>
  <c r="K837" i="1" s="1"/>
  <c r="H838" i="1"/>
  <c r="I838" i="1"/>
  <c r="K838" i="1" s="1"/>
  <c r="H839" i="1"/>
  <c r="I839" i="1"/>
  <c r="K839" i="1" s="1"/>
  <c r="H840" i="1"/>
  <c r="I840" i="1"/>
  <c r="K840" i="1" s="1"/>
  <c r="H841" i="1"/>
  <c r="I841" i="1"/>
  <c r="K841" i="1" s="1"/>
  <c r="H842" i="1"/>
  <c r="I842" i="1"/>
  <c r="K842" i="1" s="1"/>
  <c r="H843" i="1"/>
  <c r="I843" i="1"/>
  <c r="K843" i="1" s="1"/>
  <c r="H844" i="1"/>
  <c r="I844" i="1"/>
  <c r="K844" i="1" s="1"/>
  <c r="H845" i="1"/>
  <c r="I845" i="1"/>
  <c r="K845" i="1" s="1"/>
  <c r="H846" i="1"/>
  <c r="I846" i="1"/>
  <c r="K846" i="1" s="1"/>
  <c r="H847" i="1"/>
  <c r="I847" i="1"/>
  <c r="K847" i="1" s="1"/>
  <c r="H848" i="1"/>
  <c r="I848" i="1"/>
  <c r="K848" i="1" s="1"/>
  <c r="H849" i="1"/>
  <c r="I849" i="1"/>
  <c r="K849" i="1" s="1"/>
  <c r="H850" i="1"/>
  <c r="I850" i="1"/>
  <c r="K850" i="1" s="1"/>
  <c r="H851" i="1"/>
  <c r="I851" i="1"/>
  <c r="K851" i="1" s="1"/>
  <c r="H852" i="1"/>
  <c r="I852" i="1"/>
  <c r="K852" i="1" s="1"/>
  <c r="H853" i="1"/>
  <c r="I853" i="1"/>
  <c r="K853" i="1" s="1"/>
  <c r="H854" i="1"/>
  <c r="I854" i="1"/>
  <c r="K854" i="1" s="1"/>
  <c r="H855" i="1"/>
  <c r="I855" i="1"/>
  <c r="K855" i="1" s="1"/>
  <c r="H856" i="1"/>
  <c r="I856" i="1"/>
  <c r="K856" i="1" s="1"/>
  <c r="H857" i="1"/>
  <c r="I857" i="1"/>
  <c r="K857" i="1" s="1"/>
  <c r="H858" i="1"/>
  <c r="I858" i="1"/>
  <c r="K858" i="1" s="1"/>
  <c r="H859" i="1"/>
  <c r="I859" i="1"/>
  <c r="K859" i="1" s="1"/>
  <c r="H860" i="1"/>
  <c r="I860" i="1"/>
  <c r="K860" i="1" s="1"/>
  <c r="H861" i="1"/>
  <c r="I861" i="1"/>
  <c r="K861" i="1" s="1"/>
  <c r="H862" i="1"/>
  <c r="I862" i="1"/>
  <c r="K862" i="1" s="1"/>
  <c r="H863" i="1"/>
  <c r="I863" i="1"/>
  <c r="K863" i="1" s="1"/>
  <c r="H864" i="1"/>
  <c r="I864" i="1"/>
  <c r="K864" i="1" s="1"/>
  <c r="H865" i="1"/>
  <c r="I865" i="1"/>
  <c r="K865" i="1" s="1"/>
  <c r="H866" i="1"/>
  <c r="I866" i="1"/>
  <c r="K866" i="1" s="1"/>
  <c r="H867" i="1"/>
  <c r="I867" i="1"/>
  <c r="K867" i="1" s="1"/>
  <c r="H868" i="1"/>
  <c r="I868" i="1"/>
  <c r="K868" i="1" s="1"/>
  <c r="H869" i="1"/>
  <c r="I869" i="1"/>
  <c r="K869" i="1" s="1"/>
  <c r="H870" i="1"/>
  <c r="I870" i="1"/>
  <c r="K870" i="1" s="1"/>
  <c r="H871" i="1"/>
  <c r="I871" i="1"/>
  <c r="K871" i="1" s="1"/>
  <c r="H872" i="1"/>
  <c r="I872" i="1"/>
  <c r="K872" i="1" s="1"/>
  <c r="H873" i="1"/>
  <c r="I873" i="1"/>
  <c r="K873" i="1" s="1"/>
  <c r="H874" i="1"/>
  <c r="I874" i="1"/>
  <c r="K874" i="1" s="1"/>
  <c r="H875" i="1"/>
  <c r="I875" i="1"/>
  <c r="K875" i="1" s="1"/>
  <c r="H876" i="1"/>
  <c r="I876" i="1"/>
  <c r="K876" i="1" s="1"/>
  <c r="H877" i="1"/>
  <c r="I877" i="1"/>
  <c r="K877" i="1" s="1"/>
  <c r="H878" i="1"/>
  <c r="I878" i="1"/>
  <c r="K878" i="1" s="1"/>
  <c r="H879" i="1"/>
  <c r="I879" i="1"/>
  <c r="K879" i="1" s="1"/>
  <c r="H880" i="1"/>
  <c r="I880" i="1"/>
  <c r="K880" i="1" s="1"/>
  <c r="H881" i="1"/>
  <c r="I881" i="1"/>
  <c r="K881" i="1" s="1"/>
  <c r="H882" i="1"/>
  <c r="I882" i="1"/>
  <c r="K882" i="1" s="1"/>
  <c r="H883" i="1"/>
  <c r="I883" i="1"/>
  <c r="K883" i="1" s="1"/>
  <c r="H884" i="1"/>
  <c r="I884" i="1"/>
  <c r="K884" i="1" s="1"/>
  <c r="H885" i="1"/>
  <c r="I885" i="1"/>
  <c r="K885" i="1" s="1"/>
  <c r="H886" i="1"/>
  <c r="I886" i="1"/>
  <c r="K886" i="1" s="1"/>
  <c r="H887" i="1"/>
  <c r="I887" i="1"/>
  <c r="K887" i="1" s="1"/>
  <c r="H888" i="1"/>
  <c r="I888" i="1"/>
  <c r="K888" i="1" s="1"/>
  <c r="H889" i="1"/>
  <c r="I889" i="1"/>
  <c r="K889" i="1" s="1"/>
  <c r="H890" i="1"/>
  <c r="I890" i="1"/>
  <c r="K890" i="1" s="1"/>
  <c r="H891" i="1"/>
  <c r="I891" i="1"/>
  <c r="K891" i="1" s="1"/>
  <c r="H892" i="1"/>
  <c r="I892" i="1"/>
  <c r="K892" i="1" s="1"/>
  <c r="H893" i="1"/>
  <c r="I893" i="1"/>
  <c r="K893" i="1" s="1"/>
  <c r="H894" i="1"/>
  <c r="I894" i="1"/>
  <c r="K894" i="1" s="1"/>
  <c r="H895" i="1"/>
  <c r="I895" i="1"/>
  <c r="K895" i="1" s="1"/>
  <c r="H896" i="1"/>
  <c r="I896" i="1"/>
  <c r="K896" i="1" s="1"/>
  <c r="H897" i="1"/>
  <c r="I897" i="1"/>
  <c r="K897" i="1" s="1"/>
  <c r="H898" i="1"/>
  <c r="I898" i="1"/>
  <c r="K898" i="1" s="1"/>
  <c r="H899" i="1"/>
  <c r="I899" i="1"/>
  <c r="K899" i="1" s="1"/>
  <c r="H900" i="1"/>
  <c r="I900" i="1"/>
  <c r="K900" i="1" s="1"/>
  <c r="H901" i="1"/>
  <c r="I901" i="1"/>
  <c r="K901" i="1" s="1"/>
  <c r="H902" i="1"/>
  <c r="I902" i="1"/>
  <c r="K902" i="1" s="1"/>
  <c r="H903" i="1"/>
  <c r="I903" i="1"/>
  <c r="K903" i="1" s="1"/>
  <c r="H904" i="1"/>
  <c r="I904" i="1"/>
  <c r="K904" i="1" s="1"/>
  <c r="H905" i="1"/>
  <c r="I905" i="1"/>
  <c r="K905" i="1" s="1"/>
  <c r="H906" i="1"/>
  <c r="I906" i="1"/>
  <c r="K906" i="1" s="1"/>
  <c r="H907" i="1"/>
  <c r="I907" i="1"/>
  <c r="K907" i="1" s="1"/>
  <c r="H908" i="1"/>
  <c r="I908" i="1"/>
  <c r="K908" i="1" s="1"/>
  <c r="H909" i="1"/>
  <c r="I909" i="1"/>
  <c r="K909" i="1" s="1"/>
  <c r="H910" i="1"/>
  <c r="I910" i="1"/>
  <c r="K910" i="1" s="1"/>
  <c r="H911" i="1"/>
  <c r="I911" i="1"/>
  <c r="K911" i="1" s="1"/>
  <c r="H912" i="1"/>
  <c r="I912" i="1"/>
  <c r="K912" i="1" s="1"/>
  <c r="H913" i="1"/>
  <c r="I913" i="1"/>
  <c r="K913" i="1" s="1"/>
  <c r="H914" i="1"/>
  <c r="I914" i="1"/>
  <c r="K914" i="1" s="1"/>
  <c r="H915" i="1"/>
  <c r="I915" i="1"/>
  <c r="K915" i="1" s="1"/>
  <c r="H916" i="1"/>
  <c r="I916" i="1"/>
  <c r="K916" i="1" s="1"/>
  <c r="H917" i="1"/>
  <c r="I917" i="1"/>
  <c r="K917" i="1" s="1"/>
  <c r="H918" i="1"/>
  <c r="I918" i="1"/>
  <c r="K918" i="1" s="1"/>
  <c r="H919" i="1"/>
  <c r="I919" i="1"/>
  <c r="K919" i="1" s="1"/>
  <c r="H920" i="1"/>
  <c r="I920" i="1"/>
  <c r="K920" i="1" s="1"/>
  <c r="H921" i="1"/>
  <c r="I921" i="1"/>
  <c r="K921" i="1" s="1"/>
  <c r="H922" i="1"/>
  <c r="I922" i="1"/>
  <c r="K922" i="1" s="1"/>
  <c r="H923" i="1"/>
  <c r="I923" i="1"/>
  <c r="K923" i="1" s="1"/>
  <c r="H924" i="1"/>
  <c r="I924" i="1"/>
  <c r="K924" i="1" s="1"/>
  <c r="H925" i="1"/>
  <c r="I925" i="1"/>
  <c r="K925" i="1" s="1"/>
  <c r="H926" i="1"/>
  <c r="I926" i="1"/>
  <c r="K926" i="1" s="1"/>
  <c r="H927" i="1"/>
  <c r="I927" i="1"/>
  <c r="K927" i="1" s="1"/>
  <c r="H928" i="1"/>
  <c r="I928" i="1"/>
  <c r="K928" i="1" s="1"/>
  <c r="H929" i="1"/>
  <c r="I929" i="1"/>
  <c r="K929" i="1" s="1"/>
  <c r="H930" i="1"/>
  <c r="I930" i="1"/>
  <c r="K930" i="1" s="1"/>
  <c r="H931" i="1"/>
  <c r="I931" i="1"/>
  <c r="K931" i="1" s="1"/>
  <c r="H932" i="1"/>
  <c r="I932" i="1"/>
  <c r="K932" i="1" s="1"/>
  <c r="H933" i="1"/>
  <c r="I933" i="1"/>
  <c r="K933" i="1" s="1"/>
  <c r="H934" i="1"/>
  <c r="I934" i="1"/>
  <c r="K934" i="1" s="1"/>
  <c r="H935" i="1"/>
  <c r="I935" i="1"/>
  <c r="K935" i="1" s="1"/>
  <c r="H936" i="1"/>
  <c r="I936" i="1"/>
  <c r="K936" i="1" s="1"/>
  <c r="H937" i="1"/>
  <c r="I937" i="1"/>
  <c r="K937" i="1" s="1"/>
  <c r="H938" i="1"/>
  <c r="I938" i="1"/>
  <c r="K938" i="1" s="1"/>
  <c r="H939" i="1"/>
  <c r="I939" i="1"/>
  <c r="K939" i="1" s="1"/>
  <c r="H940" i="1"/>
  <c r="I940" i="1"/>
  <c r="K940" i="1" s="1"/>
  <c r="H941" i="1"/>
  <c r="I941" i="1"/>
  <c r="K941" i="1" s="1"/>
  <c r="H942" i="1"/>
  <c r="I942" i="1"/>
  <c r="K942" i="1" s="1"/>
  <c r="H943" i="1"/>
  <c r="I943" i="1"/>
  <c r="K943" i="1" s="1"/>
  <c r="H944" i="1"/>
  <c r="I944" i="1"/>
  <c r="K944" i="1" s="1"/>
  <c r="H945" i="1"/>
  <c r="I945" i="1"/>
  <c r="K945" i="1" s="1"/>
  <c r="H946" i="1"/>
  <c r="I946" i="1"/>
  <c r="K946" i="1" s="1"/>
  <c r="H947" i="1"/>
  <c r="I947" i="1"/>
  <c r="K947" i="1" s="1"/>
  <c r="H948" i="1"/>
  <c r="I948" i="1"/>
  <c r="K948" i="1" s="1"/>
  <c r="H949" i="1"/>
  <c r="I949" i="1"/>
  <c r="K949" i="1" s="1"/>
  <c r="H950" i="1"/>
  <c r="I950" i="1"/>
  <c r="K950" i="1" s="1"/>
  <c r="H951" i="1"/>
  <c r="I951" i="1"/>
  <c r="K951" i="1" s="1"/>
  <c r="H952" i="1"/>
  <c r="I952" i="1"/>
  <c r="K952" i="1" s="1"/>
  <c r="H953" i="1"/>
  <c r="I953" i="1"/>
  <c r="K953" i="1" s="1"/>
  <c r="H954" i="1"/>
  <c r="I954" i="1"/>
  <c r="K954" i="1" s="1"/>
  <c r="H955" i="1"/>
  <c r="I955" i="1"/>
  <c r="K955" i="1" s="1"/>
  <c r="H956" i="1"/>
  <c r="I956" i="1"/>
  <c r="K956" i="1" s="1"/>
  <c r="H957" i="1"/>
  <c r="I957" i="1"/>
  <c r="K957" i="1" s="1"/>
  <c r="H958" i="1"/>
  <c r="I958" i="1"/>
  <c r="K958" i="1" s="1"/>
  <c r="H959" i="1"/>
  <c r="I959" i="1"/>
  <c r="K959" i="1" s="1"/>
  <c r="H960" i="1"/>
  <c r="I960" i="1"/>
  <c r="K960" i="1" s="1"/>
  <c r="H961" i="1"/>
  <c r="I961" i="1"/>
  <c r="K961" i="1" s="1"/>
  <c r="H962" i="1"/>
  <c r="I962" i="1"/>
  <c r="K962" i="1" s="1"/>
  <c r="H963" i="1"/>
  <c r="I963" i="1"/>
  <c r="K963" i="1" s="1"/>
  <c r="H964" i="1"/>
  <c r="I964" i="1"/>
  <c r="K964" i="1" s="1"/>
  <c r="H965" i="1"/>
  <c r="I965" i="1"/>
  <c r="K965" i="1" s="1"/>
  <c r="H966" i="1"/>
  <c r="I966" i="1"/>
  <c r="K966" i="1" s="1"/>
  <c r="H967" i="1"/>
  <c r="I967" i="1"/>
  <c r="K967" i="1" s="1"/>
  <c r="H968" i="1"/>
  <c r="I968" i="1"/>
  <c r="K968" i="1" s="1"/>
  <c r="H969" i="1"/>
  <c r="I969" i="1"/>
  <c r="K969" i="1" s="1"/>
  <c r="H970" i="1"/>
  <c r="I970" i="1"/>
  <c r="K970" i="1" s="1"/>
  <c r="H971" i="1"/>
  <c r="I971" i="1"/>
  <c r="K971" i="1" s="1"/>
  <c r="H972" i="1"/>
  <c r="I972" i="1"/>
  <c r="K972" i="1" s="1"/>
  <c r="H973" i="1"/>
  <c r="I973" i="1"/>
  <c r="K973" i="1" s="1"/>
  <c r="H974" i="1"/>
  <c r="I974" i="1"/>
  <c r="K974" i="1" s="1"/>
  <c r="H975" i="1"/>
  <c r="I975" i="1"/>
  <c r="K975" i="1" s="1"/>
  <c r="H976" i="1"/>
  <c r="I976" i="1"/>
  <c r="K976" i="1" s="1"/>
  <c r="H977" i="1"/>
  <c r="I977" i="1"/>
  <c r="K977" i="1" s="1"/>
  <c r="H978" i="1"/>
  <c r="I978" i="1"/>
  <c r="K978" i="1" s="1"/>
  <c r="H979" i="1"/>
  <c r="I979" i="1"/>
  <c r="K979" i="1" s="1"/>
  <c r="H980" i="1"/>
  <c r="I980" i="1"/>
  <c r="K980" i="1" s="1"/>
  <c r="H981" i="1"/>
  <c r="I981" i="1"/>
  <c r="K981" i="1" s="1"/>
  <c r="H982" i="1"/>
  <c r="I982" i="1"/>
  <c r="K982" i="1" s="1"/>
  <c r="H983" i="1"/>
  <c r="I983" i="1"/>
  <c r="K983" i="1" s="1"/>
  <c r="H984" i="1"/>
  <c r="I984" i="1"/>
  <c r="K984" i="1" s="1"/>
  <c r="H985" i="1"/>
  <c r="I985" i="1"/>
  <c r="K985" i="1" s="1"/>
  <c r="H986" i="1"/>
  <c r="I986" i="1"/>
  <c r="K986" i="1" s="1"/>
  <c r="H987" i="1"/>
  <c r="I987" i="1"/>
  <c r="K987" i="1" s="1"/>
  <c r="H988" i="1"/>
  <c r="I988" i="1"/>
  <c r="K988" i="1" s="1"/>
  <c r="H989" i="1"/>
  <c r="I989" i="1"/>
  <c r="K989" i="1" s="1"/>
  <c r="H990" i="1"/>
  <c r="I990" i="1"/>
  <c r="K990" i="1" s="1"/>
  <c r="H991" i="1"/>
  <c r="I991" i="1"/>
  <c r="K991" i="1" s="1"/>
  <c r="H992" i="1"/>
  <c r="I992" i="1"/>
  <c r="K992" i="1" s="1"/>
  <c r="H993" i="1"/>
  <c r="I993" i="1"/>
  <c r="K993" i="1" s="1"/>
  <c r="H994" i="1"/>
  <c r="I994" i="1"/>
  <c r="K994" i="1" s="1"/>
  <c r="H995" i="1"/>
  <c r="I995" i="1"/>
  <c r="K995" i="1" s="1"/>
  <c r="H996" i="1"/>
  <c r="I996" i="1"/>
  <c r="K996" i="1" s="1"/>
  <c r="H997" i="1"/>
  <c r="I997" i="1"/>
  <c r="K997" i="1" s="1"/>
  <c r="H998" i="1"/>
  <c r="I998" i="1"/>
  <c r="K998" i="1" s="1"/>
  <c r="H999" i="1"/>
  <c r="I999" i="1"/>
  <c r="K999" i="1" s="1"/>
  <c r="H1000" i="1"/>
  <c r="I1000" i="1"/>
  <c r="K1000" i="1" s="1"/>
  <c r="H1001" i="1"/>
  <c r="I1001" i="1"/>
  <c r="K1001" i="1" s="1"/>
  <c r="H1002" i="1"/>
  <c r="I1002" i="1"/>
  <c r="K1002" i="1" s="1"/>
  <c r="H1003" i="1"/>
  <c r="I1003" i="1"/>
  <c r="K1003" i="1" s="1"/>
  <c r="H1004" i="1"/>
  <c r="I1004" i="1"/>
  <c r="K1004" i="1" s="1"/>
  <c r="H1005" i="1"/>
  <c r="I1005" i="1"/>
  <c r="K1005" i="1" s="1"/>
  <c r="H1006" i="1"/>
  <c r="I1006" i="1"/>
  <c r="K1006" i="1" s="1"/>
  <c r="H1007" i="1"/>
  <c r="I1007" i="1"/>
  <c r="K1007" i="1" s="1"/>
  <c r="H1008" i="1"/>
  <c r="I1008" i="1"/>
  <c r="K1008" i="1" s="1"/>
  <c r="H1009" i="1"/>
  <c r="I1009" i="1"/>
  <c r="K1009" i="1" s="1"/>
  <c r="H1010" i="1"/>
  <c r="I1010" i="1"/>
  <c r="K1010" i="1" s="1"/>
  <c r="H1011" i="1"/>
  <c r="I1011" i="1"/>
  <c r="K1011" i="1" s="1"/>
  <c r="H1012" i="1"/>
  <c r="I1012" i="1"/>
  <c r="K1012" i="1" s="1"/>
  <c r="H1013" i="1"/>
  <c r="I1013" i="1"/>
  <c r="K1013" i="1" s="1"/>
  <c r="H1014" i="1"/>
  <c r="I1014" i="1"/>
  <c r="K1014" i="1" s="1"/>
  <c r="H1015" i="1"/>
  <c r="I1015" i="1"/>
  <c r="K1015" i="1" s="1"/>
  <c r="H1016" i="1"/>
  <c r="I1016" i="1"/>
  <c r="K1016" i="1" s="1"/>
  <c r="H1017" i="1"/>
  <c r="I1017" i="1"/>
  <c r="K1017" i="1" s="1"/>
  <c r="H1018" i="1"/>
  <c r="I1018" i="1"/>
  <c r="K1018" i="1" s="1"/>
  <c r="H1019" i="1"/>
  <c r="I1019" i="1"/>
  <c r="K1019" i="1" s="1"/>
  <c r="H1020" i="1"/>
  <c r="I1020" i="1"/>
  <c r="K1020" i="1" s="1"/>
  <c r="H1021" i="1"/>
  <c r="I1021" i="1"/>
  <c r="K1021" i="1" s="1"/>
  <c r="H1022" i="1"/>
  <c r="I1022" i="1"/>
  <c r="K1022" i="1" s="1"/>
  <c r="H1023" i="1"/>
  <c r="I1023" i="1"/>
  <c r="K1023" i="1" s="1"/>
  <c r="H1024" i="1"/>
  <c r="I1024" i="1"/>
  <c r="K1024" i="1" s="1"/>
  <c r="H1025" i="1"/>
  <c r="I1025" i="1"/>
  <c r="K1025" i="1" s="1"/>
  <c r="H1026" i="1"/>
  <c r="I1026" i="1"/>
  <c r="K1026" i="1" s="1"/>
  <c r="H1027" i="1"/>
  <c r="I1027" i="1"/>
  <c r="K1027" i="1" s="1"/>
  <c r="H1028" i="1"/>
  <c r="I1028" i="1"/>
  <c r="K1028" i="1" s="1"/>
  <c r="H1029" i="1"/>
  <c r="I1029" i="1"/>
  <c r="K1029" i="1" s="1"/>
  <c r="H1030" i="1"/>
  <c r="I1030" i="1"/>
  <c r="K1030" i="1" s="1"/>
  <c r="H1031" i="1"/>
  <c r="I1031" i="1"/>
  <c r="K1031" i="1" s="1"/>
  <c r="H1032" i="1"/>
  <c r="I1032" i="1"/>
  <c r="K1032" i="1" s="1"/>
  <c r="H1033" i="1"/>
  <c r="I1033" i="1"/>
  <c r="K1033" i="1" s="1"/>
  <c r="H1034" i="1"/>
  <c r="I1034" i="1"/>
  <c r="K1034" i="1" s="1"/>
  <c r="H1035" i="1"/>
  <c r="I1035" i="1"/>
  <c r="K1035" i="1" s="1"/>
  <c r="H1036" i="1"/>
  <c r="I1036" i="1"/>
  <c r="K1036" i="1" s="1"/>
  <c r="H1037" i="1"/>
  <c r="I1037" i="1"/>
  <c r="K1037" i="1" s="1"/>
  <c r="H1038" i="1"/>
  <c r="I1038" i="1"/>
  <c r="K1038" i="1" s="1"/>
  <c r="H1039" i="1"/>
  <c r="I1039" i="1"/>
  <c r="K1039" i="1" s="1"/>
  <c r="H1040" i="1"/>
  <c r="I1040" i="1"/>
  <c r="K1040" i="1" s="1"/>
  <c r="H1041" i="1"/>
  <c r="I1041" i="1"/>
  <c r="K1041" i="1" s="1"/>
  <c r="H1042" i="1"/>
  <c r="I1042" i="1"/>
  <c r="K1042" i="1" s="1"/>
  <c r="H1043" i="1"/>
  <c r="I1043" i="1"/>
  <c r="K1043" i="1" s="1"/>
  <c r="H1044" i="1"/>
  <c r="I1044" i="1"/>
  <c r="K1044" i="1" s="1"/>
  <c r="H1045" i="1"/>
  <c r="I1045" i="1"/>
  <c r="K1045" i="1" s="1"/>
  <c r="H1046" i="1"/>
  <c r="I1046" i="1"/>
  <c r="K1046" i="1" s="1"/>
  <c r="H1047" i="1"/>
  <c r="I1047" i="1"/>
  <c r="K1047" i="1" s="1"/>
  <c r="H1048" i="1"/>
  <c r="I1048" i="1"/>
  <c r="K1048" i="1" s="1"/>
  <c r="H1049" i="1"/>
  <c r="I1049" i="1"/>
  <c r="K1049" i="1" s="1"/>
  <c r="H1050" i="1"/>
  <c r="I1050" i="1"/>
  <c r="K1050" i="1" s="1"/>
  <c r="H1051" i="1"/>
  <c r="I1051" i="1"/>
  <c r="K1051" i="1" s="1"/>
  <c r="H1052" i="1"/>
  <c r="I1052" i="1"/>
  <c r="K1052" i="1" s="1"/>
  <c r="H1053" i="1"/>
  <c r="I1053" i="1"/>
  <c r="K1053" i="1" s="1"/>
  <c r="H1054" i="1"/>
  <c r="I1054" i="1"/>
  <c r="K1054" i="1" s="1"/>
  <c r="H1055" i="1"/>
  <c r="I1055" i="1"/>
  <c r="K1055" i="1" s="1"/>
  <c r="H1056" i="1"/>
  <c r="I1056" i="1"/>
  <c r="K1056" i="1" s="1"/>
  <c r="H1057" i="1"/>
  <c r="I1057" i="1"/>
  <c r="K1057" i="1" s="1"/>
  <c r="H1058" i="1"/>
  <c r="I1058" i="1"/>
  <c r="K1058" i="1" s="1"/>
  <c r="H1059" i="1"/>
  <c r="I1059" i="1"/>
  <c r="K1059" i="1" s="1"/>
  <c r="H1060" i="1"/>
  <c r="I1060" i="1"/>
  <c r="K1060" i="1" s="1"/>
  <c r="H1061" i="1"/>
  <c r="I1061" i="1"/>
  <c r="K1061" i="1" s="1"/>
  <c r="H1062" i="1"/>
  <c r="I1062" i="1"/>
  <c r="K1062" i="1" s="1"/>
  <c r="H1063" i="1"/>
  <c r="I1063" i="1"/>
  <c r="K1063" i="1" s="1"/>
  <c r="H1064" i="1"/>
  <c r="I1064" i="1"/>
  <c r="K1064" i="1" s="1"/>
  <c r="H1065" i="1"/>
  <c r="I1065" i="1"/>
  <c r="K1065" i="1" s="1"/>
  <c r="H1066" i="1"/>
  <c r="I1066" i="1"/>
  <c r="K1066" i="1" s="1"/>
  <c r="H1067" i="1"/>
  <c r="I1067" i="1"/>
  <c r="K1067" i="1" s="1"/>
  <c r="H1068" i="1"/>
  <c r="I1068" i="1"/>
  <c r="K1068" i="1" s="1"/>
  <c r="H1069" i="1"/>
  <c r="I1069" i="1"/>
  <c r="K1069" i="1" s="1"/>
  <c r="H1070" i="1"/>
  <c r="I1070" i="1"/>
  <c r="K1070" i="1" s="1"/>
  <c r="H1071" i="1"/>
  <c r="I1071" i="1"/>
  <c r="K1071" i="1" s="1"/>
  <c r="H1072" i="1"/>
  <c r="I1072" i="1"/>
  <c r="K1072" i="1" s="1"/>
  <c r="H1073" i="1"/>
  <c r="I1073" i="1"/>
  <c r="K1073" i="1" s="1"/>
  <c r="H1074" i="1"/>
  <c r="I1074" i="1"/>
  <c r="K1074" i="1" s="1"/>
  <c r="H1075" i="1"/>
  <c r="I1075" i="1"/>
  <c r="K1075" i="1" s="1"/>
  <c r="H1076" i="1"/>
  <c r="I1076" i="1"/>
  <c r="K1076" i="1" s="1"/>
  <c r="H1077" i="1"/>
  <c r="I1077" i="1"/>
  <c r="K1077" i="1" s="1"/>
  <c r="H1078" i="1"/>
  <c r="I1078" i="1"/>
  <c r="K1078" i="1" s="1"/>
  <c r="H1079" i="1"/>
  <c r="I1079" i="1"/>
  <c r="K1079" i="1" s="1"/>
  <c r="H1080" i="1"/>
  <c r="I1080" i="1"/>
  <c r="K1080" i="1" s="1"/>
  <c r="H1081" i="1"/>
  <c r="I1081" i="1"/>
  <c r="K1081" i="1" s="1"/>
  <c r="H1082" i="1"/>
  <c r="I1082" i="1"/>
  <c r="K1082" i="1" s="1"/>
  <c r="H1083" i="1"/>
  <c r="I1083" i="1"/>
  <c r="K1083" i="1" s="1"/>
  <c r="H1084" i="1"/>
  <c r="I1084" i="1"/>
  <c r="K1084" i="1" s="1"/>
  <c r="H1085" i="1"/>
  <c r="I1085" i="1"/>
  <c r="K1085" i="1" s="1"/>
  <c r="H1086" i="1"/>
  <c r="I1086" i="1"/>
  <c r="K1086" i="1" s="1"/>
  <c r="H1087" i="1"/>
  <c r="I1087" i="1"/>
  <c r="K1087" i="1" s="1"/>
  <c r="H1088" i="1"/>
  <c r="I1088" i="1"/>
  <c r="K1088" i="1" s="1"/>
  <c r="H1089" i="1"/>
  <c r="I1089" i="1"/>
  <c r="K1089" i="1" s="1"/>
  <c r="H1090" i="1"/>
  <c r="I1090" i="1"/>
  <c r="K1090" i="1" s="1"/>
  <c r="H1091" i="1"/>
  <c r="I1091" i="1"/>
  <c r="K1091" i="1" s="1"/>
  <c r="H1092" i="1"/>
  <c r="I1092" i="1"/>
  <c r="K1092" i="1" s="1"/>
  <c r="H1093" i="1"/>
  <c r="I1093" i="1"/>
  <c r="K1093" i="1" s="1"/>
  <c r="H1094" i="1"/>
  <c r="I1094" i="1"/>
  <c r="K1094" i="1" s="1"/>
  <c r="H1095" i="1"/>
  <c r="I1095" i="1"/>
  <c r="K1095" i="1" s="1"/>
  <c r="H1096" i="1"/>
  <c r="I1096" i="1"/>
  <c r="K1096" i="1" s="1"/>
  <c r="H1097" i="1"/>
  <c r="I1097" i="1"/>
  <c r="K1097" i="1" s="1"/>
  <c r="H1098" i="1"/>
  <c r="I1098" i="1"/>
  <c r="K1098" i="1" s="1"/>
  <c r="H1099" i="1"/>
  <c r="I1099" i="1"/>
  <c r="K1099" i="1" s="1"/>
  <c r="H1100" i="1"/>
  <c r="I1100" i="1"/>
  <c r="K1100" i="1" s="1"/>
  <c r="H1101" i="1"/>
  <c r="I1101" i="1"/>
  <c r="K1101" i="1" s="1"/>
  <c r="H1102" i="1"/>
  <c r="I1102" i="1"/>
  <c r="K1102" i="1" s="1"/>
  <c r="H1103" i="1"/>
  <c r="I1103" i="1"/>
  <c r="K1103" i="1" s="1"/>
  <c r="H1104" i="1"/>
  <c r="I1104" i="1"/>
  <c r="K1104" i="1" s="1"/>
  <c r="H1105" i="1"/>
  <c r="I1105" i="1"/>
  <c r="K1105" i="1" s="1"/>
  <c r="H1106" i="1"/>
  <c r="I1106" i="1"/>
  <c r="K1106" i="1" s="1"/>
  <c r="H1107" i="1"/>
  <c r="I1107" i="1"/>
  <c r="K1107" i="1" s="1"/>
  <c r="H1108" i="1"/>
  <c r="I1108" i="1"/>
  <c r="K1108" i="1" s="1"/>
  <c r="H1109" i="1"/>
  <c r="I1109" i="1"/>
  <c r="K1109" i="1" s="1"/>
  <c r="H1110" i="1"/>
  <c r="I1110" i="1"/>
  <c r="K1110" i="1" s="1"/>
  <c r="H1111" i="1"/>
  <c r="I1111" i="1"/>
  <c r="K1111" i="1" s="1"/>
  <c r="H1112" i="1"/>
  <c r="I1112" i="1"/>
  <c r="K1112" i="1" s="1"/>
  <c r="H1113" i="1"/>
  <c r="I1113" i="1"/>
  <c r="K1113" i="1" s="1"/>
  <c r="H1114" i="1"/>
  <c r="I1114" i="1"/>
  <c r="K1114" i="1" s="1"/>
  <c r="H1115" i="1"/>
  <c r="I1115" i="1"/>
  <c r="K1115" i="1" s="1"/>
  <c r="H1116" i="1"/>
  <c r="I1116" i="1"/>
  <c r="K1116" i="1" s="1"/>
  <c r="H1117" i="1"/>
  <c r="I1117" i="1"/>
  <c r="K1117" i="1" s="1"/>
  <c r="H1118" i="1"/>
  <c r="I1118" i="1"/>
  <c r="K1118" i="1" s="1"/>
  <c r="H1119" i="1"/>
  <c r="I1119" i="1"/>
  <c r="K1119" i="1" s="1"/>
  <c r="H1120" i="1"/>
  <c r="I1120" i="1"/>
  <c r="K1120" i="1" s="1"/>
  <c r="H1121" i="1"/>
  <c r="I1121" i="1"/>
  <c r="K1121" i="1" s="1"/>
  <c r="H1122" i="1"/>
  <c r="I1122" i="1"/>
  <c r="K1122" i="1" s="1"/>
  <c r="H1123" i="1"/>
  <c r="I1123" i="1"/>
  <c r="K1123" i="1" s="1"/>
  <c r="H1124" i="1"/>
  <c r="I1124" i="1"/>
  <c r="K1124" i="1" s="1"/>
  <c r="H1125" i="1"/>
  <c r="I1125" i="1"/>
  <c r="K1125" i="1" s="1"/>
  <c r="H1126" i="1"/>
  <c r="I1126" i="1"/>
  <c r="K1126" i="1" s="1"/>
  <c r="H1127" i="1"/>
  <c r="I1127" i="1"/>
  <c r="K1127" i="1" s="1"/>
  <c r="H1128" i="1"/>
  <c r="I1128" i="1"/>
  <c r="K1128" i="1" s="1"/>
  <c r="H1129" i="1"/>
  <c r="I1129" i="1"/>
  <c r="K1129" i="1" s="1"/>
  <c r="H1130" i="1"/>
  <c r="I1130" i="1"/>
  <c r="K1130" i="1" s="1"/>
  <c r="H1131" i="1"/>
  <c r="I1131" i="1"/>
  <c r="K1131" i="1" s="1"/>
  <c r="H1132" i="1"/>
  <c r="I1132" i="1"/>
  <c r="K1132" i="1" s="1"/>
  <c r="H1133" i="1"/>
  <c r="I1133" i="1"/>
  <c r="K1133" i="1" s="1"/>
  <c r="H1134" i="1"/>
  <c r="I1134" i="1"/>
  <c r="K1134" i="1" s="1"/>
  <c r="H1135" i="1"/>
  <c r="I1135" i="1"/>
  <c r="K1135" i="1" s="1"/>
  <c r="H1136" i="1"/>
  <c r="I1136" i="1"/>
  <c r="K1136" i="1" s="1"/>
  <c r="H1137" i="1"/>
  <c r="I1137" i="1"/>
  <c r="K1137" i="1" s="1"/>
  <c r="H1138" i="1"/>
  <c r="I1138" i="1"/>
  <c r="K1138" i="1" s="1"/>
  <c r="H1139" i="1"/>
  <c r="I1139" i="1"/>
  <c r="K1139" i="1" s="1"/>
  <c r="H1140" i="1"/>
  <c r="I1140" i="1"/>
  <c r="K1140" i="1" s="1"/>
  <c r="H1141" i="1"/>
  <c r="I1141" i="1"/>
  <c r="K1141" i="1" s="1"/>
  <c r="H1142" i="1"/>
  <c r="I1142" i="1"/>
  <c r="K1142" i="1" s="1"/>
  <c r="H1143" i="1"/>
  <c r="I1143" i="1"/>
  <c r="K1143" i="1" s="1"/>
  <c r="H1144" i="1"/>
  <c r="I1144" i="1"/>
  <c r="K1144" i="1" s="1"/>
  <c r="H1145" i="1"/>
  <c r="I1145" i="1"/>
  <c r="K1145" i="1" s="1"/>
  <c r="H1146" i="1"/>
  <c r="I1146" i="1"/>
  <c r="K1146" i="1" s="1"/>
  <c r="H1147" i="1"/>
  <c r="I1147" i="1"/>
  <c r="K1147" i="1" s="1"/>
  <c r="H1148" i="1"/>
  <c r="I1148" i="1"/>
  <c r="K1148" i="1" s="1"/>
  <c r="I2" i="1"/>
  <c r="K2" i="1" s="1"/>
  <c r="H2" i="1"/>
  <c r="K267" i="1" l="1"/>
  <c r="K259" i="1"/>
  <c r="K251" i="1"/>
  <c r="K243" i="1"/>
  <c r="K235" i="1"/>
  <c r="K227" i="1"/>
  <c r="K219" i="1"/>
  <c r="K211" i="1"/>
  <c r="K203" i="1"/>
  <c r="K195" i="1"/>
  <c r="K187" i="1"/>
  <c r="K179" i="1"/>
  <c r="K171" i="1"/>
  <c r="K163" i="1"/>
  <c r="K155" i="1"/>
  <c r="K147" i="1"/>
  <c r="K139" i="1"/>
  <c r="K131" i="1"/>
  <c r="K123" i="1"/>
  <c r="K115" i="1"/>
  <c r="K107" i="1"/>
  <c r="K99" i="1"/>
  <c r="K91" i="1"/>
  <c r="K83" i="1"/>
  <c r="K75" i="1"/>
  <c r="K67" i="1"/>
  <c r="K59" i="1"/>
  <c r="K51" i="1"/>
  <c r="K43" i="1"/>
  <c r="K35" i="1"/>
  <c r="K27" i="1"/>
  <c r="K19" i="1"/>
  <c r="K11" i="1"/>
  <c r="K3" i="1"/>
  <c r="K209" i="1"/>
  <c r="K201" i="1"/>
  <c r="K193" i="1"/>
  <c r="K185" i="1"/>
  <c r="K177" i="1"/>
  <c r="K169" i="1"/>
  <c r="K161" i="1"/>
  <c r="K153" i="1"/>
  <c r="K145" i="1"/>
  <c r="K137" i="1"/>
  <c r="K129" i="1"/>
  <c r="K121" i="1"/>
  <c r="K113" i="1"/>
  <c r="K105" i="1"/>
  <c r="K97" i="1"/>
  <c r="K89" i="1"/>
  <c r="K81" i="1"/>
  <c r="K73" i="1"/>
  <c r="K65" i="1"/>
  <c r="K57" i="1"/>
  <c r="K49" i="1"/>
  <c r="K41" i="1"/>
  <c r="K33" i="1"/>
  <c r="K25" i="1"/>
  <c r="K17" i="1"/>
  <c r="K9" i="1"/>
  <c r="K272" i="1"/>
  <c r="K264" i="1"/>
  <c r="K256" i="1"/>
  <c r="K248" i="1"/>
  <c r="K240" i="1"/>
  <c r="K232" i="1"/>
  <c r="K224" i="1"/>
  <c r="K216" i="1"/>
  <c r="K208" i="1"/>
  <c r="K200" i="1"/>
  <c r="K192" i="1"/>
  <c r="K184" i="1"/>
  <c r="K176" i="1"/>
  <c r="K168" i="1"/>
  <c r="K160" i="1"/>
  <c r="K152" i="1"/>
  <c r="K144" i="1"/>
  <c r="K136" i="1"/>
  <c r="K128" i="1"/>
  <c r="K120" i="1"/>
  <c r="K112" i="1"/>
  <c r="K104" i="1"/>
  <c r="K96" i="1"/>
  <c r="K88" i="1"/>
  <c r="K80" i="1"/>
  <c r="K72" i="1"/>
  <c r="K64" i="1"/>
  <c r="K56" i="1"/>
  <c r="K48" i="1"/>
  <c r="K40" i="1"/>
  <c r="K32" i="1"/>
  <c r="K24" i="1"/>
  <c r="K16" i="1"/>
  <c r="K8" i="1"/>
  <c r="K271" i="1"/>
  <c r="K263" i="1"/>
  <c r="K255" i="1"/>
  <c r="K247" i="1"/>
  <c r="K239" i="1"/>
  <c r="K231" i="1"/>
  <c r="K223" i="1"/>
  <c r="K215" i="1"/>
  <c r="K207" i="1"/>
  <c r="K199" i="1"/>
  <c r="K191" i="1"/>
  <c r="K183" i="1"/>
  <c r="K175" i="1"/>
  <c r="K167" i="1"/>
  <c r="K159" i="1"/>
  <c r="K151" i="1"/>
  <c r="K143" i="1"/>
  <c r="K135" i="1"/>
  <c r="K127" i="1"/>
  <c r="K119" i="1"/>
  <c r="K111" i="1"/>
  <c r="K103" i="1"/>
  <c r="K95" i="1"/>
  <c r="K87" i="1"/>
  <c r="K79" i="1"/>
  <c r="K71" i="1"/>
  <c r="K63" i="1"/>
  <c r="K55" i="1"/>
  <c r="K47" i="1"/>
  <c r="K39" i="1"/>
  <c r="K31" i="1"/>
  <c r="K23" i="1"/>
  <c r="K15" i="1"/>
  <c r="K7" i="1"/>
  <c r="N12" i="1" s="1"/>
  <c r="K206" i="1"/>
  <c r="K198" i="1"/>
  <c r="K190" i="1"/>
  <c r="K182" i="1"/>
  <c r="K174" i="1"/>
  <c r="K166" i="1"/>
  <c r="K158" i="1"/>
  <c r="K150" i="1"/>
  <c r="K142" i="1"/>
  <c r="K134" i="1"/>
  <c r="K126" i="1"/>
  <c r="K118" i="1"/>
  <c r="K110" i="1"/>
  <c r="K102" i="1"/>
  <c r="K94" i="1"/>
  <c r="K86" i="1"/>
  <c r="K78" i="1"/>
  <c r="K70" i="1"/>
  <c r="K62" i="1"/>
  <c r="K54" i="1"/>
  <c r="K46" i="1"/>
  <c r="K38" i="1"/>
  <c r="K30" i="1"/>
  <c r="K22" i="1"/>
  <c r="K14" i="1"/>
  <c r="K6" i="1"/>
  <c r="K269" i="1"/>
  <c r="K261" i="1"/>
  <c r="K253" i="1"/>
  <c r="K245" i="1"/>
  <c r="K237" i="1"/>
  <c r="K229" i="1"/>
  <c r="K221" i="1"/>
  <c r="K213" i="1"/>
  <c r="K205" i="1"/>
  <c r="K197" i="1"/>
  <c r="K189" i="1"/>
  <c r="K181" i="1"/>
  <c r="K173" i="1"/>
  <c r="K165" i="1"/>
  <c r="K157" i="1"/>
  <c r="K149" i="1"/>
  <c r="K141" i="1"/>
  <c r="K133" i="1"/>
  <c r="K125" i="1"/>
  <c r="K117" i="1"/>
  <c r="K109" i="1"/>
  <c r="K101" i="1"/>
  <c r="K93" i="1"/>
  <c r="K85" i="1"/>
  <c r="K77" i="1"/>
  <c r="K69" i="1"/>
  <c r="K61" i="1"/>
  <c r="K53" i="1"/>
  <c r="K45" i="1"/>
  <c r="K37" i="1"/>
  <c r="K29" i="1"/>
  <c r="K21" i="1"/>
  <c r="K13" i="1"/>
  <c r="K5" i="1"/>
  <c r="O105" i="1" l="1"/>
  <c r="O101" i="1"/>
  <c r="O19" i="1"/>
  <c r="O86" i="1"/>
  <c r="O248" i="1"/>
  <c r="O147" i="1"/>
  <c r="O167" i="1"/>
  <c r="O1004" i="1"/>
  <c r="O1024" i="1"/>
  <c r="O685" i="1"/>
  <c r="O991" i="1"/>
  <c r="O809" i="1"/>
  <c r="O559" i="1"/>
  <c r="O338" i="1"/>
  <c r="O487" i="1"/>
  <c r="O412" i="1"/>
  <c r="O689" i="1"/>
  <c r="O337" i="1"/>
  <c r="O614" i="1"/>
  <c r="O294" i="1"/>
  <c r="O635" i="1"/>
  <c r="O331" i="1"/>
  <c r="O640" i="1"/>
  <c r="O336" i="1"/>
  <c r="O479" i="1"/>
  <c r="O420" i="1"/>
  <c r="O697" i="1"/>
  <c r="O409" i="1"/>
  <c r="O686" i="1"/>
  <c r="O398" i="1"/>
  <c r="O808" i="1"/>
  <c r="O504" i="1"/>
  <c r="O216" i="1"/>
  <c r="O142" i="1"/>
  <c r="O106" i="1"/>
  <c r="O68" i="1"/>
  <c r="O32" i="1"/>
  <c r="O159" i="1"/>
  <c r="O127" i="1"/>
  <c r="O95" i="1"/>
  <c r="O63" i="1"/>
  <c r="O31" i="1"/>
  <c r="O792" i="1"/>
  <c r="O200" i="1"/>
  <c r="O102" i="1"/>
  <c r="O30" i="1"/>
  <c r="O125" i="1"/>
  <c r="O93" i="1"/>
  <c r="O61" i="1"/>
  <c r="O29" i="1"/>
  <c r="O879" i="1"/>
  <c r="O348" i="1"/>
  <c r="O246" i="1"/>
  <c r="O272" i="1"/>
  <c r="O372" i="1"/>
  <c r="O350" i="1"/>
  <c r="O172" i="1"/>
  <c r="O62" i="1"/>
  <c r="O153" i="1"/>
  <c r="O89" i="1"/>
  <c r="O132" i="1"/>
  <c r="O151" i="1"/>
  <c r="O87" i="1"/>
  <c r="O23" i="1"/>
  <c r="O712" i="1"/>
  <c r="O166" i="1"/>
  <c r="O20" i="1"/>
  <c r="O85" i="1"/>
  <c r="O836" i="1"/>
  <c r="O347" i="1"/>
  <c r="O108" i="1"/>
  <c r="O828" i="1"/>
  <c r="O880" i="1"/>
  <c r="O623" i="1"/>
  <c r="O927" i="1"/>
  <c r="O573" i="1"/>
  <c r="O474" i="1"/>
  <c r="O306" i="1"/>
  <c r="O471" i="1"/>
  <c r="O732" i="1"/>
  <c r="O396" i="1"/>
  <c r="O673" i="1"/>
  <c r="O321" i="1"/>
  <c r="O598" i="1"/>
  <c r="O278" i="1"/>
  <c r="O619" i="1"/>
  <c r="O283" i="1"/>
  <c r="O624" i="1"/>
  <c r="O304" i="1"/>
  <c r="O463" i="1"/>
  <c r="O740" i="1"/>
  <c r="O404" i="1"/>
  <c r="O681" i="1"/>
  <c r="O377" i="1"/>
  <c r="O670" i="1"/>
  <c r="O382" i="1"/>
  <c r="O488" i="1"/>
  <c r="O140" i="1"/>
  <c r="O66" i="1"/>
  <c r="O157" i="1"/>
  <c r="O597" i="1"/>
  <c r="O864" i="1"/>
  <c r="O595" i="1"/>
  <c r="O895" i="1"/>
  <c r="O531" i="1"/>
  <c r="O410" i="1"/>
  <c r="O194" i="1"/>
  <c r="O455" i="1"/>
  <c r="O700" i="1"/>
  <c r="O364" i="1"/>
  <c r="O657" i="1"/>
  <c r="O305" i="1"/>
  <c r="O582" i="1"/>
  <c r="O262" i="1"/>
  <c r="O603" i="1"/>
  <c r="O267" i="1"/>
  <c r="O608" i="1"/>
  <c r="O288" i="1"/>
  <c r="O447" i="1"/>
  <c r="O692" i="1"/>
  <c r="O388" i="1"/>
  <c r="O665" i="1"/>
  <c r="O361" i="1"/>
  <c r="O654" i="1"/>
  <c r="O366" i="1"/>
  <c r="O760" i="1"/>
  <c r="O472" i="1"/>
  <c r="O184" i="1"/>
  <c r="O138" i="1"/>
  <c r="O100" i="1"/>
  <c r="O64" i="1"/>
  <c r="O28" i="1"/>
  <c r="O155" i="1"/>
  <c r="O123" i="1"/>
  <c r="O91" i="1"/>
  <c r="O59" i="1"/>
  <c r="O27" i="1"/>
  <c r="O805" i="1"/>
  <c r="O289" i="1"/>
  <c r="O251" i="1"/>
  <c r="O431" i="1"/>
  <c r="O345" i="1"/>
  <c r="O744" i="1"/>
  <c r="O134" i="1"/>
  <c r="O98" i="1"/>
  <c r="O26" i="1"/>
  <c r="O121" i="1"/>
  <c r="O57" i="1"/>
  <c r="O96" i="1"/>
  <c r="O22" i="1"/>
  <c r="O119" i="1"/>
  <c r="O55" i="1"/>
  <c r="O302" i="1"/>
  <c r="O130" i="1"/>
  <c r="O149" i="1"/>
  <c r="O21" i="1"/>
  <c r="O984" i="1"/>
  <c r="O1137" i="1"/>
  <c r="O339" i="1"/>
  <c r="O282" i="1"/>
  <c r="O178" i="1"/>
  <c r="O439" i="1"/>
  <c r="O684" i="1"/>
  <c r="O609" i="1"/>
  <c r="O550" i="1"/>
  <c r="O587" i="1"/>
  <c r="O592" i="1"/>
  <c r="O676" i="1"/>
  <c r="O633" i="1"/>
  <c r="O638" i="1"/>
  <c r="O456" i="1"/>
  <c r="O25" i="1"/>
  <c r="O117" i="1"/>
  <c r="O53" i="1"/>
  <c r="O269" i="1"/>
  <c r="O630" i="1"/>
  <c r="O702" i="1"/>
  <c r="O161" i="1"/>
  <c r="O773" i="1"/>
  <c r="O993" i="1"/>
  <c r="O637" i="1"/>
  <c r="O815" i="1"/>
  <c r="O275" i="1"/>
  <c r="O738" i="1"/>
  <c r="O743" i="1"/>
  <c r="O423" i="1"/>
  <c r="O668" i="1"/>
  <c r="O332" i="1"/>
  <c r="O593" i="1"/>
  <c r="O273" i="1"/>
  <c r="O534" i="1"/>
  <c r="O230" i="1"/>
  <c r="O539" i="1"/>
  <c r="O235" i="1"/>
  <c r="O560" i="1"/>
  <c r="O256" i="1"/>
  <c r="O415" i="1"/>
  <c r="O660" i="1"/>
  <c r="O356" i="1"/>
  <c r="O617" i="1"/>
  <c r="O329" i="1"/>
  <c r="O622" i="1"/>
  <c r="O318" i="1"/>
  <c r="O728" i="1"/>
  <c r="O440" i="1"/>
  <c r="O170" i="1"/>
  <c r="O60" i="1"/>
  <c r="O58" i="1"/>
  <c r="O782" i="1"/>
  <c r="O183" i="1"/>
  <c r="O495" i="1"/>
  <c r="O232" i="1"/>
  <c r="O65" i="1"/>
  <c r="O586" i="1"/>
  <c r="O323" i="1"/>
  <c r="O817" i="1"/>
  <c r="O575" i="1"/>
  <c r="O1130" i="1"/>
  <c r="O698" i="1"/>
  <c r="O261" i="1"/>
  <c r="O722" i="1"/>
  <c r="O727" i="1"/>
  <c r="O391" i="1"/>
  <c r="O652" i="1"/>
  <c r="O316" i="1"/>
  <c r="O577" i="1"/>
  <c r="O257" i="1"/>
  <c r="O518" i="1"/>
  <c r="O214" i="1"/>
  <c r="O523" i="1"/>
  <c r="O219" i="1"/>
  <c r="O544" i="1"/>
  <c r="O240" i="1"/>
  <c r="O367" i="1"/>
  <c r="O644" i="1"/>
  <c r="O324" i="1"/>
  <c r="O601" i="1"/>
  <c r="O313" i="1"/>
  <c r="O606" i="1"/>
  <c r="O424" i="1"/>
  <c r="O94" i="1"/>
  <c r="O621" i="1"/>
  <c r="O385" i="1"/>
  <c r="O352" i="1"/>
  <c r="O179" i="1"/>
  <c r="O97" i="1"/>
  <c r="O1054" i="1"/>
  <c r="O1037" i="1"/>
  <c r="O250" i="1"/>
  <c r="O483" i="1"/>
  <c r="O1098" i="1"/>
  <c r="O691" i="1"/>
  <c r="O674" i="1"/>
  <c r="O711" i="1"/>
  <c r="O375" i="1"/>
  <c r="O620" i="1"/>
  <c r="O268" i="1"/>
  <c r="O561" i="1"/>
  <c r="O225" i="1"/>
  <c r="O502" i="1"/>
  <c r="O198" i="1"/>
  <c r="O507" i="1"/>
  <c r="O203" i="1"/>
  <c r="O528" i="1"/>
  <c r="O224" i="1"/>
  <c r="O351" i="1"/>
  <c r="O628" i="1"/>
  <c r="O308" i="1"/>
  <c r="O585" i="1"/>
  <c r="O297" i="1"/>
  <c r="O574" i="1"/>
  <c r="O286" i="1"/>
  <c r="O696" i="1"/>
  <c r="O408" i="1"/>
  <c r="O164" i="1"/>
  <c r="O128" i="1"/>
  <c r="O92" i="1"/>
  <c r="O54" i="1"/>
  <c r="O18" i="1"/>
  <c r="O115" i="1"/>
  <c r="O83" i="1"/>
  <c r="O51" i="1"/>
  <c r="O81" i="1"/>
  <c r="O17" i="1"/>
  <c r="O47" i="1"/>
  <c r="O540" i="1"/>
  <c r="O763" i="1"/>
  <c r="O480" i="1"/>
  <c r="O197" i="1"/>
  <c r="O537" i="1"/>
  <c r="O238" i="1"/>
  <c r="O344" i="1"/>
  <c r="O84" i="1"/>
  <c r="O141" i="1"/>
  <c r="O77" i="1"/>
  <c r="O287" i="1"/>
  <c r="O222" i="1"/>
  <c r="O82" i="1"/>
  <c r="O107" i="1"/>
  <c r="O201" i="1"/>
  <c r="O116" i="1"/>
  <c r="O137" i="1"/>
  <c r="O41" i="1"/>
  <c r="O478" i="1"/>
  <c r="O78" i="1"/>
  <c r="O713" i="1"/>
  <c r="O802" i="1"/>
  <c r="O1014" i="1"/>
  <c r="O277" i="1"/>
  <c r="O1082" i="1"/>
  <c r="O1145" i="1"/>
  <c r="O658" i="1"/>
  <c r="O695" i="1"/>
  <c r="O359" i="1"/>
  <c r="O604" i="1"/>
  <c r="O252" i="1"/>
  <c r="O545" i="1"/>
  <c r="O209" i="1"/>
  <c r="O486" i="1"/>
  <c r="O795" i="1"/>
  <c r="O491" i="1"/>
  <c r="O171" i="1"/>
  <c r="O512" i="1"/>
  <c r="O208" i="1"/>
  <c r="O335" i="1"/>
  <c r="O612" i="1"/>
  <c r="O292" i="1"/>
  <c r="O569" i="1"/>
  <c r="O281" i="1"/>
  <c r="O558" i="1"/>
  <c r="O270" i="1"/>
  <c r="O680" i="1"/>
  <c r="O376" i="1"/>
  <c r="O162" i="1"/>
  <c r="O126" i="1"/>
  <c r="O90" i="1"/>
  <c r="O52" i="1"/>
  <c r="O16" i="1"/>
  <c r="O145" i="1"/>
  <c r="O113" i="1"/>
  <c r="O49" i="1"/>
  <c r="O327" i="1"/>
  <c r="O459" i="1"/>
  <c r="O260" i="1"/>
  <c r="O526" i="1"/>
  <c r="O158" i="1"/>
  <c r="O48" i="1"/>
  <c r="O109" i="1"/>
  <c r="O13" i="1"/>
  <c r="O244" i="1"/>
  <c r="O510" i="1"/>
  <c r="O328" i="1"/>
  <c r="O118" i="1"/>
  <c r="O46" i="1"/>
  <c r="O139" i="1"/>
  <c r="O11" i="1"/>
  <c r="O190" i="1"/>
  <c r="O312" i="1"/>
  <c r="O80" i="1"/>
  <c r="O44" i="1"/>
  <c r="O9" i="1"/>
  <c r="O584" i="1"/>
  <c r="O150" i="1"/>
  <c r="O42" i="1"/>
  <c r="O4" i="1"/>
  <c r="O5" i="1"/>
  <c r="O436" i="1"/>
  <c r="O522" i="1"/>
  <c r="O870" i="1"/>
  <c r="O227" i="1"/>
  <c r="O1050" i="1"/>
  <c r="O1129" i="1"/>
  <c r="O626" i="1"/>
  <c r="O663" i="1"/>
  <c r="O343" i="1"/>
  <c r="O588" i="1"/>
  <c r="O236" i="1"/>
  <c r="O529" i="1"/>
  <c r="O193" i="1"/>
  <c r="O470" i="1"/>
  <c r="O779" i="1"/>
  <c r="O475" i="1"/>
  <c r="O800" i="1"/>
  <c r="O496" i="1"/>
  <c r="O213" i="1"/>
  <c r="O319" i="1"/>
  <c r="O580" i="1"/>
  <c r="O276" i="1"/>
  <c r="O553" i="1"/>
  <c r="O249" i="1"/>
  <c r="O542" i="1"/>
  <c r="O254" i="1"/>
  <c r="O664" i="1"/>
  <c r="O360" i="1"/>
  <c r="O160" i="1"/>
  <c r="O124" i="1"/>
  <c r="O50" i="1"/>
  <c r="O14" i="1"/>
  <c r="O143" i="1"/>
  <c r="O111" i="1"/>
  <c r="O79" i="1"/>
  <c r="O15" i="1"/>
  <c r="O497" i="1"/>
  <c r="O454" i="1"/>
  <c r="O784" i="1"/>
  <c r="O564" i="1"/>
  <c r="O233" i="1"/>
  <c r="O632" i="1"/>
  <c r="O122" i="1"/>
  <c r="O12" i="1"/>
  <c r="O45" i="1"/>
  <c r="O505" i="1"/>
  <c r="O616" i="1"/>
  <c r="O156" i="1"/>
  <c r="O10" i="1"/>
  <c r="O43" i="1"/>
  <c r="O494" i="1"/>
  <c r="O154" i="1"/>
  <c r="O6" i="1"/>
  <c r="O73" i="1"/>
  <c r="O174" i="1"/>
  <c r="O114" i="1"/>
  <c r="O71" i="1"/>
  <c r="O425" i="1"/>
  <c r="O1138" i="1"/>
  <c r="O541" i="1"/>
  <c r="O1109" i="1"/>
  <c r="O922" i="1"/>
  <c r="O1124" i="1"/>
  <c r="O1049" i="1"/>
  <c r="O610" i="1"/>
  <c r="O647" i="1"/>
  <c r="O220" i="1"/>
  <c r="O177" i="1"/>
  <c r="O303" i="1"/>
  <c r="O39" i="1"/>
  <c r="O69" i="1"/>
  <c r="O428" i="1"/>
  <c r="O414" i="1"/>
  <c r="O962" i="1"/>
  <c r="O1099" i="1"/>
  <c r="O1045" i="1"/>
  <c r="O906" i="1"/>
  <c r="O1092" i="1"/>
  <c r="O1017" i="1"/>
  <c r="O578" i="1"/>
  <c r="O631" i="1"/>
  <c r="O295" i="1"/>
  <c r="O524" i="1"/>
  <c r="O204" i="1"/>
  <c r="O465" i="1"/>
  <c r="O742" i="1"/>
  <c r="O406" i="1"/>
  <c r="O747" i="1"/>
  <c r="O427" i="1"/>
  <c r="O768" i="1"/>
  <c r="O464" i="1"/>
  <c r="O181" i="1"/>
  <c r="O548" i="1"/>
  <c r="O217" i="1"/>
  <c r="O75" i="1"/>
  <c r="O103" i="1"/>
  <c r="O35" i="1"/>
  <c r="O503" i="1"/>
  <c r="O191" i="1"/>
  <c r="O144" i="1"/>
  <c r="O33" i="1"/>
  <c r="O761" i="1"/>
  <c r="O907" i="1"/>
  <c r="O1029" i="1"/>
  <c r="O842" i="1"/>
  <c r="O996" i="1"/>
  <c r="O1001" i="1"/>
  <c r="O466" i="1"/>
  <c r="O615" i="1"/>
  <c r="O279" i="1"/>
  <c r="O508" i="1"/>
  <c r="O188" i="1"/>
  <c r="O449" i="1"/>
  <c r="O726" i="1"/>
  <c r="O390" i="1"/>
  <c r="O731" i="1"/>
  <c r="O411" i="1"/>
  <c r="O752" i="1"/>
  <c r="O416" i="1"/>
  <c r="O202" i="1"/>
  <c r="O255" i="1"/>
  <c r="O532" i="1"/>
  <c r="O228" i="1"/>
  <c r="O489" i="1"/>
  <c r="O600" i="1"/>
  <c r="O129" i="1"/>
  <c r="O579" i="1"/>
  <c r="O589" i="1"/>
  <c r="O981" i="1"/>
  <c r="O793" i="1"/>
  <c r="O980" i="1"/>
  <c r="O969" i="1"/>
  <c r="O450" i="1"/>
  <c r="O599" i="1"/>
  <c r="O231" i="1"/>
  <c r="O492" i="1"/>
  <c r="O769" i="1"/>
  <c r="O433" i="1"/>
  <c r="O710" i="1"/>
  <c r="O374" i="1"/>
  <c r="O715" i="1"/>
  <c r="O395" i="1"/>
  <c r="O736" i="1"/>
  <c r="O400" i="1"/>
  <c r="O186" i="1"/>
  <c r="O239" i="1"/>
  <c r="O516" i="1"/>
  <c r="O196" i="1"/>
  <c r="O473" i="1"/>
  <c r="O185" i="1"/>
  <c r="O296" i="1"/>
  <c r="O1056" i="1"/>
  <c r="O354" i="1"/>
  <c r="O705" i="1"/>
  <c r="O656" i="1"/>
  <c r="O536" i="1"/>
  <c r="O999" i="1"/>
  <c r="O1104" i="1"/>
  <c r="O885" i="1"/>
  <c r="O746" i="1"/>
  <c r="O916" i="1"/>
  <c r="O873" i="1"/>
  <c r="O402" i="1"/>
  <c r="O583" i="1"/>
  <c r="O215" i="1"/>
  <c r="O476" i="1"/>
  <c r="O753" i="1"/>
  <c r="O417" i="1"/>
  <c r="O662" i="1"/>
  <c r="O358" i="1"/>
  <c r="O683" i="1"/>
  <c r="O379" i="1"/>
  <c r="O720" i="1"/>
  <c r="O384" i="1"/>
  <c r="O543" i="1"/>
  <c r="O223" i="1"/>
  <c r="O500" i="1"/>
  <c r="O180" i="1"/>
  <c r="O457" i="1"/>
  <c r="O169" i="1"/>
  <c r="O446" i="1"/>
  <c r="O211" i="1"/>
  <c r="O568" i="1"/>
  <c r="O280" i="1"/>
  <c r="O148" i="1"/>
  <c r="O112" i="1"/>
  <c r="O76" i="1"/>
  <c r="O38" i="1"/>
  <c r="O165" i="1"/>
  <c r="O133" i="1"/>
  <c r="O37" i="1"/>
  <c r="O326" i="1"/>
  <c r="O70" i="1"/>
  <c r="O855" i="1"/>
  <c r="O1072" i="1"/>
  <c r="O869" i="1"/>
  <c r="O671" i="1"/>
  <c r="O852" i="1"/>
  <c r="O841" i="1"/>
  <c r="O386" i="1"/>
  <c r="O551" i="1"/>
  <c r="O199" i="1"/>
  <c r="O460" i="1"/>
  <c r="O721" i="1"/>
  <c r="O401" i="1"/>
  <c r="O646" i="1"/>
  <c r="O342" i="1"/>
  <c r="O667" i="1"/>
  <c r="O363" i="1"/>
  <c r="O672" i="1"/>
  <c r="O368" i="1"/>
  <c r="O511" i="1"/>
  <c r="O207" i="1"/>
  <c r="O484" i="1"/>
  <c r="O729" i="1"/>
  <c r="O441" i="1"/>
  <c r="O734" i="1"/>
  <c r="O430" i="1"/>
  <c r="O195" i="1"/>
  <c r="O552" i="1"/>
  <c r="O146" i="1"/>
  <c r="O110" i="1"/>
  <c r="O74" i="1"/>
  <c r="O36" i="1"/>
  <c r="O163" i="1"/>
  <c r="O131" i="1"/>
  <c r="O99" i="1"/>
  <c r="O67" i="1"/>
  <c r="O651" i="1"/>
  <c r="O34" i="1"/>
  <c r="O135" i="1"/>
  <c r="O175" i="1"/>
  <c r="O7" i="1"/>
  <c r="O290" i="1"/>
  <c r="O562" i="1"/>
  <c r="O205" i="1"/>
  <c r="O953" i="1"/>
  <c r="O798" i="1"/>
  <c r="O1076" i="1"/>
  <c r="O804" i="1"/>
  <c r="O650" i="1"/>
  <c r="O1034" i="1"/>
  <c r="O581" i="1"/>
  <c r="O965" i="1"/>
  <c r="O469" i="1"/>
  <c r="O1008" i="1"/>
  <c r="O891" i="1"/>
  <c r="O477" i="1"/>
  <c r="O998" i="1"/>
  <c r="O806" i="1"/>
  <c r="O1121" i="1"/>
  <c r="O801" i="1"/>
  <c r="O983" i="1"/>
  <c r="O605" i="1"/>
  <c r="O1122" i="1"/>
  <c r="O796" i="1"/>
  <c r="O245" i="1"/>
  <c r="O968" i="1"/>
  <c r="O322" i="1"/>
  <c r="O594" i="1"/>
  <c r="O346" i="1"/>
  <c r="O985" i="1"/>
  <c r="O218" i="1"/>
  <c r="O820" i="1"/>
  <c r="O1108" i="1"/>
  <c r="O863" i="1"/>
  <c r="O733" i="1"/>
  <c r="O1066" i="1"/>
  <c r="O602" i="1"/>
  <c r="O997" i="1"/>
  <c r="O533" i="1"/>
  <c r="O1040" i="1"/>
  <c r="O923" i="1"/>
  <c r="O693" i="1"/>
  <c r="O1030" i="1"/>
  <c r="O833" i="1"/>
  <c r="O844" i="1"/>
  <c r="O549" i="1"/>
  <c r="O1015" i="1"/>
  <c r="O807" i="1"/>
  <c r="O829" i="1"/>
  <c r="O373" i="1"/>
  <c r="O1000" i="1"/>
  <c r="O1059" i="1"/>
  <c r="O939" i="1"/>
  <c r="O707" i="1"/>
  <c r="O1078" i="1"/>
  <c r="O849" i="1"/>
  <c r="O892" i="1"/>
  <c r="O563" i="1"/>
  <c r="O1031" i="1"/>
  <c r="O850" i="1"/>
  <c r="O845" i="1"/>
  <c r="O451" i="1"/>
  <c r="O1016" i="1"/>
  <c r="O931" i="1"/>
  <c r="O1139" i="1"/>
  <c r="O955" i="1"/>
  <c r="O735" i="1"/>
  <c r="O1094" i="1"/>
  <c r="O865" i="1"/>
  <c r="O293" i="1"/>
  <c r="O908" i="1"/>
  <c r="O570" i="1"/>
  <c r="O1079" i="1"/>
  <c r="O866" i="1"/>
  <c r="O893" i="1"/>
  <c r="O501" i="1"/>
  <c r="O1032" i="1"/>
  <c r="O655" i="1"/>
  <c r="O1006" i="1"/>
  <c r="O819" i="1"/>
  <c r="O8" i="1"/>
  <c r="O40" i="1"/>
  <c r="O72" i="1"/>
  <c r="O104" i="1"/>
  <c r="O136" i="1"/>
  <c r="O168" i="1"/>
  <c r="O392" i="1"/>
  <c r="O648" i="1"/>
  <c r="O206" i="1"/>
  <c r="O462" i="1"/>
  <c r="O718" i="1"/>
  <c r="O393" i="1"/>
  <c r="O649" i="1"/>
  <c r="O340" i="1"/>
  <c r="O596" i="1"/>
  <c r="O271" i="1"/>
  <c r="O527" i="1"/>
  <c r="O320" i="1"/>
  <c r="O576" i="1"/>
  <c r="O187" i="1"/>
  <c r="O443" i="1"/>
  <c r="O699" i="1"/>
  <c r="O310" i="1"/>
  <c r="O566" i="1"/>
  <c r="O241" i="1"/>
  <c r="O513" i="1"/>
  <c r="O785" i="1"/>
  <c r="O444" i="1"/>
  <c r="O716" i="1"/>
  <c r="O407" i="1"/>
  <c r="O679" i="1"/>
  <c r="O370" i="1"/>
  <c r="O642" i="1"/>
  <c r="O538" i="1"/>
  <c r="O1033" i="1"/>
  <c r="O325" i="1"/>
  <c r="O868" i="1"/>
  <c r="O911" i="1"/>
  <c r="O826" i="1"/>
  <c r="O1114" i="1"/>
  <c r="O758" i="1"/>
  <c r="O1061" i="1"/>
  <c r="O788" i="1"/>
  <c r="O1088" i="1"/>
  <c r="O971" i="1"/>
  <c r="O741" i="1"/>
  <c r="O1110" i="1"/>
  <c r="O881" i="1"/>
  <c r="O307" i="1"/>
  <c r="O924" i="1"/>
  <c r="O591" i="1"/>
  <c r="O1095" i="1"/>
  <c r="O882" i="1"/>
  <c r="O909" i="1"/>
  <c r="O515" i="1"/>
  <c r="O1048" i="1"/>
  <c r="O990" i="1"/>
  <c r="O717" i="1"/>
  <c r="O1043" i="1"/>
  <c r="O756" i="1"/>
  <c r="O894" i="1"/>
  <c r="O987" i="1"/>
  <c r="O765" i="1"/>
  <c r="O1126" i="1"/>
  <c r="O897" i="1"/>
  <c r="O357" i="1"/>
  <c r="O940" i="1"/>
  <c r="O653" i="1"/>
  <c r="O1111" i="1"/>
  <c r="O898" i="1"/>
  <c r="O925" i="1"/>
  <c r="O661" i="1"/>
  <c r="O1064" i="1"/>
  <c r="O1071" i="1"/>
  <c r="O1086" i="1"/>
  <c r="O803" i="1"/>
  <c r="O947" i="1"/>
  <c r="O1065" i="1"/>
  <c r="O389" i="1"/>
  <c r="O932" i="1"/>
  <c r="O943" i="1"/>
  <c r="O858" i="1"/>
  <c r="O1146" i="1"/>
  <c r="O799" i="1"/>
  <c r="O1125" i="1"/>
  <c r="O816" i="1"/>
  <c r="O1120" i="1"/>
  <c r="O1019" i="1"/>
  <c r="O822" i="1"/>
  <c r="O1142" i="1"/>
  <c r="O913" i="1"/>
  <c r="O435" i="1"/>
  <c r="O956" i="1"/>
  <c r="O772" i="1"/>
  <c r="O914" i="1"/>
  <c r="O989" i="1"/>
  <c r="O675" i="1"/>
  <c r="O1112" i="1"/>
  <c r="O1123" i="1"/>
  <c r="O1007" i="1"/>
  <c r="O418" i="1"/>
  <c r="O690" i="1"/>
  <c r="O745" i="1"/>
  <c r="O1081" i="1"/>
  <c r="O467" i="1"/>
  <c r="O948" i="1"/>
  <c r="O959" i="1"/>
  <c r="O874" i="1"/>
  <c r="O810" i="1"/>
  <c r="O1141" i="1"/>
  <c r="O832" i="1"/>
  <c r="O1136" i="1"/>
  <c r="O1035" i="1"/>
  <c r="O838" i="1"/>
  <c r="O961" i="1"/>
  <c r="O485" i="1"/>
  <c r="O972" i="1"/>
  <c r="O823" i="1"/>
  <c r="O930" i="1"/>
  <c r="O394" i="1"/>
  <c r="O1005" i="1"/>
  <c r="O682" i="1"/>
  <c r="O434" i="1"/>
  <c r="O706" i="1"/>
  <c r="O825" i="1"/>
  <c r="O1097" i="1"/>
  <c r="O517" i="1"/>
  <c r="O964" i="1"/>
  <c r="O677" i="1"/>
  <c r="O975" i="1"/>
  <c r="O890" i="1"/>
  <c r="O853" i="1"/>
  <c r="O848" i="1"/>
  <c r="O1051" i="1"/>
  <c r="O854" i="1"/>
  <c r="O977" i="1"/>
  <c r="O499" i="1"/>
  <c r="O988" i="1"/>
  <c r="O839" i="1"/>
  <c r="O946" i="1"/>
  <c r="O458" i="1"/>
  <c r="O1021" i="1"/>
  <c r="O703" i="1"/>
  <c r="O317" i="1"/>
  <c r="O613" i="1"/>
  <c r="O759" i="1"/>
  <c r="O1115" i="1"/>
  <c r="O886" i="1"/>
  <c r="O314" i="1"/>
  <c r="O1041" i="1"/>
  <c r="O611" i="1"/>
  <c r="O1020" i="1"/>
  <c r="O903" i="1"/>
  <c r="O978" i="1"/>
  <c r="O723" i="1"/>
  <c r="O1053" i="1"/>
  <c r="O791" i="1"/>
  <c r="O797" i="1"/>
  <c r="O452" i="1"/>
  <c r="O708" i="1"/>
  <c r="O383" i="1"/>
  <c r="O176" i="1"/>
  <c r="O432" i="1"/>
  <c r="O688" i="1"/>
  <c r="O299" i="1"/>
  <c r="O555" i="1"/>
  <c r="O811" i="1"/>
  <c r="O422" i="1"/>
  <c r="O678" i="1"/>
  <c r="O353" i="1"/>
  <c r="O625" i="1"/>
  <c r="O284" i="1"/>
  <c r="O556" i="1"/>
  <c r="O247" i="1"/>
  <c r="O519" i="1"/>
  <c r="O210" i="1"/>
  <c r="O482" i="1"/>
  <c r="O770" i="1"/>
  <c r="O889" i="1"/>
  <c r="O725" i="1"/>
  <c r="O1012" i="1"/>
  <c r="O719" i="1"/>
  <c r="O333" i="1"/>
  <c r="O938" i="1"/>
  <c r="O298" i="1"/>
  <c r="O901" i="1"/>
  <c r="O291" i="1"/>
  <c r="O896" i="1"/>
  <c r="O777" i="1"/>
  <c r="O221" i="1"/>
  <c r="O902" i="1"/>
  <c r="O506" i="1"/>
  <c r="O1057" i="1"/>
  <c r="O618" i="1"/>
  <c r="O1068" i="1"/>
  <c r="O919" i="1"/>
  <c r="O1026" i="1"/>
  <c r="O730" i="1"/>
  <c r="O1069" i="1"/>
  <c r="O872" i="1"/>
  <c r="O607" i="1"/>
  <c r="O24" i="1"/>
  <c r="O56" i="1"/>
  <c r="O88" i="1"/>
  <c r="O120" i="1"/>
  <c r="O152" i="1"/>
  <c r="O264" i="1"/>
  <c r="O520" i="1"/>
  <c r="O776" i="1"/>
  <c r="O334" i="1"/>
  <c r="O590" i="1"/>
  <c r="O265" i="1"/>
  <c r="O521" i="1"/>
  <c r="O212" i="1"/>
  <c r="O468" i="1"/>
  <c r="O724" i="1"/>
  <c r="O399" i="1"/>
  <c r="O192" i="1"/>
  <c r="O448" i="1"/>
  <c r="O704" i="1"/>
  <c r="O315" i="1"/>
  <c r="O571" i="1"/>
  <c r="O182" i="1"/>
  <c r="O438" i="1"/>
  <c r="O694" i="1"/>
  <c r="O369" i="1"/>
  <c r="O641" i="1"/>
  <c r="O300" i="1"/>
  <c r="O572" i="1"/>
  <c r="O263" i="1"/>
  <c r="O535" i="1"/>
  <c r="O226" i="1"/>
  <c r="O514" i="1"/>
  <c r="O786" i="1"/>
  <c r="O905" i="1"/>
  <c r="O739" i="1"/>
  <c r="O1028" i="1"/>
  <c r="O757" i="1"/>
  <c r="O397" i="1"/>
  <c r="O954" i="1"/>
  <c r="O362" i="1"/>
  <c r="O917" i="1"/>
  <c r="O341" i="1"/>
  <c r="O928" i="1"/>
  <c r="O843" i="1"/>
  <c r="O285" i="1"/>
  <c r="O918" i="1"/>
  <c r="O645" i="1"/>
  <c r="O1073" i="1"/>
  <c r="O639" i="1"/>
  <c r="O1084" i="1"/>
  <c r="O935" i="1"/>
  <c r="O237" i="1"/>
  <c r="O1042" i="1"/>
  <c r="O749" i="1"/>
  <c r="O1085" i="1"/>
  <c r="O888" i="1"/>
  <c r="O762" i="1"/>
  <c r="O1039" i="1"/>
  <c r="O258" i="1"/>
  <c r="O530" i="1"/>
  <c r="O173" i="1"/>
  <c r="O921" i="1"/>
  <c r="O751" i="1"/>
  <c r="O1044" i="1"/>
  <c r="O781" i="1"/>
  <c r="O461" i="1"/>
  <c r="O1002" i="1"/>
  <c r="O426" i="1"/>
  <c r="O933" i="1"/>
  <c r="O355" i="1"/>
  <c r="O944" i="1"/>
  <c r="O859" i="1"/>
  <c r="O349" i="1"/>
  <c r="O934" i="1"/>
  <c r="O659" i="1"/>
  <c r="O1089" i="1"/>
  <c r="O701" i="1"/>
  <c r="O1100" i="1"/>
  <c r="O951" i="1"/>
  <c r="O301" i="1"/>
  <c r="O1058" i="1"/>
  <c r="O755" i="1"/>
  <c r="O1101" i="1"/>
  <c r="O904" i="1"/>
  <c r="O1027" i="1"/>
  <c r="O1134" i="1"/>
  <c r="O274" i="1"/>
  <c r="O546" i="1"/>
  <c r="O189" i="1"/>
  <c r="O937" i="1"/>
  <c r="O775" i="1"/>
  <c r="O1060" i="1"/>
  <c r="O787" i="1"/>
  <c r="O525" i="1"/>
  <c r="O1018" i="1"/>
  <c r="O490" i="1"/>
  <c r="O949" i="1"/>
  <c r="O405" i="1"/>
  <c r="O960" i="1"/>
  <c r="O875" i="1"/>
  <c r="O413" i="1"/>
  <c r="O950" i="1"/>
  <c r="O789" i="1"/>
  <c r="O1105" i="1"/>
  <c r="O748" i="1"/>
  <c r="O1148" i="1"/>
  <c r="O967" i="1"/>
  <c r="O365" i="1"/>
  <c r="O1106" i="1"/>
  <c r="O767" i="1"/>
  <c r="O1117" i="1"/>
  <c r="O952" i="1"/>
  <c r="O3" i="1"/>
  <c r="O995" i="1"/>
  <c r="O1022" i="1"/>
  <c r="O780" i="1"/>
  <c r="O915" i="1"/>
  <c r="O1096" i="1"/>
  <c r="O840" i="1"/>
  <c r="O309" i="1"/>
  <c r="O941" i="1"/>
  <c r="O942" i="1"/>
  <c r="O1147" i="1"/>
  <c r="O634" i="1"/>
  <c r="O1087" i="1"/>
  <c r="O862" i="1"/>
  <c r="O1080" i="1"/>
  <c r="O824" i="1"/>
  <c r="O259" i="1"/>
  <c r="O867" i="1"/>
  <c r="O1075" i="1"/>
  <c r="O814" i="1"/>
  <c r="O1038" i="1"/>
  <c r="O669" i="1"/>
  <c r="O509" i="1"/>
  <c r="O979" i="1"/>
  <c r="O1118" i="1"/>
  <c r="O926" i="1"/>
  <c r="O1023" i="1"/>
  <c r="O851" i="1"/>
  <c r="O1055" i="1"/>
  <c r="O1119" i="1"/>
  <c r="O774" i="1"/>
  <c r="O627" i="1"/>
  <c r="O1091" i="1"/>
  <c r="O565" i="1"/>
  <c r="O966" i="1"/>
  <c r="O378" i="1"/>
  <c r="O929" i="1"/>
  <c r="O229" i="1"/>
  <c r="O766" i="1"/>
  <c r="O1036" i="1"/>
  <c r="O790" i="1"/>
  <c r="O1047" i="1"/>
  <c r="O429" i="1"/>
  <c r="O994" i="1"/>
  <c r="O266" i="1"/>
  <c r="O861" i="1"/>
  <c r="O1133" i="1"/>
  <c r="O813" i="1"/>
  <c r="O1128" i="1"/>
  <c r="O1102" i="1"/>
  <c r="O253" i="1"/>
  <c r="O764" i="1"/>
  <c r="O1013" i="1"/>
  <c r="O419" i="1"/>
  <c r="O912" i="1"/>
  <c r="O1003" i="1"/>
  <c r="O714" i="1"/>
  <c r="O982" i="1"/>
  <c r="O442" i="1"/>
  <c r="O945" i="1"/>
  <c r="O243" i="1"/>
  <c r="O778" i="1"/>
  <c r="O1052" i="1"/>
  <c r="O812" i="1"/>
  <c r="O1063" i="1"/>
  <c r="O493" i="1"/>
  <c r="O1010" i="1"/>
  <c r="O330" i="1"/>
  <c r="O877" i="1"/>
  <c r="O856" i="1"/>
  <c r="O1144" i="1"/>
  <c r="O1131" i="1"/>
  <c r="O750" i="1"/>
  <c r="O445" i="1"/>
  <c r="O835" i="1"/>
  <c r="O883" i="1"/>
  <c r="O910" i="1"/>
  <c r="O381" i="1"/>
  <c r="O1135" i="1"/>
  <c r="O899" i="1"/>
  <c r="O963" i="1"/>
  <c r="O403" i="1"/>
  <c r="O884" i="1"/>
  <c r="O1140" i="1"/>
  <c r="O831" i="1"/>
  <c r="O629" i="1"/>
  <c r="O970" i="1"/>
  <c r="O821" i="1"/>
  <c r="O1077" i="1"/>
  <c r="O547" i="1"/>
  <c r="O976" i="1"/>
  <c r="O794" i="1"/>
  <c r="O1067" i="1"/>
  <c r="O771" i="1"/>
  <c r="O1046" i="1"/>
  <c r="O666" i="1"/>
  <c r="O1009" i="1"/>
  <c r="O371" i="1"/>
  <c r="O860" i="1"/>
  <c r="O1116" i="1"/>
  <c r="O871" i="1"/>
  <c r="O1127" i="1"/>
  <c r="O818" i="1"/>
  <c r="O1074" i="1"/>
  <c r="O557" i="1"/>
  <c r="O957" i="1"/>
  <c r="O387" i="1"/>
  <c r="O920" i="1"/>
  <c r="O1103" i="1"/>
  <c r="O1011" i="1"/>
  <c r="O481" i="1"/>
  <c r="O737" i="1"/>
  <c r="O380" i="1"/>
  <c r="O636" i="1"/>
  <c r="O311" i="1"/>
  <c r="O567" i="1"/>
  <c r="O242" i="1"/>
  <c r="O498" i="1"/>
  <c r="O754" i="1"/>
  <c r="O857" i="1"/>
  <c r="O1113" i="1"/>
  <c r="O453" i="1"/>
  <c r="O900" i="1"/>
  <c r="O847" i="1"/>
  <c r="O643" i="1"/>
  <c r="O986" i="1"/>
  <c r="O234" i="1"/>
  <c r="O837" i="1"/>
  <c r="O1093" i="1"/>
  <c r="O554" i="1"/>
  <c r="O992" i="1"/>
  <c r="O827" i="1"/>
  <c r="O1083" i="1"/>
  <c r="O783" i="1"/>
  <c r="O1062" i="1"/>
  <c r="O687" i="1"/>
  <c r="O1025" i="1"/>
  <c r="O421" i="1"/>
  <c r="O876" i="1"/>
  <c r="O1132" i="1"/>
  <c r="O887" i="1"/>
  <c r="O1143" i="1"/>
  <c r="O834" i="1"/>
  <c r="O1090" i="1"/>
  <c r="O709" i="1"/>
  <c r="O973" i="1"/>
  <c r="O437" i="1"/>
  <c r="O936" i="1"/>
  <c r="O878" i="1"/>
  <c r="O1107" i="1"/>
  <c r="O1070" i="1"/>
  <c r="O830" i="1"/>
  <c r="O958" i="1"/>
  <c r="J10" i="1"/>
  <c r="L10" i="1" s="1"/>
  <c r="J5" i="1"/>
  <c r="L5" i="1" s="1"/>
  <c r="J21" i="1"/>
  <c r="L21" i="1" s="1"/>
  <c r="J37" i="1"/>
  <c r="L37" i="1" s="1"/>
  <c r="J53" i="1"/>
  <c r="L53" i="1" s="1"/>
  <c r="J69" i="1"/>
  <c r="L69" i="1" s="1"/>
  <c r="J85" i="1"/>
  <c r="L85" i="1" s="1"/>
  <c r="J16" i="1"/>
  <c r="L16" i="1" s="1"/>
  <c r="J32" i="1"/>
  <c r="L32" i="1" s="1"/>
  <c r="J48" i="1"/>
  <c r="L48" i="1" s="1"/>
  <c r="J64" i="1"/>
  <c r="L64" i="1" s="1"/>
  <c r="J11" i="1"/>
  <c r="L11" i="1" s="1"/>
  <c r="J6" i="1"/>
  <c r="L6" i="1" s="1"/>
  <c r="J22" i="1"/>
  <c r="L22" i="1" s="1"/>
  <c r="J38" i="1"/>
  <c r="L38" i="1" s="1"/>
  <c r="J54" i="1"/>
  <c r="L54" i="1" s="1"/>
  <c r="J70" i="1"/>
  <c r="L70" i="1" s="1"/>
  <c r="J86" i="1"/>
  <c r="L86" i="1" s="1"/>
  <c r="J102" i="1"/>
  <c r="L102" i="1" s="1"/>
  <c r="J118" i="1"/>
  <c r="L118" i="1" s="1"/>
  <c r="J134" i="1"/>
  <c r="L134" i="1" s="1"/>
  <c r="J150" i="1"/>
  <c r="L150" i="1" s="1"/>
  <c r="J17" i="1"/>
  <c r="L17" i="1" s="1"/>
  <c r="J33" i="1"/>
  <c r="L33" i="1" s="1"/>
  <c r="J49" i="1"/>
  <c r="L49" i="1" s="1"/>
  <c r="J65" i="1"/>
  <c r="L65" i="1" s="1"/>
  <c r="J81" i="1"/>
  <c r="L81" i="1" s="1"/>
  <c r="J12" i="1"/>
  <c r="L12" i="1" s="1"/>
  <c r="J7" i="1"/>
  <c r="L7" i="1" s="1"/>
  <c r="J23" i="1"/>
  <c r="L23" i="1" s="1"/>
  <c r="J39" i="1"/>
  <c r="L39" i="1" s="1"/>
  <c r="J55" i="1"/>
  <c r="L55" i="1" s="1"/>
  <c r="J71" i="1"/>
  <c r="L71" i="1" s="1"/>
  <c r="J87" i="1"/>
  <c r="L87" i="1" s="1"/>
  <c r="J18" i="1"/>
  <c r="L18" i="1" s="1"/>
  <c r="J34" i="1"/>
  <c r="L34" i="1" s="1"/>
  <c r="J50" i="1"/>
  <c r="L50" i="1" s="1"/>
  <c r="J66" i="1"/>
  <c r="L66" i="1" s="1"/>
  <c r="J82" i="1"/>
  <c r="L82" i="1" s="1"/>
  <c r="J13" i="1"/>
  <c r="L13" i="1" s="1"/>
  <c r="J29" i="1"/>
  <c r="L29" i="1" s="1"/>
  <c r="J45" i="1"/>
  <c r="L45" i="1" s="1"/>
  <c r="J61" i="1"/>
  <c r="L61" i="1" s="1"/>
  <c r="J77" i="1"/>
  <c r="L77" i="1" s="1"/>
  <c r="J8" i="1"/>
  <c r="L8" i="1" s="1"/>
  <c r="J3" i="1"/>
  <c r="L3" i="1" s="1"/>
  <c r="J19" i="1"/>
  <c r="L19" i="1" s="1"/>
  <c r="J35" i="1"/>
  <c r="L35" i="1" s="1"/>
  <c r="J51" i="1"/>
  <c r="L51" i="1" s="1"/>
  <c r="J67" i="1"/>
  <c r="L67" i="1" s="1"/>
  <c r="J83" i="1"/>
  <c r="L83" i="1" s="1"/>
  <c r="J99" i="1"/>
  <c r="L99" i="1" s="1"/>
  <c r="J115" i="1"/>
  <c r="L115" i="1" s="1"/>
  <c r="J131" i="1"/>
  <c r="L131" i="1" s="1"/>
  <c r="J14" i="1"/>
  <c r="L14" i="1" s="1"/>
  <c r="J30" i="1"/>
  <c r="L30" i="1" s="1"/>
  <c r="J46" i="1"/>
  <c r="L46" i="1" s="1"/>
  <c r="J62" i="1"/>
  <c r="L62" i="1" s="1"/>
  <c r="J78" i="1"/>
  <c r="L78" i="1" s="1"/>
  <c r="J9" i="1"/>
  <c r="L9" i="1" s="1"/>
  <c r="J25" i="1"/>
  <c r="L25" i="1" s="1"/>
  <c r="J41" i="1"/>
  <c r="L41" i="1" s="1"/>
  <c r="J57" i="1"/>
  <c r="L57" i="1" s="1"/>
  <c r="J73" i="1"/>
  <c r="L73" i="1" s="1"/>
  <c r="J89" i="1"/>
  <c r="L89" i="1" s="1"/>
  <c r="J4" i="1"/>
  <c r="L4" i="1" s="1"/>
  <c r="J24" i="1"/>
  <c r="L24" i="1" s="1"/>
  <c r="J84" i="1"/>
  <c r="L84" i="1" s="1"/>
  <c r="J96" i="1"/>
  <c r="L96" i="1" s="1"/>
  <c r="J124" i="1"/>
  <c r="L124" i="1" s="1"/>
  <c r="J146" i="1"/>
  <c r="L146" i="1" s="1"/>
  <c r="J157" i="1"/>
  <c r="L157" i="1" s="1"/>
  <c r="J173" i="1"/>
  <c r="L173" i="1" s="1"/>
  <c r="J189" i="1"/>
  <c r="L189" i="1" s="1"/>
  <c r="J205" i="1"/>
  <c r="L205" i="1" s="1"/>
  <c r="J221" i="1"/>
  <c r="L221" i="1" s="1"/>
  <c r="J237" i="1"/>
  <c r="L237" i="1" s="1"/>
  <c r="J253" i="1"/>
  <c r="L253" i="1" s="1"/>
  <c r="J269" i="1"/>
  <c r="L269" i="1" s="1"/>
  <c r="J285" i="1"/>
  <c r="L285" i="1" s="1"/>
  <c r="J301" i="1"/>
  <c r="L301" i="1" s="1"/>
  <c r="J317" i="1"/>
  <c r="L317" i="1" s="1"/>
  <c r="J333" i="1"/>
  <c r="L333" i="1" s="1"/>
  <c r="J349" i="1"/>
  <c r="L349" i="1" s="1"/>
  <c r="J365" i="1"/>
  <c r="L365" i="1" s="1"/>
  <c r="J381" i="1"/>
  <c r="L381" i="1" s="1"/>
  <c r="J397" i="1"/>
  <c r="L397" i="1" s="1"/>
  <c r="J413" i="1"/>
  <c r="L413" i="1" s="1"/>
  <c r="J429" i="1"/>
  <c r="L429" i="1" s="1"/>
  <c r="J445" i="1"/>
  <c r="L445" i="1" s="1"/>
  <c r="J461" i="1"/>
  <c r="L461" i="1" s="1"/>
  <c r="J477" i="1"/>
  <c r="L477" i="1" s="1"/>
  <c r="J493" i="1"/>
  <c r="L493" i="1" s="1"/>
  <c r="J509" i="1"/>
  <c r="L509" i="1" s="1"/>
  <c r="J525" i="1"/>
  <c r="L525" i="1" s="1"/>
  <c r="J541" i="1"/>
  <c r="L541" i="1" s="1"/>
  <c r="J557" i="1"/>
  <c r="L557" i="1" s="1"/>
  <c r="J573" i="1"/>
  <c r="L573" i="1" s="1"/>
  <c r="J589" i="1"/>
  <c r="L589" i="1" s="1"/>
  <c r="J605" i="1"/>
  <c r="L605" i="1" s="1"/>
  <c r="J621" i="1"/>
  <c r="L621" i="1" s="1"/>
  <c r="J637" i="1"/>
  <c r="L637" i="1" s="1"/>
  <c r="J653" i="1"/>
  <c r="L653" i="1" s="1"/>
  <c r="J669" i="1"/>
  <c r="L669" i="1" s="1"/>
  <c r="J685" i="1"/>
  <c r="L685" i="1" s="1"/>
  <c r="J701" i="1"/>
  <c r="L701" i="1" s="1"/>
  <c r="J717" i="1"/>
  <c r="L717" i="1" s="1"/>
  <c r="J733" i="1"/>
  <c r="L733" i="1" s="1"/>
  <c r="J749" i="1"/>
  <c r="L749" i="1" s="1"/>
  <c r="J765" i="1"/>
  <c r="L765" i="1" s="1"/>
  <c r="J781" i="1"/>
  <c r="L781" i="1" s="1"/>
  <c r="J797" i="1"/>
  <c r="L797" i="1" s="1"/>
  <c r="J813" i="1"/>
  <c r="L813" i="1" s="1"/>
  <c r="J44" i="1"/>
  <c r="L44" i="1" s="1"/>
  <c r="J58" i="1"/>
  <c r="L58" i="1" s="1"/>
  <c r="J91" i="1"/>
  <c r="L91" i="1" s="1"/>
  <c r="J113" i="1"/>
  <c r="L113" i="1" s="1"/>
  <c r="J119" i="1"/>
  <c r="L119" i="1" s="1"/>
  <c r="J141" i="1"/>
  <c r="L141" i="1" s="1"/>
  <c r="J152" i="1"/>
  <c r="L152" i="1" s="1"/>
  <c r="J168" i="1"/>
  <c r="L168" i="1" s="1"/>
  <c r="J184" i="1"/>
  <c r="L184" i="1" s="1"/>
  <c r="J200" i="1"/>
  <c r="L200" i="1" s="1"/>
  <c r="J216" i="1"/>
  <c r="L216" i="1" s="1"/>
  <c r="J31" i="1"/>
  <c r="L31" i="1" s="1"/>
  <c r="J72" i="1"/>
  <c r="L72" i="1" s="1"/>
  <c r="J108" i="1"/>
  <c r="L108" i="1" s="1"/>
  <c r="J130" i="1"/>
  <c r="L130" i="1" s="1"/>
  <c r="J136" i="1"/>
  <c r="L136" i="1" s="1"/>
  <c r="J163" i="1"/>
  <c r="L163" i="1" s="1"/>
  <c r="J179" i="1"/>
  <c r="L179" i="1" s="1"/>
  <c r="J195" i="1"/>
  <c r="L195" i="1" s="1"/>
  <c r="J211" i="1"/>
  <c r="L211" i="1" s="1"/>
  <c r="J227" i="1"/>
  <c r="L227" i="1" s="1"/>
  <c r="J243" i="1"/>
  <c r="L243" i="1" s="1"/>
  <c r="J259" i="1"/>
  <c r="L259" i="1" s="1"/>
  <c r="J275" i="1"/>
  <c r="L275" i="1" s="1"/>
  <c r="J291" i="1"/>
  <c r="L291" i="1" s="1"/>
  <c r="J307" i="1"/>
  <c r="L307" i="1" s="1"/>
  <c r="J323" i="1"/>
  <c r="L323" i="1" s="1"/>
  <c r="J339" i="1"/>
  <c r="L339" i="1" s="1"/>
  <c r="J355" i="1"/>
  <c r="L355" i="1" s="1"/>
  <c r="J371" i="1"/>
  <c r="L371" i="1" s="1"/>
  <c r="J387" i="1"/>
  <c r="L387" i="1" s="1"/>
  <c r="J403" i="1"/>
  <c r="L403" i="1" s="1"/>
  <c r="J419" i="1"/>
  <c r="L419" i="1" s="1"/>
  <c r="J435" i="1"/>
  <c r="L435" i="1" s="1"/>
  <c r="J451" i="1"/>
  <c r="L451" i="1" s="1"/>
  <c r="J467" i="1"/>
  <c r="L467" i="1" s="1"/>
  <c r="J483" i="1"/>
  <c r="L483" i="1" s="1"/>
  <c r="J499" i="1"/>
  <c r="L499" i="1" s="1"/>
  <c r="J515" i="1"/>
  <c r="L515" i="1" s="1"/>
  <c r="J531" i="1"/>
  <c r="L531" i="1" s="1"/>
  <c r="J547" i="1"/>
  <c r="L547" i="1" s="1"/>
  <c r="J563" i="1"/>
  <c r="L563" i="1" s="1"/>
  <c r="J579" i="1"/>
  <c r="L579" i="1" s="1"/>
  <c r="J595" i="1"/>
  <c r="L595" i="1" s="1"/>
  <c r="J611" i="1"/>
  <c r="L611" i="1" s="1"/>
  <c r="J627" i="1"/>
  <c r="L627" i="1" s="1"/>
  <c r="J643" i="1"/>
  <c r="L643" i="1" s="1"/>
  <c r="J659" i="1"/>
  <c r="L659" i="1" s="1"/>
  <c r="J675" i="1"/>
  <c r="L675" i="1" s="1"/>
  <c r="J691" i="1"/>
  <c r="L691" i="1" s="1"/>
  <c r="J707" i="1"/>
  <c r="L707" i="1" s="1"/>
  <c r="J723" i="1"/>
  <c r="L723" i="1" s="1"/>
  <c r="J52" i="1"/>
  <c r="L52" i="1" s="1"/>
  <c r="J97" i="1"/>
  <c r="L97" i="1" s="1"/>
  <c r="J103" i="1"/>
  <c r="L103" i="1" s="1"/>
  <c r="J125" i="1"/>
  <c r="L125" i="1" s="1"/>
  <c r="J147" i="1"/>
  <c r="L147" i="1" s="1"/>
  <c r="J158" i="1"/>
  <c r="L158" i="1" s="1"/>
  <c r="J174" i="1"/>
  <c r="L174" i="1" s="1"/>
  <c r="J190" i="1"/>
  <c r="L190" i="1" s="1"/>
  <c r="J206" i="1"/>
  <c r="L206" i="1" s="1"/>
  <c r="J222" i="1"/>
  <c r="L222" i="1" s="1"/>
  <c r="J238" i="1"/>
  <c r="L238" i="1" s="1"/>
  <c r="J254" i="1"/>
  <c r="L254" i="1" s="1"/>
  <c r="J270" i="1"/>
  <c r="L270" i="1" s="1"/>
  <c r="J286" i="1"/>
  <c r="L286" i="1" s="1"/>
  <c r="J302" i="1"/>
  <c r="L302" i="1" s="1"/>
  <c r="J318" i="1"/>
  <c r="L318" i="1" s="1"/>
  <c r="J334" i="1"/>
  <c r="L334" i="1" s="1"/>
  <c r="J350" i="1"/>
  <c r="L350" i="1" s="1"/>
  <c r="J366" i="1"/>
  <c r="L366" i="1" s="1"/>
  <c r="J382" i="1"/>
  <c r="L382" i="1" s="1"/>
  <c r="J398" i="1"/>
  <c r="L398" i="1" s="1"/>
  <c r="J414" i="1"/>
  <c r="L414" i="1" s="1"/>
  <c r="J430" i="1"/>
  <c r="L430" i="1" s="1"/>
  <c r="J446" i="1"/>
  <c r="L446" i="1" s="1"/>
  <c r="J462" i="1"/>
  <c r="L462" i="1" s="1"/>
  <c r="J478" i="1"/>
  <c r="L478" i="1" s="1"/>
  <c r="J494" i="1"/>
  <c r="L494" i="1" s="1"/>
  <c r="J510" i="1"/>
  <c r="L510" i="1" s="1"/>
  <c r="J526" i="1"/>
  <c r="L526" i="1" s="1"/>
  <c r="J542" i="1"/>
  <c r="L542" i="1" s="1"/>
  <c r="J558" i="1"/>
  <c r="L558" i="1" s="1"/>
  <c r="J574" i="1"/>
  <c r="L574" i="1" s="1"/>
  <c r="J590" i="1"/>
  <c r="L590" i="1" s="1"/>
  <c r="J606" i="1"/>
  <c r="L606" i="1" s="1"/>
  <c r="J622" i="1"/>
  <c r="L622" i="1" s="1"/>
  <c r="J638" i="1"/>
  <c r="L638" i="1" s="1"/>
  <c r="J654" i="1"/>
  <c r="L654" i="1" s="1"/>
  <c r="J670" i="1"/>
  <c r="L670" i="1" s="1"/>
  <c r="J686" i="1"/>
  <c r="L686" i="1" s="1"/>
  <c r="J702" i="1"/>
  <c r="L702" i="1" s="1"/>
  <c r="J718" i="1"/>
  <c r="L718" i="1" s="1"/>
  <c r="J734" i="1"/>
  <c r="L734" i="1" s="1"/>
  <c r="J59" i="1"/>
  <c r="L59" i="1" s="1"/>
  <c r="J79" i="1"/>
  <c r="L79" i="1" s="1"/>
  <c r="J92" i="1"/>
  <c r="L92" i="1" s="1"/>
  <c r="J114" i="1"/>
  <c r="L114" i="1" s="1"/>
  <c r="J120" i="1"/>
  <c r="L120" i="1" s="1"/>
  <c r="J142" i="1"/>
  <c r="L142" i="1" s="1"/>
  <c r="J153" i="1"/>
  <c r="L153" i="1" s="1"/>
  <c r="J169" i="1"/>
  <c r="L169" i="1" s="1"/>
  <c r="J185" i="1"/>
  <c r="L185" i="1" s="1"/>
  <c r="J201" i="1"/>
  <c r="L201" i="1" s="1"/>
  <c r="J217" i="1"/>
  <c r="L217" i="1" s="1"/>
  <c r="J233" i="1"/>
  <c r="L233" i="1" s="1"/>
  <c r="J249" i="1"/>
  <c r="L249" i="1" s="1"/>
  <c r="J265" i="1"/>
  <c r="L265" i="1" s="1"/>
  <c r="J281" i="1"/>
  <c r="L281" i="1" s="1"/>
  <c r="J297" i="1"/>
  <c r="L297" i="1" s="1"/>
  <c r="J313" i="1"/>
  <c r="L313" i="1" s="1"/>
  <c r="J329" i="1"/>
  <c r="L329" i="1" s="1"/>
  <c r="J345" i="1"/>
  <c r="L345" i="1" s="1"/>
  <c r="J361" i="1"/>
  <c r="L361" i="1" s="1"/>
  <c r="J377" i="1"/>
  <c r="L377" i="1" s="1"/>
  <c r="J393" i="1"/>
  <c r="L393" i="1" s="1"/>
  <c r="J409" i="1"/>
  <c r="L409" i="1" s="1"/>
  <c r="J425" i="1"/>
  <c r="L425" i="1" s="1"/>
  <c r="J441" i="1"/>
  <c r="L441" i="1" s="1"/>
  <c r="J457" i="1"/>
  <c r="L457" i="1" s="1"/>
  <c r="J473" i="1"/>
  <c r="L473" i="1" s="1"/>
  <c r="J489" i="1"/>
  <c r="L489" i="1" s="1"/>
  <c r="J505" i="1"/>
  <c r="L505" i="1" s="1"/>
  <c r="J521" i="1"/>
  <c r="L521" i="1" s="1"/>
  <c r="J537" i="1"/>
  <c r="L537" i="1" s="1"/>
  <c r="J553" i="1"/>
  <c r="L553" i="1" s="1"/>
  <c r="J569" i="1"/>
  <c r="L569" i="1" s="1"/>
  <c r="J585" i="1"/>
  <c r="L585" i="1" s="1"/>
  <c r="J601" i="1"/>
  <c r="L601" i="1" s="1"/>
  <c r="J617" i="1"/>
  <c r="L617" i="1" s="1"/>
  <c r="J633" i="1"/>
  <c r="L633" i="1" s="1"/>
  <c r="J649" i="1"/>
  <c r="L649" i="1" s="1"/>
  <c r="J665" i="1"/>
  <c r="L665" i="1" s="1"/>
  <c r="J681" i="1"/>
  <c r="L681" i="1" s="1"/>
  <c r="J697" i="1"/>
  <c r="L697" i="1" s="1"/>
  <c r="J713" i="1"/>
  <c r="L713" i="1" s="1"/>
  <c r="J729" i="1"/>
  <c r="L729" i="1" s="1"/>
  <c r="J26" i="1"/>
  <c r="L26" i="1" s="1"/>
  <c r="J109" i="1"/>
  <c r="L109" i="1" s="1"/>
  <c r="J137" i="1"/>
  <c r="L137" i="1" s="1"/>
  <c r="J164" i="1"/>
  <c r="L164" i="1" s="1"/>
  <c r="J180" i="1"/>
  <c r="L180" i="1" s="1"/>
  <c r="J196" i="1"/>
  <c r="L196" i="1" s="1"/>
  <c r="J212" i="1"/>
  <c r="L212" i="1" s="1"/>
  <c r="J228" i="1"/>
  <c r="L228" i="1" s="1"/>
  <c r="J244" i="1"/>
  <c r="L244" i="1" s="1"/>
  <c r="J260" i="1"/>
  <c r="L260" i="1" s="1"/>
  <c r="J276" i="1"/>
  <c r="L276" i="1" s="1"/>
  <c r="J292" i="1"/>
  <c r="L292" i="1" s="1"/>
  <c r="J308" i="1"/>
  <c r="L308" i="1" s="1"/>
  <c r="J324" i="1"/>
  <c r="L324" i="1" s="1"/>
  <c r="J340" i="1"/>
  <c r="L340" i="1" s="1"/>
  <c r="J356" i="1"/>
  <c r="L356" i="1" s="1"/>
  <c r="J372" i="1"/>
  <c r="L372" i="1" s="1"/>
  <c r="J388" i="1"/>
  <c r="L388" i="1" s="1"/>
  <c r="J404" i="1"/>
  <c r="L404" i="1" s="1"/>
  <c r="J420" i="1"/>
  <c r="L420" i="1" s="1"/>
  <c r="J436" i="1"/>
  <c r="L436" i="1" s="1"/>
  <c r="J452" i="1"/>
  <c r="L452" i="1" s="1"/>
  <c r="J468" i="1"/>
  <c r="L468" i="1" s="1"/>
  <c r="J484" i="1"/>
  <c r="L484" i="1" s="1"/>
  <c r="J500" i="1"/>
  <c r="L500" i="1" s="1"/>
  <c r="J516" i="1"/>
  <c r="L516" i="1" s="1"/>
  <c r="J532" i="1"/>
  <c r="L532" i="1" s="1"/>
  <c r="J40" i="1"/>
  <c r="L40" i="1" s="1"/>
  <c r="J98" i="1"/>
  <c r="L98" i="1" s="1"/>
  <c r="J104" i="1"/>
  <c r="L104" i="1" s="1"/>
  <c r="J126" i="1"/>
  <c r="L126" i="1" s="1"/>
  <c r="J148" i="1"/>
  <c r="L148" i="1" s="1"/>
  <c r="J159" i="1"/>
  <c r="L159" i="1" s="1"/>
  <c r="J175" i="1"/>
  <c r="L175" i="1" s="1"/>
  <c r="J191" i="1"/>
  <c r="L191" i="1" s="1"/>
  <c r="J207" i="1"/>
  <c r="L207" i="1" s="1"/>
  <c r="J20" i="1"/>
  <c r="L20" i="1" s="1"/>
  <c r="J60" i="1"/>
  <c r="L60" i="1" s="1"/>
  <c r="J74" i="1"/>
  <c r="L74" i="1" s="1"/>
  <c r="J80" i="1"/>
  <c r="L80" i="1" s="1"/>
  <c r="J93" i="1"/>
  <c r="L93" i="1" s="1"/>
  <c r="J121" i="1"/>
  <c r="L121" i="1" s="1"/>
  <c r="J132" i="1"/>
  <c r="L132" i="1" s="1"/>
  <c r="J143" i="1"/>
  <c r="L143" i="1" s="1"/>
  <c r="J154" i="1"/>
  <c r="L154" i="1" s="1"/>
  <c r="J170" i="1"/>
  <c r="L170" i="1" s="1"/>
  <c r="J186" i="1"/>
  <c r="L186" i="1" s="1"/>
  <c r="J202" i="1"/>
  <c r="L202" i="1" s="1"/>
  <c r="J218" i="1"/>
  <c r="L218" i="1" s="1"/>
  <c r="J27" i="1"/>
  <c r="L27" i="1" s="1"/>
  <c r="J47" i="1"/>
  <c r="L47" i="1" s="1"/>
  <c r="J110" i="1"/>
  <c r="L110" i="1" s="1"/>
  <c r="J138" i="1"/>
  <c r="L138" i="1" s="1"/>
  <c r="J165" i="1"/>
  <c r="L165" i="1" s="1"/>
  <c r="J181" i="1"/>
  <c r="L181" i="1" s="1"/>
  <c r="J197" i="1"/>
  <c r="L197" i="1" s="1"/>
  <c r="J213" i="1"/>
  <c r="L213" i="1" s="1"/>
  <c r="J229" i="1"/>
  <c r="L229" i="1" s="1"/>
  <c r="J245" i="1"/>
  <c r="L245" i="1" s="1"/>
  <c r="J261" i="1"/>
  <c r="L261" i="1" s="1"/>
  <c r="J277" i="1"/>
  <c r="L277" i="1" s="1"/>
  <c r="J293" i="1"/>
  <c r="L293" i="1" s="1"/>
  <c r="J309" i="1"/>
  <c r="L309" i="1" s="1"/>
  <c r="J325" i="1"/>
  <c r="L325" i="1" s="1"/>
  <c r="J341" i="1"/>
  <c r="L341" i="1" s="1"/>
  <c r="J357" i="1"/>
  <c r="L357" i="1" s="1"/>
  <c r="J373" i="1"/>
  <c r="L373" i="1" s="1"/>
  <c r="J389" i="1"/>
  <c r="L389" i="1" s="1"/>
  <c r="J405" i="1"/>
  <c r="L405" i="1" s="1"/>
  <c r="J421" i="1"/>
  <c r="L421" i="1" s="1"/>
  <c r="J437" i="1"/>
  <c r="L437" i="1" s="1"/>
  <c r="J453" i="1"/>
  <c r="L453" i="1" s="1"/>
  <c r="J469" i="1"/>
  <c r="L469" i="1" s="1"/>
  <c r="J485" i="1"/>
  <c r="L485" i="1" s="1"/>
  <c r="J501" i="1"/>
  <c r="L501" i="1" s="1"/>
  <c r="J517" i="1"/>
  <c r="L517" i="1" s="1"/>
  <c r="J533" i="1"/>
  <c r="L533" i="1" s="1"/>
  <c r="J549" i="1"/>
  <c r="L549" i="1" s="1"/>
  <c r="J565" i="1"/>
  <c r="L565" i="1" s="1"/>
  <c r="J581" i="1"/>
  <c r="L581" i="1" s="1"/>
  <c r="J597" i="1"/>
  <c r="L597" i="1" s="1"/>
  <c r="J613" i="1"/>
  <c r="L613" i="1" s="1"/>
  <c r="J629" i="1"/>
  <c r="L629" i="1" s="1"/>
  <c r="J645" i="1"/>
  <c r="L645" i="1" s="1"/>
  <c r="J661" i="1"/>
  <c r="L661" i="1" s="1"/>
  <c r="J677" i="1"/>
  <c r="L677" i="1" s="1"/>
  <c r="J693" i="1"/>
  <c r="L693" i="1" s="1"/>
  <c r="J709" i="1"/>
  <c r="L709" i="1" s="1"/>
  <c r="J725" i="1"/>
  <c r="L725" i="1" s="1"/>
  <c r="J741" i="1"/>
  <c r="L741" i="1" s="1"/>
  <c r="J757" i="1"/>
  <c r="L757" i="1" s="1"/>
  <c r="J773" i="1"/>
  <c r="L773" i="1" s="1"/>
  <c r="J789" i="1"/>
  <c r="L789" i="1" s="1"/>
  <c r="J68" i="1"/>
  <c r="L68" i="1" s="1"/>
  <c r="J88" i="1"/>
  <c r="L88" i="1" s="1"/>
  <c r="J105" i="1"/>
  <c r="L105" i="1" s="1"/>
  <c r="J116" i="1"/>
  <c r="L116" i="1" s="1"/>
  <c r="J127" i="1"/>
  <c r="L127" i="1" s="1"/>
  <c r="J149" i="1"/>
  <c r="L149" i="1" s="1"/>
  <c r="J160" i="1"/>
  <c r="L160" i="1" s="1"/>
  <c r="J176" i="1"/>
  <c r="L176" i="1" s="1"/>
  <c r="J192" i="1"/>
  <c r="L192" i="1" s="1"/>
  <c r="J208" i="1"/>
  <c r="L208" i="1" s="1"/>
  <c r="J224" i="1"/>
  <c r="L224" i="1" s="1"/>
  <c r="J240" i="1"/>
  <c r="L240" i="1" s="1"/>
  <c r="J256" i="1"/>
  <c r="L256" i="1" s="1"/>
  <c r="J272" i="1"/>
  <c r="L272" i="1" s="1"/>
  <c r="J288" i="1"/>
  <c r="L288" i="1" s="1"/>
  <c r="J304" i="1"/>
  <c r="L304" i="1" s="1"/>
  <c r="J320" i="1"/>
  <c r="L320" i="1" s="1"/>
  <c r="J336" i="1"/>
  <c r="L336" i="1" s="1"/>
  <c r="J352" i="1"/>
  <c r="L352" i="1" s="1"/>
  <c r="J368" i="1"/>
  <c r="L368" i="1" s="1"/>
  <c r="J384" i="1"/>
  <c r="L384" i="1" s="1"/>
  <c r="J400" i="1"/>
  <c r="L400" i="1" s="1"/>
  <c r="J416" i="1"/>
  <c r="L416" i="1" s="1"/>
  <c r="J432" i="1"/>
  <c r="L432" i="1" s="1"/>
  <c r="J448" i="1"/>
  <c r="L448" i="1" s="1"/>
  <c r="J464" i="1"/>
  <c r="L464" i="1" s="1"/>
  <c r="J480" i="1"/>
  <c r="L480" i="1" s="1"/>
  <c r="J496" i="1"/>
  <c r="L496" i="1" s="1"/>
  <c r="J512" i="1"/>
  <c r="L512" i="1" s="1"/>
  <c r="J528" i="1"/>
  <c r="L528" i="1" s="1"/>
  <c r="J544" i="1"/>
  <c r="L544" i="1" s="1"/>
  <c r="J560" i="1"/>
  <c r="L560" i="1" s="1"/>
  <c r="J576" i="1"/>
  <c r="L576" i="1" s="1"/>
  <c r="J592" i="1"/>
  <c r="L592" i="1" s="1"/>
  <c r="J608" i="1"/>
  <c r="L608" i="1" s="1"/>
  <c r="J624" i="1"/>
  <c r="L624" i="1" s="1"/>
  <c r="J640" i="1"/>
  <c r="L640" i="1" s="1"/>
  <c r="J656" i="1"/>
  <c r="L656" i="1" s="1"/>
  <c r="J672" i="1"/>
  <c r="L672" i="1" s="1"/>
  <c r="J688" i="1"/>
  <c r="L688" i="1" s="1"/>
  <c r="J704" i="1"/>
  <c r="L704" i="1" s="1"/>
  <c r="J720" i="1"/>
  <c r="L720" i="1" s="1"/>
  <c r="J736" i="1"/>
  <c r="L736" i="1" s="1"/>
  <c r="J752" i="1"/>
  <c r="L752" i="1" s="1"/>
  <c r="J768" i="1"/>
  <c r="L768" i="1" s="1"/>
  <c r="J784" i="1"/>
  <c r="L784" i="1" s="1"/>
  <c r="J800" i="1"/>
  <c r="L800" i="1" s="1"/>
  <c r="J75" i="1"/>
  <c r="L75" i="1" s="1"/>
  <c r="J94" i="1"/>
  <c r="L94" i="1" s="1"/>
  <c r="J122" i="1"/>
  <c r="L122" i="1" s="1"/>
  <c r="J133" i="1"/>
  <c r="L133" i="1" s="1"/>
  <c r="J144" i="1"/>
  <c r="L144" i="1" s="1"/>
  <c r="J155" i="1"/>
  <c r="L155" i="1" s="1"/>
  <c r="J171" i="1"/>
  <c r="L171" i="1" s="1"/>
  <c r="J187" i="1"/>
  <c r="L187" i="1" s="1"/>
  <c r="J203" i="1"/>
  <c r="L203" i="1" s="1"/>
  <c r="J219" i="1"/>
  <c r="L219" i="1" s="1"/>
  <c r="J235" i="1"/>
  <c r="L235" i="1" s="1"/>
  <c r="J251" i="1"/>
  <c r="L251" i="1" s="1"/>
  <c r="J267" i="1"/>
  <c r="L267" i="1" s="1"/>
  <c r="J283" i="1"/>
  <c r="L283" i="1" s="1"/>
  <c r="J299" i="1"/>
  <c r="L299" i="1" s="1"/>
  <c r="J315" i="1"/>
  <c r="L315" i="1" s="1"/>
  <c r="J331" i="1"/>
  <c r="L331" i="1" s="1"/>
  <c r="J347" i="1"/>
  <c r="L347" i="1" s="1"/>
  <c r="J363" i="1"/>
  <c r="L363" i="1" s="1"/>
  <c r="J379" i="1"/>
  <c r="L379" i="1" s="1"/>
  <c r="J395" i="1"/>
  <c r="L395" i="1" s="1"/>
  <c r="J411" i="1"/>
  <c r="L411" i="1" s="1"/>
  <c r="J427" i="1"/>
  <c r="L427" i="1" s="1"/>
  <c r="J443" i="1"/>
  <c r="L443" i="1" s="1"/>
  <c r="J459" i="1"/>
  <c r="L459" i="1" s="1"/>
  <c r="J475" i="1"/>
  <c r="L475" i="1" s="1"/>
  <c r="J491" i="1"/>
  <c r="L491" i="1" s="1"/>
  <c r="J507" i="1"/>
  <c r="L507" i="1" s="1"/>
  <c r="J523" i="1"/>
  <c r="L523" i="1" s="1"/>
  <c r="J539" i="1"/>
  <c r="L539" i="1" s="1"/>
  <c r="J555" i="1"/>
  <c r="L555" i="1" s="1"/>
  <c r="J571" i="1"/>
  <c r="L571" i="1" s="1"/>
  <c r="J587" i="1"/>
  <c r="L587" i="1" s="1"/>
  <c r="J603" i="1"/>
  <c r="L603" i="1" s="1"/>
  <c r="J619" i="1"/>
  <c r="L619" i="1" s="1"/>
  <c r="J635" i="1"/>
  <c r="L635" i="1" s="1"/>
  <c r="J651" i="1"/>
  <c r="L651" i="1" s="1"/>
  <c r="J667" i="1"/>
  <c r="L667" i="1" s="1"/>
  <c r="J683" i="1"/>
  <c r="L683" i="1" s="1"/>
  <c r="J699" i="1"/>
  <c r="L699" i="1" s="1"/>
  <c r="J715" i="1"/>
  <c r="L715" i="1" s="1"/>
  <c r="J731" i="1"/>
  <c r="L731" i="1" s="1"/>
  <c r="J28" i="1"/>
  <c r="L28" i="1" s="1"/>
  <c r="J42" i="1"/>
  <c r="L42" i="1" s="1"/>
  <c r="J100" i="1"/>
  <c r="L100" i="1" s="1"/>
  <c r="J111" i="1"/>
  <c r="L111" i="1" s="1"/>
  <c r="J139" i="1"/>
  <c r="L139" i="1" s="1"/>
  <c r="J166" i="1"/>
  <c r="L166" i="1" s="1"/>
  <c r="J182" i="1"/>
  <c r="L182" i="1" s="1"/>
  <c r="J198" i="1"/>
  <c r="L198" i="1" s="1"/>
  <c r="J214" i="1"/>
  <c r="L214" i="1" s="1"/>
  <c r="J230" i="1"/>
  <c r="L230" i="1" s="1"/>
  <c r="J246" i="1"/>
  <c r="L246" i="1" s="1"/>
  <c r="J262" i="1"/>
  <c r="L262" i="1" s="1"/>
  <c r="J278" i="1"/>
  <c r="L278" i="1" s="1"/>
  <c r="J294" i="1"/>
  <c r="L294" i="1" s="1"/>
  <c r="J310" i="1"/>
  <c r="L310" i="1" s="1"/>
  <c r="J326" i="1"/>
  <c r="L326" i="1" s="1"/>
  <c r="J342" i="1"/>
  <c r="L342" i="1" s="1"/>
  <c r="J358" i="1"/>
  <c r="L358" i="1" s="1"/>
  <c r="J374" i="1"/>
  <c r="L374" i="1" s="1"/>
  <c r="J390" i="1"/>
  <c r="L390" i="1" s="1"/>
  <c r="J406" i="1"/>
  <c r="L406" i="1" s="1"/>
  <c r="J422" i="1"/>
  <c r="L422" i="1" s="1"/>
  <c r="J438" i="1"/>
  <c r="L438" i="1" s="1"/>
  <c r="J454" i="1"/>
  <c r="L454" i="1" s="1"/>
  <c r="J470" i="1"/>
  <c r="L470" i="1" s="1"/>
  <c r="J486" i="1"/>
  <c r="L486" i="1" s="1"/>
  <c r="J502" i="1"/>
  <c r="L502" i="1" s="1"/>
  <c r="J518" i="1"/>
  <c r="L518" i="1" s="1"/>
  <c r="J534" i="1"/>
  <c r="L534" i="1" s="1"/>
  <c r="J550" i="1"/>
  <c r="L550" i="1" s="1"/>
  <c r="J566" i="1"/>
  <c r="L566" i="1" s="1"/>
  <c r="J582" i="1"/>
  <c r="L582" i="1" s="1"/>
  <c r="J598" i="1"/>
  <c r="L598" i="1" s="1"/>
  <c r="J614" i="1"/>
  <c r="L614" i="1" s="1"/>
  <c r="J630" i="1"/>
  <c r="L630" i="1" s="1"/>
  <c r="J646" i="1"/>
  <c r="L646" i="1" s="1"/>
  <c r="J662" i="1"/>
  <c r="L662" i="1" s="1"/>
  <c r="J678" i="1"/>
  <c r="L678" i="1" s="1"/>
  <c r="J694" i="1"/>
  <c r="L694" i="1" s="1"/>
  <c r="J710" i="1"/>
  <c r="L710" i="1" s="1"/>
  <c r="J726" i="1"/>
  <c r="L726" i="1" s="1"/>
  <c r="J742" i="1"/>
  <c r="L742" i="1" s="1"/>
  <c r="J758" i="1"/>
  <c r="L758" i="1" s="1"/>
  <c r="J774" i="1"/>
  <c r="L774" i="1" s="1"/>
  <c r="J15" i="1"/>
  <c r="L15" i="1" s="1"/>
  <c r="J56" i="1"/>
  <c r="L56" i="1" s="1"/>
  <c r="J106" i="1"/>
  <c r="L106" i="1" s="1"/>
  <c r="J117" i="1"/>
  <c r="L117" i="1" s="1"/>
  <c r="J128" i="1"/>
  <c r="L128" i="1" s="1"/>
  <c r="J161" i="1"/>
  <c r="L161" i="1" s="1"/>
  <c r="J177" i="1"/>
  <c r="L177" i="1" s="1"/>
  <c r="J193" i="1"/>
  <c r="L193" i="1" s="1"/>
  <c r="J209" i="1"/>
  <c r="L209" i="1" s="1"/>
  <c r="J225" i="1"/>
  <c r="L225" i="1" s="1"/>
  <c r="J241" i="1"/>
  <c r="L241" i="1" s="1"/>
  <c r="J257" i="1"/>
  <c r="L257" i="1" s="1"/>
  <c r="J273" i="1"/>
  <c r="L273" i="1" s="1"/>
  <c r="J289" i="1"/>
  <c r="L289" i="1" s="1"/>
  <c r="J305" i="1"/>
  <c r="L305" i="1" s="1"/>
  <c r="J321" i="1"/>
  <c r="L321" i="1" s="1"/>
  <c r="J337" i="1"/>
  <c r="L337" i="1" s="1"/>
  <c r="J353" i="1"/>
  <c r="L353" i="1" s="1"/>
  <c r="J369" i="1"/>
  <c r="L369" i="1" s="1"/>
  <c r="J385" i="1"/>
  <c r="L385" i="1" s="1"/>
  <c r="J401" i="1"/>
  <c r="L401" i="1" s="1"/>
  <c r="J417" i="1"/>
  <c r="L417" i="1" s="1"/>
  <c r="J433" i="1"/>
  <c r="L433" i="1" s="1"/>
  <c r="J449" i="1"/>
  <c r="L449" i="1" s="1"/>
  <c r="J465" i="1"/>
  <c r="L465" i="1" s="1"/>
  <c r="J481" i="1"/>
  <c r="L481" i="1" s="1"/>
  <c r="J497" i="1"/>
  <c r="L497" i="1" s="1"/>
  <c r="J513" i="1"/>
  <c r="L513" i="1" s="1"/>
  <c r="J529" i="1"/>
  <c r="L529" i="1" s="1"/>
  <c r="J545" i="1"/>
  <c r="L545" i="1" s="1"/>
  <c r="J561" i="1"/>
  <c r="L561" i="1" s="1"/>
  <c r="J577" i="1"/>
  <c r="L577" i="1" s="1"/>
  <c r="J593" i="1"/>
  <c r="L593" i="1" s="1"/>
  <c r="J609" i="1"/>
  <c r="L609" i="1" s="1"/>
  <c r="J625" i="1"/>
  <c r="L625" i="1" s="1"/>
  <c r="J641" i="1"/>
  <c r="L641" i="1" s="1"/>
  <c r="J657" i="1"/>
  <c r="L657" i="1" s="1"/>
  <c r="J673" i="1"/>
  <c r="L673" i="1" s="1"/>
  <c r="J689" i="1"/>
  <c r="L689" i="1" s="1"/>
  <c r="J705" i="1"/>
  <c r="L705" i="1" s="1"/>
  <c r="J721" i="1"/>
  <c r="L721" i="1" s="1"/>
  <c r="J737" i="1"/>
  <c r="L737" i="1" s="1"/>
  <c r="J36" i="1"/>
  <c r="L36" i="1" s="1"/>
  <c r="J76" i="1"/>
  <c r="L76" i="1" s="1"/>
  <c r="J95" i="1"/>
  <c r="L95" i="1" s="1"/>
  <c r="J123" i="1"/>
  <c r="L123" i="1" s="1"/>
  <c r="J145" i="1"/>
  <c r="L145" i="1" s="1"/>
  <c r="J156" i="1"/>
  <c r="L156" i="1" s="1"/>
  <c r="J172" i="1"/>
  <c r="L172" i="1" s="1"/>
  <c r="J188" i="1"/>
  <c r="L188" i="1" s="1"/>
  <c r="J204" i="1"/>
  <c r="L204" i="1" s="1"/>
  <c r="J220" i="1"/>
  <c r="L220" i="1" s="1"/>
  <c r="J236" i="1"/>
  <c r="L236" i="1" s="1"/>
  <c r="J252" i="1"/>
  <c r="L252" i="1" s="1"/>
  <c r="J268" i="1"/>
  <c r="L268" i="1" s="1"/>
  <c r="J284" i="1"/>
  <c r="L284" i="1" s="1"/>
  <c r="J300" i="1"/>
  <c r="L300" i="1" s="1"/>
  <c r="J316" i="1"/>
  <c r="L316" i="1" s="1"/>
  <c r="J332" i="1"/>
  <c r="L332" i="1" s="1"/>
  <c r="J348" i="1"/>
  <c r="L348" i="1" s="1"/>
  <c r="J364" i="1"/>
  <c r="L364" i="1" s="1"/>
  <c r="J380" i="1"/>
  <c r="L380" i="1" s="1"/>
  <c r="J396" i="1"/>
  <c r="L396" i="1" s="1"/>
  <c r="J412" i="1"/>
  <c r="L412" i="1" s="1"/>
  <c r="J428" i="1"/>
  <c r="L428" i="1" s="1"/>
  <c r="J444" i="1"/>
  <c r="L444" i="1" s="1"/>
  <c r="J460" i="1"/>
  <c r="L460" i="1" s="1"/>
  <c r="J476" i="1"/>
  <c r="L476" i="1" s="1"/>
  <c r="J492" i="1"/>
  <c r="L492" i="1" s="1"/>
  <c r="J508" i="1"/>
  <c r="L508" i="1" s="1"/>
  <c r="J524" i="1"/>
  <c r="L524" i="1" s="1"/>
  <c r="J540" i="1"/>
  <c r="L540" i="1" s="1"/>
  <c r="J556" i="1"/>
  <c r="L556" i="1" s="1"/>
  <c r="J572" i="1"/>
  <c r="L572" i="1" s="1"/>
  <c r="J588" i="1"/>
  <c r="L588" i="1" s="1"/>
  <c r="J604" i="1"/>
  <c r="L604" i="1" s="1"/>
  <c r="J620" i="1"/>
  <c r="L620" i="1" s="1"/>
  <c r="J636" i="1"/>
  <c r="L636" i="1" s="1"/>
  <c r="J652" i="1"/>
  <c r="L652" i="1" s="1"/>
  <c r="J668" i="1"/>
  <c r="L668" i="1" s="1"/>
  <c r="J684" i="1"/>
  <c r="L684" i="1" s="1"/>
  <c r="J700" i="1"/>
  <c r="L700" i="1" s="1"/>
  <c r="J716" i="1"/>
  <c r="L716" i="1" s="1"/>
  <c r="J732" i="1"/>
  <c r="L732" i="1" s="1"/>
  <c r="J43" i="1"/>
  <c r="L43" i="1" s="1"/>
  <c r="J63" i="1"/>
  <c r="L63" i="1" s="1"/>
  <c r="J90" i="1"/>
  <c r="L90" i="1" s="1"/>
  <c r="J101" i="1"/>
  <c r="L101" i="1" s="1"/>
  <c r="J112" i="1"/>
  <c r="L112" i="1" s="1"/>
  <c r="J140" i="1"/>
  <c r="L140" i="1" s="1"/>
  <c r="J151" i="1"/>
  <c r="L151" i="1" s="1"/>
  <c r="J167" i="1"/>
  <c r="L167" i="1" s="1"/>
  <c r="J183" i="1"/>
  <c r="L183" i="1" s="1"/>
  <c r="J199" i="1"/>
  <c r="L199" i="1" s="1"/>
  <c r="J215" i="1"/>
  <c r="L215" i="1" s="1"/>
  <c r="J231" i="1"/>
  <c r="L231" i="1" s="1"/>
  <c r="J247" i="1"/>
  <c r="L247" i="1" s="1"/>
  <c r="J263" i="1"/>
  <c r="L263" i="1" s="1"/>
  <c r="J279" i="1"/>
  <c r="L279" i="1" s="1"/>
  <c r="J295" i="1"/>
  <c r="L295" i="1" s="1"/>
  <c r="J311" i="1"/>
  <c r="L311" i="1" s="1"/>
  <c r="J327" i="1"/>
  <c r="L327" i="1" s="1"/>
  <c r="J343" i="1"/>
  <c r="L343" i="1" s="1"/>
  <c r="J359" i="1"/>
  <c r="L359" i="1" s="1"/>
  <c r="J375" i="1"/>
  <c r="L375" i="1" s="1"/>
  <c r="J391" i="1"/>
  <c r="L391" i="1" s="1"/>
  <c r="J407" i="1"/>
  <c r="L407" i="1" s="1"/>
  <c r="J423" i="1"/>
  <c r="L423" i="1" s="1"/>
  <c r="J439" i="1"/>
  <c r="L439" i="1" s="1"/>
  <c r="J455" i="1"/>
  <c r="L455" i="1" s="1"/>
  <c r="J471" i="1"/>
  <c r="L471" i="1" s="1"/>
  <c r="J487" i="1"/>
  <c r="L487" i="1" s="1"/>
  <c r="J503" i="1"/>
  <c r="L503" i="1" s="1"/>
  <c r="J519" i="1"/>
  <c r="L519" i="1" s="1"/>
  <c r="J535" i="1"/>
  <c r="L535" i="1" s="1"/>
  <c r="J551" i="1"/>
  <c r="L551" i="1" s="1"/>
  <c r="J567" i="1"/>
  <c r="L567" i="1" s="1"/>
  <c r="J583" i="1"/>
  <c r="L583" i="1" s="1"/>
  <c r="J599" i="1"/>
  <c r="L599" i="1" s="1"/>
  <c r="J615" i="1"/>
  <c r="L615" i="1" s="1"/>
  <c r="J631" i="1"/>
  <c r="L631" i="1" s="1"/>
  <c r="J647" i="1"/>
  <c r="L647" i="1" s="1"/>
  <c r="J663" i="1"/>
  <c r="L663" i="1" s="1"/>
  <c r="J679" i="1"/>
  <c r="L679" i="1" s="1"/>
  <c r="J695" i="1"/>
  <c r="L695" i="1" s="1"/>
  <c r="J711" i="1"/>
  <c r="L711" i="1" s="1"/>
  <c r="J727" i="1"/>
  <c r="L727" i="1" s="1"/>
  <c r="J743" i="1"/>
  <c r="L743" i="1" s="1"/>
  <c r="J759" i="1"/>
  <c r="L759" i="1" s="1"/>
  <c r="J775" i="1"/>
  <c r="L775" i="1" s="1"/>
  <c r="J107" i="1"/>
  <c r="L107" i="1" s="1"/>
  <c r="J129" i="1"/>
  <c r="L129" i="1" s="1"/>
  <c r="J135" i="1"/>
  <c r="L135" i="1" s="1"/>
  <c r="J162" i="1"/>
  <c r="L162" i="1" s="1"/>
  <c r="J178" i="1"/>
  <c r="L178" i="1" s="1"/>
  <c r="J194" i="1"/>
  <c r="L194" i="1" s="1"/>
  <c r="J210" i="1"/>
  <c r="L210" i="1" s="1"/>
  <c r="J232" i="1"/>
  <c r="L232" i="1" s="1"/>
  <c r="J239" i="1"/>
  <c r="L239" i="1" s="1"/>
  <c r="J296" i="1"/>
  <c r="L296" i="1" s="1"/>
  <c r="J303" i="1"/>
  <c r="L303" i="1" s="1"/>
  <c r="J360" i="1"/>
  <c r="L360" i="1" s="1"/>
  <c r="J367" i="1"/>
  <c r="L367" i="1" s="1"/>
  <c r="J424" i="1"/>
  <c r="L424" i="1" s="1"/>
  <c r="J431" i="1"/>
  <c r="L431" i="1" s="1"/>
  <c r="J488" i="1"/>
  <c r="L488" i="1" s="1"/>
  <c r="J495" i="1"/>
  <c r="L495" i="1" s="1"/>
  <c r="J586" i="1"/>
  <c r="L586" i="1" s="1"/>
  <c r="J600" i="1"/>
  <c r="L600" i="1" s="1"/>
  <c r="J607" i="1"/>
  <c r="L607" i="1" s="1"/>
  <c r="J676" i="1"/>
  <c r="L676" i="1" s="1"/>
  <c r="J690" i="1"/>
  <c r="L690" i="1" s="1"/>
  <c r="J756" i="1"/>
  <c r="L756" i="1" s="1"/>
  <c r="J780" i="1"/>
  <c r="L780" i="1" s="1"/>
  <c r="J786" i="1"/>
  <c r="L786" i="1" s="1"/>
  <c r="J803" i="1"/>
  <c r="L803" i="1" s="1"/>
  <c r="J814" i="1"/>
  <c r="L814" i="1" s="1"/>
  <c r="J830" i="1"/>
  <c r="L830" i="1" s="1"/>
  <c r="J846" i="1"/>
  <c r="L846" i="1" s="1"/>
  <c r="J862" i="1"/>
  <c r="L862" i="1" s="1"/>
  <c r="J878" i="1"/>
  <c r="L878" i="1" s="1"/>
  <c r="J894" i="1"/>
  <c r="L894" i="1" s="1"/>
  <c r="J910" i="1"/>
  <c r="L910" i="1" s="1"/>
  <c r="J926" i="1"/>
  <c r="L926" i="1" s="1"/>
  <c r="J942" i="1"/>
  <c r="L942" i="1" s="1"/>
  <c r="J958" i="1"/>
  <c r="L958" i="1" s="1"/>
  <c r="J974" i="1"/>
  <c r="L974" i="1" s="1"/>
  <c r="J990" i="1"/>
  <c r="L990" i="1" s="1"/>
  <c r="J1006" i="1"/>
  <c r="L1006" i="1" s="1"/>
  <c r="J1022" i="1"/>
  <c r="L1022" i="1" s="1"/>
  <c r="J1038" i="1"/>
  <c r="L1038" i="1" s="1"/>
  <c r="J1054" i="1"/>
  <c r="L1054" i="1" s="1"/>
  <c r="J1070" i="1"/>
  <c r="L1070" i="1" s="1"/>
  <c r="J1086" i="1"/>
  <c r="L1086" i="1" s="1"/>
  <c r="J1102" i="1"/>
  <c r="L1102" i="1" s="1"/>
  <c r="J1118" i="1"/>
  <c r="L1118" i="1" s="1"/>
  <c r="J1134" i="1"/>
  <c r="L1134" i="1" s="1"/>
  <c r="J282" i="1"/>
  <c r="L282" i="1" s="1"/>
  <c r="J346" i="1"/>
  <c r="L346" i="1" s="1"/>
  <c r="J410" i="1"/>
  <c r="L410" i="1" s="1"/>
  <c r="J474" i="1"/>
  <c r="L474" i="1" s="1"/>
  <c r="J538" i="1"/>
  <c r="L538" i="1" s="1"/>
  <c r="J552" i="1"/>
  <c r="L552" i="1" s="1"/>
  <c r="J559" i="1"/>
  <c r="L559" i="1" s="1"/>
  <c r="J628" i="1"/>
  <c r="L628" i="1" s="1"/>
  <c r="J642" i="1"/>
  <c r="L642" i="1" s="1"/>
  <c r="J745" i="1"/>
  <c r="L745" i="1" s="1"/>
  <c r="J792" i="1"/>
  <c r="L792" i="1" s="1"/>
  <c r="J825" i="1"/>
  <c r="L825" i="1" s="1"/>
  <c r="J841" i="1"/>
  <c r="L841" i="1" s="1"/>
  <c r="J857" i="1"/>
  <c r="L857" i="1" s="1"/>
  <c r="J873" i="1"/>
  <c r="L873" i="1" s="1"/>
  <c r="J889" i="1"/>
  <c r="L889" i="1" s="1"/>
  <c r="J905" i="1"/>
  <c r="L905" i="1" s="1"/>
  <c r="J921" i="1"/>
  <c r="L921" i="1" s="1"/>
  <c r="J937" i="1"/>
  <c r="L937" i="1" s="1"/>
  <c r="J953" i="1"/>
  <c r="L953" i="1" s="1"/>
  <c r="J969" i="1"/>
  <c r="L969" i="1" s="1"/>
  <c r="J985" i="1"/>
  <c r="L985" i="1" s="1"/>
  <c r="J1001" i="1"/>
  <c r="L1001" i="1" s="1"/>
  <c r="J1017" i="1"/>
  <c r="L1017" i="1" s="1"/>
  <c r="J1033" i="1"/>
  <c r="L1033" i="1" s="1"/>
  <c r="J1049" i="1"/>
  <c r="L1049" i="1" s="1"/>
  <c r="J1065" i="1"/>
  <c r="L1065" i="1" s="1"/>
  <c r="J1081" i="1"/>
  <c r="L1081" i="1" s="1"/>
  <c r="J1097" i="1"/>
  <c r="L1097" i="1" s="1"/>
  <c r="J1113" i="1"/>
  <c r="L1113" i="1" s="1"/>
  <c r="J1129" i="1"/>
  <c r="L1129" i="1" s="1"/>
  <c r="J1145" i="1"/>
  <c r="L1145" i="1" s="1"/>
  <c r="J580" i="1"/>
  <c r="L580" i="1" s="1"/>
  <c r="J594" i="1"/>
  <c r="L594" i="1" s="1"/>
  <c r="J739" i="1"/>
  <c r="L739" i="1" s="1"/>
  <c r="J751" i="1"/>
  <c r="L751" i="1" s="1"/>
  <c r="J763" i="1"/>
  <c r="L763" i="1" s="1"/>
  <c r="J769" i="1"/>
  <c r="L769" i="1" s="1"/>
  <c r="J798" i="1"/>
  <c r="L798" i="1" s="1"/>
  <c r="J809" i="1"/>
  <c r="L809" i="1" s="1"/>
  <c r="J820" i="1"/>
  <c r="L820" i="1" s="1"/>
  <c r="J836" i="1"/>
  <c r="L836" i="1" s="1"/>
  <c r="J852" i="1"/>
  <c r="L852" i="1" s="1"/>
  <c r="J868" i="1"/>
  <c r="L868" i="1" s="1"/>
  <c r="J884" i="1"/>
  <c r="L884" i="1" s="1"/>
  <c r="J900" i="1"/>
  <c r="L900" i="1" s="1"/>
  <c r="J916" i="1"/>
  <c r="L916" i="1" s="1"/>
  <c r="J932" i="1"/>
  <c r="L932" i="1" s="1"/>
  <c r="J948" i="1"/>
  <c r="L948" i="1" s="1"/>
  <c r="J964" i="1"/>
  <c r="L964" i="1" s="1"/>
  <c r="J980" i="1"/>
  <c r="L980" i="1" s="1"/>
  <c r="J996" i="1"/>
  <c r="L996" i="1" s="1"/>
  <c r="J226" i="1"/>
  <c r="L226" i="1" s="1"/>
  <c r="J290" i="1"/>
  <c r="L290" i="1" s="1"/>
  <c r="J354" i="1"/>
  <c r="L354" i="1" s="1"/>
  <c r="J418" i="1"/>
  <c r="L418" i="1" s="1"/>
  <c r="J482" i="1"/>
  <c r="L482" i="1" s="1"/>
  <c r="J546" i="1"/>
  <c r="L546" i="1" s="1"/>
  <c r="J698" i="1"/>
  <c r="L698" i="1" s="1"/>
  <c r="J712" i="1"/>
  <c r="L712" i="1" s="1"/>
  <c r="J719" i="1"/>
  <c r="L719" i="1" s="1"/>
  <c r="J787" i="1"/>
  <c r="L787" i="1" s="1"/>
  <c r="J804" i="1"/>
  <c r="L804" i="1" s="1"/>
  <c r="J815" i="1"/>
  <c r="L815" i="1" s="1"/>
  <c r="J831" i="1"/>
  <c r="L831" i="1" s="1"/>
  <c r="J847" i="1"/>
  <c r="L847" i="1" s="1"/>
  <c r="J863" i="1"/>
  <c r="L863" i="1" s="1"/>
  <c r="J879" i="1"/>
  <c r="L879" i="1" s="1"/>
  <c r="J895" i="1"/>
  <c r="L895" i="1" s="1"/>
  <c r="J911" i="1"/>
  <c r="L911" i="1" s="1"/>
  <c r="J927" i="1"/>
  <c r="L927" i="1" s="1"/>
  <c r="J943" i="1"/>
  <c r="L943" i="1" s="1"/>
  <c r="J959" i="1"/>
  <c r="L959" i="1" s="1"/>
  <c r="J975" i="1"/>
  <c r="L975" i="1" s="1"/>
  <c r="J991" i="1"/>
  <c r="L991" i="1" s="1"/>
  <c r="J1007" i="1"/>
  <c r="L1007" i="1" s="1"/>
  <c r="J1023" i="1"/>
  <c r="L1023" i="1" s="1"/>
  <c r="J1039" i="1"/>
  <c r="L1039" i="1" s="1"/>
  <c r="J1055" i="1"/>
  <c r="L1055" i="1" s="1"/>
  <c r="J1071" i="1"/>
  <c r="L1071" i="1" s="1"/>
  <c r="J1087" i="1"/>
  <c r="L1087" i="1" s="1"/>
  <c r="J1103" i="1"/>
  <c r="L1103" i="1" s="1"/>
  <c r="J1119" i="1"/>
  <c r="L1119" i="1" s="1"/>
  <c r="J1135" i="1"/>
  <c r="L1135" i="1" s="1"/>
  <c r="J248" i="1"/>
  <c r="L248" i="1" s="1"/>
  <c r="J255" i="1"/>
  <c r="L255" i="1" s="1"/>
  <c r="J312" i="1"/>
  <c r="L312" i="1" s="1"/>
  <c r="J319" i="1"/>
  <c r="L319" i="1" s="1"/>
  <c r="J376" i="1"/>
  <c r="L376" i="1" s="1"/>
  <c r="J383" i="1"/>
  <c r="L383" i="1" s="1"/>
  <c r="J440" i="1"/>
  <c r="L440" i="1" s="1"/>
  <c r="J447" i="1"/>
  <c r="L447" i="1" s="1"/>
  <c r="J504" i="1"/>
  <c r="L504" i="1" s="1"/>
  <c r="J511" i="1"/>
  <c r="L511" i="1" s="1"/>
  <c r="J650" i="1"/>
  <c r="L650" i="1" s="1"/>
  <c r="J664" i="1"/>
  <c r="L664" i="1" s="1"/>
  <c r="J671" i="1"/>
  <c r="L671" i="1" s="1"/>
  <c r="J746" i="1"/>
  <c r="L746" i="1" s="1"/>
  <c r="J776" i="1"/>
  <c r="L776" i="1" s="1"/>
  <c r="J793" i="1"/>
  <c r="L793" i="1" s="1"/>
  <c r="J826" i="1"/>
  <c r="L826" i="1" s="1"/>
  <c r="J842" i="1"/>
  <c r="L842" i="1" s="1"/>
  <c r="J858" i="1"/>
  <c r="L858" i="1" s="1"/>
  <c r="J874" i="1"/>
  <c r="L874" i="1" s="1"/>
  <c r="J890" i="1"/>
  <c r="L890" i="1" s="1"/>
  <c r="J906" i="1"/>
  <c r="L906" i="1" s="1"/>
  <c r="J922" i="1"/>
  <c r="L922" i="1" s="1"/>
  <c r="J938" i="1"/>
  <c r="L938" i="1" s="1"/>
  <c r="J954" i="1"/>
  <c r="L954" i="1" s="1"/>
  <c r="J970" i="1"/>
  <c r="L970" i="1" s="1"/>
  <c r="J986" i="1"/>
  <c r="L986" i="1" s="1"/>
  <c r="J1002" i="1"/>
  <c r="L1002" i="1" s="1"/>
  <c r="J1018" i="1"/>
  <c r="L1018" i="1" s="1"/>
  <c r="J1034" i="1"/>
  <c r="L1034" i="1" s="1"/>
  <c r="J1050" i="1"/>
  <c r="L1050" i="1" s="1"/>
  <c r="J1066" i="1"/>
  <c r="L1066" i="1" s="1"/>
  <c r="J1082" i="1"/>
  <c r="L1082" i="1" s="1"/>
  <c r="J1098" i="1"/>
  <c r="L1098" i="1" s="1"/>
  <c r="J1114" i="1"/>
  <c r="L1114" i="1" s="1"/>
  <c r="J1130" i="1"/>
  <c r="L1130" i="1" s="1"/>
  <c r="J1146" i="1"/>
  <c r="L1146" i="1" s="1"/>
  <c r="J234" i="1"/>
  <c r="L234" i="1" s="1"/>
  <c r="J298" i="1"/>
  <c r="L298" i="1" s="1"/>
  <c r="J362" i="1"/>
  <c r="L362" i="1" s="1"/>
  <c r="J426" i="1"/>
  <c r="L426" i="1" s="1"/>
  <c r="J490" i="1"/>
  <c r="L490" i="1" s="1"/>
  <c r="J602" i="1"/>
  <c r="L602" i="1" s="1"/>
  <c r="J616" i="1"/>
  <c r="L616" i="1" s="1"/>
  <c r="J623" i="1"/>
  <c r="L623" i="1" s="1"/>
  <c r="J692" i="1"/>
  <c r="L692" i="1" s="1"/>
  <c r="J706" i="1"/>
  <c r="L706" i="1" s="1"/>
  <c r="J740" i="1"/>
  <c r="L740" i="1" s="1"/>
  <c r="J764" i="1"/>
  <c r="L764" i="1" s="1"/>
  <c r="J770" i="1"/>
  <c r="L770" i="1" s="1"/>
  <c r="J782" i="1"/>
  <c r="L782" i="1" s="1"/>
  <c r="J799" i="1"/>
  <c r="L799" i="1" s="1"/>
  <c r="J810" i="1"/>
  <c r="L810" i="1" s="1"/>
  <c r="J821" i="1"/>
  <c r="L821" i="1" s="1"/>
  <c r="J837" i="1"/>
  <c r="L837" i="1" s="1"/>
  <c r="J853" i="1"/>
  <c r="L853" i="1" s="1"/>
  <c r="J869" i="1"/>
  <c r="L869" i="1" s="1"/>
  <c r="J885" i="1"/>
  <c r="L885" i="1" s="1"/>
  <c r="J901" i="1"/>
  <c r="L901" i="1" s="1"/>
  <c r="J917" i="1"/>
  <c r="L917" i="1" s="1"/>
  <c r="J933" i="1"/>
  <c r="L933" i="1" s="1"/>
  <c r="J949" i="1"/>
  <c r="L949" i="1" s="1"/>
  <c r="J965" i="1"/>
  <c r="L965" i="1" s="1"/>
  <c r="J981" i="1"/>
  <c r="L981" i="1" s="1"/>
  <c r="J997" i="1"/>
  <c r="L997" i="1" s="1"/>
  <c r="J1013" i="1"/>
  <c r="L1013" i="1" s="1"/>
  <c r="J1029" i="1"/>
  <c r="L1029" i="1" s="1"/>
  <c r="J1045" i="1"/>
  <c r="L1045" i="1" s="1"/>
  <c r="J1061" i="1"/>
  <c r="L1061" i="1" s="1"/>
  <c r="J1077" i="1"/>
  <c r="L1077" i="1" s="1"/>
  <c r="J1093" i="1"/>
  <c r="L1093" i="1" s="1"/>
  <c r="J1109" i="1"/>
  <c r="L1109" i="1" s="1"/>
  <c r="J1125" i="1"/>
  <c r="L1125" i="1" s="1"/>
  <c r="J1141" i="1"/>
  <c r="L1141" i="1" s="1"/>
  <c r="J554" i="1"/>
  <c r="L554" i="1" s="1"/>
  <c r="J568" i="1"/>
  <c r="L568" i="1" s="1"/>
  <c r="J575" i="1"/>
  <c r="L575" i="1" s="1"/>
  <c r="J644" i="1"/>
  <c r="L644" i="1" s="1"/>
  <c r="J658" i="1"/>
  <c r="L658" i="1" s="1"/>
  <c r="J788" i="1"/>
  <c r="L788" i="1" s="1"/>
  <c r="J805" i="1"/>
  <c r="L805" i="1" s="1"/>
  <c r="J816" i="1"/>
  <c r="L816" i="1" s="1"/>
  <c r="J832" i="1"/>
  <c r="L832" i="1" s="1"/>
  <c r="J848" i="1"/>
  <c r="L848" i="1" s="1"/>
  <c r="J864" i="1"/>
  <c r="L864" i="1" s="1"/>
  <c r="J880" i="1"/>
  <c r="L880" i="1" s="1"/>
  <c r="J896" i="1"/>
  <c r="L896" i="1" s="1"/>
  <c r="J912" i="1"/>
  <c r="L912" i="1" s="1"/>
  <c r="J928" i="1"/>
  <c r="L928" i="1" s="1"/>
  <c r="J944" i="1"/>
  <c r="L944" i="1" s="1"/>
  <c r="J960" i="1"/>
  <c r="L960" i="1" s="1"/>
  <c r="J976" i="1"/>
  <c r="L976" i="1" s="1"/>
  <c r="J992" i="1"/>
  <c r="L992" i="1" s="1"/>
  <c r="J1008" i="1"/>
  <c r="L1008" i="1" s="1"/>
  <c r="J1024" i="1"/>
  <c r="L1024" i="1" s="1"/>
  <c r="J1040" i="1"/>
  <c r="L1040" i="1" s="1"/>
  <c r="J1056" i="1"/>
  <c r="L1056" i="1" s="1"/>
  <c r="J1072" i="1"/>
  <c r="L1072" i="1" s="1"/>
  <c r="J1088" i="1"/>
  <c r="L1088" i="1" s="1"/>
  <c r="J1104" i="1"/>
  <c r="L1104" i="1" s="1"/>
  <c r="J1120" i="1"/>
  <c r="L1120" i="1" s="1"/>
  <c r="J242" i="1"/>
  <c r="L242" i="1" s="1"/>
  <c r="J306" i="1"/>
  <c r="L306" i="1" s="1"/>
  <c r="J370" i="1"/>
  <c r="L370" i="1" s="1"/>
  <c r="J434" i="1"/>
  <c r="L434" i="1" s="1"/>
  <c r="J498" i="1"/>
  <c r="L498" i="1" s="1"/>
  <c r="J596" i="1"/>
  <c r="L596" i="1" s="1"/>
  <c r="J610" i="1"/>
  <c r="L610" i="1" s="1"/>
  <c r="J747" i="1"/>
  <c r="L747" i="1" s="1"/>
  <c r="J753" i="1"/>
  <c r="L753" i="1" s="1"/>
  <c r="J777" i="1"/>
  <c r="L777" i="1" s="1"/>
  <c r="J794" i="1"/>
  <c r="L794" i="1" s="1"/>
  <c r="J827" i="1"/>
  <c r="L827" i="1" s="1"/>
  <c r="J843" i="1"/>
  <c r="L843" i="1" s="1"/>
  <c r="J859" i="1"/>
  <c r="L859" i="1" s="1"/>
  <c r="J875" i="1"/>
  <c r="L875" i="1" s="1"/>
  <c r="J891" i="1"/>
  <c r="L891" i="1" s="1"/>
  <c r="J907" i="1"/>
  <c r="L907" i="1" s="1"/>
  <c r="J923" i="1"/>
  <c r="L923" i="1" s="1"/>
  <c r="J939" i="1"/>
  <c r="L939" i="1" s="1"/>
  <c r="J955" i="1"/>
  <c r="L955" i="1" s="1"/>
  <c r="J971" i="1"/>
  <c r="L971" i="1" s="1"/>
  <c r="J987" i="1"/>
  <c r="L987" i="1" s="1"/>
  <c r="J1003" i="1"/>
  <c r="L1003" i="1" s="1"/>
  <c r="J1019" i="1"/>
  <c r="L1019" i="1" s="1"/>
  <c r="J1035" i="1"/>
  <c r="L1035" i="1" s="1"/>
  <c r="J1051" i="1"/>
  <c r="L1051" i="1" s="1"/>
  <c r="J1067" i="1"/>
  <c r="L1067" i="1" s="1"/>
  <c r="J1083" i="1"/>
  <c r="L1083" i="1" s="1"/>
  <c r="J1099" i="1"/>
  <c r="L1099" i="1" s="1"/>
  <c r="J1115" i="1"/>
  <c r="L1115" i="1" s="1"/>
  <c r="J1131" i="1"/>
  <c r="L1131" i="1" s="1"/>
  <c r="J1147" i="1"/>
  <c r="L1147" i="1" s="1"/>
  <c r="J264" i="1"/>
  <c r="L264" i="1" s="1"/>
  <c r="J271" i="1"/>
  <c r="L271" i="1" s="1"/>
  <c r="J328" i="1"/>
  <c r="L328" i="1" s="1"/>
  <c r="J335" i="1"/>
  <c r="L335" i="1" s="1"/>
  <c r="J392" i="1"/>
  <c r="L392" i="1" s="1"/>
  <c r="J399" i="1"/>
  <c r="L399" i="1" s="1"/>
  <c r="J456" i="1"/>
  <c r="L456" i="1" s="1"/>
  <c r="J463" i="1"/>
  <c r="L463" i="1" s="1"/>
  <c r="J520" i="1"/>
  <c r="L520" i="1" s="1"/>
  <c r="J527" i="1"/>
  <c r="L527" i="1" s="1"/>
  <c r="J548" i="1"/>
  <c r="L548" i="1" s="1"/>
  <c r="J562" i="1"/>
  <c r="L562" i="1" s="1"/>
  <c r="J714" i="1"/>
  <c r="L714" i="1" s="1"/>
  <c r="J728" i="1"/>
  <c r="L728" i="1" s="1"/>
  <c r="J735" i="1"/>
  <c r="L735" i="1" s="1"/>
  <c r="J771" i="1"/>
  <c r="L771" i="1" s="1"/>
  <c r="J783" i="1"/>
  <c r="L783" i="1" s="1"/>
  <c r="J811" i="1"/>
  <c r="L811" i="1" s="1"/>
  <c r="J822" i="1"/>
  <c r="L822" i="1" s="1"/>
  <c r="J838" i="1"/>
  <c r="L838" i="1" s="1"/>
  <c r="J854" i="1"/>
  <c r="L854" i="1" s="1"/>
  <c r="J870" i="1"/>
  <c r="L870" i="1" s="1"/>
  <c r="J886" i="1"/>
  <c r="L886" i="1" s="1"/>
  <c r="J902" i="1"/>
  <c r="L902" i="1" s="1"/>
  <c r="J918" i="1"/>
  <c r="L918" i="1" s="1"/>
  <c r="J934" i="1"/>
  <c r="L934" i="1" s="1"/>
  <c r="J950" i="1"/>
  <c r="L950" i="1" s="1"/>
  <c r="J966" i="1"/>
  <c r="L966" i="1" s="1"/>
  <c r="J982" i="1"/>
  <c r="L982" i="1" s="1"/>
  <c r="J998" i="1"/>
  <c r="L998" i="1" s="1"/>
  <c r="J1014" i="1"/>
  <c r="L1014" i="1" s="1"/>
  <c r="J1030" i="1"/>
  <c r="L1030" i="1" s="1"/>
  <c r="J1046" i="1"/>
  <c r="L1046" i="1" s="1"/>
  <c r="J1062" i="1"/>
  <c r="L1062" i="1" s="1"/>
  <c r="J1078" i="1"/>
  <c r="L1078" i="1" s="1"/>
  <c r="J1094" i="1"/>
  <c r="L1094" i="1" s="1"/>
  <c r="J1110" i="1"/>
  <c r="L1110" i="1" s="1"/>
  <c r="J1126" i="1"/>
  <c r="L1126" i="1" s="1"/>
  <c r="J1142" i="1"/>
  <c r="L1142" i="1" s="1"/>
  <c r="J250" i="1"/>
  <c r="L250" i="1" s="1"/>
  <c r="J314" i="1"/>
  <c r="L314" i="1" s="1"/>
  <c r="J378" i="1"/>
  <c r="L378" i="1" s="1"/>
  <c r="J442" i="1"/>
  <c r="L442" i="1" s="1"/>
  <c r="J506" i="1"/>
  <c r="L506" i="1" s="1"/>
  <c r="J666" i="1"/>
  <c r="L666" i="1" s="1"/>
  <c r="J680" i="1"/>
  <c r="L680" i="1" s="1"/>
  <c r="J687" i="1"/>
  <c r="L687" i="1" s="1"/>
  <c r="J760" i="1"/>
  <c r="L760" i="1" s="1"/>
  <c r="J806" i="1"/>
  <c r="L806" i="1" s="1"/>
  <c r="J817" i="1"/>
  <c r="L817" i="1" s="1"/>
  <c r="J833" i="1"/>
  <c r="L833" i="1" s="1"/>
  <c r="J849" i="1"/>
  <c r="L849" i="1" s="1"/>
  <c r="J865" i="1"/>
  <c r="L865" i="1" s="1"/>
  <c r="J881" i="1"/>
  <c r="L881" i="1" s="1"/>
  <c r="J897" i="1"/>
  <c r="L897" i="1" s="1"/>
  <c r="J913" i="1"/>
  <c r="L913" i="1" s="1"/>
  <c r="J929" i="1"/>
  <c r="L929" i="1" s="1"/>
  <c r="J945" i="1"/>
  <c r="L945" i="1" s="1"/>
  <c r="J961" i="1"/>
  <c r="L961" i="1" s="1"/>
  <c r="J977" i="1"/>
  <c r="L977" i="1" s="1"/>
  <c r="J993" i="1"/>
  <c r="L993" i="1" s="1"/>
  <c r="J1009" i="1"/>
  <c r="L1009" i="1" s="1"/>
  <c r="J1025" i="1"/>
  <c r="L1025" i="1" s="1"/>
  <c r="J1041" i="1"/>
  <c r="L1041" i="1" s="1"/>
  <c r="J1057" i="1"/>
  <c r="L1057" i="1" s="1"/>
  <c r="J1073" i="1"/>
  <c r="L1073" i="1" s="1"/>
  <c r="J1089" i="1"/>
  <c r="L1089" i="1" s="1"/>
  <c r="J1105" i="1"/>
  <c r="L1105" i="1" s="1"/>
  <c r="J1121" i="1"/>
  <c r="L1121" i="1" s="1"/>
  <c r="J1137" i="1"/>
  <c r="L1137" i="1" s="1"/>
  <c r="J618" i="1"/>
  <c r="L618" i="1" s="1"/>
  <c r="J632" i="1"/>
  <c r="L632" i="1" s="1"/>
  <c r="J639" i="1"/>
  <c r="L639" i="1" s="1"/>
  <c r="J708" i="1"/>
  <c r="L708" i="1" s="1"/>
  <c r="J722" i="1"/>
  <c r="L722" i="1" s="1"/>
  <c r="J748" i="1"/>
  <c r="L748" i="1" s="1"/>
  <c r="J754" i="1"/>
  <c r="L754" i="1" s="1"/>
  <c r="J766" i="1"/>
  <c r="L766" i="1" s="1"/>
  <c r="J778" i="1"/>
  <c r="L778" i="1" s="1"/>
  <c r="J795" i="1"/>
  <c r="L795" i="1" s="1"/>
  <c r="J801" i="1"/>
  <c r="L801" i="1" s="1"/>
  <c r="J828" i="1"/>
  <c r="L828" i="1" s="1"/>
  <c r="J844" i="1"/>
  <c r="L844" i="1" s="1"/>
  <c r="J860" i="1"/>
  <c r="L860" i="1" s="1"/>
  <c r="J876" i="1"/>
  <c r="L876" i="1" s="1"/>
  <c r="J892" i="1"/>
  <c r="L892" i="1" s="1"/>
  <c r="J908" i="1"/>
  <c r="L908" i="1" s="1"/>
  <c r="J924" i="1"/>
  <c r="L924" i="1" s="1"/>
  <c r="J940" i="1"/>
  <c r="L940" i="1" s="1"/>
  <c r="J956" i="1"/>
  <c r="L956" i="1" s="1"/>
  <c r="J972" i="1"/>
  <c r="L972" i="1" s="1"/>
  <c r="J988" i="1"/>
  <c r="L988" i="1" s="1"/>
  <c r="J1004" i="1"/>
  <c r="L1004" i="1" s="1"/>
  <c r="J1020" i="1"/>
  <c r="L1020" i="1" s="1"/>
  <c r="J1036" i="1"/>
  <c r="L1036" i="1" s="1"/>
  <c r="J1052" i="1"/>
  <c r="L1052" i="1" s="1"/>
  <c r="J1068" i="1"/>
  <c r="L1068" i="1" s="1"/>
  <c r="J1084" i="1"/>
  <c r="L1084" i="1" s="1"/>
  <c r="J1100" i="1"/>
  <c r="L1100" i="1" s="1"/>
  <c r="J1116" i="1"/>
  <c r="L1116" i="1" s="1"/>
  <c r="J1132" i="1"/>
  <c r="L1132" i="1" s="1"/>
  <c r="J1148" i="1"/>
  <c r="L1148" i="1" s="1"/>
  <c r="J258" i="1"/>
  <c r="L258" i="1" s="1"/>
  <c r="J322" i="1"/>
  <c r="L322" i="1" s="1"/>
  <c r="J386" i="1"/>
  <c r="L386" i="1" s="1"/>
  <c r="J450" i="1"/>
  <c r="L450" i="1" s="1"/>
  <c r="J514" i="1"/>
  <c r="L514" i="1" s="1"/>
  <c r="J570" i="1"/>
  <c r="L570" i="1" s="1"/>
  <c r="J584" i="1"/>
  <c r="L584" i="1" s="1"/>
  <c r="J591" i="1"/>
  <c r="L591" i="1" s="1"/>
  <c r="J660" i="1"/>
  <c r="L660" i="1" s="1"/>
  <c r="J674" i="1"/>
  <c r="L674" i="1" s="1"/>
  <c r="J772" i="1"/>
  <c r="L772" i="1" s="1"/>
  <c r="J790" i="1"/>
  <c r="L790" i="1" s="1"/>
  <c r="J812" i="1"/>
  <c r="L812" i="1" s="1"/>
  <c r="J823" i="1"/>
  <c r="L823" i="1" s="1"/>
  <c r="J839" i="1"/>
  <c r="L839" i="1" s="1"/>
  <c r="J855" i="1"/>
  <c r="L855" i="1" s="1"/>
  <c r="J871" i="1"/>
  <c r="L871" i="1" s="1"/>
  <c r="J887" i="1"/>
  <c r="L887" i="1" s="1"/>
  <c r="J903" i="1"/>
  <c r="L903" i="1" s="1"/>
  <c r="J919" i="1"/>
  <c r="L919" i="1" s="1"/>
  <c r="J935" i="1"/>
  <c r="L935" i="1" s="1"/>
  <c r="J951" i="1"/>
  <c r="L951" i="1" s="1"/>
  <c r="J967" i="1"/>
  <c r="L967" i="1" s="1"/>
  <c r="J983" i="1"/>
  <c r="L983" i="1" s="1"/>
  <c r="J999" i="1"/>
  <c r="L999" i="1" s="1"/>
  <c r="J1015" i="1"/>
  <c r="L1015" i="1" s="1"/>
  <c r="J1031" i="1"/>
  <c r="L1031" i="1" s="1"/>
  <c r="J1047" i="1"/>
  <c r="L1047" i="1" s="1"/>
  <c r="J1063" i="1"/>
  <c r="L1063" i="1" s="1"/>
  <c r="J1079" i="1"/>
  <c r="L1079" i="1" s="1"/>
  <c r="J1095" i="1"/>
  <c r="L1095" i="1" s="1"/>
  <c r="J1111" i="1"/>
  <c r="L1111" i="1" s="1"/>
  <c r="J1127" i="1"/>
  <c r="L1127" i="1" s="1"/>
  <c r="J1143" i="1"/>
  <c r="L1143" i="1" s="1"/>
  <c r="J223" i="1"/>
  <c r="L223" i="1" s="1"/>
  <c r="J280" i="1"/>
  <c r="L280" i="1" s="1"/>
  <c r="J287" i="1"/>
  <c r="L287" i="1" s="1"/>
  <c r="J344" i="1"/>
  <c r="L344" i="1" s="1"/>
  <c r="J351" i="1"/>
  <c r="L351" i="1" s="1"/>
  <c r="J408" i="1"/>
  <c r="L408" i="1" s="1"/>
  <c r="J415" i="1"/>
  <c r="L415" i="1" s="1"/>
  <c r="J472" i="1"/>
  <c r="L472" i="1" s="1"/>
  <c r="J479" i="1"/>
  <c r="L479" i="1" s="1"/>
  <c r="J536" i="1"/>
  <c r="L536" i="1" s="1"/>
  <c r="J543" i="1"/>
  <c r="L543" i="1" s="1"/>
  <c r="J612" i="1"/>
  <c r="L612" i="1" s="1"/>
  <c r="J626" i="1"/>
  <c r="L626" i="1" s="1"/>
  <c r="J761" i="1"/>
  <c r="L761" i="1" s="1"/>
  <c r="J807" i="1"/>
  <c r="L807" i="1" s="1"/>
  <c r="J818" i="1"/>
  <c r="L818" i="1" s="1"/>
  <c r="J834" i="1"/>
  <c r="L834" i="1" s="1"/>
  <c r="J850" i="1"/>
  <c r="L850" i="1" s="1"/>
  <c r="J866" i="1"/>
  <c r="L866" i="1" s="1"/>
  <c r="J882" i="1"/>
  <c r="L882" i="1" s="1"/>
  <c r="J898" i="1"/>
  <c r="L898" i="1" s="1"/>
  <c r="J914" i="1"/>
  <c r="L914" i="1" s="1"/>
  <c r="J930" i="1"/>
  <c r="L930" i="1" s="1"/>
  <c r="J946" i="1"/>
  <c r="L946" i="1" s="1"/>
  <c r="J962" i="1"/>
  <c r="L962" i="1" s="1"/>
  <c r="J978" i="1"/>
  <c r="L978" i="1" s="1"/>
  <c r="J994" i="1"/>
  <c r="L994" i="1" s="1"/>
  <c r="J1010" i="1"/>
  <c r="L1010" i="1" s="1"/>
  <c r="J1026" i="1"/>
  <c r="L1026" i="1" s="1"/>
  <c r="J1042" i="1"/>
  <c r="L1042" i="1" s="1"/>
  <c r="J1058" i="1"/>
  <c r="L1058" i="1" s="1"/>
  <c r="J1074" i="1"/>
  <c r="L1074" i="1" s="1"/>
  <c r="J1090" i="1"/>
  <c r="L1090" i="1" s="1"/>
  <c r="J1106" i="1"/>
  <c r="L1106" i="1" s="1"/>
  <c r="J1122" i="1"/>
  <c r="L1122" i="1" s="1"/>
  <c r="J1138" i="1"/>
  <c r="L1138" i="1" s="1"/>
  <c r="J266" i="1"/>
  <c r="L266" i="1" s="1"/>
  <c r="J330" i="1"/>
  <c r="L330" i="1" s="1"/>
  <c r="J394" i="1"/>
  <c r="L394" i="1" s="1"/>
  <c r="J458" i="1"/>
  <c r="L458" i="1" s="1"/>
  <c r="J522" i="1"/>
  <c r="L522" i="1" s="1"/>
  <c r="J564" i="1"/>
  <c r="L564" i="1" s="1"/>
  <c r="J578" i="1"/>
  <c r="L578" i="1" s="1"/>
  <c r="J730" i="1"/>
  <c r="L730" i="1" s="1"/>
  <c r="J755" i="1"/>
  <c r="L755" i="1" s="1"/>
  <c r="J767" i="1"/>
  <c r="L767" i="1" s="1"/>
  <c r="J779" i="1"/>
  <c r="L779" i="1" s="1"/>
  <c r="J785" i="1"/>
  <c r="L785" i="1" s="1"/>
  <c r="J796" i="1"/>
  <c r="L796" i="1" s="1"/>
  <c r="J802" i="1"/>
  <c r="L802" i="1" s="1"/>
  <c r="J829" i="1"/>
  <c r="L829" i="1" s="1"/>
  <c r="J845" i="1"/>
  <c r="L845" i="1" s="1"/>
  <c r="J861" i="1"/>
  <c r="L861" i="1" s="1"/>
  <c r="J877" i="1"/>
  <c r="L877" i="1" s="1"/>
  <c r="J893" i="1"/>
  <c r="L893" i="1" s="1"/>
  <c r="J909" i="1"/>
  <c r="L909" i="1" s="1"/>
  <c r="J925" i="1"/>
  <c r="L925" i="1" s="1"/>
  <c r="J941" i="1"/>
  <c r="L941" i="1" s="1"/>
  <c r="J957" i="1"/>
  <c r="L957" i="1" s="1"/>
  <c r="J973" i="1"/>
  <c r="L973" i="1" s="1"/>
  <c r="J989" i="1"/>
  <c r="L989" i="1" s="1"/>
  <c r="J1005" i="1"/>
  <c r="L1005" i="1" s="1"/>
  <c r="J1021" i="1"/>
  <c r="L1021" i="1" s="1"/>
  <c r="J1037" i="1"/>
  <c r="L1037" i="1" s="1"/>
  <c r="J1053" i="1"/>
  <c r="L1053" i="1" s="1"/>
  <c r="J1069" i="1"/>
  <c r="L1069" i="1" s="1"/>
  <c r="J1085" i="1"/>
  <c r="L1085" i="1" s="1"/>
  <c r="J1101" i="1"/>
  <c r="L1101" i="1" s="1"/>
  <c r="J1117" i="1"/>
  <c r="L1117" i="1" s="1"/>
  <c r="J1133" i="1"/>
  <c r="L1133" i="1" s="1"/>
  <c r="J899" i="1"/>
  <c r="L899" i="1" s="1"/>
  <c r="J1048" i="1"/>
  <c r="L1048" i="1" s="1"/>
  <c r="J1092" i="1"/>
  <c r="L1092" i="1" s="1"/>
  <c r="J1107" i="1"/>
  <c r="L1107" i="1" s="1"/>
  <c r="J1136" i="1"/>
  <c r="L1136" i="1" s="1"/>
  <c r="J724" i="1"/>
  <c r="L724" i="1" s="1"/>
  <c r="J762" i="1"/>
  <c r="L762" i="1" s="1"/>
  <c r="J824" i="1"/>
  <c r="L824" i="1" s="1"/>
  <c r="J952" i="1"/>
  <c r="L952" i="1" s="1"/>
  <c r="J1012" i="1"/>
  <c r="L1012" i="1" s="1"/>
  <c r="J1027" i="1"/>
  <c r="L1027" i="1" s="1"/>
  <c r="J274" i="1"/>
  <c r="L274" i="1" s="1"/>
  <c r="J915" i="1"/>
  <c r="L915" i="1" s="1"/>
  <c r="J338" i="1"/>
  <c r="L338" i="1" s="1"/>
  <c r="J655" i="1"/>
  <c r="L655" i="1" s="1"/>
  <c r="J840" i="1"/>
  <c r="L840" i="1" s="1"/>
  <c r="J968" i="1"/>
  <c r="L968" i="1" s="1"/>
  <c r="J1064" i="1"/>
  <c r="L1064" i="1" s="1"/>
  <c r="J1108" i="1"/>
  <c r="L1108" i="1" s="1"/>
  <c r="J1123" i="1"/>
  <c r="L1123" i="1" s="1"/>
  <c r="J1144" i="1"/>
  <c r="L1144" i="1" s="1"/>
  <c r="J402" i="1"/>
  <c r="L402" i="1" s="1"/>
  <c r="J648" i="1"/>
  <c r="L648" i="1" s="1"/>
  <c r="J931" i="1"/>
  <c r="L931" i="1" s="1"/>
  <c r="J1028" i="1"/>
  <c r="L1028" i="1" s="1"/>
  <c r="J1043" i="1"/>
  <c r="L1043" i="1" s="1"/>
  <c r="J466" i="1"/>
  <c r="L466" i="1" s="1"/>
  <c r="J856" i="1"/>
  <c r="L856" i="1" s="1"/>
  <c r="J984" i="1"/>
  <c r="L984" i="1" s="1"/>
  <c r="J530" i="1"/>
  <c r="L530" i="1" s="1"/>
  <c r="J703" i="1"/>
  <c r="L703" i="1" s="1"/>
  <c r="J819" i="1"/>
  <c r="L819" i="1" s="1"/>
  <c r="J947" i="1"/>
  <c r="L947" i="1" s="1"/>
  <c r="J1080" i="1"/>
  <c r="L1080" i="1" s="1"/>
  <c r="J1124" i="1"/>
  <c r="L1124" i="1" s="1"/>
  <c r="J634" i="1"/>
  <c r="L634" i="1" s="1"/>
  <c r="J696" i="1"/>
  <c r="L696" i="1" s="1"/>
  <c r="J872" i="1"/>
  <c r="L872" i="1" s="1"/>
  <c r="J1000" i="1"/>
  <c r="L1000" i="1" s="1"/>
  <c r="J1044" i="1"/>
  <c r="L1044" i="1" s="1"/>
  <c r="J1059" i="1"/>
  <c r="L1059" i="1" s="1"/>
  <c r="J1139" i="1"/>
  <c r="L1139" i="1" s="1"/>
  <c r="J750" i="1"/>
  <c r="L750" i="1" s="1"/>
  <c r="J835" i="1"/>
  <c r="L835" i="1" s="1"/>
  <c r="J963" i="1"/>
  <c r="L963" i="1" s="1"/>
  <c r="J888" i="1"/>
  <c r="L888" i="1" s="1"/>
  <c r="J1096" i="1"/>
  <c r="L1096" i="1" s="1"/>
  <c r="J682" i="1"/>
  <c r="L682" i="1" s="1"/>
  <c r="J851" i="1"/>
  <c r="L851" i="1" s="1"/>
  <c r="J979" i="1"/>
  <c r="L979" i="1" s="1"/>
  <c r="J1016" i="1"/>
  <c r="L1016" i="1" s="1"/>
  <c r="J1060" i="1"/>
  <c r="L1060" i="1" s="1"/>
  <c r="J1075" i="1"/>
  <c r="L1075" i="1" s="1"/>
  <c r="J1140" i="1"/>
  <c r="L1140" i="1" s="1"/>
  <c r="J744" i="1"/>
  <c r="L744" i="1" s="1"/>
  <c r="J904" i="1"/>
  <c r="L904" i="1" s="1"/>
  <c r="J791" i="1"/>
  <c r="L791" i="1" s="1"/>
  <c r="J867" i="1"/>
  <c r="L867" i="1" s="1"/>
  <c r="J995" i="1"/>
  <c r="L995" i="1" s="1"/>
  <c r="J1112" i="1"/>
  <c r="L1112" i="1" s="1"/>
  <c r="J738" i="1"/>
  <c r="L738" i="1" s="1"/>
  <c r="J883" i="1"/>
  <c r="L883" i="1" s="1"/>
  <c r="J1011" i="1"/>
  <c r="L1011" i="1" s="1"/>
  <c r="J936" i="1"/>
  <c r="L936" i="1" s="1"/>
  <c r="J1032" i="1"/>
  <c r="L1032" i="1" s="1"/>
  <c r="J1128" i="1"/>
  <c r="L1128" i="1" s="1"/>
  <c r="J1091" i="1"/>
  <c r="L1091" i="1" s="1"/>
  <c r="J2" i="1"/>
  <c r="L2" i="1" s="1"/>
  <c r="J1076" i="1"/>
  <c r="L1076" i="1" s="1"/>
  <c r="J808" i="1"/>
  <c r="L808" i="1" s="1"/>
  <c r="J920" i="1"/>
  <c r="L920" i="1" s="1"/>
  <c r="O846" i="1"/>
  <c r="O2" i="1"/>
  <c r="O974" i="1"/>
  <c r="N15" i="1" l="1"/>
  <c r="P882" i="1" l="1"/>
  <c r="P351" i="1"/>
  <c r="P499" i="1"/>
  <c r="P182" i="1"/>
  <c r="P787" i="1"/>
  <c r="P1015" i="1"/>
  <c r="P1123" i="1"/>
  <c r="P320" i="1"/>
  <c r="P618" i="1"/>
  <c r="P829" i="1"/>
  <c r="P824" i="1"/>
  <c r="P900" i="1"/>
  <c r="P280" i="1"/>
  <c r="P350" i="1"/>
  <c r="P694" i="1"/>
  <c r="P874" i="1"/>
  <c r="P850" i="1"/>
  <c r="P454" i="1"/>
  <c r="P866" i="1"/>
  <c r="P169" i="1"/>
  <c r="P36" i="1"/>
  <c r="P782" i="1"/>
  <c r="P796" i="1"/>
  <c r="P963" i="1"/>
  <c r="P33" i="1"/>
  <c r="P604" i="1"/>
  <c r="P531" i="1"/>
  <c r="P116" i="1"/>
  <c r="P97" i="1"/>
  <c r="P1106" i="1"/>
  <c r="P332" i="1"/>
  <c r="P1107" i="1"/>
  <c r="P157" i="1"/>
  <c r="P679" i="1"/>
  <c r="P382" i="1"/>
  <c r="P559" i="1"/>
  <c r="P243" i="1"/>
  <c r="P908" i="1"/>
  <c r="P13" i="1"/>
  <c r="P413" i="1"/>
  <c r="P1054" i="1"/>
  <c r="P638" i="1"/>
  <c r="P964" i="1"/>
  <c r="P929" i="1"/>
  <c r="P497" i="1"/>
  <c r="P429" i="1"/>
  <c r="P1053" i="1"/>
  <c r="P423" i="1"/>
  <c r="P588" i="1"/>
  <c r="P85" i="1"/>
  <c r="P17" i="1"/>
  <c r="P407" i="1"/>
  <c r="P515" i="1"/>
  <c r="P474" i="1"/>
  <c r="P122" i="1"/>
  <c r="P728" i="1"/>
  <c r="P674" i="1"/>
  <c r="P198" i="1"/>
  <c r="P606" i="1"/>
  <c r="P1029" i="1"/>
  <c r="P154" i="1"/>
  <c r="P827" i="1"/>
  <c r="P82" i="1"/>
  <c r="P277" i="1"/>
  <c r="P663" i="1"/>
  <c r="P1083" i="1"/>
  <c r="P103" i="1"/>
  <c r="P953" i="1"/>
  <c r="P1144" i="1"/>
  <c r="P95" i="1"/>
  <c r="P477" i="1"/>
  <c r="P68" i="1"/>
  <c r="P1130" i="1"/>
  <c r="P348" i="1"/>
  <c r="P681" i="1"/>
  <c r="P125" i="1"/>
  <c r="P308" i="1"/>
  <c r="P98" i="1"/>
  <c r="P533" i="1"/>
  <c r="P239" i="1"/>
  <c r="P527" i="1"/>
  <c r="P697" i="1"/>
  <c r="P376" i="1"/>
  <c r="P620" i="1"/>
  <c r="P217" i="1"/>
  <c r="P579" i="1"/>
  <c r="P587" i="1"/>
  <c r="P16" i="1"/>
  <c r="P805" i="1"/>
  <c r="P151" i="1"/>
  <c r="P789" i="1"/>
  <c r="P786" i="1"/>
  <c r="P934" i="1"/>
  <c r="P904" i="1"/>
  <c r="P324" i="1"/>
  <c r="P1072" i="1"/>
  <c r="P303" i="1"/>
  <c r="P636" i="1"/>
  <c r="P174" i="1"/>
  <c r="P319" i="1"/>
  <c r="P1085" i="1"/>
  <c r="P304" i="1"/>
  <c r="P913" i="1"/>
  <c r="P1128" i="1"/>
  <c r="P104" i="1"/>
  <c r="P843" i="1"/>
  <c r="P538" i="1"/>
  <c r="P455" i="1"/>
  <c r="P109" i="1"/>
  <c r="P846" i="1"/>
  <c r="P1056" i="1"/>
  <c r="P14" i="1"/>
  <c r="P146" i="1"/>
  <c r="P397" i="1"/>
  <c r="P1038" i="1"/>
  <c r="P653" i="1"/>
  <c r="P560" i="1"/>
  <c r="P937" i="1"/>
  <c r="P170" i="1"/>
  <c r="P548" i="1"/>
  <c r="P969" i="1"/>
  <c r="P360" i="1"/>
  <c r="P438" i="1"/>
  <c r="P141" i="1"/>
  <c r="P331" i="1"/>
  <c r="P892" i="1"/>
  <c r="P293" i="1"/>
  <c r="P314" i="1"/>
  <c r="P859" i="1"/>
  <c r="P830" i="1"/>
  <c r="P289" i="1"/>
  <c r="P145" i="1"/>
  <c r="P9" i="1"/>
  <c r="P713" i="1"/>
  <c r="P815" i="1"/>
  <c r="P552" i="1"/>
  <c r="P977" i="1"/>
  <c r="P577" i="1"/>
  <c r="P172" i="1"/>
  <c r="P340" i="1"/>
  <c r="P1071" i="1"/>
  <c r="P831" i="1"/>
  <c r="P64" i="1"/>
  <c r="P708" i="1"/>
  <c r="P487" i="1"/>
  <c r="P642" i="1"/>
  <c r="P94" i="1"/>
  <c r="P186" i="1"/>
  <c r="P383" i="1"/>
  <c r="P547" i="1"/>
  <c r="P1087" i="1"/>
  <c r="P61" i="1"/>
  <c r="P266" i="1"/>
  <c r="P424" i="1"/>
  <c r="P869" i="1"/>
  <c r="P669" i="1"/>
  <c r="P347" i="1"/>
  <c r="P916" i="1"/>
  <c r="P772" i="1"/>
  <c r="P565" i="1"/>
  <c r="P906" i="1"/>
  <c r="P147" i="1"/>
  <c r="P922" i="1"/>
  <c r="P78" i="1"/>
  <c r="P862" i="1"/>
  <c r="P259" i="1"/>
  <c r="P603" i="1"/>
  <c r="P804" i="1"/>
  <c r="P1031" i="1"/>
  <c r="P88" i="1"/>
  <c r="P810" i="1"/>
  <c r="P398" i="1"/>
  <c r="P982" i="1"/>
  <c r="P205" i="1"/>
  <c r="P628" i="1"/>
  <c r="P1055" i="1"/>
  <c r="P287" i="1"/>
  <c r="P592" i="1"/>
  <c r="P832" i="1"/>
  <c r="P654" i="1"/>
  <c r="P1063" i="1"/>
  <c r="P307" i="1"/>
  <c r="P952" i="1"/>
  <c r="P504" i="1"/>
  <c r="P954" i="1"/>
  <c r="P366" i="1"/>
  <c r="P710" i="1"/>
  <c r="P890" i="1"/>
  <c r="P802" i="1"/>
  <c r="P214" i="1"/>
  <c r="P1115" i="1"/>
  <c r="P473" i="1"/>
  <c r="P898" i="1"/>
  <c r="P144" i="1"/>
  <c r="P907" i="1"/>
  <c r="P75" i="1"/>
  <c r="P410" i="1"/>
  <c r="P250" i="1"/>
  <c r="P888" i="1"/>
  <c r="P622" i="1"/>
  <c r="P257" i="1"/>
  <c r="P1146" i="1"/>
  <c r="P1069" i="1"/>
  <c r="P470" i="1"/>
  <c r="P562" i="1"/>
  <c r="P356" i="1"/>
  <c r="P845" i="1"/>
  <c r="P651" i="1"/>
  <c r="P185" i="1"/>
  <c r="P513" i="1"/>
  <c r="P799" i="1"/>
  <c r="P32" i="1"/>
  <c r="P273" i="1"/>
  <c r="P966" i="1"/>
  <c r="P202" i="1"/>
  <c r="P502" i="1"/>
  <c r="P11" i="1"/>
  <c r="P441" i="1"/>
  <c r="P76" i="1"/>
  <c r="P816" i="1"/>
  <c r="P29" i="1"/>
  <c r="P529" i="1"/>
  <c r="P1047" i="1"/>
  <c r="P230" i="1"/>
  <c r="P758" i="1"/>
  <c r="P77" i="1"/>
  <c r="P468" i="1"/>
  <c r="P686" i="1"/>
  <c r="P362" i="1"/>
  <c r="P74" i="1"/>
  <c r="P148" i="1"/>
  <c r="P440" i="1"/>
  <c r="P461" i="1"/>
  <c r="P1001" i="1"/>
  <c r="P505" i="1"/>
  <c r="P853" i="1"/>
  <c r="P693" i="1"/>
  <c r="P553" i="1"/>
  <c r="P720" i="1"/>
  <c r="P685" i="1"/>
  <c r="P726" i="1"/>
  <c r="P1088" i="1"/>
  <c r="P762" i="1"/>
  <c r="P581" i="1"/>
  <c r="P234" i="1"/>
  <c r="P414" i="1"/>
  <c r="P1103" i="1"/>
  <c r="P388" i="1"/>
  <c r="P415" i="1"/>
  <c r="P460" i="1"/>
  <c r="P657" i="1"/>
  <c r="P608" i="1"/>
  <c r="P821" i="1"/>
  <c r="P233" i="1"/>
  <c r="P938" i="1"/>
  <c r="P27" i="1"/>
  <c r="P930" i="1"/>
  <c r="P339" i="1"/>
  <c r="P910" i="1"/>
  <c r="P809" i="1"/>
  <c r="P875" i="1"/>
  <c r="P341" i="1"/>
  <c r="P1093" i="1"/>
  <c r="P931" i="1"/>
  <c r="P613" i="1"/>
  <c r="P877" i="1"/>
  <c r="P190" i="1"/>
  <c r="P178" i="1"/>
  <c r="P486" i="1"/>
  <c r="P714" i="1"/>
  <c r="P597" i="1"/>
  <c r="P1147" i="1"/>
  <c r="P518" i="1"/>
  <c r="P1133" i="1"/>
  <c r="P137" i="1"/>
  <c r="P1066" i="1"/>
  <c r="P706" i="1"/>
  <c r="P724" i="1"/>
  <c r="P201" i="1"/>
  <c r="P439" i="1"/>
  <c r="P945" i="1"/>
  <c r="P402" i="1"/>
  <c r="P65" i="1"/>
  <c r="P545" i="1"/>
  <c r="P961" i="1"/>
  <c r="P368" i="1"/>
  <c r="P998" i="1"/>
  <c r="P412" i="1"/>
  <c r="P428" i="1"/>
  <c r="P30" i="1"/>
  <c r="P549" i="1"/>
  <c r="P296" i="1"/>
  <c r="P950" i="1"/>
  <c r="P457" i="1"/>
  <c r="P695" i="1"/>
  <c r="P632" i="1"/>
  <c r="P189" i="1"/>
  <c r="P123" i="1"/>
  <c r="P812" i="1"/>
  <c r="P624" i="1"/>
  <c r="P506" i="1"/>
  <c r="P668" i="1"/>
  <c r="P684" i="1"/>
  <c r="P370" i="1"/>
  <c r="P91" i="1"/>
  <c r="P558" i="1"/>
  <c r="P943" i="1"/>
  <c r="P111" i="1"/>
  <c r="P1014" i="1"/>
  <c r="P771" i="1"/>
  <c r="P586" i="1"/>
  <c r="P736" i="1"/>
  <c r="P722" i="1"/>
  <c r="P1030" i="1"/>
  <c r="P769" i="1"/>
  <c r="P822" i="1"/>
  <c r="P507" i="1"/>
  <c r="P602" i="1"/>
  <c r="P1078" i="1"/>
  <c r="P327" i="1"/>
  <c r="P434" i="1"/>
  <c r="P482" i="1"/>
  <c r="P156" i="1"/>
  <c r="P330" i="1"/>
  <c r="P959" i="1"/>
  <c r="P512" i="1"/>
  <c r="P995" i="1"/>
  <c r="P281" i="1"/>
  <c r="P390" i="1"/>
  <c r="P537" i="1"/>
  <c r="P101" i="1"/>
  <c r="P584" i="1"/>
  <c r="P248" i="1"/>
  <c r="P957" i="1"/>
  <c r="P130" i="1"/>
  <c r="P643" i="1"/>
  <c r="P465" i="1"/>
  <c r="P59" i="1"/>
  <c r="P721" i="1"/>
  <c r="P476" i="1"/>
  <c r="P338" i="1"/>
  <c r="P21" i="1"/>
  <c r="P556" i="1"/>
  <c r="P727" i="1"/>
  <c r="P530" i="1"/>
  <c r="P127" i="1"/>
  <c r="P1109" i="1"/>
  <c r="P57" i="1"/>
  <c r="P295" i="1"/>
  <c r="P496" i="1"/>
  <c r="P1007" i="1"/>
  <c r="P717" i="1"/>
  <c r="P367" i="1"/>
  <c r="P914" i="1"/>
  <c r="P640" i="1"/>
  <c r="P880" i="1"/>
  <c r="P478" i="1"/>
  <c r="P129" i="1"/>
  <c r="P752" i="1"/>
  <c r="P646" i="1"/>
  <c r="P1140" i="1"/>
  <c r="P983" i="1"/>
  <c r="P709" i="1"/>
  <c r="P267" i="1"/>
  <c r="P865" i="1"/>
  <c r="P124" i="1"/>
  <c r="P814" i="1"/>
  <c r="P790" i="1"/>
  <c r="P48" i="1"/>
  <c r="P742" i="1"/>
  <c r="P1131" i="1"/>
  <c r="P158" i="1"/>
  <c r="P1102" i="1"/>
  <c r="P1117" i="1"/>
  <c r="P321" i="1"/>
  <c r="P735" i="1"/>
  <c r="P7" i="1"/>
  <c r="P310" i="1"/>
  <c r="P671" i="1"/>
  <c r="P224" i="1"/>
  <c r="P523" i="1"/>
  <c r="P519" i="1"/>
  <c r="P6" i="1"/>
  <c r="P1064" i="1"/>
  <c r="P132" i="1"/>
  <c r="P99" i="1"/>
  <c r="P745" i="1"/>
  <c r="P800" i="1"/>
  <c r="P947" i="1"/>
  <c r="P546" i="1"/>
  <c r="P469" i="1"/>
  <c r="P973" i="1"/>
  <c r="P1113" i="1"/>
  <c r="P484" i="1"/>
  <c r="P585" i="1"/>
  <c r="P971" i="1"/>
  <c r="P582" i="1"/>
  <c r="P73" i="1"/>
  <c r="P322" i="1"/>
  <c r="P107" i="1"/>
  <c r="P222" i="1"/>
  <c r="P426" i="1"/>
  <c r="P427" i="1"/>
  <c r="P703" i="1"/>
  <c r="P972" i="1"/>
  <c r="P863" i="1"/>
  <c r="P774" i="1"/>
  <c r="P249" i="1"/>
  <c r="P408" i="1"/>
  <c r="P298" i="1"/>
  <c r="P396" i="1"/>
  <c r="P159" i="1"/>
  <c r="P81" i="1"/>
  <c r="P648" i="1"/>
  <c r="P1101" i="1"/>
  <c r="P1104" i="1"/>
  <c r="P711" i="1"/>
  <c r="P105" i="1"/>
  <c r="P445" i="1"/>
  <c r="P1138" i="1"/>
  <c r="P1061" i="1"/>
  <c r="P183" i="1"/>
  <c r="P309" i="1"/>
  <c r="P46" i="1"/>
  <c r="P1096" i="1"/>
  <c r="P276" i="1"/>
  <c r="P479" i="1"/>
  <c r="P52" i="1"/>
  <c r="P873" i="1"/>
  <c r="P93" i="1"/>
  <c r="P730" i="1"/>
  <c r="P857" i="1"/>
  <c r="P345" i="1"/>
  <c r="P919" i="1"/>
  <c r="P942" i="1"/>
  <c r="P329" i="1"/>
  <c r="P498" i="1"/>
  <c r="P475" i="1"/>
  <c r="P55" i="1"/>
  <c r="P1041" i="1"/>
  <c r="P279" i="1"/>
  <c r="P627" i="1"/>
  <c r="P970" i="1"/>
  <c r="P171" i="1"/>
  <c r="P1114" i="1"/>
  <c r="P649" i="1"/>
  <c r="P883" i="1"/>
  <c r="P488" i="1"/>
  <c r="P131" i="1"/>
  <c r="P755" i="1"/>
  <c r="P500" i="1"/>
  <c r="P958" i="1"/>
  <c r="P92" i="1"/>
  <c r="P466" i="1"/>
  <c r="P450" i="1"/>
  <c r="P567" i="1"/>
  <c r="P510" i="1"/>
  <c r="P219" i="1"/>
  <c r="P54" i="1"/>
  <c r="P851" i="1"/>
  <c r="P760" i="1"/>
  <c r="P716" i="1"/>
  <c r="P371" i="1"/>
  <c r="P511" i="1"/>
  <c r="P149" i="1"/>
  <c r="P1012" i="1"/>
  <c r="P993" i="1"/>
  <c r="P739" i="1"/>
  <c r="P262" i="1"/>
  <c r="P430" i="1"/>
  <c r="P823" i="1"/>
  <c r="P447" i="1"/>
  <c r="P561" i="1"/>
  <c r="P26" i="1"/>
  <c r="P1077" i="1"/>
  <c r="P199" i="1"/>
  <c r="P325" i="1"/>
  <c r="P62" i="1"/>
  <c r="P344" i="1"/>
  <c r="P364" i="1"/>
  <c r="P126" i="1"/>
  <c r="P49" i="1"/>
  <c r="P393" i="1"/>
  <c r="P785" i="1"/>
  <c r="P761" i="1"/>
  <c r="P974" i="1"/>
  <c r="P244" i="1"/>
  <c r="P1068" i="1"/>
  <c r="P162" i="1"/>
  <c r="P526" i="1"/>
  <c r="P1052" i="1"/>
  <c r="P492" i="1"/>
  <c r="P659" i="1"/>
  <c r="P616" i="1"/>
  <c r="P818" i="1"/>
  <c r="P50" i="1"/>
  <c r="P871" i="1"/>
  <c r="P1008" i="1"/>
  <c r="P783" i="1"/>
  <c r="P984" i="1"/>
  <c r="P676" i="1"/>
  <c r="P114" i="1"/>
  <c r="P801" i="1"/>
  <c r="P583" i="1"/>
  <c r="P270" i="1"/>
  <c r="P1073" i="1"/>
  <c r="P236" i="1"/>
  <c r="P403" i="1"/>
  <c r="P1018" i="1"/>
  <c r="P448" i="1"/>
  <c r="P811" i="1"/>
  <c r="P369" i="1"/>
  <c r="P525" i="1"/>
  <c r="P996" i="1"/>
  <c r="P191" i="1"/>
  <c r="P1116" i="1"/>
  <c r="P885" i="1"/>
  <c r="P1058" i="1"/>
  <c r="P1126" i="1"/>
  <c r="P524" i="1"/>
  <c r="P179" i="1"/>
  <c r="P1110" i="1"/>
  <c r="P161" i="1"/>
  <c r="P573" i="1"/>
  <c r="P335" i="1"/>
  <c r="P128" i="1"/>
  <c r="P71" i="1"/>
  <c r="P825" i="1"/>
  <c r="P60" i="1"/>
  <c r="P459" i="1"/>
  <c r="P39" i="1"/>
  <c r="P1111" i="1"/>
  <c r="P1134" i="1"/>
  <c r="P521" i="1"/>
  <c r="P2" i="1"/>
  <c r="P764" i="1"/>
  <c r="P140" i="1"/>
  <c r="P188" i="1"/>
  <c r="P999" i="1"/>
  <c r="P1121" i="1"/>
  <c r="P870" i="1"/>
  <c r="P268" i="1"/>
  <c r="P58" i="1"/>
  <c r="P392" i="1"/>
  <c r="P614" i="1"/>
  <c r="P317" i="1"/>
  <c r="P915" i="1"/>
  <c r="P960" i="1"/>
  <c r="P342" i="1"/>
  <c r="P70" i="1"/>
  <c r="P564" i="1"/>
  <c r="P452" i="1"/>
  <c r="P901" i="1"/>
  <c r="P203" i="1"/>
  <c r="P855" i="1"/>
  <c r="P759" i="1"/>
  <c r="P702" i="1"/>
  <c r="P1028" i="1"/>
  <c r="P842" i="1"/>
  <c r="P516" i="1"/>
  <c r="P1091" i="1"/>
  <c r="P261" i="1"/>
  <c r="P353" i="1"/>
  <c r="P283" i="1"/>
  <c r="P312" i="1"/>
  <c r="P644" i="1"/>
  <c r="P840" i="1"/>
  <c r="P399" i="1"/>
  <c r="P689" i="1"/>
  <c r="P589" i="1"/>
  <c r="P610" i="1"/>
  <c r="P358" i="1"/>
  <c r="P4" i="1"/>
  <c r="P623" i="1"/>
  <c r="P491" i="1"/>
  <c r="P10" i="1"/>
  <c r="P543" i="1"/>
  <c r="P593" i="1"/>
  <c r="P715" i="1"/>
  <c r="P220" i="1"/>
  <c r="P212" i="1"/>
  <c r="P612" i="1"/>
  <c r="P453" i="1"/>
  <c r="P240" i="1"/>
  <c r="P118" i="1"/>
  <c r="P456" i="1"/>
  <c r="P485" i="1"/>
  <c r="P209" i="1"/>
  <c r="P8" i="1"/>
  <c r="P1033" i="1"/>
  <c r="P792" i="1"/>
  <c r="P541" i="1"/>
  <c r="P926" i="1"/>
  <c r="P235" i="1"/>
  <c r="P42" i="1"/>
  <c r="P630" i="1"/>
  <c r="P991" i="1"/>
  <c r="P34" i="1"/>
  <c r="P334" i="1"/>
  <c r="P255" i="1"/>
  <c r="P729" i="1"/>
  <c r="P380" i="1"/>
  <c r="P848" i="1"/>
  <c r="P200" i="1"/>
  <c r="P395" i="1"/>
  <c r="P594" i="1"/>
  <c r="P956" i="1"/>
  <c r="P175" i="1"/>
  <c r="P231" i="1"/>
  <c r="P242" i="1"/>
  <c r="P493" i="1"/>
  <c r="P1135" i="1"/>
  <c r="P1043" i="1"/>
  <c r="P19" i="1"/>
  <c r="P1065" i="1"/>
  <c r="P797" i="1"/>
  <c r="P354" i="1"/>
  <c r="P401" i="1"/>
  <c r="P252" i="1"/>
  <c r="P343" i="1"/>
  <c r="P591" i="1"/>
  <c r="P563" i="1"/>
  <c r="P246" i="1"/>
  <c r="P847" i="1"/>
  <c r="P1079" i="1"/>
  <c r="P12" i="1"/>
  <c r="P357" i="1"/>
  <c r="P743" i="1"/>
  <c r="P595" i="1"/>
  <c r="P306" i="1"/>
  <c r="P108" i="1"/>
  <c r="P387" i="1"/>
  <c r="P328" i="1"/>
  <c r="P841" i="1"/>
  <c r="P820" i="1"/>
  <c r="P793" i="1"/>
  <c r="P718" i="1"/>
  <c r="P167" i="1"/>
  <c r="P1045" i="1"/>
  <c r="P1122" i="1"/>
  <c r="P173" i="1"/>
  <c r="P336" i="1"/>
  <c r="P1070" i="1"/>
  <c r="P378" i="1"/>
  <c r="P45" i="1"/>
  <c r="P352" i="1"/>
  <c r="P1086" i="1"/>
  <c r="P442" i="1"/>
  <c r="P670" i="1"/>
  <c r="P305" i="1"/>
  <c r="P837" i="1"/>
  <c r="P861" i="1"/>
  <c r="P221" i="1"/>
  <c r="P384" i="1"/>
  <c r="P1118" i="1"/>
  <c r="P666" i="1"/>
  <c r="P404" i="1"/>
  <c r="P680" i="1"/>
  <c r="P20" i="1"/>
  <c r="P271" i="1"/>
  <c r="P196" i="1"/>
  <c r="P778" i="1"/>
  <c r="P1050" i="1"/>
  <c r="P102" i="1"/>
  <c r="P575" i="1"/>
  <c r="P754" i="1"/>
  <c r="P637" i="1"/>
  <c r="P420" i="1"/>
  <c r="P47" i="1"/>
  <c r="P748" i="1"/>
  <c r="P138" i="1"/>
  <c r="P1062" i="1"/>
  <c r="P634" i="1"/>
  <c r="P421" i="1"/>
  <c r="P903" i="1"/>
  <c r="P746" i="1"/>
  <c r="P568" i="1"/>
  <c r="P18" i="1"/>
  <c r="P747" i="1"/>
  <c r="P1127" i="1"/>
  <c r="P481" i="1"/>
  <c r="P550" i="1"/>
  <c r="P701" i="1"/>
  <c r="P133" i="1"/>
  <c r="P985" i="1"/>
  <c r="P639" i="1"/>
  <c r="P489" i="1"/>
  <c r="P652" i="1"/>
  <c r="P864" i="1"/>
  <c r="P733" i="1"/>
  <c r="P155" i="1"/>
  <c r="P1017" i="1"/>
  <c r="P683" i="1"/>
  <c r="P405" i="1"/>
  <c r="P536" i="1"/>
  <c r="P192" i="1"/>
  <c r="P1034" i="1"/>
  <c r="P86" i="1"/>
  <c r="P976" i="1"/>
  <c r="P24" i="1"/>
  <c r="P1019" i="1"/>
  <c r="P647" i="1"/>
  <c r="P56" i="1"/>
  <c r="P580" i="1"/>
  <c r="P372" i="1"/>
  <c r="P1120" i="1"/>
  <c r="P216" i="1"/>
  <c r="P411" i="1"/>
  <c r="P980" i="1"/>
  <c r="P534" i="1"/>
  <c r="P472" i="1"/>
  <c r="P176" i="1"/>
  <c r="P978" i="1"/>
  <c r="P704" i="1"/>
  <c r="P738" i="1"/>
  <c r="P301" i="1"/>
  <c r="P838" i="1"/>
  <c r="P163" i="1"/>
  <c r="P833" i="1"/>
  <c r="P435" i="1"/>
  <c r="P828" i="1"/>
  <c r="P682" i="1"/>
  <c r="P912" i="1"/>
  <c r="P1075" i="1"/>
  <c r="P1136" i="1"/>
  <c r="P168" i="1"/>
  <c r="P363" i="1"/>
  <c r="P924" i="1"/>
  <c r="P184" i="1"/>
  <c r="P379" i="1"/>
  <c r="P940" i="1"/>
  <c r="P215" i="1"/>
  <c r="P839" i="1"/>
  <c r="P425" i="1"/>
  <c r="P241" i="1"/>
  <c r="P1039" i="1"/>
  <c r="P1148" i="1"/>
  <c r="P152" i="1"/>
  <c r="P576" i="1"/>
  <c r="P803" i="1"/>
  <c r="P1099" i="1"/>
  <c r="P275" i="1"/>
  <c r="P619" i="1"/>
  <c r="P932" i="1"/>
  <c r="P291" i="1"/>
  <c r="P635" i="1"/>
  <c r="P948" i="1"/>
  <c r="P218" i="1"/>
  <c r="P471" i="1"/>
  <c r="P891" i="1"/>
  <c r="P323" i="1"/>
  <c r="P667" i="1"/>
  <c r="P1119" i="1"/>
  <c r="P1095" i="1"/>
  <c r="P337" i="1"/>
  <c r="P946" i="1"/>
  <c r="P688" i="1"/>
  <c r="P522" i="1"/>
  <c r="P641" i="1"/>
  <c r="P136" i="1"/>
  <c r="P1094" i="1"/>
  <c r="P675" i="1"/>
  <c r="P1089" i="1"/>
  <c r="P691" i="1"/>
  <c r="P951" i="1"/>
  <c r="P939" i="1"/>
  <c r="P53" i="1"/>
  <c r="P446" i="1"/>
  <c r="P278" i="1"/>
  <c r="P751" i="1"/>
  <c r="P1009" i="1"/>
  <c r="P1027" i="1"/>
  <c r="P269" i="1"/>
  <c r="P661" i="1"/>
  <c r="P535" i="1"/>
  <c r="P928" i="1"/>
  <c r="P925" i="1"/>
  <c r="P35" i="1"/>
  <c r="P165" i="1"/>
  <c r="P732" i="1"/>
  <c r="P917" i="1"/>
  <c r="P994" i="1"/>
  <c r="P696" i="1"/>
  <c r="P254" i="1"/>
  <c r="P28" i="1"/>
  <c r="P1097" i="1"/>
  <c r="P817" i="1"/>
  <c r="P44" i="1"/>
  <c r="P480" i="1"/>
  <c r="P607" i="1"/>
  <c r="P1003" i="1"/>
  <c r="P83" i="1"/>
  <c r="P213" i="1"/>
  <c r="P90" i="1"/>
  <c r="P965" i="1"/>
  <c r="P1042" i="1"/>
  <c r="P1044" i="1"/>
  <c r="P229" i="1"/>
  <c r="P794" i="1"/>
  <c r="P665" i="1"/>
  <c r="P968" i="1"/>
  <c r="P194" i="1"/>
  <c r="P164" i="1"/>
  <c r="P609" i="1"/>
  <c r="P687" i="1"/>
  <c r="P678" i="1"/>
  <c r="P1011" i="1"/>
  <c r="P990" i="1"/>
  <c r="P920" i="1"/>
  <c r="P826" i="1"/>
  <c r="P134" i="1"/>
  <c r="P532" i="1"/>
  <c r="P300" i="1"/>
  <c r="P1098" i="1"/>
  <c r="P834" i="1"/>
  <c r="P265" i="1"/>
  <c r="P15" i="1"/>
  <c r="P879" i="1"/>
  <c r="P988" i="1"/>
  <c r="P819" i="1"/>
  <c r="P781" i="1"/>
  <c r="P432" i="1"/>
  <c r="P495" i="1"/>
  <c r="P955" i="1"/>
  <c r="P285" i="1"/>
  <c r="P677" i="1"/>
  <c r="P551" i="1"/>
  <c r="P944" i="1"/>
  <c r="P941" i="1"/>
  <c r="P79" i="1"/>
  <c r="P598" i="1"/>
  <c r="P418" i="1"/>
  <c r="P795" i="1"/>
  <c r="P419" i="1"/>
  <c r="P251" i="1"/>
  <c r="P854" i="1"/>
  <c r="P856" i="1"/>
  <c r="P333" i="1"/>
  <c r="P725" i="1"/>
  <c r="P599" i="1"/>
  <c r="P992" i="1"/>
  <c r="P989" i="1"/>
  <c r="P1112" i="1"/>
  <c r="P540" i="1"/>
  <c r="P195" i="1"/>
  <c r="P316" i="1"/>
  <c r="P1046" i="1"/>
  <c r="P253" i="1"/>
  <c r="P767" i="1"/>
  <c r="P22" i="1"/>
  <c r="P207" i="1"/>
  <c r="P444" i="1"/>
  <c r="P381" i="1"/>
  <c r="P451" i="1"/>
  <c r="P719" i="1"/>
  <c r="P1035" i="1"/>
  <c r="P744" i="1"/>
  <c r="P115" i="1"/>
  <c r="P245" i="1"/>
  <c r="P112" i="1"/>
  <c r="P997" i="1"/>
  <c r="P1074" i="1"/>
  <c r="P1139" i="1"/>
  <c r="P120" i="1"/>
  <c r="P921" i="1"/>
  <c r="P936" i="1"/>
  <c r="P458" i="1"/>
  <c r="P490" i="1"/>
  <c r="P23" i="1"/>
  <c r="P110" i="1"/>
  <c r="P700" i="1"/>
  <c r="P590" i="1"/>
  <c r="P260" i="1"/>
  <c r="P788" i="1"/>
  <c r="P1100" i="1"/>
  <c r="P96" i="1"/>
  <c r="P501" i="1"/>
  <c r="P375" i="1"/>
  <c r="P658" i="1"/>
  <c r="P779" i="1"/>
  <c r="P121" i="1"/>
  <c r="P770" i="1"/>
  <c r="P1141" i="1"/>
  <c r="P349" i="1"/>
  <c r="P288" i="1"/>
  <c r="P1004" i="1"/>
  <c r="P3" i="1"/>
  <c r="P389" i="1"/>
  <c r="P263" i="1"/>
  <c r="P143" i="1"/>
  <c r="P741" i="1"/>
  <c r="P876" i="1"/>
  <c r="P899" i="1"/>
  <c r="P119" i="1"/>
  <c r="P365" i="1"/>
  <c r="P757" i="1"/>
  <c r="P631" i="1"/>
  <c r="P1024" i="1"/>
  <c r="P1021" i="1"/>
  <c r="P264" i="1"/>
  <c r="P302" i="1"/>
  <c r="P346" i="1"/>
  <c r="P41" i="1"/>
  <c r="P645" i="1"/>
  <c r="P894" i="1"/>
  <c r="P84" i="1"/>
  <c r="P166" i="1"/>
  <c r="P1060" i="1"/>
  <c r="P449" i="1"/>
  <c r="P153" i="1"/>
  <c r="P621" i="1"/>
  <c r="P272" i="1"/>
  <c r="P210" i="1"/>
  <c r="P777" i="1"/>
  <c r="P1048" i="1"/>
  <c r="P835" i="1"/>
  <c r="P284" i="1"/>
  <c r="P223" i="1"/>
  <c r="P1025" i="1"/>
  <c r="P768" i="1"/>
  <c r="P150" i="1"/>
  <c r="P918" i="1"/>
  <c r="P422" i="1"/>
  <c r="P509" i="1"/>
  <c r="P160" i="1"/>
  <c r="P1049" i="1"/>
  <c r="P707" i="1"/>
  <c r="P572" i="1"/>
  <c r="P615" i="1"/>
  <c r="P517" i="1"/>
  <c r="P113" i="1"/>
  <c r="P528" i="1"/>
  <c r="P756" i="1"/>
  <c r="P1051" i="1"/>
  <c r="P1076" i="1"/>
  <c r="P690" i="1"/>
  <c r="P962" i="1"/>
  <c r="P705" i="1"/>
  <c r="P227" i="1"/>
  <c r="P858" i="1"/>
  <c r="P808" i="1"/>
  <c r="P765" i="1"/>
  <c r="P416" i="1"/>
  <c r="P763" i="1"/>
  <c r="P633" i="1"/>
  <c r="P884" i="1"/>
  <c r="P889" i="1"/>
  <c r="P1016" i="1"/>
  <c r="P225" i="1"/>
  <c r="P211" i="1"/>
  <c r="P784" i="1"/>
  <c r="P1006" i="1"/>
  <c r="P463" i="1"/>
  <c r="P750" i="1"/>
  <c r="P867" i="1"/>
  <c r="P25" i="1"/>
  <c r="P373" i="1"/>
  <c r="P247" i="1"/>
  <c r="P1125" i="1"/>
  <c r="P394" i="1"/>
  <c r="P734" i="1"/>
  <c r="P566" i="1"/>
  <c r="P290" i="1"/>
  <c r="P766" i="1"/>
  <c r="P238" i="1"/>
  <c r="P731" i="1"/>
  <c r="P1081" i="1"/>
  <c r="P806" i="1"/>
  <c r="P51" i="1"/>
  <c r="P181" i="1"/>
  <c r="P43" i="1"/>
  <c r="P933" i="1"/>
  <c r="P1010" i="1"/>
  <c r="P872" i="1"/>
  <c r="P601" i="1"/>
  <c r="P417" i="1"/>
  <c r="P514" i="1"/>
  <c r="P286" i="1"/>
  <c r="P100" i="1"/>
  <c r="P1129" i="1"/>
  <c r="P849" i="1"/>
  <c r="P1082" i="1"/>
  <c r="P698" i="1"/>
  <c r="P40" i="1"/>
  <c r="P1090" i="1"/>
  <c r="P72" i="1"/>
  <c r="P672" i="1"/>
  <c r="P226" i="1"/>
  <c r="P256" i="1"/>
  <c r="P1040" i="1"/>
  <c r="P981" i="1"/>
  <c r="P1059" i="1"/>
  <c r="P391" i="1"/>
  <c r="P69" i="1"/>
  <c r="P467" i="1"/>
  <c r="P299" i="1"/>
  <c r="P282" i="1"/>
  <c r="P902" i="1"/>
  <c r="P66" i="1"/>
  <c r="P237" i="1"/>
  <c r="P629" i="1"/>
  <c r="P503" i="1"/>
  <c r="P896" i="1"/>
  <c r="P893" i="1"/>
  <c r="P297" i="1"/>
  <c r="P106" i="1"/>
  <c r="P911" i="1"/>
  <c r="P1020" i="1"/>
  <c r="P1080" i="1"/>
  <c r="P494" i="1"/>
  <c r="P326" i="1"/>
  <c r="P798" i="1"/>
  <c r="P1057" i="1"/>
  <c r="P89" i="1"/>
  <c r="P437" i="1"/>
  <c r="P311" i="1"/>
  <c r="P554" i="1"/>
  <c r="P578" i="1"/>
  <c r="P5" i="1"/>
  <c r="P228" i="1"/>
  <c r="P673" i="1"/>
  <c r="P776" i="1"/>
  <c r="P935" i="1"/>
  <c r="P542" i="1"/>
  <c r="P374" i="1"/>
  <c r="P836" i="1"/>
  <c r="P1105" i="1"/>
  <c r="P775" i="1"/>
  <c r="P1142" i="1"/>
  <c r="P753" i="1"/>
  <c r="P571" i="1"/>
  <c r="P355" i="1"/>
  <c r="P187" i="1"/>
  <c r="P895" i="1"/>
  <c r="P193" i="1"/>
  <c r="P1132" i="1"/>
  <c r="P886" i="1"/>
  <c r="P1023" i="1"/>
  <c r="P232" i="1"/>
  <c r="P723" i="1"/>
  <c r="P555" i="1"/>
  <c r="P905" i="1"/>
  <c r="P483" i="1"/>
  <c r="P807" i="1"/>
  <c r="P780" i="1"/>
  <c r="P539" i="1"/>
  <c r="P544" i="1"/>
  <c r="P611" i="1"/>
  <c r="P443" i="1"/>
  <c r="P359" i="1"/>
  <c r="P1092" i="1"/>
  <c r="P967" i="1"/>
  <c r="P37" i="1"/>
  <c r="P1067" i="1"/>
  <c r="P897" i="1"/>
  <c r="P318" i="1"/>
  <c r="P139" i="1"/>
  <c r="P881" i="1"/>
  <c r="P292" i="1"/>
  <c r="P749" i="1"/>
  <c r="P400" i="1"/>
  <c r="P431" i="1"/>
  <c r="P923" i="1"/>
  <c r="P180" i="1"/>
  <c r="P625" i="1"/>
  <c r="P664" i="1"/>
  <c r="P887" i="1"/>
  <c r="P313" i="1"/>
  <c r="P117" i="1"/>
  <c r="P927" i="1"/>
  <c r="P1036" i="1"/>
  <c r="P1124" i="1"/>
  <c r="P557" i="1"/>
  <c r="P208" i="1"/>
  <c r="P135" i="1"/>
  <c r="P596" i="1"/>
  <c r="P87" i="1"/>
  <c r="P80" i="1"/>
  <c r="P508" i="1"/>
  <c r="P692" i="1"/>
  <c r="P626" i="1"/>
  <c r="P655" i="1"/>
  <c r="P361" i="1"/>
  <c r="P177" i="1"/>
  <c r="P975" i="1"/>
  <c r="P1084" i="1"/>
  <c r="P409" i="1"/>
  <c r="P258" i="1"/>
  <c r="P1005" i="1"/>
  <c r="P1013" i="1"/>
  <c r="P852" i="1"/>
  <c r="P1022" i="1"/>
  <c r="P206" i="1"/>
  <c r="P699" i="1"/>
  <c r="P650" i="1"/>
  <c r="P1145" i="1"/>
  <c r="P1108" i="1"/>
  <c r="P605" i="1"/>
  <c r="P660" i="1"/>
  <c r="P574" i="1"/>
  <c r="P406" i="1"/>
  <c r="P868" i="1"/>
  <c r="P1137" i="1"/>
  <c r="P315" i="1"/>
  <c r="P31" i="1"/>
  <c r="P656" i="1"/>
  <c r="P878" i="1"/>
  <c r="P38" i="1"/>
  <c r="P436" i="1"/>
  <c r="P204" i="1"/>
  <c r="P1002" i="1"/>
  <c r="P1143" i="1"/>
  <c r="P569" i="1"/>
  <c r="P385" i="1"/>
  <c r="P386" i="1"/>
  <c r="P274" i="1"/>
  <c r="P979" i="1"/>
  <c r="P813" i="1"/>
  <c r="P464" i="1"/>
  <c r="P600" i="1"/>
  <c r="P987" i="1"/>
  <c r="P67" i="1"/>
  <c r="P197" i="1"/>
  <c r="P63" i="1"/>
  <c r="P949" i="1"/>
  <c r="P1026" i="1"/>
  <c r="P1000" i="1"/>
  <c r="P617" i="1"/>
  <c r="P433" i="1"/>
  <c r="P570" i="1"/>
  <c r="P773" i="1"/>
  <c r="P909" i="1"/>
  <c r="P1037" i="1"/>
  <c r="P844" i="1"/>
  <c r="P791" i="1"/>
  <c r="P520" i="1"/>
  <c r="P462" i="1"/>
  <c r="P294" i="1"/>
  <c r="P986" i="1"/>
  <c r="P740" i="1"/>
  <c r="P1032" i="1"/>
  <c r="P377" i="1"/>
  <c r="P142" i="1"/>
  <c r="P662" i="1"/>
  <c r="P712" i="1"/>
  <c r="P860" i="1"/>
  <c r="P737" i="1"/>
</calcChain>
</file>

<file path=xl/sharedStrings.xml><?xml version="1.0" encoding="utf-8"?>
<sst xmlns="http://schemas.openxmlformats.org/spreadsheetml/2006/main" count="27" uniqueCount="24">
  <si>
    <t>Ua</t>
  </si>
  <si>
    <t>Ub</t>
  </si>
  <si>
    <t>t</t>
  </si>
  <si>
    <t>Nullpunktdrift</t>
  </si>
  <si>
    <t>Durchschnitt bei 0,465 V</t>
  </si>
  <si>
    <t>Durchschnittliche zeit:</t>
  </si>
  <si>
    <t>Drift</t>
  </si>
  <si>
    <t>Driftkorrigierte werte:</t>
  </si>
  <si>
    <t>N1</t>
  </si>
  <si>
    <t>N2</t>
  </si>
  <si>
    <t>R</t>
  </si>
  <si>
    <t>di</t>
  </si>
  <si>
    <t>do</t>
  </si>
  <si>
    <t>h</t>
  </si>
  <si>
    <t>f</t>
  </si>
  <si>
    <t>C1</t>
  </si>
  <si>
    <t>C2</t>
  </si>
  <si>
    <t>H</t>
  </si>
  <si>
    <t>B</t>
  </si>
  <si>
    <t>H[A/m]</t>
  </si>
  <si>
    <t>B[T]</t>
  </si>
  <si>
    <t>mittleres H:</t>
  </si>
  <si>
    <t>mittleres B:</t>
  </si>
  <si>
    <t>in Mitte verschoben: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</si>
</sst>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0D110-4A86-4566-88D5-66B72A3129D8}">
  <dimension ref="A1:P1148"/>
  <sheetViews>
    <sheetView tabSelected="1" workbookViewId="0">
      <selection activeCell="F26" sqref="F26"/>
    </sheetView>
  </sheetViews>
  <sheetFormatPr baseColWidth="10" defaultColWidth="9.140625" defaultRowHeight="15" x14ac:dyDescent="0.25"/>
  <cols>
    <col min="1" max="1" width="9.140625" style="1"/>
    <col min="2" max="2" width="9.140625" style="2"/>
    <col min="5" max="5" width="12" bestFit="1" customWidth="1"/>
    <col min="14" max="14" width="12.7109375" bestFit="1" customWidth="1"/>
  </cols>
  <sheetData>
    <row r="1" spans="1:16" x14ac:dyDescent="0.25">
      <c r="A1" s="1" t="s">
        <v>2</v>
      </c>
      <c r="B1" s="2" t="s">
        <v>0</v>
      </c>
      <c r="C1" t="s">
        <v>1</v>
      </c>
      <c r="E1" t="s">
        <v>3</v>
      </c>
      <c r="G1" t="s">
        <v>7</v>
      </c>
      <c r="H1" t="s">
        <v>2</v>
      </c>
      <c r="I1" t="s">
        <v>0</v>
      </c>
      <c r="J1" t="s">
        <v>1</v>
      </c>
      <c r="K1" t="s">
        <v>19</v>
      </c>
      <c r="L1" t="s">
        <v>20</v>
      </c>
      <c r="N1" t="s">
        <v>23</v>
      </c>
      <c r="O1" t="s">
        <v>17</v>
      </c>
      <c r="P1" t="s">
        <v>18</v>
      </c>
    </row>
    <row r="2" spans="1:16" x14ac:dyDescent="0.25">
      <c r="A2" s="1">
        <v>0</v>
      </c>
      <c r="B2" s="2">
        <v>-6.9489999999999998</v>
      </c>
      <c r="C2">
        <v>2E-3</v>
      </c>
      <c r="H2">
        <f>A2</f>
        <v>0</v>
      </c>
      <c r="I2">
        <f>B2</f>
        <v>-6.9489999999999998</v>
      </c>
      <c r="J2">
        <f>C2-E$12*A2</f>
        <v>2E-3</v>
      </c>
      <c r="K2">
        <f>F$24*I2</f>
        <v>-139.3497226223848</v>
      </c>
      <c r="L2">
        <f>F$25*J2</f>
        <v>1.3333333333333331E-3</v>
      </c>
      <c r="O2">
        <f>K2-N$12</f>
        <v>-139.18929698114448</v>
      </c>
      <c r="P2">
        <f>L2-N$15</f>
        <v>-4.6143818043131593E-4</v>
      </c>
    </row>
    <row r="3" spans="1:16" x14ac:dyDescent="0.25">
      <c r="A3" s="1">
        <v>0.05</v>
      </c>
      <c r="B3" s="2">
        <v>-6.95</v>
      </c>
      <c r="C3">
        <v>2E-3</v>
      </c>
      <c r="H3">
        <f t="shared" ref="H3:H66" si="0">A3</f>
        <v>0.05</v>
      </c>
      <c r="I3">
        <f t="shared" ref="I3:I66" si="1">B3</f>
        <v>-6.95</v>
      </c>
      <c r="J3">
        <f t="shared" ref="J3:J66" si="2">C3-E$12*A3</f>
        <v>1.9982802856944736E-3</v>
      </c>
      <c r="K3">
        <f t="shared" ref="K3:K66" si="3">F$24*I3</f>
        <v>-139.36977582753985</v>
      </c>
      <c r="L3">
        <f t="shared" ref="L3:L66" si="4">F$25*J3</f>
        <v>1.3321868571296487E-3</v>
      </c>
      <c r="O3">
        <f t="shared" ref="O3:O66" si="5">K3-N$12</f>
        <v>-139.2093501862995</v>
      </c>
      <c r="P3">
        <f t="shared" ref="P3:P66" si="6">L3-N$15</f>
        <v>-4.6258465663500032E-4</v>
      </c>
    </row>
    <row r="4" spans="1:16" x14ac:dyDescent="0.25">
      <c r="A4" s="1">
        <v>0.1</v>
      </c>
      <c r="B4" s="2">
        <v>-6.95</v>
      </c>
      <c r="C4">
        <v>2E-3</v>
      </c>
      <c r="E4" t="s">
        <v>4</v>
      </c>
      <c r="H4">
        <f t="shared" si="0"/>
        <v>0.1</v>
      </c>
      <c r="I4">
        <f t="shared" si="1"/>
        <v>-6.95</v>
      </c>
      <c r="J4">
        <f t="shared" si="2"/>
        <v>1.9965605713889467E-3</v>
      </c>
      <c r="K4">
        <f t="shared" si="3"/>
        <v>-139.36977582753985</v>
      </c>
      <c r="L4">
        <f t="shared" si="4"/>
        <v>1.3310403809259641E-3</v>
      </c>
      <c r="O4">
        <f t="shared" si="5"/>
        <v>-139.2093501862995</v>
      </c>
      <c r="P4">
        <f t="shared" si="6"/>
        <v>-4.6373113283868493E-4</v>
      </c>
    </row>
    <row r="5" spans="1:16" x14ac:dyDescent="0.25">
      <c r="A5" s="1">
        <v>0.15</v>
      </c>
      <c r="B5" s="2">
        <v>-6.95</v>
      </c>
      <c r="C5">
        <v>2E-3</v>
      </c>
      <c r="E5">
        <f>SUM(C2:C34)/COUNT(C2:C34)</f>
        <v>2.1212121212121227E-3</v>
      </c>
      <c r="H5">
        <f t="shared" si="0"/>
        <v>0.15</v>
      </c>
      <c r="I5">
        <f t="shared" si="1"/>
        <v>-6.95</v>
      </c>
      <c r="J5">
        <f t="shared" si="2"/>
        <v>1.9948408570834202E-3</v>
      </c>
      <c r="K5">
        <f t="shared" si="3"/>
        <v>-139.36977582753985</v>
      </c>
      <c r="L5">
        <f t="shared" si="4"/>
        <v>1.3298939047222799E-3</v>
      </c>
      <c r="O5">
        <f t="shared" si="5"/>
        <v>-139.2093501862995</v>
      </c>
      <c r="P5">
        <f t="shared" si="6"/>
        <v>-4.648776090423691E-4</v>
      </c>
    </row>
    <row r="6" spans="1:16" x14ac:dyDescent="0.25">
      <c r="A6" s="1">
        <v>0.2</v>
      </c>
      <c r="B6" s="2">
        <v>-6.95</v>
      </c>
      <c r="C6">
        <v>3.0000000000000001E-3</v>
      </c>
      <c r="E6" t="s">
        <v>5</v>
      </c>
      <c r="H6">
        <f t="shared" si="0"/>
        <v>0.2</v>
      </c>
      <c r="I6">
        <f t="shared" si="1"/>
        <v>-6.95</v>
      </c>
      <c r="J6">
        <f t="shared" si="2"/>
        <v>2.9931211427778933E-3</v>
      </c>
      <c r="K6">
        <f t="shared" si="3"/>
        <v>-139.36977582753985</v>
      </c>
      <c r="L6">
        <f t="shared" si="4"/>
        <v>1.9954140951852616E-3</v>
      </c>
      <c r="O6">
        <f t="shared" si="5"/>
        <v>-139.2093501862995</v>
      </c>
      <c r="P6">
        <f t="shared" si="6"/>
        <v>2.0064258142061262E-4</v>
      </c>
    </row>
    <row r="7" spans="1:16" x14ac:dyDescent="0.25">
      <c r="A7" s="1">
        <v>0.25</v>
      </c>
      <c r="B7" s="2">
        <v>-6.95</v>
      </c>
      <c r="C7">
        <v>2E-3</v>
      </c>
      <c r="E7">
        <f>SUM(A2:A34)/COUNT(A2:A34)</f>
        <v>0.8</v>
      </c>
      <c r="H7">
        <f t="shared" si="0"/>
        <v>0.25</v>
      </c>
      <c r="I7">
        <f t="shared" si="1"/>
        <v>-6.95</v>
      </c>
      <c r="J7">
        <f t="shared" si="2"/>
        <v>1.9914014284723668E-3</v>
      </c>
      <c r="K7">
        <f t="shared" si="3"/>
        <v>-139.36977582753985</v>
      </c>
      <c r="L7">
        <f t="shared" si="4"/>
        <v>1.3276009523149109E-3</v>
      </c>
      <c r="O7">
        <f t="shared" si="5"/>
        <v>-139.2093501862995</v>
      </c>
      <c r="P7">
        <f t="shared" si="6"/>
        <v>-4.6717056144973809E-4</v>
      </c>
    </row>
    <row r="8" spans="1:16" x14ac:dyDescent="0.25">
      <c r="A8" s="1">
        <v>0.3</v>
      </c>
      <c r="B8" s="2">
        <v>-6.9489999999999998</v>
      </c>
      <c r="C8">
        <v>3.0000000000000001E-3</v>
      </c>
      <c r="H8">
        <f t="shared" si="0"/>
        <v>0.3</v>
      </c>
      <c r="I8">
        <f t="shared" si="1"/>
        <v>-6.9489999999999998</v>
      </c>
      <c r="J8">
        <f t="shared" si="2"/>
        <v>2.9896817141668399E-3</v>
      </c>
      <c r="K8">
        <f t="shared" si="3"/>
        <v>-139.3497226223848</v>
      </c>
      <c r="L8">
        <f t="shared" si="4"/>
        <v>1.9931211427778928E-3</v>
      </c>
      <c r="O8">
        <f t="shared" si="5"/>
        <v>-139.18929698114448</v>
      </c>
      <c r="P8">
        <f t="shared" si="6"/>
        <v>1.9834962901324384E-4</v>
      </c>
    </row>
    <row r="9" spans="1:16" x14ac:dyDescent="0.25">
      <c r="A9" s="1">
        <v>0.35</v>
      </c>
      <c r="B9" s="2">
        <v>-6.95</v>
      </c>
      <c r="C9">
        <v>2E-3</v>
      </c>
      <c r="H9">
        <f t="shared" si="0"/>
        <v>0.35</v>
      </c>
      <c r="I9">
        <f t="shared" si="1"/>
        <v>-6.95</v>
      </c>
      <c r="J9">
        <f t="shared" si="2"/>
        <v>1.9879619998613134E-3</v>
      </c>
      <c r="K9">
        <f t="shared" si="3"/>
        <v>-139.36977582753985</v>
      </c>
      <c r="L9">
        <f t="shared" si="4"/>
        <v>1.3253079999075419E-3</v>
      </c>
      <c r="O9">
        <f t="shared" si="5"/>
        <v>-139.2093501862995</v>
      </c>
      <c r="P9">
        <f t="shared" si="6"/>
        <v>-4.6946351385710708E-4</v>
      </c>
    </row>
    <row r="10" spans="1:16" x14ac:dyDescent="0.25">
      <c r="A10" s="1">
        <v>0.4</v>
      </c>
      <c r="B10" s="2">
        <v>-6.95</v>
      </c>
      <c r="C10">
        <v>2E-3</v>
      </c>
      <c r="H10">
        <f t="shared" si="0"/>
        <v>0.4</v>
      </c>
      <c r="I10">
        <f t="shared" si="1"/>
        <v>-6.95</v>
      </c>
      <c r="J10">
        <f t="shared" si="2"/>
        <v>1.986242285555787E-3</v>
      </c>
      <c r="K10">
        <f t="shared" si="3"/>
        <v>-139.36977582753985</v>
      </c>
      <c r="L10">
        <f t="shared" si="4"/>
        <v>1.3241615237038578E-3</v>
      </c>
      <c r="O10">
        <f t="shared" si="5"/>
        <v>-139.2093501862995</v>
      </c>
      <c r="P10">
        <f t="shared" si="6"/>
        <v>-4.7060999006079125E-4</v>
      </c>
    </row>
    <row r="11" spans="1:16" x14ac:dyDescent="0.25">
      <c r="A11" s="1">
        <v>0.45</v>
      </c>
      <c r="B11" s="2">
        <v>-6.95</v>
      </c>
      <c r="C11">
        <v>2E-3</v>
      </c>
      <c r="E11" t="s">
        <v>6</v>
      </c>
      <c r="H11">
        <f t="shared" si="0"/>
        <v>0.45</v>
      </c>
      <c r="I11">
        <f t="shared" si="1"/>
        <v>-6.95</v>
      </c>
      <c r="J11">
        <f t="shared" si="2"/>
        <v>1.9845225712502601E-3</v>
      </c>
      <c r="K11">
        <f t="shared" si="3"/>
        <v>-139.36977582753985</v>
      </c>
      <c r="L11">
        <f t="shared" si="4"/>
        <v>1.3230150475001732E-3</v>
      </c>
      <c r="N11" t="s">
        <v>21</v>
      </c>
      <c r="O11">
        <f t="shared" si="5"/>
        <v>-139.2093501862995</v>
      </c>
      <c r="P11">
        <f t="shared" si="6"/>
        <v>-4.7175646626447586E-4</v>
      </c>
    </row>
    <row r="12" spans="1:16" x14ac:dyDescent="0.25">
      <c r="A12" s="1">
        <v>0.5</v>
      </c>
      <c r="B12" s="2">
        <v>-6.95</v>
      </c>
      <c r="C12">
        <v>2E-3</v>
      </c>
      <c r="E12">
        <f>(E1122-E5)/(E1123-E7)</f>
        <v>3.4394286110533224E-5</v>
      </c>
      <c r="H12">
        <f t="shared" si="0"/>
        <v>0.5</v>
      </c>
      <c r="I12">
        <f t="shared" si="1"/>
        <v>-6.95</v>
      </c>
      <c r="J12">
        <f t="shared" si="2"/>
        <v>1.9828028569447336E-3</v>
      </c>
      <c r="K12">
        <f t="shared" si="3"/>
        <v>-139.36977582753985</v>
      </c>
      <c r="L12">
        <f t="shared" si="4"/>
        <v>1.3218685712964888E-3</v>
      </c>
      <c r="N12">
        <f>(MAX(K2:K2674)+MIN(K2:K2674))/2</f>
        <v>-0.16042564124033731</v>
      </c>
      <c r="O12">
        <f t="shared" si="5"/>
        <v>-139.2093501862995</v>
      </c>
      <c r="P12">
        <f t="shared" si="6"/>
        <v>-4.7290294246816024E-4</v>
      </c>
    </row>
    <row r="13" spans="1:16" x14ac:dyDescent="0.25">
      <c r="A13" s="1">
        <v>0.55000000000000004</v>
      </c>
      <c r="B13" s="2">
        <v>-6.9509999999999996</v>
      </c>
      <c r="C13">
        <v>2E-3</v>
      </c>
      <c r="H13">
        <f t="shared" si="0"/>
        <v>0.55000000000000004</v>
      </c>
      <c r="I13">
        <f t="shared" si="1"/>
        <v>-6.9509999999999996</v>
      </c>
      <c r="J13">
        <f t="shared" si="2"/>
        <v>1.9810831426392067E-3</v>
      </c>
      <c r="K13">
        <f t="shared" si="3"/>
        <v>-139.38982903269488</v>
      </c>
      <c r="L13">
        <f t="shared" si="4"/>
        <v>1.3207220950928042E-3</v>
      </c>
      <c r="O13">
        <f t="shared" si="5"/>
        <v>-139.22940339145453</v>
      </c>
      <c r="P13">
        <f t="shared" si="6"/>
        <v>-4.7404941867184485E-4</v>
      </c>
    </row>
    <row r="14" spans="1:16" x14ac:dyDescent="0.25">
      <c r="A14" s="1">
        <v>0.6</v>
      </c>
      <c r="B14" s="2">
        <v>-6.95</v>
      </c>
      <c r="C14">
        <v>2E-3</v>
      </c>
      <c r="H14">
        <f t="shared" si="0"/>
        <v>0.6</v>
      </c>
      <c r="I14">
        <f t="shared" si="1"/>
        <v>-6.95</v>
      </c>
      <c r="J14">
        <f t="shared" si="2"/>
        <v>1.9793634283336802E-3</v>
      </c>
      <c r="K14">
        <f t="shared" si="3"/>
        <v>-139.36977582753985</v>
      </c>
      <c r="L14">
        <f t="shared" si="4"/>
        <v>1.3195756188891198E-3</v>
      </c>
      <c r="N14" t="s">
        <v>22</v>
      </c>
      <c r="O14">
        <f t="shared" si="5"/>
        <v>-139.2093501862995</v>
      </c>
      <c r="P14">
        <f t="shared" si="6"/>
        <v>-4.7519589487552923E-4</v>
      </c>
    </row>
    <row r="15" spans="1:16" x14ac:dyDescent="0.25">
      <c r="A15" s="1">
        <v>0.65</v>
      </c>
      <c r="B15" s="2">
        <v>-6.9509999999999996</v>
      </c>
      <c r="C15">
        <v>2E-3</v>
      </c>
      <c r="H15">
        <f t="shared" si="0"/>
        <v>0.65</v>
      </c>
      <c r="I15">
        <f t="shared" si="1"/>
        <v>-6.9509999999999996</v>
      </c>
      <c r="J15">
        <f t="shared" si="2"/>
        <v>1.9776437140281533E-3</v>
      </c>
      <c r="K15">
        <f t="shared" si="3"/>
        <v>-139.38982903269488</v>
      </c>
      <c r="L15">
        <f t="shared" si="4"/>
        <v>1.3184291426854352E-3</v>
      </c>
      <c r="N15">
        <f>(MAX(L2:L2674)+MIN(L2:L2674))/2</f>
        <v>1.794771513764649E-3</v>
      </c>
      <c r="O15">
        <f t="shared" si="5"/>
        <v>-139.22940339145453</v>
      </c>
      <c r="P15">
        <f t="shared" si="6"/>
        <v>-4.7634237107921384E-4</v>
      </c>
    </row>
    <row r="16" spans="1:16" x14ac:dyDescent="0.25">
      <c r="A16" s="1">
        <v>0.7</v>
      </c>
      <c r="B16" s="2">
        <v>-6.95</v>
      </c>
      <c r="C16">
        <v>3.0000000000000001E-3</v>
      </c>
      <c r="E16" t="s">
        <v>8</v>
      </c>
      <c r="F16">
        <v>1010</v>
      </c>
      <c r="H16">
        <f t="shared" si="0"/>
        <v>0.7</v>
      </c>
      <c r="I16">
        <f t="shared" si="1"/>
        <v>-6.95</v>
      </c>
      <c r="J16">
        <f t="shared" si="2"/>
        <v>2.9759239997226268E-3</v>
      </c>
      <c r="K16">
        <f t="shared" si="3"/>
        <v>-139.36977582753985</v>
      </c>
      <c r="L16">
        <f t="shared" si="4"/>
        <v>1.9839493331484173E-3</v>
      </c>
      <c r="O16">
        <f t="shared" si="5"/>
        <v>-139.2093501862995</v>
      </c>
      <c r="P16">
        <f t="shared" si="6"/>
        <v>1.8917781938376831E-4</v>
      </c>
    </row>
    <row r="17" spans="1:16" x14ac:dyDescent="0.25">
      <c r="A17" s="1">
        <v>0.75</v>
      </c>
      <c r="B17" s="2">
        <v>-6.9509999999999996</v>
      </c>
      <c r="C17">
        <v>2E-3</v>
      </c>
      <c r="E17" t="s">
        <v>9</v>
      </c>
      <c r="F17">
        <v>250</v>
      </c>
      <c r="H17">
        <f t="shared" si="0"/>
        <v>0.75</v>
      </c>
      <c r="I17">
        <f t="shared" si="1"/>
        <v>-6.9509999999999996</v>
      </c>
      <c r="J17">
        <f t="shared" si="2"/>
        <v>1.9742042854170999E-3</v>
      </c>
      <c r="K17">
        <f t="shared" si="3"/>
        <v>-139.38982903269488</v>
      </c>
      <c r="L17">
        <f t="shared" si="4"/>
        <v>1.3161361902780664E-3</v>
      </c>
      <c r="O17">
        <f t="shared" si="5"/>
        <v>-139.22940339145453</v>
      </c>
      <c r="P17">
        <f t="shared" si="6"/>
        <v>-4.7863532348658261E-4</v>
      </c>
    </row>
    <row r="18" spans="1:16" x14ac:dyDescent="0.25">
      <c r="A18" s="1">
        <v>0.8</v>
      </c>
      <c r="B18" s="2">
        <v>-6.95</v>
      </c>
      <c r="C18">
        <v>2E-3</v>
      </c>
      <c r="E18" t="s">
        <v>10</v>
      </c>
      <c r="F18">
        <v>66.8</v>
      </c>
      <c r="H18">
        <f t="shared" si="0"/>
        <v>0.8</v>
      </c>
      <c r="I18">
        <f t="shared" si="1"/>
        <v>-6.95</v>
      </c>
      <c r="J18">
        <f t="shared" si="2"/>
        <v>1.9724845711115734E-3</v>
      </c>
      <c r="K18">
        <f t="shared" si="3"/>
        <v>-139.36977582753985</v>
      </c>
      <c r="L18">
        <f t="shared" si="4"/>
        <v>1.314989714074382E-3</v>
      </c>
      <c r="O18">
        <f t="shared" si="5"/>
        <v>-139.2093501862995</v>
      </c>
      <c r="P18">
        <f t="shared" si="6"/>
        <v>-4.79781799690267E-4</v>
      </c>
    </row>
    <row r="19" spans="1:16" x14ac:dyDescent="0.25">
      <c r="A19" s="1">
        <v>0.85</v>
      </c>
      <c r="B19" s="2">
        <v>-6.9509999999999996</v>
      </c>
      <c r="C19">
        <v>2E-3</v>
      </c>
      <c r="E19" t="s">
        <v>11</v>
      </c>
      <c r="F19">
        <v>0.22</v>
      </c>
      <c r="H19">
        <f t="shared" si="0"/>
        <v>0.85</v>
      </c>
      <c r="I19">
        <f t="shared" si="1"/>
        <v>-6.9509999999999996</v>
      </c>
      <c r="J19">
        <f t="shared" si="2"/>
        <v>1.970764856806047E-3</v>
      </c>
      <c r="K19">
        <f t="shared" si="3"/>
        <v>-139.38982903269488</v>
      </c>
      <c r="L19">
        <f t="shared" si="4"/>
        <v>1.3138432378706976E-3</v>
      </c>
      <c r="O19">
        <f t="shared" si="5"/>
        <v>-139.22940339145453</v>
      </c>
      <c r="P19">
        <f t="shared" si="6"/>
        <v>-4.8092827589395139E-4</v>
      </c>
    </row>
    <row r="20" spans="1:16" x14ac:dyDescent="0.25">
      <c r="A20" s="1">
        <v>0.9</v>
      </c>
      <c r="B20" s="2">
        <v>-6.9509999999999996</v>
      </c>
      <c r="C20">
        <v>2E-3</v>
      </c>
      <c r="E20" t="s">
        <v>12</v>
      </c>
      <c r="F20">
        <v>0.26</v>
      </c>
      <c r="H20">
        <f t="shared" si="0"/>
        <v>0.9</v>
      </c>
      <c r="I20">
        <f t="shared" si="1"/>
        <v>-6.9509999999999996</v>
      </c>
      <c r="J20">
        <f t="shared" si="2"/>
        <v>1.9690451425005201E-3</v>
      </c>
      <c r="K20">
        <f t="shared" si="3"/>
        <v>-139.38982903269488</v>
      </c>
      <c r="L20">
        <f t="shared" si="4"/>
        <v>1.312696761667013E-3</v>
      </c>
      <c r="O20">
        <f t="shared" si="5"/>
        <v>-139.22940339145453</v>
      </c>
      <c r="P20">
        <f t="shared" si="6"/>
        <v>-4.8207475209763599E-4</v>
      </c>
    </row>
    <row r="21" spans="1:16" x14ac:dyDescent="0.25">
      <c r="A21" s="1">
        <v>0.95</v>
      </c>
      <c r="B21" s="2">
        <v>-6.9509999999999996</v>
      </c>
      <c r="C21">
        <v>2E-3</v>
      </c>
      <c r="E21" t="s">
        <v>13</v>
      </c>
      <c r="F21">
        <v>0.03</v>
      </c>
      <c r="H21">
        <f t="shared" si="0"/>
        <v>0.95</v>
      </c>
      <c r="I21">
        <f t="shared" si="1"/>
        <v>-6.9509999999999996</v>
      </c>
      <c r="J21">
        <f t="shared" si="2"/>
        <v>1.9673254281949936E-3</v>
      </c>
      <c r="K21">
        <f t="shared" si="3"/>
        <v>-139.38982903269488</v>
      </c>
      <c r="L21">
        <f t="shared" si="4"/>
        <v>1.3115502854633288E-3</v>
      </c>
      <c r="O21">
        <f t="shared" si="5"/>
        <v>-139.22940339145453</v>
      </c>
      <c r="P21">
        <f t="shared" si="6"/>
        <v>-4.8322122830132016E-4</v>
      </c>
    </row>
    <row r="22" spans="1:16" x14ac:dyDescent="0.25">
      <c r="A22" s="1">
        <v>1</v>
      </c>
      <c r="B22" s="2">
        <v>-6.95</v>
      </c>
      <c r="C22">
        <v>2E-3</v>
      </c>
      <c r="E22" t="s">
        <v>14</v>
      </c>
      <c r="F22">
        <v>1</v>
      </c>
      <c r="H22">
        <f t="shared" si="0"/>
        <v>1</v>
      </c>
      <c r="I22">
        <f t="shared" si="1"/>
        <v>-6.95</v>
      </c>
      <c r="J22">
        <f t="shared" si="2"/>
        <v>1.9656057138894667E-3</v>
      </c>
      <c r="K22">
        <f t="shared" si="3"/>
        <v>-139.36977582753985</v>
      </c>
      <c r="L22">
        <f t="shared" si="4"/>
        <v>1.3104038092596442E-3</v>
      </c>
      <c r="O22">
        <f t="shared" si="5"/>
        <v>-139.2093501862995</v>
      </c>
      <c r="P22">
        <f t="shared" si="6"/>
        <v>-4.8436770450500477E-4</v>
      </c>
    </row>
    <row r="23" spans="1:16" x14ac:dyDescent="0.25">
      <c r="A23" s="1">
        <v>1.05</v>
      </c>
      <c r="B23" s="2">
        <v>-6.9509999999999996</v>
      </c>
      <c r="C23">
        <v>2E-3</v>
      </c>
      <c r="H23">
        <f t="shared" si="0"/>
        <v>1.05</v>
      </c>
      <c r="I23">
        <f t="shared" si="1"/>
        <v>-6.9509999999999996</v>
      </c>
      <c r="J23">
        <f t="shared" si="2"/>
        <v>1.9638859995839402E-3</v>
      </c>
      <c r="K23">
        <f t="shared" si="3"/>
        <v>-139.38982903269488</v>
      </c>
      <c r="L23">
        <f t="shared" si="4"/>
        <v>1.3092573330559599E-3</v>
      </c>
      <c r="O23">
        <f t="shared" si="5"/>
        <v>-139.22940339145453</v>
      </c>
      <c r="P23">
        <f t="shared" si="6"/>
        <v>-4.8551418070868916E-4</v>
      </c>
    </row>
    <row r="24" spans="1:16" x14ac:dyDescent="0.25">
      <c r="A24" s="1">
        <v>1.1000000000000001</v>
      </c>
      <c r="B24" s="2">
        <v>-6.9509999999999996</v>
      </c>
      <c r="C24">
        <v>2E-3</v>
      </c>
      <c r="E24" t="s">
        <v>15</v>
      </c>
      <c r="F24">
        <f>F16/(0.5*PI()*(F19+F20)*F18)</f>
        <v>20.053205155041706</v>
      </c>
      <c r="H24">
        <f t="shared" si="0"/>
        <v>1.1000000000000001</v>
      </c>
      <c r="I24">
        <f t="shared" si="1"/>
        <v>-6.9509999999999996</v>
      </c>
      <c r="J24">
        <f t="shared" si="2"/>
        <v>1.9621662852784133E-3</v>
      </c>
      <c r="K24">
        <f t="shared" si="3"/>
        <v>-139.38982903269488</v>
      </c>
      <c r="L24">
        <f t="shared" si="4"/>
        <v>1.3081108568522752E-3</v>
      </c>
      <c r="O24">
        <f t="shared" si="5"/>
        <v>-139.22940339145453</v>
      </c>
      <c r="P24">
        <f t="shared" si="6"/>
        <v>-4.8666065691237376E-4</v>
      </c>
    </row>
    <row r="25" spans="1:16" x14ac:dyDescent="0.25">
      <c r="A25" s="1">
        <v>1.1499999999999999</v>
      </c>
      <c r="B25" s="2">
        <v>-6.9509999999999996</v>
      </c>
      <c r="C25">
        <v>2E-3</v>
      </c>
      <c r="E25" t="s">
        <v>16</v>
      </c>
      <c r="F25">
        <f>100/(1000*0.5*F17*(F20-F19)*F21*F22)</f>
        <v>0.66666666666666652</v>
      </c>
      <c r="H25">
        <f t="shared" si="0"/>
        <v>1.1499999999999999</v>
      </c>
      <c r="I25">
        <f t="shared" si="1"/>
        <v>-6.9509999999999996</v>
      </c>
      <c r="J25">
        <f t="shared" si="2"/>
        <v>1.9604465709728868E-3</v>
      </c>
      <c r="K25">
        <f t="shared" si="3"/>
        <v>-139.38982903269488</v>
      </c>
      <c r="L25">
        <f t="shared" si="4"/>
        <v>1.3069643806485909E-3</v>
      </c>
      <c r="O25">
        <f t="shared" si="5"/>
        <v>-139.22940339145453</v>
      </c>
      <c r="P25">
        <f t="shared" si="6"/>
        <v>-4.8780713311605815E-4</v>
      </c>
    </row>
    <row r="26" spans="1:16" x14ac:dyDescent="0.25">
      <c r="A26" s="1">
        <v>1.2</v>
      </c>
      <c r="B26" s="2">
        <v>-6.9509999999999996</v>
      </c>
      <c r="C26">
        <v>2E-3</v>
      </c>
      <c r="H26">
        <f t="shared" si="0"/>
        <v>1.2</v>
      </c>
      <c r="I26">
        <f t="shared" si="1"/>
        <v>-6.9509999999999996</v>
      </c>
      <c r="J26">
        <f t="shared" si="2"/>
        <v>1.9587268566673604E-3</v>
      </c>
      <c r="K26">
        <f t="shared" si="3"/>
        <v>-139.38982903269488</v>
      </c>
      <c r="L26">
        <f t="shared" si="4"/>
        <v>1.3058179044449067E-3</v>
      </c>
      <c r="O26">
        <f t="shared" si="5"/>
        <v>-139.22940339145453</v>
      </c>
      <c r="P26">
        <f t="shared" si="6"/>
        <v>-4.8895360931974232E-4</v>
      </c>
    </row>
    <row r="27" spans="1:16" x14ac:dyDescent="0.25">
      <c r="A27" s="1">
        <v>1.25</v>
      </c>
      <c r="B27" s="2">
        <v>-6.952</v>
      </c>
      <c r="C27">
        <v>2E-3</v>
      </c>
      <c r="H27">
        <f t="shared" si="0"/>
        <v>1.25</v>
      </c>
      <c r="I27">
        <f t="shared" si="1"/>
        <v>-6.952</v>
      </c>
      <c r="J27">
        <f t="shared" si="2"/>
        <v>1.9570071423618335E-3</v>
      </c>
      <c r="K27">
        <f t="shared" si="3"/>
        <v>-139.40988223784993</v>
      </c>
      <c r="L27">
        <f t="shared" si="4"/>
        <v>1.3046714282412221E-3</v>
      </c>
      <c r="O27">
        <f t="shared" si="5"/>
        <v>-139.2494565966096</v>
      </c>
      <c r="P27">
        <f t="shared" si="6"/>
        <v>-4.9010008552342692E-4</v>
      </c>
    </row>
    <row r="28" spans="1:16" x14ac:dyDescent="0.25">
      <c r="A28" s="1">
        <v>1.3</v>
      </c>
      <c r="B28" s="2">
        <v>-6.9509999999999996</v>
      </c>
      <c r="C28">
        <v>2E-3</v>
      </c>
      <c r="H28">
        <f t="shared" si="0"/>
        <v>1.3</v>
      </c>
      <c r="I28">
        <f t="shared" si="1"/>
        <v>-6.9509999999999996</v>
      </c>
      <c r="J28">
        <f t="shared" si="2"/>
        <v>1.955287428056307E-3</v>
      </c>
      <c r="K28">
        <f t="shared" si="3"/>
        <v>-139.38982903269488</v>
      </c>
      <c r="L28">
        <f t="shared" si="4"/>
        <v>1.3035249520375377E-3</v>
      </c>
      <c r="O28">
        <f t="shared" si="5"/>
        <v>-139.22940339145453</v>
      </c>
      <c r="P28">
        <f t="shared" si="6"/>
        <v>-4.9124656172711131E-4</v>
      </c>
    </row>
    <row r="29" spans="1:16" x14ac:dyDescent="0.25">
      <c r="A29" s="1">
        <v>1.35</v>
      </c>
      <c r="B29" s="2">
        <v>-6.952</v>
      </c>
      <c r="C29">
        <v>2E-3</v>
      </c>
      <c r="H29">
        <f t="shared" si="0"/>
        <v>1.35</v>
      </c>
      <c r="I29">
        <f t="shared" si="1"/>
        <v>-6.952</v>
      </c>
      <c r="J29">
        <f t="shared" si="2"/>
        <v>1.9535677137507801E-3</v>
      </c>
      <c r="K29">
        <f t="shared" si="3"/>
        <v>-139.40988223784993</v>
      </c>
      <c r="L29">
        <f t="shared" si="4"/>
        <v>1.3023784758338531E-3</v>
      </c>
      <c r="O29">
        <f t="shared" si="5"/>
        <v>-139.2494565966096</v>
      </c>
      <c r="P29">
        <f t="shared" si="6"/>
        <v>-4.9239303793079591E-4</v>
      </c>
    </row>
    <row r="30" spans="1:16" x14ac:dyDescent="0.25">
      <c r="A30" s="1">
        <v>1.4</v>
      </c>
      <c r="B30" s="2">
        <v>-6.9509999999999996</v>
      </c>
      <c r="C30">
        <v>2E-3</v>
      </c>
      <c r="H30">
        <f t="shared" si="0"/>
        <v>1.4</v>
      </c>
      <c r="I30">
        <f t="shared" si="1"/>
        <v>-6.9509999999999996</v>
      </c>
      <c r="J30">
        <f t="shared" si="2"/>
        <v>1.9518479994452536E-3</v>
      </c>
      <c r="K30">
        <f t="shared" si="3"/>
        <v>-139.38982903269488</v>
      </c>
      <c r="L30">
        <f t="shared" si="4"/>
        <v>1.3012319996301687E-3</v>
      </c>
      <c r="O30">
        <f t="shared" si="5"/>
        <v>-139.22940339145453</v>
      </c>
      <c r="P30">
        <f t="shared" si="6"/>
        <v>-4.935395141344803E-4</v>
      </c>
    </row>
    <row r="31" spans="1:16" x14ac:dyDescent="0.25">
      <c r="A31" s="1">
        <v>1.45</v>
      </c>
      <c r="B31" s="2">
        <v>-6.952</v>
      </c>
      <c r="C31">
        <v>2E-3</v>
      </c>
      <c r="H31">
        <f t="shared" si="0"/>
        <v>1.45</v>
      </c>
      <c r="I31">
        <f t="shared" si="1"/>
        <v>-6.952</v>
      </c>
      <c r="J31">
        <f t="shared" si="2"/>
        <v>1.9501282851397269E-3</v>
      </c>
      <c r="K31">
        <f t="shared" si="3"/>
        <v>-139.40988223784993</v>
      </c>
      <c r="L31">
        <f t="shared" si="4"/>
        <v>1.3000855234264843E-3</v>
      </c>
      <c r="O31">
        <f t="shared" si="5"/>
        <v>-139.2494565966096</v>
      </c>
      <c r="P31">
        <f t="shared" si="6"/>
        <v>-4.9468599033816469E-4</v>
      </c>
    </row>
    <row r="32" spans="1:16" x14ac:dyDescent="0.25">
      <c r="A32" s="1">
        <v>1.5</v>
      </c>
      <c r="B32" s="2">
        <v>-6.9509999999999996</v>
      </c>
      <c r="C32">
        <v>3.0000000000000001E-3</v>
      </c>
      <c r="H32">
        <f t="shared" si="0"/>
        <v>1.5</v>
      </c>
      <c r="I32">
        <f t="shared" si="1"/>
        <v>-6.9509999999999996</v>
      </c>
      <c r="J32">
        <f t="shared" si="2"/>
        <v>2.9484085708342002E-3</v>
      </c>
      <c r="K32">
        <f t="shared" si="3"/>
        <v>-139.38982903269488</v>
      </c>
      <c r="L32">
        <f t="shared" si="4"/>
        <v>1.9656057138894662E-3</v>
      </c>
      <c r="O32">
        <f t="shared" si="5"/>
        <v>-139.22940339145453</v>
      </c>
      <c r="P32">
        <f t="shared" si="6"/>
        <v>1.7083420012481724E-4</v>
      </c>
    </row>
    <row r="33" spans="1:16" x14ac:dyDescent="0.25">
      <c r="A33" s="1">
        <v>1.55</v>
      </c>
      <c r="B33" s="2">
        <v>-6.952</v>
      </c>
      <c r="C33">
        <v>2E-3</v>
      </c>
      <c r="H33">
        <f t="shared" si="0"/>
        <v>1.55</v>
      </c>
      <c r="I33">
        <f t="shared" si="1"/>
        <v>-6.952</v>
      </c>
      <c r="J33">
        <f t="shared" si="2"/>
        <v>1.9466888565286735E-3</v>
      </c>
      <c r="K33">
        <f t="shared" si="3"/>
        <v>-139.40988223784993</v>
      </c>
      <c r="L33">
        <f t="shared" si="4"/>
        <v>1.2977925710191153E-3</v>
      </c>
      <c r="O33">
        <f t="shared" si="5"/>
        <v>-139.2494565966096</v>
      </c>
      <c r="P33">
        <f t="shared" si="6"/>
        <v>-4.9697894274553368E-4</v>
      </c>
    </row>
    <row r="34" spans="1:16" x14ac:dyDescent="0.25">
      <c r="A34" s="1">
        <v>1.6</v>
      </c>
      <c r="B34" s="2">
        <v>-6.952</v>
      </c>
      <c r="C34">
        <v>2E-3</v>
      </c>
      <c r="H34">
        <f t="shared" si="0"/>
        <v>1.6</v>
      </c>
      <c r="I34">
        <f t="shared" si="1"/>
        <v>-6.952</v>
      </c>
      <c r="J34">
        <f t="shared" si="2"/>
        <v>1.9449691422231468E-3</v>
      </c>
      <c r="K34">
        <f t="shared" si="3"/>
        <v>-139.40988223784993</v>
      </c>
      <c r="L34">
        <f t="shared" si="4"/>
        <v>1.2966460948154309E-3</v>
      </c>
      <c r="O34">
        <f t="shared" si="5"/>
        <v>-139.2494565966096</v>
      </c>
      <c r="P34">
        <f t="shared" si="6"/>
        <v>-4.9812541894921807E-4</v>
      </c>
    </row>
    <row r="35" spans="1:16" x14ac:dyDescent="0.25">
      <c r="A35" s="1">
        <v>1.65</v>
      </c>
      <c r="B35" s="2">
        <v>-6.9290000000000003</v>
      </c>
      <c r="C35">
        <v>2E-3</v>
      </c>
      <c r="H35">
        <f t="shared" si="0"/>
        <v>1.65</v>
      </c>
      <c r="I35">
        <f t="shared" si="1"/>
        <v>-6.9290000000000003</v>
      </c>
      <c r="J35">
        <f t="shared" si="2"/>
        <v>1.9432494279176201E-3</v>
      </c>
      <c r="K35">
        <f t="shared" si="3"/>
        <v>-138.94865851928398</v>
      </c>
      <c r="L35">
        <f t="shared" si="4"/>
        <v>1.2954996186117465E-3</v>
      </c>
      <c r="O35">
        <f t="shared" si="5"/>
        <v>-138.78823287804363</v>
      </c>
      <c r="P35">
        <f t="shared" si="6"/>
        <v>-4.9927189515290246E-4</v>
      </c>
    </row>
    <row r="36" spans="1:16" x14ac:dyDescent="0.25">
      <c r="A36" s="1">
        <v>1.7</v>
      </c>
      <c r="B36" s="2">
        <v>-6.8719999999999999</v>
      </c>
      <c r="C36">
        <v>3.0000000000000001E-3</v>
      </c>
      <c r="H36">
        <f t="shared" si="0"/>
        <v>1.7</v>
      </c>
      <c r="I36">
        <f t="shared" si="1"/>
        <v>-6.8719999999999999</v>
      </c>
      <c r="J36">
        <f t="shared" si="2"/>
        <v>2.9415297136120935E-3</v>
      </c>
      <c r="K36">
        <f t="shared" si="3"/>
        <v>-137.80562582544661</v>
      </c>
      <c r="L36">
        <f t="shared" si="4"/>
        <v>1.9610198090747287E-3</v>
      </c>
      <c r="O36">
        <f t="shared" si="5"/>
        <v>-137.64520018420626</v>
      </c>
      <c r="P36">
        <f t="shared" si="6"/>
        <v>1.6624829531007969E-4</v>
      </c>
    </row>
    <row r="37" spans="1:16" x14ac:dyDescent="0.25">
      <c r="A37" s="1">
        <v>1.75</v>
      </c>
      <c r="B37" s="2">
        <v>-6.8239999999999998</v>
      </c>
      <c r="C37">
        <v>2E-3</v>
      </c>
      <c r="H37">
        <f t="shared" si="0"/>
        <v>1.75</v>
      </c>
      <c r="I37">
        <f t="shared" si="1"/>
        <v>-6.8239999999999998</v>
      </c>
      <c r="J37">
        <f t="shared" si="2"/>
        <v>1.939809999306567E-3</v>
      </c>
      <c r="K37">
        <f t="shared" si="3"/>
        <v>-136.84307197800459</v>
      </c>
      <c r="L37">
        <f t="shared" si="4"/>
        <v>1.2932066662043778E-3</v>
      </c>
      <c r="O37">
        <f t="shared" si="5"/>
        <v>-136.68264633676426</v>
      </c>
      <c r="P37">
        <f t="shared" si="6"/>
        <v>-5.0156484756027123E-4</v>
      </c>
    </row>
    <row r="38" spans="1:16" x14ac:dyDescent="0.25">
      <c r="A38" s="1">
        <v>1.8</v>
      </c>
      <c r="B38" s="2">
        <v>-6.758</v>
      </c>
      <c r="C38">
        <v>3.0000000000000001E-3</v>
      </c>
      <c r="H38">
        <f t="shared" si="0"/>
        <v>1.8</v>
      </c>
      <c r="I38">
        <f t="shared" si="1"/>
        <v>-6.758</v>
      </c>
      <c r="J38">
        <f t="shared" si="2"/>
        <v>2.9380902850010401E-3</v>
      </c>
      <c r="K38">
        <f t="shared" si="3"/>
        <v>-135.51956043777184</v>
      </c>
      <c r="L38">
        <f t="shared" si="4"/>
        <v>1.9587268566673595E-3</v>
      </c>
      <c r="O38">
        <f t="shared" si="5"/>
        <v>-135.35913479653152</v>
      </c>
      <c r="P38">
        <f t="shared" si="6"/>
        <v>1.6395534290271048E-4</v>
      </c>
    </row>
    <row r="39" spans="1:16" x14ac:dyDescent="0.25">
      <c r="A39" s="1">
        <v>1.85</v>
      </c>
      <c r="B39" s="2">
        <v>-6.7089999999999996</v>
      </c>
      <c r="C39">
        <v>2E-3</v>
      </c>
      <c r="H39">
        <f t="shared" si="0"/>
        <v>1.85</v>
      </c>
      <c r="I39">
        <f t="shared" si="1"/>
        <v>-6.7089999999999996</v>
      </c>
      <c r="J39">
        <f t="shared" si="2"/>
        <v>1.9363705706955136E-3</v>
      </c>
      <c r="K39">
        <f t="shared" si="3"/>
        <v>-134.5369533851748</v>
      </c>
      <c r="L39">
        <f t="shared" si="4"/>
        <v>1.2909137137970088E-3</v>
      </c>
      <c r="O39">
        <f t="shared" si="5"/>
        <v>-134.37652774393445</v>
      </c>
      <c r="P39">
        <f t="shared" si="6"/>
        <v>-5.0385779996764022E-4</v>
      </c>
    </row>
    <row r="40" spans="1:16" x14ac:dyDescent="0.25">
      <c r="A40" s="1">
        <v>1.9</v>
      </c>
      <c r="B40" s="2">
        <v>-6.6980000000000004</v>
      </c>
      <c r="C40">
        <v>2E-3</v>
      </c>
      <c r="H40">
        <f t="shared" si="0"/>
        <v>1.9</v>
      </c>
      <c r="I40">
        <f t="shared" si="1"/>
        <v>-6.6980000000000004</v>
      </c>
      <c r="J40">
        <f t="shared" si="2"/>
        <v>1.9346508563899869E-3</v>
      </c>
      <c r="K40">
        <f t="shared" si="3"/>
        <v>-134.31636812846935</v>
      </c>
      <c r="L40">
        <f t="shared" si="4"/>
        <v>1.2897672375933244E-3</v>
      </c>
      <c r="O40">
        <f t="shared" si="5"/>
        <v>-134.15594248722903</v>
      </c>
      <c r="P40">
        <f t="shared" si="6"/>
        <v>-5.0500427617132461E-4</v>
      </c>
    </row>
    <row r="41" spans="1:16" x14ac:dyDescent="0.25">
      <c r="A41" s="1">
        <v>1.95</v>
      </c>
      <c r="B41" s="2">
        <v>-6.6980000000000004</v>
      </c>
      <c r="C41">
        <v>2E-3</v>
      </c>
      <c r="H41">
        <f t="shared" si="0"/>
        <v>1.95</v>
      </c>
      <c r="I41">
        <f t="shared" si="1"/>
        <v>-6.6980000000000004</v>
      </c>
      <c r="J41">
        <f t="shared" si="2"/>
        <v>1.9329311420844602E-3</v>
      </c>
      <c r="K41">
        <f t="shared" si="3"/>
        <v>-134.31636812846935</v>
      </c>
      <c r="L41">
        <f t="shared" si="4"/>
        <v>1.2886207613896398E-3</v>
      </c>
      <c r="O41">
        <f t="shared" si="5"/>
        <v>-134.15594248722903</v>
      </c>
      <c r="P41">
        <f t="shared" si="6"/>
        <v>-5.0615075237500922E-4</v>
      </c>
    </row>
    <row r="42" spans="1:16" x14ac:dyDescent="0.25">
      <c r="A42" s="1">
        <v>2</v>
      </c>
      <c r="B42" s="2">
        <v>-6.6980000000000004</v>
      </c>
      <c r="C42">
        <v>2E-3</v>
      </c>
      <c r="H42">
        <f t="shared" si="0"/>
        <v>2</v>
      </c>
      <c r="I42">
        <f t="shared" si="1"/>
        <v>-6.6980000000000004</v>
      </c>
      <c r="J42">
        <f t="shared" si="2"/>
        <v>1.9312114277789335E-3</v>
      </c>
      <c r="K42">
        <f t="shared" si="3"/>
        <v>-134.31636812846935</v>
      </c>
      <c r="L42">
        <f t="shared" si="4"/>
        <v>1.2874742851859554E-3</v>
      </c>
      <c r="O42">
        <f t="shared" si="5"/>
        <v>-134.15594248722903</v>
      </c>
      <c r="P42">
        <f t="shared" si="6"/>
        <v>-5.072972285786936E-4</v>
      </c>
    </row>
    <row r="43" spans="1:16" x14ac:dyDescent="0.25">
      <c r="A43" s="1">
        <v>2.0499999999999998</v>
      </c>
      <c r="B43" s="2">
        <v>-6.6980000000000004</v>
      </c>
      <c r="C43">
        <v>2E-3</v>
      </c>
      <c r="H43">
        <f t="shared" si="0"/>
        <v>2.0499999999999998</v>
      </c>
      <c r="I43">
        <f t="shared" si="1"/>
        <v>-6.6980000000000004</v>
      </c>
      <c r="J43">
        <f t="shared" si="2"/>
        <v>1.9294917134734068E-3</v>
      </c>
      <c r="K43">
        <f t="shared" si="3"/>
        <v>-134.31636812846935</v>
      </c>
      <c r="L43">
        <f t="shared" si="4"/>
        <v>1.286327808982271E-3</v>
      </c>
      <c r="O43">
        <f t="shared" si="5"/>
        <v>-134.15594248722903</v>
      </c>
      <c r="P43">
        <f t="shared" si="6"/>
        <v>-5.0844370478237799E-4</v>
      </c>
    </row>
    <row r="44" spans="1:16" x14ac:dyDescent="0.25">
      <c r="A44" s="1">
        <v>2.1</v>
      </c>
      <c r="B44" s="2">
        <v>-6.6970000000000001</v>
      </c>
      <c r="C44">
        <v>2E-3</v>
      </c>
      <c r="H44">
        <f t="shared" si="0"/>
        <v>2.1</v>
      </c>
      <c r="I44">
        <f t="shared" si="1"/>
        <v>-6.6970000000000001</v>
      </c>
      <c r="J44">
        <f t="shared" si="2"/>
        <v>1.9277719991678804E-3</v>
      </c>
      <c r="K44">
        <f t="shared" si="3"/>
        <v>-134.2963149233143</v>
      </c>
      <c r="L44">
        <f t="shared" si="4"/>
        <v>1.2851813327785866E-3</v>
      </c>
      <c r="O44">
        <f t="shared" si="5"/>
        <v>-134.13588928207395</v>
      </c>
      <c r="P44">
        <f t="shared" si="6"/>
        <v>-5.0959018098606238E-4</v>
      </c>
    </row>
    <row r="45" spans="1:16" x14ac:dyDescent="0.25">
      <c r="A45" s="1">
        <v>2.15</v>
      </c>
      <c r="B45" s="2">
        <v>-6.6360000000000001</v>
      </c>
      <c r="C45">
        <v>2E-3</v>
      </c>
      <c r="H45">
        <f t="shared" si="0"/>
        <v>2.15</v>
      </c>
      <c r="I45">
        <f t="shared" si="1"/>
        <v>-6.6360000000000001</v>
      </c>
      <c r="J45">
        <f t="shared" si="2"/>
        <v>1.9260522848623537E-3</v>
      </c>
      <c r="K45">
        <f t="shared" si="3"/>
        <v>-133.07306940885675</v>
      </c>
      <c r="L45">
        <f t="shared" si="4"/>
        <v>1.2840348565749022E-3</v>
      </c>
      <c r="O45">
        <f t="shared" si="5"/>
        <v>-132.91264376761643</v>
      </c>
      <c r="P45">
        <f t="shared" si="6"/>
        <v>-5.1073665718974677E-4</v>
      </c>
    </row>
    <row r="46" spans="1:16" x14ac:dyDescent="0.25">
      <c r="A46" s="1">
        <v>2.2000000000000002</v>
      </c>
      <c r="B46" s="2">
        <v>-6.54</v>
      </c>
      <c r="C46">
        <v>3.0000000000000001E-3</v>
      </c>
      <c r="H46">
        <f t="shared" si="0"/>
        <v>2.2000000000000002</v>
      </c>
      <c r="I46">
        <f t="shared" si="1"/>
        <v>-6.54</v>
      </c>
      <c r="J46">
        <f t="shared" si="2"/>
        <v>2.924332570556827E-3</v>
      </c>
      <c r="K46">
        <f t="shared" si="3"/>
        <v>-131.14796171397276</v>
      </c>
      <c r="L46">
        <f t="shared" si="4"/>
        <v>1.9495550470378842E-3</v>
      </c>
      <c r="O46">
        <f t="shared" si="5"/>
        <v>-130.98753607273244</v>
      </c>
      <c r="P46">
        <f t="shared" si="6"/>
        <v>1.5478353327323517E-4</v>
      </c>
    </row>
    <row r="47" spans="1:16" x14ac:dyDescent="0.25">
      <c r="A47" s="1">
        <v>2.25</v>
      </c>
      <c r="B47" s="2">
        <v>-6.4950000000000001</v>
      </c>
      <c r="C47">
        <v>2E-3</v>
      </c>
      <c r="H47">
        <f t="shared" si="0"/>
        <v>2.25</v>
      </c>
      <c r="I47">
        <f t="shared" si="1"/>
        <v>-6.4950000000000001</v>
      </c>
      <c r="J47">
        <f t="shared" si="2"/>
        <v>1.9226128562513003E-3</v>
      </c>
      <c r="K47">
        <f t="shared" si="3"/>
        <v>-130.24556748199589</v>
      </c>
      <c r="L47">
        <f t="shared" si="4"/>
        <v>1.2817419041675332E-3</v>
      </c>
      <c r="O47">
        <f t="shared" si="5"/>
        <v>-130.08514184075557</v>
      </c>
      <c r="P47">
        <f t="shared" si="6"/>
        <v>-5.1302960959711576E-4</v>
      </c>
    </row>
    <row r="48" spans="1:16" x14ac:dyDescent="0.25">
      <c r="A48" s="1">
        <v>2.2999999999999998</v>
      </c>
      <c r="B48" s="2">
        <v>-6.4669999999999996</v>
      </c>
      <c r="C48">
        <v>3.0000000000000001E-3</v>
      </c>
      <c r="H48">
        <f t="shared" si="0"/>
        <v>2.2999999999999998</v>
      </c>
      <c r="I48">
        <f t="shared" si="1"/>
        <v>-6.4669999999999996</v>
      </c>
      <c r="J48">
        <f t="shared" si="2"/>
        <v>2.9208931419457736E-3</v>
      </c>
      <c r="K48">
        <f t="shared" si="3"/>
        <v>-129.68407773765472</v>
      </c>
      <c r="L48">
        <f t="shared" si="4"/>
        <v>1.9472620946305154E-3</v>
      </c>
      <c r="O48">
        <f t="shared" si="5"/>
        <v>-129.52365209641437</v>
      </c>
      <c r="P48">
        <f t="shared" si="6"/>
        <v>1.5249058086586639E-4</v>
      </c>
    </row>
    <row r="49" spans="1:16" x14ac:dyDescent="0.25">
      <c r="A49" s="1">
        <v>2.35</v>
      </c>
      <c r="B49" s="2">
        <v>-6.4290000000000003</v>
      </c>
      <c r="C49">
        <v>2E-3</v>
      </c>
      <c r="H49">
        <f t="shared" si="0"/>
        <v>2.35</v>
      </c>
      <c r="I49">
        <f t="shared" si="1"/>
        <v>-6.4290000000000003</v>
      </c>
      <c r="J49">
        <f t="shared" si="2"/>
        <v>1.9191734276402469E-3</v>
      </c>
      <c r="K49">
        <f t="shared" si="3"/>
        <v>-128.92205594176312</v>
      </c>
      <c r="L49">
        <f t="shared" si="4"/>
        <v>1.2794489517601643E-3</v>
      </c>
      <c r="O49">
        <f t="shared" si="5"/>
        <v>-128.76163030052277</v>
      </c>
      <c r="P49">
        <f t="shared" si="6"/>
        <v>-5.1532256200448475E-4</v>
      </c>
    </row>
    <row r="50" spans="1:16" x14ac:dyDescent="0.25">
      <c r="A50" s="1">
        <v>2.4</v>
      </c>
      <c r="B50" s="2">
        <v>-6.3840000000000003</v>
      </c>
      <c r="C50">
        <v>2E-3</v>
      </c>
      <c r="H50">
        <f t="shared" si="0"/>
        <v>2.4</v>
      </c>
      <c r="I50">
        <f t="shared" si="1"/>
        <v>-6.3840000000000003</v>
      </c>
      <c r="J50">
        <f t="shared" si="2"/>
        <v>1.9174537133347202E-3</v>
      </c>
      <c r="K50">
        <f t="shared" si="3"/>
        <v>-128.01966170978625</v>
      </c>
      <c r="L50">
        <f t="shared" si="4"/>
        <v>1.2783024755564799E-3</v>
      </c>
      <c r="O50">
        <f t="shared" si="5"/>
        <v>-127.85923606854591</v>
      </c>
      <c r="P50">
        <f t="shared" si="6"/>
        <v>-5.1646903820816914E-4</v>
      </c>
    </row>
    <row r="51" spans="1:16" x14ac:dyDescent="0.25">
      <c r="A51" s="1">
        <v>2.4500000000000002</v>
      </c>
      <c r="B51" s="2">
        <v>-6.3339999999999996</v>
      </c>
      <c r="C51">
        <v>2E-3</v>
      </c>
      <c r="H51">
        <f t="shared" si="0"/>
        <v>2.4500000000000002</v>
      </c>
      <c r="I51">
        <f t="shared" si="1"/>
        <v>-6.3339999999999996</v>
      </c>
      <c r="J51">
        <f t="shared" si="2"/>
        <v>1.9157339990291935E-3</v>
      </c>
      <c r="K51">
        <f t="shared" si="3"/>
        <v>-127.01700145203415</v>
      </c>
      <c r="L51">
        <f t="shared" si="4"/>
        <v>1.2771559993527955E-3</v>
      </c>
      <c r="O51">
        <f t="shared" si="5"/>
        <v>-126.85657581079381</v>
      </c>
      <c r="P51">
        <f t="shared" si="6"/>
        <v>-5.1761551441185352E-4</v>
      </c>
    </row>
    <row r="52" spans="1:16" x14ac:dyDescent="0.25">
      <c r="A52" s="1">
        <v>2.5</v>
      </c>
      <c r="B52" s="2">
        <v>-6.3239999999999998</v>
      </c>
      <c r="C52">
        <v>3.0000000000000001E-3</v>
      </c>
      <c r="H52">
        <f t="shared" si="0"/>
        <v>2.5</v>
      </c>
      <c r="I52">
        <f t="shared" si="1"/>
        <v>-6.3239999999999998</v>
      </c>
      <c r="J52">
        <f t="shared" si="2"/>
        <v>2.9140142847236669E-3</v>
      </c>
      <c r="K52">
        <f t="shared" si="3"/>
        <v>-126.81646940048374</v>
      </c>
      <c r="L52">
        <f t="shared" si="4"/>
        <v>1.9426761898157774E-3</v>
      </c>
      <c r="O52">
        <f t="shared" si="5"/>
        <v>-126.6560437592434</v>
      </c>
      <c r="P52">
        <f t="shared" si="6"/>
        <v>1.4790467605112841E-4</v>
      </c>
    </row>
    <row r="53" spans="1:16" x14ac:dyDescent="0.25">
      <c r="A53" s="1">
        <v>2.5499999999999998</v>
      </c>
      <c r="B53" s="2">
        <v>-6.3239999999999998</v>
      </c>
      <c r="C53">
        <v>2E-3</v>
      </c>
      <c r="H53">
        <f t="shared" si="0"/>
        <v>2.5499999999999998</v>
      </c>
      <c r="I53">
        <f t="shared" si="1"/>
        <v>-6.3239999999999998</v>
      </c>
      <c r="J53">
        <f t="shared" si="2"/>
        <v>1.9122945704181404E-3</v>
      </c>
      <c r="K53">
        <f t="shared" si="3"/>
        <v>-126.81646940048374</v>
      </c>
      <c r="L53">
        <f t="shared" si="4"/>
        <v>1.2748630469454267E-3</v>
      </c>
      <c r="O53">
        <f t="shared" si="5"/>
        <v>-126.6560437592434</v>
      </c>
      <c r="P53">
        <f t="shared" si="6"/>
        <v>-5.199084668192223E-4</v>
      </c>
    </row>
    <row r="54" spans="1:16" x14ac:dyDescent="0.25">
      <c r="A54" s="1">
        <v>2.6</v>
      </c>
      <c r="B54" s="2">
        <v>-6.3239999999999998</v>
      </c>
      <c r="C54">
        <v>2E-3</v>
      </c>
      <c r="H54">
        <f t="shared" si="0"/>
        <v>2.6</v>
      </c>
      <c r="I54">
        <f t="shared" si="1"/>
        <v>-6.3239999999999998</v>
      </c>
      <c r="J54">
        <f t="shared" si="2"/>
        <v>1.9105748561126137E-3</v>
      </c>
      <c r="K54">
        <f t="shared" si="3"/>
        <v>-126.81646940048374</v>
      </c>
      <c r="L54">
        <f t="shared" si="4"/>
        <v>1.2737165707417421E-3</v>
      </c>
      <c r="O54">
        <f t="shared" si="5"/>
        <v>-126.6560437592434</v>
      </c>
      <c r="P54">
        <f t="shared" si="6"/>
        <v>-5.210549430229069E-4</v>
      </c>
    </row>
    <row r="55" spans="1:16" x14ac:dyDescent="0.25">
      <c r="A55" s="1">
        <v>2.65</v>
      </c>
      <c r="B55" s="2">
        <v>-6.3239999999999998</v>
      </c>
      <c r="C55">
        <v>2E-3</v>
      </c>
      <c r="H55">
        <f t="shared" si="0"/>
        <v>2.65</v>
      </c>
      <c r="I55">
        <f t="shared" si="1"/>
        <v>-6.3239999999999998</v>
      </c>
      <c r="J55">
        <f t="shared" si="2"/>
        <v>1.908855141807087E-3</v>
      </c>
      <c r="K55">
        <f t="shared" si="3"/>
        <v>-126.81646940048374</v>
      </c>
      <c r="L55">
        <f t="shared" si="4"/>
        <v>1.2725700945380577E-3</v>
      </c>
      <c r="O55">
        <f t="shared" si="5"/>
        <v>-126.6560437592434</v>
      </c>
      <c r="P55">
        <f t="shared" si="6"/>
        <v>-5.2220141922659129E-4</v>
      </c>
    </row>
    <row r="56" spans="1:16" x14ac:dyDescent="0.25">
      <c r="A56" s="1">
        <v>2.7</v>
      </c>
      <c r="B56" s="2">
        <v>-6.3239999999999998</v>
      </c>
      <c r="C56">
        <v>2E-3</v>
      </c>
      <c r="H56">
        <f t="shared" si="0"/>
        <v>2.7</v>
      </c>
      <c r="I56">
        <f t="shared" si="1"/>
        <v>-6.3239999999999998</v>
      </c>
      <c r="J56">
        <f t="shared" si="2"/>
        <v>1.9071354275015603E-3</v>
      </c>
      <c r="K56">
        <f t="shared" si="3"/>
        <v>-126.81646940048374</v>
      </c>
      <c r="L56">
        <f t="shared" si="4"/>
        <v>1.2714236183343733E-3</v>
      </c>
      <c r="O56">
        <f t="shared" si="5"/>
        <v>-126.6560437592434</v>
      </c>
      <c r="P56">
        <f t="shared" si="6"/>
        <v>-5.2334789543027568E-4</v>
      </c>
    </row>
    <row r="57" spans="1:16" x14ac:dyDescent="0.25">
      <c r="A57" s="1">
        <v>2.75</v>
      </c>
      <c r="B57" s="2">
        <v>-6.31</v>
      </c>
      <c r="C57">
        <v>2E-3</v>
      </c>
      <c r="H57">
        <f t="shared" si="0"/>
        <v>2.75</v>
      </c>
      <c r="I57">
        <f t="shared" si="1"/>
        <v>-6.31</v>
      </c>
      <c r="J57">
        <f t="shared" si="2"/>
        <v>1.9054157131960336E-3</v>
      </c>
      <c r="K57">
        <f t="shared" si="3"/>
        <v>-126.53572452831315</v>
      </c>
      <c r="L57">
        <f t="shared" si="4"/>
        <v>1.2702771421306887E-3</v>
      </c>
      <c r="O57">
        <f t="shared" si="5"/>
        <v>-126.37529888707282</v>
      </c>
      <c r="P57">
        <f t="shared" si="6"/>
        <v>-5.2449437163396028E-4</v>
      </c>
    </row>
    <row r="58" spans="1:16" x14ac:dyDescent="0.25">
      <c r="A58" s="1">
        <v>2.8</v>
      </c>
      <c r="B58" s="2">
        <v>-6.1959999999999997</v>
      </c>
      <c r="C58">
        <v>3.0000000000000001E-3</v>
      </c>
      <c r="H58">
        <f t="shared" si="0"/>
        <v>2.8</v>
      </c>
      <c r="I58">
        <f t="shared" si="1"/>
        <v>-6.1959999999999997</v>
      </c>
      <c r="J58">
        <f t="shared" si="2"/>
        <v>2.9036959988905072E-3</v>
      </c>
      <c r="K58">
        <f t="shared" si="3"/>
        <v>-124.2496591406384</v>
      </c>
      <c r="L58">
        <f t="shared" si="4"/>
        <v>1.9357973325936711E-3</v>
      </c>
      <c r="O58">
        <f t="shared" si="5"/>
        <v>-124.08923349939806</v>
      </c>
      <c r="P58">
        <f t="shared" si="6"/>
        <v>1.4102581882902208E-4</v>
      </c>
    </row>
    <row r="59" spans="1:16" x14ac:dyDescent="0.25">
      <c r="A59" s="1">
        <v>2.85</v>
      </c>
      <c r="B59" s="2">
        <v>-6.0759999999999996</v>
      </c>
      <c r="C59">
        <v>2E-3</v>
      </c>
      <c r="H59">
        <f t="shared" si="0"/>
        <v>2.85</v>
      </c>
      <c r="I59">
        <f t="shared" si="1"/>
        <v>-6.0759999999999996</v>
      </c>
      <c r="J59">
        <f t="shared" si="2"/>
        <v>1.9019762845849802E-3</v>
      </c>
      <c r="K59">
        <f t="shared" si="3"/>
        <v>-121.8432745220334</v>
      </c>
      <c r="L59">
        <f t="shared" si="4"/>
        <v>1.2679841897233199E-3</v>
      </c>
      <c r="O59">
        <f t="shared" si="5"/>
        <v>-121.68284888079306</v>
      </c>
      <c r="P59">
        <f t="shared" si="6"/>
        <v>-5.2678732404132906E-4</v>
      </c>
    </row>
    <row r="60" spans="1:16" x14ac:dyDescent="0.25">
      <c r="A60" s="1">
        <v>2.9</v>
      </c>
      <c r="B60" s="2">
        <v>-6.032</v>
      </c>
      <c r="C60">
        <v>3.0000000000000001E-3</v>
      </c>
      <c r="H60">
        <f t="shared" si="0"/>
        <v>2.9</v>
      </c>
      <c r="I60">
        <f t="shared" si="1"/>
        <v>-6.032</v>
      </c>
      <c r="J60">
        <f t="shared" si="2"/>
        <v>2.9002565702794538E-3</v>
      </c>
      <c r="K60">
        <f t="shared" si="3"/>
        <v>-120.96093349521158</v>
      </c>
      <c r="L60">
        <f t="shared" si="4"/>
        <v>1.9335043801863021E-3</v>
      </c>
      <c r="O60">
        <f t="shared" si="5"/>
        <v>-120.80050785397124</v>
      </c>
      <c r="P60">
        <f t="shared" si="6"/>
        <v>1.3873286642165309E-4</v>
      </c>
    </row>
    <row r="61" spans="1:16" x14ac:dyDescent="0.25">
      <c r="A61" s="1">
        <v>2.95</v>
      </c>
      <c r="B61" s="2">
        <v>-5.9359999999999999</v>
      </c>
      <c r="C61">
        <v>2E-3</v>
      </c>
      <c r="H61">
        <f t="shared" si="0"/>
        <v>2.95</v>
      </c>
      <c r="I61">
        <f t="shared" si="1"/>
        <v>-5.9359999999999999</v>
      </c>
      <c r="J61">
        <f t="shared" si="2"/>
        <v>1.8985368559739271E-3</v>
      </c>
      <c r="K61">
        <f t="shared" si="3"/>
        <v>-119.03582580032756</v>
      </c>
      <c r="L61">
        <f t="shared" si="4"/>
        <v>1.2656912373159512E-3</v>
      </c>
      <c r="O61">
        <f t="shared" si="5"/>
        <v>-118.87540015908722</v>
      </c>
      <c r="P61">
        <f t="shared" si="6"/>
        <v>-5.2908027644869783E-4</v>
      </c>
    </row>
    <row r="62" spans="1:16" x14ac:dyDescent="0.25">
      <c r="A62" s="1">
        <v>3</v>
      </c>
      <c r="B62" s="2">
        <v>-5.8369999999999997</v>
      </c>
      <c r="C62">
        <v>3.0000000000000001E-3</v>
      </c>
      <c r="H62">
        <f t="shared" si="0"/>
        <v>3</v>
      </c>
      <c r="I62">
        <f t="shared" si="1"/>
        <v>-5.8369999999999997</v>
      </c>
      <c r="J62">
        <f t="shared" si="2"/>
        <v>2.8968171416684004E-3</v>
      </c>
      <c r="K62">
        <f t="shared" si="3"/>
        <v>-117.05055848997843</v>
      </c>
      <c r="L62">
        <f t="shared" si="4"/>
        <v>1.9312114277789331E-3</v>
      </c>
      <c r="O62">
        <f t="shared" si="5"/>
        <v>-116.89013284873809</v>
      </c>
      <c r="P62">
        <f t="shared" si="6"/>
        <v>1.364399140142841E-4</v>
      </c>
    </row>
    <row r="63" spans="1:16" x14ac:dyDescent="0.25">
      <c r="A63" s="1">
        <v>3.05</v>
      </c>
      <c r="B63" s="2">
        <v>-5.7329999999999997</v>
      </c>
      <c r="C63">
        <v>2E-3</v>
      </c>
      <c r="H63">
        <f t="shared" si="0"/>
        <v>3.05</v>
      </c>
      <c r="I63">
        <f t="shared" si="1"/>
        <v>-5.7329999999999997</v>
      </c>
      <c r="J63">
        <f t="shared" si="2"/>
        <v>1.8950974273628737E-3</v>
      </c>
      <c r="K63">
        <f t="shared" si="3"/>
        <v>-114.96502515385409</v>
      </c>
      <c r="L63">
        <f t="shared" si="4"/>
        <v>1.2633982849085822E-3</v>
      </c>
      <c r="O63">
        <f t="shared" si="5"/>
        <v>-114.80459951261375</v>
      </c>
      <c r="P63">
        <f t="shared" si="6"/>
        <v>-5.3137322885606682E-4</v>
      </c>
    </row>
    <row r="64" spans="1:16" x14ac:dyDescent="0.25">
      <c r="A64" s="1">
        <v>3.1</v>
      </c>
      <c r="B64" s="2">
        <v>-5.7110000000000003</v>
      </c>
      <c r="C64">
        <v>3.0000000000000001E-3</v>
      </c>
      <c r="H64">
        <f t="shared" si="0"/>
        <v>3.1</v>
      </c>
      <c r="I64">
        <f t="shared" si="1"/>
        <v>-5.7110000000000003</v>
      </c>
      <c r="J64">
        <f t="shared" si="2"/>
        <v>2.893377713057347E-3</v>
      </c>
      <c r="K64">
        <f t="shared" si="3"/>
        <v>-114.52385464044319</v>
      </c>
      <c r="L64">
        <f t="shared" si="4"/>
        <v>1.9289184753715643E-3</v>
      </c>
      <c r="O64">
        <f t="shared" si="5"/>
        <v>-114.36342899920285</v>
      </c>
      <c r="P64">
        <f t="shared" si="6"/>
        <v>1.3414696160691532E-4</v>
      </c>
    </row>
    <row r="65" spans="1:16" x14ac:dyDescent="0.25">
      <c r="A65" s="1">
        <v>3.15</v>
      </c>
      <c r="B65" s="2">
        <v>-5.7110000000000003</v>
      </c>
      <c r="C65">
        <v>3.0000000000000001E-3</v>
      </c>
      <c r="H65">
        <f t="shared" si="0"/>
        <v>3.15</v>
      </c>
      <c r="I65">
        <f t="shared" si="1"/>
        <v>-5.7110000000000003</v>
      </c>
      <c r="J65">
        <f t="shared" si="2"/>
        <v>2.8916579987518206E-3</v>
      </c>
      <c r="K65">
        <f t="shared" si="3"/>
        <v>-114.52385464044319</v>
      </c>
      <c r="L65">
        <f t="shared" si="4"/>
        <v>1.9277719991678799E-3</v>
      </c>
      <c r="O65">
        <f t="shared" si="5"/>
        <v>-114.36342899920285</v>
      </c>
      <c r="P65">
        <f t="shared" si="6"/>
        <v>1.3300048540323094E-4</v>
      </c>
    </row>
    <row r="66" spans="1:16" x14ac:dyDescent="0.25">
      <c r="A66" s="1">
        <v>3.2</v>
      </c>
      <c r="B66" s="2">
        <v>-5.7119999999999997</v>
      </c>
      <c r="C66">
        <v>3.0000000000000001E-3</v>
      </c>
      <c r="H66">
        <f t="shared" si="0"/>
        <v>3.2</v>
      </c>
      <c r="I66">
        <f t="shared" si="1"/>
        <v>-5.7119999999999997</v>
      </c>
      <c r="J66">
        <f t="shared" si="2"/>
        <v>2.8899382844462937E-3</v>
      </c>
      <c r="K66">
        <f t="shared" si="3"/>
        <v>-114.54390784559821</v>
      </c>
      <c r="L66">
        <f t="shared" si="4"/>
        <v>1.9266255229641953E-3</v>
      </c>
      <c r="O66">
        <f t="shared" si="5"/>
        <v>-114.38348220435788</v>
      </c>
      <c r="P66">
        <f t="shared" si="6"/>
        <v>1.3185400919954633E-4</v>
      </c>
    </row>
    <row r="67" spans="1:16" x14ac:dyDescent="0.25">
      <c r="A67" s="1">
        <v>3.25</v>
      </c>
      <c r="B67" s="2">
        <v>-5.7119999999999997</v>
      </c>
      <c r="C67">
        <v>2E-3</v>
      </c>
      <c r="H67">
        <f t="shared" ref="H67:H130" si="7">A67</f>
        <v>3.25</v>
      </c>
      <c r="I67">
        <f t="shared" ref="I67:I130" si="8">B67</f>
        <v>-5.7119999999999997</v>
      </c>
      <c r="J67">
        <f t="shared" ref="J67:J130" si="9">C67-E$12*A67</f>
        <v>1.8882185701407672E-3</v>
      </c>
      <c r="K67">
        <f t="shared" ref="K67:K130" si="10">F$24*I67</f>
        <v>-114.54390784559821</v>
      </c>
      <c r="L67">
        <f t="shared" ref="L67:L130" si="11">F$25*J67</f>
        <v>1.2588123800938444E-3</v>
      </c>
      <c r="O67">
        <f t="shared" ref="O67:O130" si="12">K67-N$12</f>
        <v>-114.38348220435788</v>
      </c>
      <c r="P67">
        <f t="shared" ref="P67:P130" si="13">L67-N$15</f>
        <v>-5.3595913367080459E-4</v>
      </c>
    </row>
    <row r="68" spans="1:16" x14ac:dyDescent="0.25">
      <c r="A68" s="1">
        <v>3.3</v>
      </c>
      <c r="B68" s="2">
        <v>-5.7119999999999997</v>
      </c>
      <c r="C68">
        <v>3.0000000000000001E-3</v>
      </c>
      <c r="H68">
        <f t="shared" si="7"/>
        <v>3.3</v>
      </c>
      <c r="I68">
        <f t="shared" si="8"/>
        <v>-5.7119999999999997</v>
      </c>
      <c r="J68">
        <f t="shared" si="9"/>
        <v>2.8864988558352403E-3</v>
      </c>
      <c r="K68">
        <f t="shared" si="10"/>
        <v>-114.54390784559821</v>
      </c>
      <c r="L68">
        <f t="shared" si="11"/>
        <v>1.9243325705568263E-3</v>
      </c>
      <c r="O68">
        <f t="shared" si="12"/>
        <v>-114.38348220435788</v>
      </c>
      <c r="P68">
        <f t="shared" si="13"/>
        <v>1.2956105679217734E-4</v>
      </c>
    </row>
    <row r="69" spans="1:16" x14ac:dyDescent="0.25">
      <c r="A69" s="1">
        <v>3.35</v>
      </c>
      <c r="B69" s="2">
        <v>-5.7050000000000001</v>
      </c>
      <c r="C69">
        <v>2E-3</v>
      </c>
      <c r="H69">
        <f t="shared" si="7"/>
        <v>3.35</v>
      </c>
      <c r="I69">
        <f t="shared" si="8"/>
        <v>-5.7050000000000001</v>
      </c>
      <c r="J69">
        <f t="shared" si="9"/>
        <v>1.8847791415297138E-3</v>
      </c>
      <c r="K69">
        <f t="shared" si="10"/>
        <v>-114.40353540951293</v>
      </c>
      <c r="L69">
        <f t="shared" si="11"/>
        <v>1.2565194276864756E-3</v>
      </c>
      <c r="O69">
        <f t="shared" si="12"/>
        <v>-114.24310976827259</v>
      </c>
      <c r="P69">
        <f t="shared" si="13"/>
        <v>-5.3825208607817337E-4</v>
      </c>
    </row>
    <row r="70" spans="1:16" x14ac:dyDescent="0.25">
      <c r="A70" s="1">
        <v>3.4</v>
      </c>
      <c r="B70" s="2">
        <v>-5.6369999999999996</v>
      </c>
      <c r="C70">
        <v>3.0000000000000001E-3</v>
      </c>
      <c r="H70">
        <f t="shared" si="7"/>
        <v>3.4</v>
      </c>
      <c r="I70">
        <f t="shared" si="8"/>
        <v>-5.6369999999999996</v>
      </c>
      <c r="J70">
        <f t="shared" si="9"/>
        <v>2.8830594272241869E-3</v>
      </c>
      <c r="K70">
        <f t="shared" si="10"/>
        <v>-113.03991745897008</v>
      </c>
      <c r="L70">
        <f t="shared" si="11"/>
        <v>1.9220396181494576E-3</v>
      </c>
      <c r="O70">
        <f t="shared" si="12"/>
        <v>-112.87949181772974</v>
      </c>
      <c r="P70">
        <f t="shared" si="13"/>
        <v>1.2726810438480857E-4</v>
      </c>
    </row>
    <row r="71" spans="1:16" x14ac:dyDescent="0.25">
      <c r="A71" s="1">
        <v>3.45</v>
      </c>
      <c r="B71" s="2">
        <v>-5.5839999999999996</v>
      </c>
      <c r="C71">
        <v>2E-3</v>
      </c>
      <c r="H71">
        <f t="shared" si="7"/>
        <v>3.45</v>
      </c>
      <c r="I71">
        <f t="shared" si="8"/>
        <v>-5.5839999999999996</v>
      </c>
      <c r="J71">
        <f t="shared" si="9"/>
        <v>1.8813397129186604E-3</v>
      </c>
      <c r="K71">
        <f t="shared" si="10"/>
        <v>-111.97709758575287</v>
      </c>
      <c r="L71">
        <f t="shared" si="11"/>
        <v>1.2542264752791066E-3</v>
      </c>
      <c r="O71">
        <f t="shared" si="12"/>
        <v>-111.81667194451254</v>
      </c>
      <c r="P71">
        <f t="shared" si="13"/>
        <v>-5.4054503848554236E-4</v>
      </c>
    </row>
    <row r="72" spans="1:16" x14ac:dyDescent="0.25">
      <c r="A72" s="1">
        <v>3.5</v>
      </c>
      <c r="B72" s="2">
        <v>-5.5510000000000002</v>
      </c>
      <c r="C72">
        <v>3.0000000000000001E-3</v>
      </c>
      <c r="H72">
        <f t="shared" si="7"/>
        <v>3.5</v>
      </c>
      <c r="I72">
        <f t="shared" si="8"/>
        <v>-5.5510000000000002</v>
      </c>
      <c r="J72">
        <f t="shared" si="9"/>
        <v>2.879619998613134E-3</v>
      </c>
      <c r="K72">
        <f t="shared" si="10"/>
        <v>-111.31534181563651</v>
      </c>
      <c r="L72">
        <f t="shared" si="11"/>
        <v>1.9197466657420888E-3</v>
      </c>
      <c r="O72">
        <f t="shared" si="12"/>
        <v>-111.15491617439618</v>
      </c>
      <c r="P72">
        <f t="shared" si="13"/>
        <v>1.2497515197743979E-4</v>
      </c>
    </row>
    <row r="73" spans="1:16" x14ac:dyDescent="0.25">
      <c r="A73" s="1">
        <v>3.55</v>
      </c>
      <c r="B73" s="2">
        <v>-5.5229999999999997</v>
      </c>
      <c r="C73">
        <v>2E-3</v>
      </c>
      <c r="H73">
        <f t="shared" si="7"/>
        <v>3.55</v>
      </c>
      <c r="I73">
        <f t="shared" si="8"/>
        <v>-5.5229999999999997</v>
      </c>
      <c r="J73">
        <f t="shared" si="9"/>
        <v>1.877900284307607E-3</v>
      </c>
      <c r="K73">
        <f t="shared" si="10"/>
        <v>-110.75385207129534</v>
      </c>
      <c r="L73">
        <f t="shared" si="11"/>
        <v>1.2519335228717377E-3</v>
      </c>
      <c r="O73">
        <f t="shared" si="12"/>
        <v>-110.593426430055</v>
      </c>
      <c r="P73">
        <f t="shared" si="13"/>
        <v>-5.4283799089291135E-4</v>
      </c>
    </row>
    <row r="74" spans="1:16" x14ac:dyDescent="0.25">
      <c r="A74" s="1">
        <v>3.6</v>
      </c>
      <c r="B74" s="2">
        <v>-5.4960000000000004</v>
      </c>
      <c r="C74">
        <v>3.0000000000000001E-3</v>
      </c>
      <c r="H74">
        <f t="shared" si="7"/>
        <v>3.6</v>
      </c>
      <c r="I74">
        <f t="shared" si="8"/>
        <v>-5.4960000000000004</v>
      </c>
      <c r="J74">
        <f t="shared" si="9"/>
        <v>2.8761805700020806E-3</v>
      </c>
      <c r="K74">
        <f t="shared" si="10"/>
        <v>-110.21241553210922</v>
      </c>
      <c r="L74">
        <f t="shared" si="11"/>
        <v>1.91745371333472E-3</v>
      </c>
      <c r="O74">
        <f t="shared" si="12"/>
        <v>-110.05198989086888</v>
      </c>
      <c r="P74">
        <f t="shared" si="13"/>
        <v>1.2268219957007102E-4</v>
      </c>
    </row>
    <row r="75" spans="1:16" x14ac:dyDescent="0.25">
      <c r="A75" s="1">
        <v>3.65</v>
      </c>
      <c r="B75" s="2">
        <v>-5.4589999999999996</v>
      </c>
      <c r="C75">
        <v>2E-3</v>
      </c>
      <c r="H75">
        <f t="shared" si="7"/>
        <v>3.65</v>
      </c>
      <c r="I75">
        <f t="shared" si="8"/>
        <v>-5.4589999999999996</v>
      </c>
      <c r="J75">
        <f t="shared" si="9"/>
        <v>1.8744608556965539E-3</v>
      </c>
      <c r="K75">
        <f t="shared" si="10"/>
        <v>-109.47044694137267</v>
      </c>
      <c r="L75">
        <f t="shared" si="11"/>
        <v>1.2496405704643689E-3</v>
      </c>
      <c r="O75">
        <f t="shared" si="12"/>
        <v>-109.31002130013233</v>
      </c>
      <c r="P75">
        <f t="shared" si="13"/>
        <v>-5.4513094330028013E-4</v>
      </c>
    </row>
    <row r="76" spans="1:16" x14ac:dyDescent="0.25">
      <c r="A76" s="1">
        <v>3.7</v>
      </c>
      <c r="B76" s="2">
        <v>-5.4240000000000004</v>
      </c>
      <c r="C76">
        <v>2E-3</v>
      </c>
      <c r="H76">
        <f t="shared" si="7"/>
        <v>3.7</v>
      </c>
      <c r="I76">
        <f t="shared" si="8"/>
        <v>-5.4240000000000004</v>
      </c>
      <c r="J76">
        <f t="shared" si="9"/>
        <v>1.8727411413910272E-3</v>
      </c>
      <c r="K76">
        <f t="shared" si="10"/>
        <v>-108.76858476094623</v>
      </c>
      <c r="L76">
        <f t="shared" si="11"/>
        <v>1.2484940942606845E-3</v>
      </c>
      <c r="O76">
        <f t="shared" si="12"/>
        <v>-108.60815911970589</v>
      </c>
      <c r="P76">
        <f t="shared" si="13"/>
        <v>-5.4627741950396451E-4</v>
      </c>
    </row>
    <row r="77" spans="1:16" x14ac:dyDescent="0.25">
      <c r="A77" s="1">
        <v>3.75</v>
      </c>
      <c r="B77" s="2">
        <v>-5.4020000000000001</v>
      </c>
      <c r="C77">
        <v>2E-3</v>
      </c>
      <c r="H77">
        <f t="shared" si="7"/>
        <v>3.75</v>
      </c>
      <c r="I77">
        <f t="shared" si="8"/>
        <v>-5.4020000000000001</v>
      </c>
      <c r="J77">
        <f t="shared" si="9"/>
        <v>1.8710214270855005E-3</v>
      </c>
      <c r="K77">
        <f t="shared" si="10"/>
        <v>-108.3274142475353</v>
      </c>
      <c r="L77">
        <f t="shared" si="11"/>
        <v>1.2473476180570001E-3</v>
      </c>
      <c r="O77">
        <f t="shared" si="12"/>
        <v>-108.16698860629496</v>
      </c>
      <c r="P77">
        <f t="shared" si="13"/>
        <v>-5.474238957076489E-4</v>
      </c>
    </row>
    <row r="78" spans="1:16" x14ac:dyDescent="0.25">
      <c r="A78" s="1">
        <v>3.8</v>
      </c>
      <c r="B78" s="2">
        <v>-5.3319999999999999</v>
      </c>
      <c r="C78">
        <v>3.0000000000000001E-3</v>
      </c>
      <c r="H78">
        <f t="shared" si="7"/>
        <v>3.8</v>
      </c>
      <c r="I78">
        <f t="shared" si="8"/>
        <v>-5.3319999999999999</v>
      </c>
      <c r="J78">
        <f t="shared" si="9"/>
        <v>2.8693017127799738E-3</v>
      </c>
      <c r="K78">
        <f t="shared" si="10"/>
        <v>-106.92368988668237</v>
      </c>
      <c r="L78">
        <f t="shared" si="11"/>
        <v>1.912867808519982E-3</v>
      </c>
      <c r="O78">
        <f t="shared" si="12"/>
        <v>-106.76326424544203</v>
      </c>
      <c r="P78">
        <f t="shared" si="13"/>
        <v>1.1809629475533303E-4</v>
      </c>
    </row>
    <row r="79" spans="1:16" x14ac:dyDescent="0.25">
      <c r="A79" s="1">
        <v>3.85</v>
      </c>
      <c r="B79" s="2">
        <v>-5.2910000000000004</v>
      </c>
      <c r="C79">
        <v>2E-3</v>
      </c>
      <c r="H79">
        <f t="shared" si="7"/>
        <v>3.85</v>
      </c>
      <c r="I79">
        <f t="shared" si="8"/>
        <v>-5.2910000000000004</v>
      </c>
      <c r="J79">
        <f t="shared" si="9"/>
        <v>1.8675819984744471E-3</v>
      </c>
      <c r="K79">
        <f t="shared" si="10"/>
        <v>-106.10150847532567</v>
      </c>
      <c r="L79">
        <f t="shared" si="11"/>
        <v>1.2450546656496311E-3</v>
      </c>
      <c r="O79">
        <f t="shared" si="12"/>
        <v>-105.94108283408534</v>
      </c>
      <c r="P79">
        <f t="shared" si="13"/>
        <v>-5.4971684811501789E-4</v>
      </c>
    </row>
    <row r="80" spans="1:16" x14ac:dyDescent="0.25">
      <c r="A80" s="1">
        <v>3.9</v>
      </c>
      <c r="B80" s="2">
        <v>-5.2910000000000004</v>
      </c>
      <c r="C80">
        <v>3.0000000000000001E-3</v>
      </c>
      <c r="H80">
        <f t="shared" si="7"/>
        <v>3.9</v>
      </c>
      <c r="I80">
        <f t="shared" si="8"/>
        <v>-5.2910000000000004</v>
      </c>
      <c r="J80">
        <f t="shared" si="9"/>
        <v>2.8658622841689204E-3</v>
      </c>
      <c r="K80">
        <f t="shared" si="10"/>
        <v>-106.10150847532567</v>
      </c>
      <c r="L80">
        <f t="shared" si="11"/>
        <v>1.9105748561126133E-3</v>
      </c>
      <c r="O80">
        <f t="shared" si="12"/>
        <v>-105.94108283408534</v>
      </c>
      <c r="P80">
        <f t="shared" si="13"/>
        <v>1.1580334234796426E-4</v>
      </c>
    </row>
    <row r="81" spans="1:16" x14ac:dyDescent="0.25">
      <c r="A81" s="1">
        <v>3.95</v>
      </c>
      <c r="B81" s="2">
        <v>-5.2910000000000004</v>
      </c>
      <c r="C81">
        <v>2E-3</v>
      </c>
      <c r="H81">
        <f t="shared" si="7"/>
        <v>3.95</v>
      </c>
      <c r="I81">
        <f t="shared" si="8"/>
        <v>-5.2910000000000004</v>
      </c>
      <c r="J81">
        <f t="shared" si="9"/>
        <v>1.8641425698633937E-3</v>
      </c>
      <c r="K81">
        <f t="shared" si="10"/>
        <v>-106.10150847532567</v>
      </c>
      <c r="L81">
        <f t="shared" si="11"/>
        <v>1.2427617132422621E-3</v>
      </c>
      <c r="O81">
        <f t="shared" si="12"/>
        <v>-105.94108283408534</v>
      </c>
      <c r="P81">
        <f t="shared" si="13"/>
        <v>-5.5200980052238688E-4</v>
      </c>
    </row>
    <row r="82" spans="1:16" x14ac:dyDescent="0.25">
      <c r="A82" s="1">
        <v>4</v>
      </c>
      <c r="B82" s="2">
        <v>-5.2910000000000004</v>
      </c>
      <c r="C82">
        <v>2E-3</v>
      </c>
      <c r="H82">
        <f t="shared" si="7"/>
        <v>4</v>
      </c>
      <c r="I82">
        <f t="shared" si="8"/>
        <v>-5.2910000000000004</v>
      </c>
      <c r="J82">
        <f t="shared" si="9"/>
        <v>1.862422855557867E-3</v>
      </c>
      <c r="K82">
        <f t="shared" si="10"/>
        <v>-106.10150847532567</v>
      </c>
      <c r="L82">
        <f t="shared" si="11"/>
        <v>1.2416152370385777E-3</v>
      </c>
      <c r="O82">
        <f t="shared" si="12"/>
        <v>-105.94108283408534</v>
      </c>
      <c r="P82">
        <f t="shared" si="13"/>
        <v>-5.5315627672607127E-4</v>
      </c>
    </row>
    <row r="83" spans="1:16" x14ac:dyDescent="0.25">
      <c r="A83" s="1">
        <v>4.05</v>
      </c>
      <c r="B83" s="2">
        <v>-5.2910000000000004</v>
      </c>
      <c r="C83">
        <v>2E-3</v>
      </c>
      <c r="H83">
        <f t="shared" si="7"/>
        <v>4.05</v>
      </c>
      <c r="I83">
        <f t="shared" si="8"/>
        <v>-5.2910000000000004</v>
      </c>
      <c r="J83">
        <f t="shared" si="9"/>
        <v>1.8607031412523406E-3</v>
      </c>
      <c r="K83">
        <f t="shared" si="10"/>
        <v>-106.10150847532567</v>
      </c>
      <c r="L83">
        <f t="shared" si="11"/>
        <v>1.2404687608348933E-3</v>
      </c>
      <c r="O83">
        <f t="shared" si="12"/>
        <v>-105.94108283408534</v>
      </c>
      <c r="P83">
        <f t="shared" si="13"/>
        <v>-5.5430275292975566E-4</v>
      </c>
    </row>
    <row r="84" spans="1:16" x14ac:dyDescent="0.25">
      <c r="A84" s="1">
        <v>4.0999999999999996</v>
      </c>
      <c r="B84" s="2">
        <v>-5.2910000000000004</v>
      </c>
      <c r="C84">
        <v>3.0000000000000001E-3</v>
      </c>
      <c r="H84">
        <f t="shared" si="7"/>
        <v>4.0999999999999996</v>
      </c>
      <c r="I84">
        <f t="shared" si="8"/>
        <v>-5.2910000000000004</v>
      </c>
      <c r="J84">
        <f t="shared" si="9"/>
        <v>2.8589834269468137E-3</v>
      </c>
      <c r="K84">
        <f t="shared" si="10"/>
        <v>-106.10150847532567</v>
      </c>
      <c r="L84">
        <f t="shared" si="11"/>
        <v>1.9059889512978753E-3</v>
      </c>
      <c r="O84">
        <f t="shared" si="12"/>
        <v>-105.94108283408534</v>
      </c>
      <c r="P84">
        <f t="shared" si="13"/>
        <v>1.1121743753322627E-4</v>
      </c>
    </row>
    <row r="85" spans="1:16" x14ac:dyDescent="0.25">
      <c r="A85" s="1">
        <v>4.1500000000000004</v>
      </c>
      <c r="B85" s="2">
        <v>-5.29</v>
      </c>
      <c r="C85">
        <v>2E-3</v>
      </c>
      <c r="H85">
        <f t="shared" si="7"/>
        <v>4.1500000000000004</v>
      </c>
      <c r="I85">
        <f t="shared" si="8"/>
        <v>-5.29</v>
      </c>
      <c r="J85">
        <f t="shared" si="9"/>
        <v>1.8572637126412872E-3</v>
      </c>
      <c r="K85">
        <f t="shared" si="10"/>
        <v>-106.08145527017062</v>
      </c>
      <c r="L85">
        <f t="shared" si="11"/>
        <v>1.2381758084275246E-3</v>
      </c>
      <c r="O85">
        <f t="shared" si="12"/>
        <v>-105.92102962893028</v>
      </c>
      <c r="P85">
        <f t="shared" si="13"/>
        <v>-5.5659570533712443E-4</v>
      </c>
    </row>
    <row r="86" spans="1:16" x14ac:dyDescent="0.25">
      <c r="A86" s="1">
        <v>4.2</v>
      </c>
      <c r="B86" s="2">
        <v>-5.202</v>
      </c>
      <c r="C86">
        <v>3.0000000000000001E-3</v>
      </c>
      <c r="H86">
        <f t="shared" si="7"/>
        <v>4.2</v>
      </c>
      <c r="I86">
        <f t="shared" si="8"/>
        <v>-5.202</v>
      </c>
      <c r="J86">
        <f t="shared" si="9"/>
        <v>2.8555439983357607E-3</v>
      </c>
      <c r="K86">
        <f t="shared" si="10"/>
        <v>-104.31677321652695</v>
      </c>
      <c r="L86">
        <f t="shared" si="11"/>
        <v>1.9036959988905067E-3</v>
      </c>
      <c r="O86">
        <f t="shared" si="12"/>
        <v>-104.15634757528662</v>
      </c>
      <c r="P86">
        <f t="shared" si="13"/>
        <v>1.0892448512585771E-4</v>
      </c>
    </row>
    <row r="87" spans="1:16" x14ac:dyDescent="0.25">
      <c r="A87" s="1">
        <v>4.25</v>
      </c>
      <c r="B87" s="2">
        <v>-5.0469999999999997</v>
      </c>
      <c r="C87">
        <v>2E-3</v>
      </c>
      <c r="H87">
        <f t="shared" si="7"/>
        <v>4.25</v>
      </c>
      <c r="I87">
        <f t="shared" si="8"/>
        <v>-5.0469999999999997</v>
      </c>
      <c r="J87">
        <f t="shared" si="9"/>
        <v>1.8538242840302338E-3</v>
      </c>
      <c r="K87">
        <f t="shared" si="10"/>
        <v>-101.20852641749548</v>
      </c>
      <c r="L87">
        <f t="shared" si="11"/>
        <v>1.2358828560201556E-3</v>
      </c>
      <c r="O87">
        <f t="shared" si="12"/>
        <v>-101.04810077625514</v>
      </c>
      <c r="P87">
        <f t="shared" si="13"/>
        <v>-5.5888865774449343E-4</v>
      </c>
    </row>
    <row r="88" spans="1:16" x14ac:dyDescent="0.25">
      <c r="A88" s="1">
        <v>4.3</v>
      </c>
      <c r="B88" s="2">
        <v>-4.9930000000000003</v>
      </c>
      <c r="C88">
        <v>3.0000000000000001E-3</v>
      </c>
      <c r="H88">
        <f t="shared" si="7"/>
        <v>4.3</v>
      </c>
      <c r="I88">
        <f t="shared" si="8"/>
        <v>-4.9930000000000003</v>
      </c>
      <c r="J88">
        <f t="shared" si="9"/>
        <v>2.8521045697247074E-3</v>
      </c>
      <c r="K88">
        <f t="shared" si="10"/>
        <v>-100.12565333912325</v>
      </c>
      <c r="L88">
        <f t="shared" si="11"/>
        <v>1.9014030464831377E-3</v>
      </c>
      <c r="O88">
        <f t="shared" si="12"/>
        <v>-99.965227697882909</v>
      </c>
      <c r="P88">
        <f t="shared" si="13"/>
        <v>1.0663153271848872E-4</v>
      </c>
    </row>
    <row r="89" spans="1:16" x14ac:dyDescent="0.25">
      <c r="A89" s="1">
        <v>4.3499999999999996</v>
      </c>
      <c r="B89" s="2">
        <v>-4.9850000000000003</v>
      </c>
      <c r="C89">
        <v>2E-3</v>
      </c>
      <c r="H89">
        <f t="shared" si="7"/>
        <v>4.3499999999999996</v>
      </c>
      <c r="I89">
        <f t="shared" si="8"/>
        <v>-4.9850000000000003</v>
      </c>
      <c r="J89">
        <f t="shared" si="9"/>
        <v>1.8503848554191804E-3</v>
      </c>
      <c r="K89">
        <f t="shared" si="10"/>
        <v>-99.965227697882909</v>
      </c>
      <c r="L89">
        <f t="shared" si="11"/>
        <v>1.2335899036127866E-3</v>
      </c>
      <c r="O89">
        <f t="shared" si="12"/>
        <v>-99.804802056642572</v>
      </c>
      <c r="P89">
        <f t="shared" si="13"/>
        <v>-5.6118161015186242E-4</v>
      </c>
    </row>
    <row r="90" spans="1:16" x14ac:dyDescent="0.25">
      <c r="A90" s="1">
        <v>4.4000000000000004</v>
      </c>
      <c r="B90" s="2">
        <v>-4.9569999999999999</v>
      </c>
      <c r="C90">
        <v>3.0000000000000001E-3</v>
      </c>
      <c r="H90">
        <f t="shared" si="7"/>
        <v>4.4000000000000004</v>
      </c>
      <c r="I90">
        <f t="shared" si="8"/>
        <v>-4.9569999999999999</v>
      </c>
      <c r="J90">
        <f t="shared" si="9"/>
        <v>2.848665141113654E-3</v>
      </c>
      <c r="K90">
        <f t="shared" si="10"/>
        <v>-99.403737953541736</v>
      </c>
      <c r="L90">
        <f t="shared" si="11"/>
        <v>1.899110094075769E-3</v>
      </c>
      <c r="O90">
        <f t="shared" si="12"/>
        <v>-99.243312312301398</v>
      </c>
      <c r="P90">
        <f t="shared" si="13"/>
        <v>1.0433858031111995E-4</v>
      </c>
    </row>
    <row r="91" spans="1:16" x14ac:dyDescent="0.25">
      <c r="A91" s="1">
        <v>4.45</v>
      </c>
      <c r="B91" s="2">
        <v>-4.9489999999999998</v>
      </c>
      <c r="C91">
        <v>2E-3</v>
      </c>
      <c r="H91">
        <f t="shared" si="7"/>
        <v>4.45</v>
      </c>
      <c r="I91">
        <f t="shared" si="8"/>
        <v>-4.9489999999999998</v>
      </c>
      <c r="J91">
        <f t="shared" si="9"/>
        <v>1.8469454268081273E-3</v>
      </c>
      <c r="K91">
        <f t="shared" si="10"/>
        <v>-99.243312312301398</v>
      </c>
      <c r="L91">
        <f t="shared" si="11"/>
        <v>1.2312969512054178E-3</v>
      </c>
      <c r="O91">
        <f t="shared" si="12"/>
        <v>-99.082886671061061</v>
      </c>
      <c r="P91">
        <f t="shared" si="13"/>
        <v>-5.6347456255923119E-4</v>
      </c>
    </row>
    <row r="92" spans="1:16" x14ac:dyDescent="0.25">
      <c r="A92" s="1">
        <v>4.5</v>
      </c>
      <c r="B92" s="2">
        <v>-4.9359999999999999</v>
      </c>
      <c r="C92">
        <v>3.0000000000000001E-3</v>
      </c>
      <c r="H92">
        <f t="shared" si="7"/>
        <v>4.5</v>
      </c>
      <c r="I92">
        <f t="shared" si="8"/>
        <v>-4.9359999999999999</v>
      </c>
      <c r="J92">
        <f t="shared" si="9"/>
        <v>2.8452257125026006E-3</v>
      </c>
      <c r="K92">
        <f t="shared" si="10"/>
        <v>-98.982620645285863</v>
      </c>
      <c r="L92">
        <f t="shared" si="11"/>
        <v>1.8968171416684E-3</v>
      </c>
      <c r="O92">
        <f t="shared" si="12"/>
        <v>-98.822195004045525</v>
      </c>
      <c r="P92">
        <f t="shared" si="13"/>
        <v>1.0204562790375096E-4</v>
      </c>
    </row>
    <row r="93" spans="1:16" x14ac:dyDescent="0.25">
      <c r="A93" s="1">
        <v>4.55</v>
      </c>
      <c r="B93" s="2">
        <v>-4.9349999999999996</v>
      </c>
      <c r="C93">
        <v>2E-3</v>
      </c>
      <c r="H93">
        <f t="shared" si="7"/>
        <v>4.55</v>
      </c>
      <c r="I93">
        <f t="shared" si="8"/>
        <v>-4.9349999999999996</v>
      </c>
      <c r="J93">
        <f t="shared" si="9"/>
        <v>1.8435059981970739E-3</v>
      </c>
      <c r="K93">
        <f t="shared" si="10"/>
        <v>-98.962567440130812</v>
      </c>
      <c r="L93">
        <f t="shared" si="11"/>
        <v>1.229003998798049E-3</v>
      </c>
      <c r="O93">
        <f t="shared" si="12"/>
        <v>-98.802141798890474</v>
      </c>
      <c r="P93">
        <f t="shared" si="13"/>
        <v>-5.6576751496659997E-4</v>
      </c>
    </row>
    <row r="94" spans="1:16" x14ac:dyDescent="0.25">
      <c r="A94" s="1">
        <v>4.5999999999999996</v>
      </c>
      <c r="B94" s="2">
        <v>-4.9349999999999996</v>
      </c>
      <c r="C94">
        <v>3.0000000000000001E-3</v>
      </c>
      <c r="H94">
        <f t="shared" si="7"/>
        <v>4.5999999999999996</v>
      </c>
      <c r="I94">
        <f t="shared" si="8"/>
        <v>-4.9349999999999996</v>
      </c>
      <c r="J94">
        <f t="shared" si="9"/>
        <v>2.8417862838915472E-3</v>
      </c>
      <c r="K94">
        <f t="shared" si="10"/>
        <v>-98.962567440130812</v>
      </c>
      <c r="L94">
        <f t="shared" si="11"/>
        <v>1.894524189261031E-3</v>
      </c>
      <c r="O94">
        <f t="shared" si="12"/>
        <v>-98.802141798890474</v>
      </c>
      <c r="P94">
        <f t="shared" si="13"/>
        <v>9.9752675496381964E-5</v>
      </c>
    </row>
    <row r="95" spans="1:16" x14ac:dyDescent="0.25">
      <c r="A95" s="1">
        <v>4.6500000000000004</v>
      </c>
      <c r="B95" s="2">
        <v>-4.9349999999999996</v>
      </c>
      <c r="C95">
        <v>2E-3</v>
      </c>
      <c r="H95">
        <f t="shared" si="7"/>
        <v>4.6500000000000004</v>
      </c>
      <c r="I95">
        <f t="shared" si="8"/>
        <v>-4.9349999999999996</v>
      </c>
      <c r="J95">
        <f t="shared" si="9"/>
        <v>1.8400665695860205E-3</v>
      </c>
      <c r="K95">
        <f t="shared" si="10"/>
        <v>-98.962567440130812</v>
      </c>
      <c r="L95">
        <f t="shared" si="11"/>
        <v>1.22671104639068E-3</v>
      </c>
      <c r="O95">
        <f t="shared" si="12"/>
        <v>-98.802141798890474</v>
      </c>
      <c r="P95">
        <f t="shared" si="13"/>
        <v>-5.6806046737396896E-4</v>
      </c>
    </row>
    <row r="96" spans="1:16" x14ac:dyDescent="0.25">
      <c r="A96" s="1">
        <v>4.7</v>
      </c>
      <c r="B96" s="2">
        <v>-4.9349999999999996</v>
      </c>
      <c r="C96">
        <v>3.0000000000000001E-3</v>
      </c>
      <c r="H96">
        <f t="shared" si="7"/>
        <v>4.7</v>
      </c>
      <c r="I96">
        <f t="shared" si="8"/>
        <v>-4.9349999999999996</v>
      </c>
      <c r="J96">
        <f t="shared" si="9"/>
        <v>2.8383468552804938E-3</v>
      </c>
      <c r="K96">
        <f t="shared" si="10"/>
        <v>-98.962567440130812</v>
      </c>
      <c r="L96">
        <f t="shared" si="11"/>
        <v>1.8922312368536622E-3</v>
      </c>
      <c r="O96">
        <f t="shared" si="12"/>
        <v>-98.802141798890474</v>
      </c>
      <c r="P96">
        <f t="shared" si="13"/>
        <v>9.7459723089013189E-5</v>
      </c>
    </row>
    <row r="97" spans="1:16" x14ac:dyDescent="0.25">
      <c r="A97" s="1">
        <v>4.75</v>
      </c>
      <c r="B97" s="2">
        <v>-4.9329999999999998</v>
      </c>
      <c r="C97">
        <v>2E-3</v>
      </c>
      <c r="H97">
        <f t="shared" si="7"/>
        <v>4.75</v>
      </c>
      <c r="I97">
        <f t="shared" si="8"/>
        <v>-4.9329999999999998</v>
      </c>
      <c r="J97">
        <f t="shared" si="9"/>
        <v>1.8366271409749673E-3</v>
      </c>
      <c r="K97">
        <f t="shared" si="10"/>
        <v>-98.922461029820738</v>
      </c>
      <c r="L97">
        <f t="shared" si="11"/>
        <v>1.2244180939833113E-3</v>
      </c>
      <c r="O97">
        <f t="shared" si="12"/>
        <v>-98.762035388580401</v>
      </c>
      <c r="P97">
        <f t="shared" si="13"/>
        <v>-5.7035341978133773E-4</v>
      </c>
    </row>
    <row r="98" spans="1:16" x14ac:dyDescent="0.25">
      <c r="A98" s="1">
        <v>4.8</v>
      </c>
      <c r="B98" s="2">
        <v>-4.875</v>
      </c>
      <c r="C98">
        <v>3.0000000000000001E-3</v>
      </c>
      <c r="H98">
        <f t="shared" si="7"/>
        <v>4.8</v>
      </c>
      <c r="I98">
        <f t="shared" si="8"/>
        <v>-4.875</v>
      </c>
      <c r="J98">
        <f t="shared" si="9"/>
        <v>2.8349074266694405E-3</v>
      </c>
      <c r="K98">
        <f t="shared" si="10"/>
        <v>-97.759375130828317</v>
      </c>
      <c r="L98">
        <f t="shared" si="11"/>
        <v>1.8899382844462932E-3</v>
      </c>
      <c r="O98">
        <f t="shared" si="12"/>
        <v>-97.59894948958798</v>
      </c>
      <c r="P98">
        <f t="shared" si="13"/>
        <v>9.5166770681644197E-5</v>
      </c>
    </row>
    <row r="99" spans="1:16" x14ac:dyDescent="0.25">
      <c r="A99" s="1">
        <v>4.8499999999999996</v>
      </c>
      <c r="B99" s="2">
        <v>-4.8550000000000004</v>
      </c>
      <c r="C99">
        <v>3.0000000000000001E-3</v>
      </c>
      <c r="H99">
        <f t="shared" si="7"/>
        <v>4.8499999999999996</v>
      </c>
      <c r="I99">
        <f t="shared" si="8"/>
        <v>-4.8550000000000004</v>
      </c>
      <c r="J99">
        <f t="shared" si="9"/>
        <v>2.833187712363914E-3</v>
      </c>
      <c r="K99">
        <f t="shared" si="10"/>
        <v>-97.358311027727495</v>
      </c>
      <c r="L99">
        <f t="shared" si="11"/>
        <v>1.8887918082426088E-3</v>
      </c>
      <c r="O99">
        <f t="shared" si="12"/>
        <v>-97.197885386487158</v>
      </c>
      <c r="P99">
        <f t="shared" si="13"/>
        <v>9.402029447795981E-5</v>
      </c>
    </row>
    <row r="100" spans="1:16" x14ac:dyDescent="0.25">
      <c r="A100" s="1">
        <v>4.9000000000000004</v>
      </c>
      <c r="B100" s="2">
        <v>-4.8310000000000004</v>
      </c>
      <c r="C100">
        <v>3.0000000000000001E-3</v>
      </c>
      <c r="H100">
        <f t="shared" si="7"/>
        <v>4.9000000000000004</v>
      </c>
      <c r="I100">
        <f t="shared" si="8"/>
        <v>-4.8310000000000004</v>
      </c>
      <c r="J100">
        <f t="shared" si="9"/>
        <v>2.8314679980583871E-3</v>
      </c>
      <c r="K100">
        <f t="shared" si="10"/>
        <v>-96.877034104006484</v>
      </c>
      <c r="L100">
        <f t="shared" si="11"/>
        <v>1.8876453320389242E-3</v>
      </c>
      <c r="O100">
        <f t="shared" si="12"/>
        <v>-96.716608462766146</v>
      </c>
      <c r="P100">
        <f t="shared" si="13"/>
        <v>9.2873818274275205E-5</v>
      </c>
    </row>
    <row r="101" spans="1:16" x14ac:dyDescent="0.25">
      <c r="A101" s="1">
        <v>4.95</v>
      </c>
      <c r="B101" s="2">
        <v>-4.7859999999999996</v>
      </c>
      <c r="C101">
        <v>3.0000000000000001E-3</v>
      </c>
      <c r="H101">
        <f t="shared" si="7"/>
        <v>4.95</v>
      </c>
      <c r="I101">
        <f t="shared" si="8"/>
        <v>-4.7859999999999996</v>
      </c>
      <c r="J101">
        <f t="shared" si="9"/>
        <v>2.8297482837528606E-3</v>
      </c>
      <c r="K101">
        <f t="shared" si="10"/>
        <v>-95.974639872029599</v>
      </c>
      <c r="L101">
        <f t="shared" si="11"/>
        <v>1.88649885583524E-3</v>
      </c>
      <c r="O101">
        <f t="shared" si="12"/>
        <v>-95.814214230789261</v>
      </c>
      <c r="P101">
        <f t="shared" si="13"/>
        <v>9.1727342070591035E-5</v>
      </c>
    </row>
    <row r="102" spans="1:16" x14ac:dyDescent="0.25">
      <c r="A102" s="1">
        <v>5</v>
      </c>
      <c r="B102" s="2">
        <v>-4.7590000000000003</v>
      </c>
      <c r="C102">
        <v>3.0000000000000001E-3</v>
      </c>
      <c r="H102">
        <f t="shared" si="7"/>
        <v>5</v>
      </c>
      <c r="I102">
        <f t="shared" si="8"/>
        <v>-4.7590000000000003</v>
      </c>
      <c r="J102">
        <f t="shared" si="9"/>
        <v>2.8280285694473341E-3</v>
      </c>
      <c r="K102">
        <f t="shared" si="10"/>
        <v>-95.43320333284349</v>
      </c>
      <c r="L102">
        <f t="shared" si="11"/>
        <v>1.8853523796315557E-3</v>
      </c>
      <c r="O102">
        <f t="shared" si="12"/>
        <v>-95.272777691603153</v>
      </c>
      <c r="P102">
        <f t="shared" si="13"/>
        <v>9.0580865866906647E-5</v>
      </c>
    </row>
    <row r="103" spans="1:16" x14ac:dyDescent="0.25">
      <c r="A103" s="1">
        <v>5.05</v>
      </c>
      <c r="B103" s="2">
        <v>-4.7300000000000004</v>
      </c>
      <c r="C103">
        <v>2E-3</v>
      </c>
      <c r="H103">
        <f t="shared" si="7"/>
        <v>5.05</v>
      </c>
      <c r="I103">
        <f t="shared" si="8"/>
        <v>-4.7300000000000004</v>
      </c>
      <c r="J103">
        <f t="shared" si="9"/>
        <v>1.8263088551418072E-3</v>
      </c>
      <c r="K103">
        <f t="shared" si="10"/>
        <v>-94.85166038334728</v>
      </c>
      <c r="L103">
        <f t="shared" si="11"/>
        <v>1.2175392367612045E-3</v>
      </c>
      <c r="O103">
        <f t="shared" si="12"/>
        <v>-94.691234742106943</v>
      </c>
      <c r="P103">
        <f t="shared" si="13"/>
        <v>-5.7723227700344449E-4</v>
      </c>
    </row>
    <row r="104" spans="1:16" x14ac:dyDescent="0.25">
      <c r="A104" s="1">
        <v>5.0999999999999996</v>
      </c>
      <c r="B104" s="2">
        <v>-4.6749999999999998</v>
      </c>
      <c r="C104">
        <v>3.0000000000000001E-3</v>
      </c>
      <c r="H104">
        <f t="shared" si="7"/>
        <v>5.0999999999999996</v>
      </c>
      <c r="I104">
        <f t="shared" si="8"/>
        <v>-4.6749999999999998</v>
      </c>
      <c r="J104">
        <f t="shared" si="9"/>
        <v>2.8245891408362808E-3</v>
      </c>
      <c r="K104">
        <f t="shared" si="10"/>
        <v>-93.74873409981997</v>
      </c>
      <c r="L104">
        <f t="shared" si="11"/>
        <v>1.8830594272241867E-3</v>
      </c>
      <c r="O104">
        <f t="shared" si="12"/>
        <v>-93.588308458579633</v>
      </c>
      <c r="P104">
        <f t="shared" si="13"/>
        <v>8.8287913459537655E-5</v>
      </c>
    </row>
    <row r="105" spans="1:16" x14ac:dyDescent="0.25">
      <c r="A105" s="1">
        <v>5.15</v>
      </c>
      <c r="B105" s="2">
        <v>-4.6630000000000003</v>
      </c>
      <c r="C105">
        <v>2E-3</v>
      </c>
      <c r="H105">
        <f t="shared" si="7"/>
        <v>5.15</v>
      </c>
      <c r="I105">
        <f t="shared" si="8"/>
        <v>-4.6630000000000003</v>
      </c>
      <c r="J105">
        <f t="shared" si="9"/>
        <v>1.8228694265307538E-3</v>
      </c>
      <c r="K105">
        <f t="shared" si="10"/>
        <v>-93.508095637959485</v>
      </c>
      <c r="L105">
        <f t="shared" si="11"/>
        <v>1.2152462843538355E-3</v>
      </c>
      <c r="O105">
        <f t="shared" si="12"/>
        <v>-93.347669996719148</v>
      </c>
      <c r="P105">
        <f t="shared" si="13"/>
        <v>-5.7952522941081349E-4</v>
      </c>
    </row>
    <row r="106" spans="1:16" x14ac:dyDescent="0.25">
      <c r="A106" s="1">
        <v>5.2</v>
      </c>
      <c r="B106" s="2">
        <v>-4.6269999999999998</v>
      </c>
      <c r="C106">
        <v>3.0000000000000001E-3</v>
      </c>
      <c r="H106">
        <f t="shared" si="7"/>
        <v>5.2</v>
      </c>
      <c r="I106">
        <f t="shared" si="8"/>
        <v>-4.6269999999999998</v>
      </c>
      <c r="J106">
        <f t="shared" si="9"/>
        <v>2.8211497122252274E-3</v>
      </c>
      <c r="K106">
        <f t="shared" si="10"/>
        <v>-92.786180252377974</v>
      </c>
      <c r="L106">
        <f t="shared" si="11"/>
        <v>1.8807664748168179E-3</v>
      </c>
      <c r="O106">
        <f t="shared" si="12"/>
        <v>-92.625754611137637</v>
      </c>
      <c r="P106">
        <f t="shared" si="13"/>
        <v>8.599496105216888E-5</v>
      </c>
    </row>
    <row r="107" spans="1:16" x14ac:dyDescent="0.25">
      <c r="A107" s="1">
        <v>5.25</v>
      </c>
      <c r="B107" s="2">
        <v>-4.6189999999999998</v>
      </c>
      <c r="C107">
        <v>2E-3</v>
      </c>
      <c r="H107">
        <f t="shared" si="7"/>
        <v>5.25</v>
      </c>
      <c r="I107">
        <f t="shared" si="8"/>
        <v>-4.6189999999999998</v>
      </c>
      <c r="J107">
        <f t="shared" si="9"/>
        <v>1.8194299979197007E-3</v>
      </c>
      <c r="K107">
        <f t="shared" si="10"/>
        <v>-92.625754611137637</v>
      </c>
      <c r="L107">
        <f t="shared" si="11"/>
        <v>1.2129533319464667E-3</v>
      </c>
      <c r="O107">
        <f t="shared" si="12"/>
        <v>-92.4653289698973</v>
      </c>
      <c r="P107">
        <f t="shared" si="13"/>
        <v>-5.8181818181818226E-4</v>
      </c>
    </row>
    <row r="108" spans="1:16" x14ac:dyDescent="0.25">
      <c r="A108" s="1">
        <v>5.3</v>
      </c>
      <c r="B108" s="2">
        <v>-4.6189999999999998</v>
      </c>
      <c r="C108">
        <v>3.0000000000000001E-3</v>
      </c>
      <c r="H108">
        <f t="shared" si="7"/>
        <v>5.3</v>
      </c>
      <c r="I108">
        <f t="shared" si="8"/>
        <v>-4.6189999999999998</v>
      </c>
      <c r="J108">
        <f t="shared" si="9"/>
        <v>2.817710283614174E-3</v>
      </c>
      <c r="K108">
        <f t="shared" si="10"/>
        <v>-92.625754611137637</v>
      </c>
      <c r="L108">
        <f t="shared" si="11"/>
        <v>1.8784735224094489E-3</v>
      </c>
      <c r="O108">
        <f t="shared" si="12"/>
        <v>-92.4653289698973</v>
      </c>
      <c r="P108">
        <f t="shared" si="13"/>
        <v>8.3702008644799888E-5</v>
      </c>
    </row>
    <row r="109" spans="1:16" x14ac:dyDescent="0.25">
      <c r="A109" s="1">
        <v>5.35</v>
      </c>
      <c r="B109" s="2">
        <v>-4.6189999999999998</v>
      </c>
      <c r="C109">
        <v>2E-3</v>
      </c>
      <c r="H109">
        <f t="shared" si="7"/>
        <v>5.35</v>
      </c>
      <c r="I109">
        <f t="shared" si="8"/>
        <v>-4.6189999999999998</v>
      </c>
      <c r="J109">
        <f t="shared" si="9"/>
        <v>1.8159905693086473E-3</v>
      </c>
      <c r="K109">
        <f t="shared" si="10"/>
        <v>-92.625754611137637</v>
      </c>
      <c r="L109">
        <f t="shared" si="11"/>
        <v>1.210660379539098E-3</v>
      </c>
      <c r="O109">
        <f t="shared" si="12"/>
        <v>-92.4653289698973</v>
      </c>
      <c r="P109">
        <f t="shared" si="13"/>
        <v>-5.8411113422555104E-4</v>
      </c>
    </row>
    <row r="110" spans="1:16" x14ac:dyDescent="0.25">
      <c r="A110" s="1">
        <v>5.4</v>
      </c>
      <c r="B110" s="2">
        <v>-4.6189999999999998</v>
      </c>
      <c r="C110">
        <v>3.0000000000000001E-3</v>
      </c>
      <c r="H110">
        <f t="shared" si="7"/>
        <v>5.4</v>
      </c>
      <c r="I110">
        <f t="shared" si="8"/>
        <v>-4.6189999999999998</v>
      </c>
      <c r="J110">
        <f t="shared" si="9"/>
        <v>2.8142708550031206E-3</v>
      </c>
      <c r="K110">
        <f t="shared" si="10"/>
        <v>-92.625754611137637</v>
      </c>
      <c r="L110">
        <f t="shared" si="11"/>
        <v>1.8761805700020799E-3</v>
      </c>
      <c r="O110">
        <f t="shared" si="12"/>
        <v>-92.4653289698973</v>
      </c>
      <c r="P110">
        <f t="shared" si="13"/>
        <v>8.1409056237430897E-5</v>
      </c>
    </row>
    <row r="111" spans="1:16" x14ac:dyDescent="0.25">
      <c r="A111" s="1">
        <v>5.45</v>
      </c>
      <c r="B111" s="2">
        <v>-4.6180000000000003</v>
      </c>
      <c r="C111">
        <v>3.0000000000000001E-3</v>
      </c>
      <c r="H111">
        <f t="shared" si="7"/>
        <v>5.45</v>
      </c>
      <c r="I111">
        <f t="shared" si="8"/>
        <v>-4.6180000000000003</v>
      </c>
      <c r="J111">
        <f t="shared" si="9"/>
        <v>2.8125511406975941E-3</v>
      </c>
      <c r="K111">
        <f t="shared" si="10"/>
        <v>-92.6057014059826</v>
      </c>
      <c r="L111">
        <f t="shared" si="11"/>
        <v>1.8750340937983957E-3</v>
      </c>
      <c r="O111">
        <f t="shared" si="12"/>
        <v>-92.445275764742263</v>
      </c>
      <c r="P111">
        <f t="shared" si="13"/>
        <v>8.0262580033746726E-5</v>
      </c>
    </row>
    <row r="112" spans="1:16" x14ac:dyDescent="0.25">
      <c r="A112" s="1">
        <v>5.5</v>
      </c>
      <c r="B112" s="2">
        <v>-4.5940000000000003</v>
      </c>
      <c r="C112">
        <v>3.0000000000000001E-3</v>
      </c>
      <c r="H112">
        <f t="shared" si="7"/>
        <v>5.5</v>
      </c>
      <c r="I112">
        <f t="shared" si="8"/>
        <v>-4.5940000000000003</v>
      </c>
      <c r="J112">
        <f t="shared" si="9"/>
        <v>2.8108314263920672E-3</v>
      </c>
      <c r="K112">
        <f t="shared" si="10"/>
        <v>-92.124424482261603</v>
      </c>
      <c r="L112">
        <f t="shared" si="11"/>
        <v>1.8738876175947111E-3</v>
      </c>
      <c r="O112">
        <f t="shared" si="12"/>
        <v>-91.963998841021265</v>
      </c>
      <c r="P112">
        <f t="shared" si="13"/>
        <v>7.9116103830062122E-5</v>
      </c>
    </row>
    <row r="113" spans="1:16" x14ac:dyDescent="0.25">
      <c r="A113" s="1">
        <v>5.55</v>
      </c>
      <c r="B113" s="2">
        <v>-4.524</v>
      </c>
      <c r="C113">
        <v>3.0000000000000001E-3</v>
      </c>
      <c r="H113">
        <f t="shared" si="7"/>
        <v>5.55</v>
      </c>
      <c r="I113">
        <f t="shared" si="8"/>
        <v>-4.524</v>
      </c>
      <c r="J113">
        <f t="shared" si="9"/>
        <v>2.8091117120865408E-3</v>
      </c>
      <c r="K113">
        <f t="shared" si="10"/>
        <v>-90.720700121408683</v>
      </c>
      <c r="L113">
        <f t="shared" si="11"/>
        <v>1.8727411413910267E-3</v>
      </c>
      <c r="O113">
        <f t="shared" si="12"/>
        <v>-90.560274480168346</v>
      </c>
      <c r="P113">
        <f t="shared" si="13"/>
        <v>7.7969627626377734E-5</v>
      </c>
    </row>
    <row r="114" spans="1:16" x14ac:dyDescent="0.25">
      <c r="A114" s="1">
        <v>5.6</v>
      </c>
      <c r="B114" s="2">
        <v>-4.4649999999999999</v>
      </c>
      <c r="C114">
        <v>3.0000000000000001E-3</v>
      </c>
      <c r="H114">
        <f t="shared" si="7"/>
        <v>5.6</v>
      </c>
      <c r="I114">
        <f t="shared" si="8"/>
        <v>-4.4649999999999999</v>
      </c>
      <c r="J114">
        <f t="shared" si="9"/>
        <v>2.8073919977810139E-3</v>
      </c>
      <c r="K114">
        <f t="shared" si="10"/>
        <v>-89.537561017261211</v>
      </c>
      <c r="L114">
        <f t="shared" si="11"/>
        <v>1.8715946651873421E-3</v>
      </c>
      <c r="O114">
        <f t="shared" si="12"/>
        <v>-89.377135376020874</v>
      </c>
      <c r="P114">
        <f t="shared" si="13"/>
        <v>7.682315142269313E-5</v>
      </c>
    </row>
    <row r="115" spans="1:16" x14ac:dyDescent="0.25">
      <c r="A115" s="1">
        <v>5.65</v>
      </c>
      <c r="B115" s="2">
        <v>-4.3689999999999998</v>
      </c>
      <c r="C115">
        <v>2E-3</v>
      </c>
      <c r="H115">
        <f t="shared" si="7"/>
        <v>5.65</v>
      </c>
      <c r="I115">
        <f t="shared" si="8"/>
        <v>-4.3689999999999998</v>
      </c>
      <c r="J115">
        <f t="shared" si="9"/>
        <v>1.8056722834754874E-3</v>
      </c>
      <c r="K115">
        <f t="shared" si="10"/>
        <v>-87.612453322377206</v>
      </c>
      <c r="L115">
        <f t="shared" si="11"/>
        <v>1.2037815223169912E-3</v>
      </c>
      <c r="O115">
        <f t="shared" si="12"/>
        <v>-87.452027681136869</v>
      </c>
      <c r="P115">
        <f t="shared" si="13"/>
        <v>-5.9098999144765779E-4</v>
      </c>
    </row>
    <row r="116" spans="1:16" x14ac:dyDescent="0.25">
      <c r="A116" s="1">
        <v>5.7</v>
      </c>
      <c r="B116" s="2">
        <v>-4.2320000000000002</v>
      </c>
      <c r="C116">
        <v>3.0000000000000001E-3</v>
      </c>
      <c r="H116">
        <f t="shared" si="7"/>
        <v>5.7</v>
      </c>
      <c r="I116">
        <f t="shared" si="8"/>
        <v>-4.2320000000000002</v>
      </c>
      <c r="J116">
        <f t="shared" si="9"/>
        <v>2.8039525691699605E-3</v>
      </c>
      <c r="K116">
        <f t="shared" si="10"/>
        <v>-84.865164216136506</v>
      </c>
      <c r="L116">
        <f t="shared" si="11"/>
        <v>1.8693017127799731E-3</v>
      </c>
      <c r="O116">
        <f t="shared" si="12"/>
        <v>-84.704738574896169</v>
      </c>
      <c r="P116">
        <f t="shared" si="13"/>
        <v>7.4530199015324138E-5</v>
      </c>
    </row>
    <row r="117" spans="1:16" x14ac:dyDescent="0.25">
      <c r="A117" s="1">
        <v>5.75</v>
      </c>
      <c r="B117" s="2">
        <v>-4.12</v>
      </c>
      <c r="C117">
        <v>2E-3</v>
      </c>
      <c r="H117">
        <f t="shared" si="7"/>
        <v>5.75</v>
      </c>
      <c r="I117">
        <f t="shared" si="8"/>
        <v>-4.12</v>
      </c>
      <c r="J117">
        <f t="shared" si="9"/>
        <v>1.802232854864434E-3</v>
      </c>
      <c r="K117">
        <f t="shared" si="10"/>
        <v>-82.619205238771826</v>
      </c>
      <c r="L117">
        <f t="shared" si="11"/>
        <v>1.2014885699096224E-3</v>
      </c>
      <c r="O117">
        <f t="shared" si="12"/>
        <v>-82.458779597531489</v>
      </c>
      <c r="P117">
        <f t="shared" si="13"/>
        <v>-5.9328294385502657E-4</v>
      </c>
    </row>
    <row r="118" spans="1:16" x14ac:dyDescent="0.25">
      <c r="A118" s="1">
        <v>5.8</v>
      </c>
      <c r="B118" s="2">
        <v>-4.1059999999999999</v>
      </c>
      <c r="C118">
        <v>3.0000000000000001E-3</v>
      </c>
      <c r="H118">
        <f t="shared" si="7"/>
        <v>5.8</v>
      </c>
      <c r="I118">
        <f t="shared" si="8"/>
        <v>-4.1059999999999999</v>
      </c>
      <c r="J118">
        <f t="shared" si="9"/>
        <v>2.8005131405589075E-3</v>
      </c>
      <c r="K118">
        <f t="shared" si="10"/>
        <v>-82.33846036660124</v>
      </c>
      <c r="L118">
        <f t="shared" si="11"/>
        <v>1.8670087603726046E-3</v>
      </c>
      <c r="O118">
        <f t="shared" si="12"/>
        <v>-82.178034725360902</v>
      </c>
      <c r="P118">
        <f t="shared" si="13"/>
        <v>7.223724660795558E-5</v>
      </c>
    </row>
    <row r="119" spans="1:16" x14ac:dyDescent="0.25">
      <c r="A119" s="1">
        <v>5.85</v>
      </c>
      <c r="B119" s="2">
        <v>-4.1020000000000003</v>
      </c>
      <c r="C119">
        <v>2E-3</v>
      </c>
      <c r="H119">
        <f t="shared" si="7"/>
        <v>5.85</v>
      </c>
      <c r="I119">
        <f t="shared" si="8"/>
        <v>-4.1020000000000003</v>
      </c>
      <c r="J119">
        <f t="shared" si="9"/>
        <v>1.7987934262533806E-3</v>
      </c>
      <c r="K119">
        <f t="shared" si="10"/>
        <v>-82.258247545981078</v>
      </c>
      <c r="L119">
        <f t="shared" si="11"/>
        <v>1.1991956175022534E-3</v>
      </c>
      <c r="O119">
        <f t="shared" si="12"/>
        <v>-82.097821904740741</v>
      </c>
      <c r="P119">
        <f t="shared" si="13"/>
        <v>-5.9557589626239556E-4</v>
      </c>
    </row>
    <row r="120" spans="1:16" x14ac:dyDescent="0.25">
      <c r="A120" s="1">
        <v>5.9</v>
      </c>
      <c r="B120" s="2">
        <v>-4.101</v>
      </c>
      <c r="C120">
        <v>3.0000000000000001E-3</v>
      </c>
      <c r="H120">
        <f t="shared" si="7"/>
        <v>5.9</v>
      </c>
      <c r="I120">
        <f t="shared" si="8"/>
        <v>-4.101</v>
      </c>
      <c r="J120">
        <f t="shared" si="9"/>
        <v>2.7970737119478542E-3</v>
      </c>
      <c r="K120">
        <f t="shared" si="10"/>
        <v>-82.238194340826041</v>
      </c>
      <c r="L120">
        <f t="shared" si="11"/>
        <v>1.8647158079652356E-3</v>
      </c>
      <c r="O120">
        <f t="shared" si="12"/>
        <v>-82.077768699585704</v>
      </c>
      <c r="P120">
        <f t="shared" si="13"/>
        <v>6.9944294200586588E-5</v>
      </c>
    </row>
    <row r="121" spans="1:16" x14ac:dyDescent="0.25">
      <c r="A121" s="1">
        <v>5.95</v>
      </c>
      <c r="B121" s="2">
        <v>-4.101</v>
      </c>
      <c r="C121">
        <v>3.0000000000000001E-3</v>
      </c>
      <c r="H121">
        <f t="shared" si="7"/>
        <v>5.95</v>
      </c>
      <c r="I121">
        <f t="shared" si="8"/>
        <v>-4.101</v>
      </c>
      <c r="J121">
        <f t="shared" si="9"/>
        <v>2.7953539976423272E-3</v>
      </c>
      <c r="K121">
        <f t="shared" si="10"/>
        <v>-82.238194340826041</v>
      </c>
      <c r="L121">
        <f t="shared" si="11"/>
        <v>1.863569331761551E-3</v>
      </c>
      <c r="O121">
        <f t="shared" si="12"/>
        <v>-82.077768699585704</v>
      </c>
      <c r="P121">
        <f t="shared" si="13"/>
        <v>6.8797817996901984E-5</v>
      </c>
    </row>
    <row r="122" spans="1:16" x14ac:dyDescent="0.25">
      <c r="A122" s="1">
        <v>6</v>
      </c>
      <c r="B122" s="2">
        <v>-4.101</v>
      </c>
      <c r="C122">
        <v>3.0000000000000001E-3</v>
      </c>
      <c r="H122">
        <f t="shared" si="7"/>
        <v>6</v>
      </c>
      <c r="I122">
        <f t="shared" si="8"/>
        <v>-4.101</v>
      </c>
      <c r="J122">
        <f t="shared" si="9"/>
        <v>2.7936342833368008E-3</v>
      </c>
      <c r="K122">
        <f t="shared" si="10"/>
        <v>-82.238194340826041</v>
      </c>
      <c r="L122">
        <f t="shared" si="11"/>
        <v>1.8624228555578668E-3</v>
      </c>
      <c r="O122">
        <f t="shared" si="12"/>
        <v>-82.077768699585704</v>
      </c>
      <c r="P122">
        <f t="shared" si="13"/>
        <v>6.7651341793217813E-5</v>
      </c>
    </row>
    <row r="123" spans="1:16" x14ac:dyDescent="0.25">
      <c r="A123" s="1">
        <v>6.05</v>
      </c>
      <c r="B123" s="2">
        <v>-4.0990000000000002</v>
      </c>
      <c r="C123">
        <v>3.0000000000000001E-3</v>
      </c>
      <c r="H123">
        <f t="shared" si="7"/>
        <v>6.05</v>
      </c>
      <c r="I123">
        <f t="shared" si="8"/>
        <v>-4.0990000000000002</v>
      </c>
      <c r="J123">
        <f t="shared" si="9"/>
        <v>2.7919145690312739E-3</v>
      </c>
      <c r="K123">
        <f t="shared" si="10"/>
        <v>-82.198087930515953</v>
      </c>
      <c r="L123">
        <f t="shared" si="11"/>
        <v>1.8612763793541822E-3</v>
      </c>
      <c r="O123">
        <f t="shared" si="12"/>
        <v>-82.037662289275616</v>
      </c>
      <c r="P123">
        <f t="shared" si="13"/>
        <v>6.6504865589533209E-5</v>
      </c>
    </row>
    <row r="124" spans="1:16" x14ac:dyDescent="0.25">
      <c r="A124" s="1">
        <v>6.1</v>
      </c>
      <c r="B124" s="2">
        <v>-4.0780000000000003</v>
      </c>
      <c r="C124">
        <v>3.0000000000000001E-3</v>
      </c>
      <c r="H124">
        <f t="shared" si="7"/>
        <v>6.1</v>
      </c>
      <c r="I124">
        <f t="shared" si="8"/>
        <v>-4.0780000000000003</v>
      </c>
      <c r="J124">
        <f t="shared" si="9"/>
        <v>2.7901948547257474E-3</v>
      </c>
      <c r="K124">
        <f t="shared" si="10"/>
        <v>-81.77697062226008</v>
      </c>
      <c r="L124">
        <f t="shared" si="11"/>
        <v>1.8601299031504978E-3</v>
      </c>
      <c r="O124">
        <f t="shared" si="12"/>
        <v>-81.616544981019743</v>
      </c>
      <c r="P124">
        <f t="shared" si="13"/>
        <v>6.5358389385848821E-5</v>
      </c>
    </row>
    <row r="125" spans="1:16" x14ac:dyDescent="0.25">
      <c r="A125" s="1">
        <v>6.15</v>
      </c>
      <c r="B125" s="2">
        <v>-3.9990000000000001</v>
      </c>
      <c r="C125">
        <v>3.0000000000000001E-3</v>
      </c>
      <c r="H125">
        <f t="shared" si="7"/>
        <v>6.15</v>
      </c>
      <c r="I125">
        <f t="shared" si="8"/>
        <v>-3.9990000000000001</v>
      </c>
      <c r="J125">
        <f t="shared" si="9"/>
        <v>2.7884751404202209E-3</v>
      </c>
      <c r="K125">
        <f t="shared" si="10"/>
        <v>-80.192767415011787</v>
      </c>
      <c r="L125">
        <f t="shared" si="11"/>
        <v>1.8589834269468134E-3</v>
      </c>
      <c r="O125">
        <f t="shared" si="12"/>
        <v>-80.032341773771449</v>
      </c>
      <c r="P125">
        <f t="shared" si="13"/>
        <v>6.4211913182164434E-5</v>
      </c>
    </row>
    <row r="126" spans="1:16" x14ac:dyDescent="0.25">
      <c r="A126" s="1">
        <v>6.2</v>
      </c>
      <c r="B126" s="2">
        <v>-3.944</v>
      </c>
      <c r="C126">
        <v>3.0000000000000001E-3</v>
      </c>
      <c r="H126">
        <f t="shared" si="7"/>
        <v>6.2</v>
      </c>
      <c r="I126">
        <f t="shared" si="8"/>
        <v>-3.944</v>
      </c>
      <c r="J126">
        <f t="shared" si="9"/>
        <v>2.786755426114694E-3</v>
      </c>
      <c r="K126">
        <f t="shared" si="10"/>
        <v>-79.089841131484491</v>
      </c>
      <c r="L126">
        <f t="shared" si="11"/>
        <v>1.8578369507431288E-3</v>
      </c>
      <c r="O126">
        <f t="shared" si="12"/>
        <v>-78.929415490244153</v>
      </c>
      <c r="P126">
        <f t="shared" si="13"/>
        <v>6.3065436978479829E-5</v>
      </c>
    </row>
    <row r="127" spans="1:16" x14ac:dyDescent="0.25">
      <c r="A127" s="1">
        <v>6.25</v>
      </c>
      <c r="B127" s="2">
        <v>-3.8580000000000001</v>
      </c>
      <c r="C127">
        <v>3.0000000000000001E-3</v>
      </c>
      <c r="H127">
        <f t="shared" si="7"/>
        <v>6.25</v>
      </c>
      <c r="I127">
        <f t="shared" si="8"/>
        <v>-3.8580000000000001</v>
      </c>
      <c r="J127">
        <f t="shared" si="9"/>
        <v>2.7850357118091675E-3</v>
      </c>
      <c r="K127">
        <f t="shared" si="10"/>
        <v>-77.365265488150897</v>
      </c>
      <c r="L127">
        <f t="shared" si="11"/>
        <v>1.8566904745394447E-3</v>
      </c>
      <c r="O127">
        <f t="shared" si="12"/>
        <v>-77.204839846910559</v>
      </c>
      <c r="P127">
        <f t="shared" si="13"/>
        <v>6.1918960774795659E-5</v>
      </c>
    </row>
    <row r="128" spans="1:16" x14ac:dyDescent="0.25">
      <c r="A128" s="1">
        <v>6.3</v>
      </c>
      <c r="B128" s="2">
        <v>-3.8109999999999999</v>
      </c>
      <c r="C128">
        <v>3.0000000000000001E-3</v>
      </c>
      <c r="H128">
        <f t="shared" si="7"/>
        <v>6.3</v>
      </c>
      <c r="I128">
        <f t="shared" si="8"/>
        <v>-3.8109999999999999</v>
      </c>
      <c r="J128">
        <f t="shared" si="9"/>
        <v>2.7833159975036406E-3</v>
      </c>
      <c r="K128">
        <f t="shared" si="10"/>
        <v>-76.422764845863938</v>
      </c>
      <c r="L128">
        <f t="shared" si="11"/>
        <v>1.8555439983357601E-3</v>
      </c>
      <c r="O128">
        <f t="shared" si="12"/>
        <v>-76.262339204623601</v>
      </c>
      <c r="P128">
        <f t="shared" si="13"/>
        <v>6.0772484571111054E-5</v>
      </c>
    </row>
    <row r="129" spans="1:16" x14ac:dyDescent="0.25">
      <c r="A129" s="1">
        <v>6.35</v>
      </c>
      <c r="B129" s="2">
        <v>-3.7839999999999998</v>
      </c>
      <c r="C129">
        <v>3.0000000000000001E-3</v>
      </c>
      <c r="H129">
        <f t="shared" si="7"/>
        <v>6.35</v>
      </c>
      <c r="I129">
        <f t="shared" si="8"/>
        <v>-3.7839999999999998</v>
      </c>
      <c r="J129">
        <f t="shared" si="9"/>
        <v>2.7815962831981142E-3</v>
      </c>
      <c r="K129">
        <f t="shared" si="10"/>
        <v>-75.881328306677815</v>
      </c>
      <c r="L129">
        <f t="shared" si="11"/>
        <v>1.8543975221320757E-3</v>
      </c>
      <c r="O129">
        <f t="shared" si="12"/>
        <v>-75.720902665437478</v>
      </c>
      <c r="P129">
        <f t="shared" si="13"/>
        <v>5.9626008367426667E-5</v>
      </c>
    </row>
    <row r="130" spans="1:16" x14ac:dyDescent="0.25">
      <c r="A130" s="1">
        <v>6.4</v>
      </c>
      <c r="B130" s="2">
        <v>-3.72</v>
      </c>
      <c r="C130">
        <v>3.0000000000000001E-3</v>
      </c>
      <c r="H130">
        <f t="shared" si="7"/>
        <v>6.4</v>
      </c>
      <c r="I130">
        <f t="shared" si="8"/>
        <v>-3.72</v>
      </c>
      <c r="J130">
        <f t="shared" si="9"/>
        <v>2.7798765688925873E-3</v>
      </c>
      <c r="K130">
        <f t="shared" si="10"/>
        <v>-74.597923176755145</v>
      </c>
      <c r="L130">
        <f t="shared" si="11"/>
        <v>1.8532510459283911E-3</v>
      </c>
      <c r="O130">
        <f t="shared" si="12"/>
        <v>-74.437497535514808</v>
      </c>
      <c r="P130">
        <f t="shared" si="13"/>
        <v>5.8479532163742062E-5</v>
      </c>
    </row>
    <row r="131" spans="1:16" x14ac:dyDescent="0.25">
      <c r="A131" s="1">
        <v>6.45</v>
      </c>
      <c r="B131" s="2">
        <v>-3.6179999999999999</v>
      </c>
      <c r="C131">
        <v>3.0000000000000001E-3</v>
      </c>
      <c r="H131">
        <f t="shared" ref="H131:H194" si="14">A131</f>
        <v>6.45</v>
      </c>
      <c r="I131">
        <f t="shared" ref="I131:I194" si="15">B131</f>
        <v>-3.6179999999999999</v>
      </c>
      <c r="J131">
        <f t="shared" ref="J131:J194" si="16">C131-E$12*A131</f>
        <v>2.7781568545870608E-3</v>
      </c>
      <c r="K131">
        <f t="shared" ref="K131:K194" si="17">F$24*I131</f>
        <v>-72.552496250940891</v>
      </c>
      <c r="L131">
        <f t="shared" ref="L131:L194" si="18">F$25*J131</f>
        <v>1.8521045697247067E-3</v>
      </c>
      <c r="O131">
        <f t="shared" ref="O131:O194" si="19">K131-N$12</f>
        <v>-72.392070609700554</v>
      </c>
      <c r="P131">
        <f t="shared" ref="P131:P194" si="20">L131-N$15</f>
        <v>5.7333055960057675E-5</v>
      </c>
    </row>
    <row r="132" spans="1:16" x14ac:dyDescent="0.25">
      <c r="A132" s="1">
        <v>6.5</v>
      </c>
      <c r="B132" s="2">
        <v>-3.5880000000000001</v>
      </c>
      <c r="C132">
        <v>3.0000000000000001E-3</v>
      </c>
      <c r="H132">
        <f t="shared" si="14"/>
        <v>6.5</v>
      </c>
      <c r="I132">
        <f t="shared" si="15"/>
        <v>-3.5880000000000001</v>
      </c>
      <c r="J132">
        <f t="shared" si="16"/>
        <v>2.7764371402815343E-3</v>
      </c>
      <c r="K132">
        <f t="shared" si="17"/>
        <v>-71.950900096289644</v>
      </c>
      <c r="L132">
        <f t="shared" si="18"/>
        <v>1.8509580935210225E-3</v>
      </c>
      <c r="O132">
        <f t="shared" si="19"/>
        <v>-71.790474455049306</v>
      </c>
      <c r="P132">
        <f t="shared" si="20"/>
        <v>5.6186579756373504E-5</v>
      </c>
    </row>
    <row r="133" spans="1:16" x14ac:dyDescent="0.25">
      <c r="A133" s="1">
        <v>6.55</v>
      </c>
      <c r="B133" s="2">
        <v>-3.5870000000000002</v>
      </c>
      <c r="C133">
        <v>3.0000000000000001E-3</v>
      </c>
      <c r="H133">
        <f t="shared" si="14"/>
        <v>6.55</v>
      </c>
      <c r="I133">
        <f t="shared" si="15"/>
        <v>-3.5870000000000002</v>
      </c>
      <c r="J133">
        <f t="shared" si="16"/>
        <v>2.7747174259760074E-3</v>
      </c>
      <c r="K133">
        <f t="shared" si="17"/>
        <v>-71.930846891134607</v>
      </c>
      <c r="L133">
        <f t="shared" si="18"/>
        <v>1.8498116173173379E-3</v>
      </c>
      <c r="O133">
        <f t="shared" si="19"/>
        <v>-71.77042124989427</v>
      </c>
      <c r="P133">
        <f t="shared" si="20"/>
        <v>5.50401035526889E-5</v>
      </c>
    </row>
    <row r="134" spans="1:16" x14ac:dyDescent="0.25">
      <c r="A134" s="1">
        <v>6.6</v>
      </c>
      <c r="B134" s="2">
        <v>-3.5870000000000002</v>
      </c>
      <c r="C134">
        <v>3.0000000000000001E-3</v>
      </c>
      <c r="H134">
        <f t="shared" si="14"/>
        <v>6.6</v>
      </c>
      <c r="I134">
        <f t="shared" si="15"/>
        <v>-3.5870000000000002</v>
      </c>
      <c r="J134">
        <f t="shared" si="16"/>
        <v>2.7729977116704809E-3</v>
      </c>
      <c r="K134">
        <f t="shared" si="17"/>
        <v>-71.930846891134607</v>
      </c>
      <c r="L134">
        <f t="shared" si="18"/>
        <v>1.8486651411136535E-3</v>
      </c>
      <c r="O134">
        <f t="shared" si="19"/>
        <v>-71.77042124989427</v>
      </c>
      <c r="P134">
        <f t="shared" si="20"/>
        <v>5.3893627349004512E-5</v>
      </c>
    </row>
    <row r="135" spans="1:16" x14ac:dyDescent="0.25">
      <c r="A135" s="1">
        <v>6.65</v>
      </c>
      <c r="B135" s="2">
        <v>-3.5870000000000002</v>
      </c>
      <c r="C135">
        <v>3.0000000000000001E-3</v>
      </c>
      <c r="H135">
        <f t="shared" si="14"/>
        <v>6.65</v>
      </c>
      <c r="I135">
        <f t="shared" si="15"/>
        <v>-3.5870000000000002</v>
      </c>
      <c r="J135">
        <f t="shared" si="16"/>
        <v>2.771277997364954E-3</v>
      </c>
      <c r="K135">
        <f t="shared" si="17"/>
        <v>-71.930846891134607</v>
      </c>
      <c r="L135">
        <f t="shared" si="18"/>
        <v>1.8475186649099689E-3</v>
      </c>
      <c r="O135">
        <f t="shared" si="19"/>
        <v>-71.77042124989427</v>
      </c>
      <c r="P135">
        <f t="shared" si="20"/>
        <v>5.2747151145319908E-5</v>
      </c>
    </row>
    <row r="136" spans="1:16" x14ac:dyDescent="0.25">
      <c r="A136" s="1">
        <v>6.7</v>
      </c>
      <c r="B136" s="2">
        <v>-3.5859999999999999</v>
      </c>
      <c r="C136">
        <v>3.0000000000000001E-3</v>
      </c>
      <c r="H136">
        <f t="shared" si="14"/>
        <v>6.7</v>
      </c>
      <c r="I136">
        <f t="shared" si="15"/>
        <v>-3.5859999999999999</v>
      </c>
      <c r="J136">
        <f t="shared" si="16"/>
        <v>2.7695582830594275E-3</v>
      </c>
      <c r="K136">
        <f t="shared" si="17"/>
        <v>-71.910793685979556</v>
      </c>
      <c r="L136">
        <f t="shared" si="18"/>
        <v>1.8463721887062845E-3</v>
      </c>
      <c r="O136">
        <f t="shared" si="19"/>
        <v>-71.750368044739218</v>
      </c>
      <c r="P136">
        <f t="shared" si="20"/>
        <v>5.160067494163552E-5</v>
      </c>
    </row>
    <row r="137" spans="1:16" x14ac:dyDescent="0.25">
      <c r="A137" s="1">
        <v>6.75</v>
      </c>
      <c r="B137" s="2">
        <v>-3.5840000000000001</v>
      </c>
      <c r="C137">
        <v>3.0000000000000001E-3</v>
      </c>
      <c r="H137">
        <f t="shared" si="14"/>
        <v>6.75</v>
      </c>
      <c r="I137">
        <f t="shared" si="15"/>
        <v>-3.5840000000000001</v>
      </c>
      <c r="J137">
        <f t="shared" si="16"/>
        <v>2.7678385687539006E-3</v>
      </c>
      <c r="K137">
        <f t="shared" si="17"/>
        <v>-71.870687275669482</v>
      </c>
      <c r="L137">
        <f t="shared" si="18"/>
        <v>1.8452257125025999E-3</v>
      </c>
      <c r="O137">
        <f t="shared" si="19"/>
        <v>-71.710261634429145</v>
      </c>
      <c r="P137">
        <f t="shared" si="20"/>
        <v>5.0454198737950916E-5</v>
      </c>
    </row>
    <row r="138" spans="1:16" x14ac:dyDescent="0.25">
      <c r="A138" s="1">
        <v>6.8</v>
      </c>
      <c r="B138" s="2">
        <v>-3.528</v>
      </c>
      <c r="C138">
        <v>3.0000000000000001E-3</v>
      </c>
      <c r="H138">
        <f t="shared" si="14"/>
        <v>6.8</v>
      </c>
      <c r="I138">
        <f t="shared" si="15"/>
        <v>-3.528</v>
      </c>
      <c r="J138">
        <f t="shared" si="16"/>
        <v>2.7661188544483742E-3</v>
      </c>
      <c r="K138">
        <f t="shared" si="17"/>
        <v>-70.747707786987135</v>
      </c>
      <c r="L138">
        <f t="shared" si="18"/>
        <v>1.8440792362989158E-3</v>
      </c>
      <c r="O138">
        <f t="shared" si="19"/>
        <v>-70.587282145746798</v>
      </c>
      <c r="P138">
        <f t="shared" si="20"/>
        <v>4.9307722534266745E-5</v>
      </c>
    </row>
    <row r="139" spans="1:16" x14ac:dyDescent="0.25">
      <c r="A139" s="1">
        <v>6.85</v>
      </c>
      <c r="B139" s="2">
        <v>-3.4540000000000002</v>
      </c>
      <c r="C139">
        <v>3.0000000000000001E-3</v>
      </c>
      <c r="H139">
        <f t="shared" si="14"/>
        <v>6.85</v>
      </c>
      <c r="I139">
        <f t="shared" si="15"/>
        <v>-3.4540000000000002</v>
      </c>
      <c r="J139">
        <f t="shared" si="16"/>
        <v>2.7643991401428477E-3</v>
      </c>
      <c r="K139">
        <f t="shared" si="17"/>
        <v>-69.263770605514054</v>
      </c>
      <c r="L139">
        <f t="shared" si="18"/>
        <v>1.8429327600952314E-3</v>
      </c>
      <c r="O139">
        <f t="shared" si="19"/>
        <v>-69.103344964273717</v>
      </c>
      <c r="P139">
        <f t="shared" si="20"/>
        <v>4.8161246330582358E-5</v>
      </c>
    </row>
    <row r="140" spans="1:16" x14ac:dyDescent="0.25">
      <c r="A140" s="1">
        <v>6.9</v>
      </c>
      <c r="B140" s="2">
        <v>-3.4079999999999999</v>
      </c>
      <c r="C140">
        <v>3.0000000000000001E-3</v>
      </c>
      <c r="H140">
        <f t="shared" si="14"/>
        <v>6.9</v>
      </c>
      <c r="I140">
        <f t="shared" si="15"/>
        <v>-3.4079999999999999</v>
      </c>
      <c r="J140">
        <f t="shared" si="16"/>
        <v>2.7626794258373208E-3</v>
      </c>
      <c r="K140">
        <f t="shared" si="17"/>
        <v>-68.341323168382132</v>
      </c>
      <c r="L140">
        <f t="shared" si="18"/>
        <v>1.8417862838915468E-3</v>
      </c>
      <c r="O140">
        <f t="shared" si="19"/>
        <v>-68.180897527141795</v>
      </c>
      <c r="P140">
        <f t="shared" si="20"/>
        <v>4.7014770126897754E-5</v>
      </c>
    </row>
    <row r="141" spans="1:16" x14ac:dyDescent="0.25">
      <c r="A141" s="1">
        <v>6.95</v>
      </c>
      <c r="B141" s="2">
        <v>-3.3140000000000001</v>
      </c>
      <c r="C141">
        <v>3.0000000000000001E-3</v>
      </c>
      <c r="H141">
        <f t="shared" si="14"/>
        <v>6.95</v>
      </c>
      <c r="I141">
        <f t="shared" si="15"/>
        <v>-3.3140000000000001</v>
      </c>
      <c r="J141">
        <f t="shared" si="16"/>
        <v>2.7609597115317943E-3</v>
      </c>
      <c r="K141">
        <f t="shared" si="17"/>
        <v>-66.456321883808215</v>
      </c>
      <c r="L141">
        <f t="shared" si="18"/>
        <v>1.8406398076878624E-3</v>
      </c>
      <c r="O141">
        <f t="shared" si="19"/>
        <v>-66.295896242567878</v>
      </c>
      <c r="P141">
        <f t="shared" si="20"/>
        <v>4.5868293923213366E-5</v>
      </c>
    </row>
    <row r="142" spans="1:16" x14ac:dyDescent="0.25">
      <c r="A142" s="1">
        <v>7</v>
      </c>
      <c r="B142" s="2">
        <v>-3.214</v>
      </c>
      <c r="C142">
        <v>3.0000000000000001E-3</v>
      </c>
      <c r="H142">
        <f t="shared" si="14"/>
        <v>7</v>
      </c>
      <c r="I142">
        <f t="shared" si="15"/>
        <v>-3.214</v>
      </c>
      <c r="J142">
        <f t="shared" si="16"/>
        <v>2.7592399972262674E-3</v>
      </c>
      <c r="K142">
        <f t="shared" si="17"/>
        <v>-64.451001368304048</v>
      </c>
      <c r="L142">
        <f t="shared" si="18"/>
        <v>1.8394933314841778E-3</v>
      </c>
      <c r="O142">
        <f t="shared" si="19"/>
        <v>-64.290575727063711</v>
      </c>
      <c r="P142">
        <f t="shared" si="20"/>
        <v>4.4721817719528762E-5</v>
      </c>
    </row>
    <row r="143" spans="1:16" x14ac:dyDescent="0.25">
      <c r="A143" s="1">
        <v>7.05</v>
      </c>
      <c r="B143" s="2">
        <v>-3.1579999999999999</v>
      </c>
      <c r="C143">
        <v>3.0000000000000001E-3</v>
      </c>
      <c r="H143">
        <f t="shared" si="14"/>
        <v>7.05</v>
      </c>
      <c r="I143">
        <f t="shared" si="15"/>
        <v>-3.1579999999999999</v>
      </c>
      <c r="J143">
        <f t="shared" si="16"/>
        <v>2.7575202829207409E-3</v>
      </c>
      <c r="K143">
        <f t="shared" si="17"/>
        <v>-63.328021879621708</v>
      </c>
      <c r="L143">
        <f t="shared" si="18"/>
        <v>1.8383468552804936E-3</v>
      </c>
      <c r="O143">
        <f t="shared" si="19"/>
        <v>-63.167596238381371</v>
      </c>
      <c r="P143">
        <f t="shared" si="20"/>
        <v>4.3575341515844591E-5</v>
      </c>
    </row>
    <row r="144" spans="1:16" x14ac:dyDescent="0.25">
      <c r="A144" s="1">
        <v>7.1</v>
      </c>
      <c r="B144" s="2">
        <v>-3.1469999999999998</v>
      </c>
      <c r="C144">
        <v>3.0000000000000001E-3</v>
      </c>
      <c r="H144">
        <f t="shared" si="14"/>
        <v>7.1</v>
      </c>
      <c r="I144">
        <f t="shared" si="15"/>
        <v>-3.1469999999999998</v>
      </c>
      <c r="J144">
        <f t="shared" si="16"/>
        <v>2.755800568615214E-3</v>
      </c>
      <c r="K144">
        <f t="shared" si="17"/>
        <v>-63.107436622916246</v>
      </c>
      <c r="L144">
        <f t="shared" si="18"/>
        <v>1.837200379076809E-3</v>
      </c>
      <c r="O144">
        <f t="shared" si="19"/>
        <v>-62.947010981675909</v>
      </c>
      <c r="P144">
        <f t="shared" si="20"/>
        <v>4.2428865312159987E-5</v>
      </c>
    </row>
    <row r="145" spans="1:16" x14ac:dyDescent="0.25">
      <c r="A145" s="1">
        <v>7.15</v>
      </c>
      <c r="B145" s="2">
        <v>-3.1469999999999998</v>
      </c>
      <c r="C145">
        <v>3.0000000000000001E-3</v>
      </c>
      <c r="H145">
        <f t="shared" si="14"/>
        <v>7.15</v>
      </c>
      <c r="I145">
        <f t="shared" si="15"/>
        <v>-3.1469999999999998</v>
      </c>
      <c r="J145">
        <f t="shared" si="16"/>
        <v>2.7540808543096876E-3</v>
      </c>
      <c r="K145">
        <f t="shared" si="17"/>
        <v>-63.107436622916246</v>
      </c>
      <c r="L145">
        <f t="shared" si="18"/>
        <v>1.8360539028731246E-3</v>
      </c>
      <c r="O145">
        <f t="shared" si="19"/>
        <v>-62.947010981675909</v>
      </c>
      <c r="P145">
        <f t="shared" si="20"/>
        <v>4.1282389108475599E-5</v>
      </c>
    </row>
    <row r="146" spans="1:16" x14ac:dyDescent="0.25">
      <c r="A146" s="1">
        <v>7.2</v>
      </c>
      <c r="B146" s="2">
        <v>-3.1469999999999998</v>
      </c>
      <c r="C146">
        <v>3.0000000000000001E-3</v>
      </c>
      <c r="H146">
        <f t="shared" si="14"/>
        <v>7.2</v>
      </c>
      <c r="I146">
        <f t="shared" si="15"/>
        <v>-3.1469999999999998</v>
      </c>
      <c r="J146">
        <f t="shared" si="16"/>
        <v>2.7523611400041607E-3</v>
      </c>
      <c r="K146">
        <f t="shared" si="17"/>
        <v>-63.107436622916246</v>
      </c>
      <c r="L146">
        <f t="shared" si="18"/>
        <v>1.83490742666944E-3</v>
      </c>
      <c r="O146">
        <f t="shared" si="19"/>
        <v>-62.947010981675909</v>
      </c>
      <c r="P146">
        <f t="shared" si="20"/>
        <v>4.0135912904790995E-5</v>
      </c>
    </row>
    <row r="147" spans="1:16" x14ac:dyDescent="0.25">
      <c r="A147" s="1">
        <v>7.25</v>
      </c>
      <c r="B147" s="2">
        <v>-3.1469999999999998</v>
      </c>
      <c r="C147">
        <v>3.0000000000000001E-3</v>
      </c>
      <c r="H147">
        <f t="shared" si="14"/>
        <v>7.25</v>
      </c>
      <c r="I147">
        <f t="shared" si="15"/>
        <v>-3.1469999999999998</v>
      </c>
      <c r="J147">
        <f t="shared" si="16"/>
        <v>2.7506414256986342E-3</v>
      </c>
      <c r="K147">
        <f t="shared" si="17"/>
        <v>-63.107436622916246</v>
      </c>
      <c r="L147">
        <f t="shared" si="18"/>
        <v>1.8337609504657556E-3</v>
      </c>
      <c r="O147">
        <f t="shared" si="19"/>
        <v>-62.947010981675909</v>
      </c>
      <c r="P147">
        <f t="shared" si="20"/>
        <v>3.8989436701106607E-5</v>
      </c>
    </row>
    <row r="148" spans="1:16" x14ac:dyDescent="0.25">
      <c r="A148" s="1">
        <v>7.3</v>
      </c>
      <c r="B148" s="2">
        <v>-3.1469999999999998</v>
      </c>
      <c r="C148">
        <v>3.0000000000000001E-3</v>
      </c>
      <c r="H148">
        <f t="shared" si="14"/>
        <v>7.3</v>
      </c>
      <c r="I148">
        <f t="shared" si="15"/>
        <v>-3.1469999999999998</v>
      </c>
      <c r="J148">
        <f t="shared" si="16"/>
        <v>2.7489217113931077E-3</v>
      </c>
      <c r="K148">
        <f t="shared" si="17"/>
        <v>-63.107436622916246</v>
      </c>
      <c r="L148">
        <f t="shared" si="18"/>
        <v>1.8326144742620714E-3</v>
      </c>
      <c r="O148">
        <f t="shared" si="19"/>
        <v>-62.947010981675909</v>
      </c>
      <c r="P148">
        <f t="shared" si="20"/>
        <v>3.7842960497422437E-5</v>
      </c>
    </row>
    <row r="149" spans="1:16" x14ac:dyDescent="0.25">
      <c r="A149" s="1">
        <v>7.35</v>
      </c>
      <c r="B149" s="2">
        <v>-3.1469999999999998</v>
      </c>
      <c r="C149">
        <v>3.0000000000000001E-3</v>
      </c>
      <c r="H149">
        <f t="shared" si="14"/>
        <v>7.35</v>
      </c>
      <c r="I149">
        <f t="shared" si="15"/>
        <v>-3.1469999999999998</v>
      </c>
      <c r="J149">
        <f t="shared" si="16"/>
        <v>2.7472019970875808E-3</v>
      </c>
      <c r="K149">
        <f t="shared" si="17"/>
        <v>-63.107436622916246</v>
      </c>
      <c r="L149">
        <f t="shared" si="18"/>
        <v>1.8314679980583868E-3</v>
      </c>
      <c r="O149">
        <f t="shared" si="19"/>
        <v>-62.947010981675909</v>
      </c>
      <c r="P149">
        <f t="shared" si="20"/>
        <v>3.6696484293737832E-5</v>
      </c>
    </row>
    <row r="150" spans="1:16" x14ac:dyDescent="0.25">
      <c r="A150" s="1">
        <v>7.4</v>
      </c>
      <c r="B150" s="2">
        <v>-3.093</v>
      </c>
      <c r="C150">
        <v>3.0000000000000001E-3</v>
      </c>
      <c r="H150">
        <f t="shared" si="14"/>
        <v>7.4</v>
      </c>
      <c r="I150">
        <f t="shared" si="15"/>
        <v>-3.093</v>
      </c>
      <c r="J150">
        <f t="shared" si="16"/>
        <v>2.7454822827820543E-3</v>
      </c>
      <c r="K150">
        <f t="shared" si="17"/>
        <v>-62.024563544543994</v>
      </c>
      <c r="L150">
        <f t="shared" si="18"/>
        <v>1.8303215218547025E-3</v>
      </c>
      <c r="O150">
        <f t="shared" si="19"/>
        <v>-61.864137903303657</v>
      </c>
      <c r="P150">
        <f t="shared" si="20"/>
        <v>3.5550008090053445E-5</v>
      </c>
    </row>
    <row r="151" spans="1:16" x14ac:dyDescent="0.25">
      <c r="A151" s="1">
        <v>7.45</v>
      </c>
      <c r="B151" s="2">
        <v>-2.992</v>
      </c>
      <c r="C151">
        <v>3.0000000000000001E-3</v>
      </c>
      <c r="H151">
        <f t="shared" si="14"/>
        <v>7.45</v>
      </c>
      <c r="I151">
        <f t="shared" si="15"/>
        <v>-2.992</v>
      </c>
      <c r="J151">
        <f t="shared" si="16"/>
        <v>2.7437625684765274E-3</v>
      </c>
      <c r="K151">
        <f t="shared" si="17"/>
        <v>-59.999189823884784</v>
      </c>
      <c r="L151">
        <f t="shared" si="18"/>
        <v>1.8291750456510178E-3</v>
      </c>
      <c r="O151">
        <f t="shared" si="19"/>
        <v>-59.838764182644447</v>
      </c>
      <c r="P151">
        <f t="shared" si="20"/>
        <v>3.4403531886368841E-5</v>
      </c>
    </row>
    <row r="152" spans="1:16" x14ac:dyDescent="0.25">
      <c r="A152" s="1">
        <v>7.5</v>
      </c>
      <c r="B152" s="2">
        <v>-2.9569999999999999</v>
      </c>
      <c r="C152">
        <v>3.0000000000000001E-3</v>
      </c>
      <c r="H152">
        <f t="shared" si="14"/>
        <v>7.5</v>
      </c>
      <c r="I152">
        <f t="shared" si="15"/>
        <v>-2.9569999999999999</v>
      </c>
      <c r="J152">
        <f t="shared" si="16"/>
        <v>2.7420428541710009E-3</v>
      </c>
      <c r="K152">
        <f t="shared" si="17"/>
        <v>-59.297327643458324</v>
      </c>
      <c r="L152">
        <f t="shared" si="18"/>
        <v>1.8280285694473335E-3</v>
      </c>
      <c r="O152">
        <f t="shared" si="19"/>
        <v>-59.136902002217987</v>
      </c>
      <c r="P152">
        <f t="shared" si="20"/>
        <v>3.3257055682684453E-5</v>
      </c>
    </row>
    <row r="153" spans="1:16" x14ac:dyDescent="0.25">
      <c r="A153" s="1">
        <v>7.55</v>
      </c>
      <c r="B153" s="2">
        <v>-2.9470000000000001</v>
      </c>
      <c r="C153">
        <v>3.0000000000000001E-3</v>
      </c>
      <c r="H153">
        <f t="shared" si="14"/>
        <v>7.55</v>
      </c>
      <c r="I153">
        <f t="shared" si="15"/>
        <v>-2.9470000000000001</v>
      </c>
      <c r="J153">
        <f t="shared" si="16"/>
        <v>2.740323139865474E-3</v>
      </c>
      <c r="K153">
        <f t="shared" si="17"/>
        <v>-59.096795591907906</v>
      </c>
      <c r="L153">
        <f t="shared" si="18"/>
        <v>1.8268820932436489E-3</v>
      </c>
      <c r="O153">
        <f t="shared" si="19"/>
        <v>-58.936369950667569</v>
      </c>
      <c r="P153">
        <f t="shared" si="20"/>
        <v>3.2110579478999849E-5</v>
      </c>
    </row>
    <row r="154" spans="1:16" x14ac:dyDescent="0.25">
      <c r="A154" s="1">
        <v>7.6</v>
      </c>
      <c r="B154" s="2">
        <v>-2.9020000000000001</v>
      </c>
      <c r="C154">
        <v>3.0000000000000001E-3</v>
      </c>
      <c r="H154">
        <f t="shared" si="14"/>
        <v>7.6</v>
      </c>
      <c r="I154">
        <f t="shared" si="15"/>
        <v>-2.9020000000000001</v>
      </c>
      <c r="J154">
        <f t="shared" si="16"/>
        <v>2.7386034255599476E-3</v>
      </c>
      <c r="K154">
        <f t="shared" si="17"/>
        <v>-58.194401359931035</v>
      </c>
      <c r="L154">
        <f t="shared" si="18"/>
        <v>1.8257356170399647E-3</v>
      </c>
      <c r="O154">
        <f t="shared" si="19"/>
        <v>-58.033975718690698</v>
      </c>
      <c r="P154">
        <f t="shared" si="20"/>
        <v>3.0964103275315678E-5</v>
      </c>
    </row>
    <row r="155" spans="1:16" x14ac:dyDescent="0.25">
      <c r="A155" s="1">
        <v>7.65</v>
      </c>
      <c r="B155" s="2">
        <v>-2.863</v>
      </c>
      <c r="C155">
        <v>3.0000000000000001E-3</v>
      </c>
      <c r="H155">
        <f t="shared" si="14"/>
        <v>7.65</v>
      </c>
      <c r="I155">
        <f t="shared" si="15"/>
        <v>-2.863</v>
      </c>
      <c r="J155">
        <f t="shared" si="16"/>
        <v>2.7368837112544207E-3</v>
      </c>
      <c r="K155">
        <f t="shared" si="17"/>
        <v>-57.412326358884407</v>
      </c>
      <c r="L155">
        <f t="shared" si="18"/>
        <v>1.8245891408362801E-3</v>
      </c>
      <c r="O155">
        <f t="shared" si="19"/>
        <v>-57.25190071764407</v>
      </c>
      <c r="P155">
        <f t="shared" si="20"/>
        <v>2.9817627071631074E-5</v>
      </c>
    </row>
    <row r="156" spans="1:16" x14ac:dyDescent="0.25">
      <c r="A156" s="1">
        <v>7.7</v>
      </c>
      <c r="B156" s="2">
        <v>-2.8479999999999999</v>
      </c>
      <c r="C156">
        <v>3.0000000000000001E-3</v>
      </c>
      <c r="H156">
        <f t="shared" si="14"/>
        <v>7.7</v>
      </c>
      <c r="I156">
        <f t="shared" si="15"/>
        <v>-2.8479999999999999</v>
      </c>
      <c r="J156">
        <f t="shared" si="16"/>
        <v>2.7351639969488942E-3</v>
      </c>
      <c r="K156">
        <f t="shared" si="17"/>
        <v>-57.111528281558776</v>
      </c>
      <c r="L156">
        <f t="shared" si="18"/>
        <v>1.8234426646325957E-3</v>
      </c>
      <c r="O156">
        <f t="shared" si="19"/>
        <v>-56.951102640318439</v>
      </c>
      <c r="P156">
        <f t="shared" si="20"/>
        <v>2.8671150867946686E-5</v>
      </c>
    </row>
    <row r="157" spans="1:16" x14ac:dyDescent="0.25">
      <c r="A157" s="1">
        <v>7.75</v>
      </c>
      <c r="B157" s="2">
        <v>-2.7829999999999999</v>
      </c>
      <c r="C157">
        <v>3.0000000000000001E-3</v>
      </c>
      <c r="H157">
        <f t="shared" si="14"/>
        <v>7.75</v>
      </c>
      <c r="I157">
        <f t="shared" si="15"/>
        <v>-2.7829999999999999</v>
      </c>
      <c r="J157">
        <f t="shared" si="16"/>
        <v>2.7334442826433677E-3</v>
      </c>
      <c r="K157">
        <f t="shared" si="17"/>
        <v>-55.808069946481069</v>
      </c>
      <c r="L157">
        <f t="shared" si="18"/>
        <v>1.8222961884289113E-3</v>
      </c>
      <c r="O157">
        <f t="shared" si="19"/>
        <v>-55.647644305240732</v>
      </c>
      <c r="P157">
        <f t="shared" si="20"/>
        <v>2.7524674664262299E-5</v>
      </c>
    </row>
    <row r="158" spans="1:16" x14ac:dyDescent="0.25">
      <c r="A158" s="1">
        <v>7.8</v>
      </c>
      <c r="B158" s="2">
        <v>-2.7690000000000001</v>
      </c>
      <c r="C158">
        <v>3.0000000000000001E-3</v>
      </c>
      <c r="H158">
        <f t="shared" si="14"/>
        <v>7.8</v>
      </c>
      <c r="I158">
        <f t="shared" si="15"/>
        <v>-2.7690000000000001</v>
      </c>
      <c r="J158">
        <f t="shared" si="16"/>
        <v>2.7317245683378408E-3</v>
      </c>
      <c r="K158">
        <f t="shared" si="17"/>
        <v>-55.52732507431049</v>
      </c>
      <c r="L158">
        <f t="shared" si="18"/>
        <v>1.8211497122252267E-3</v>
      </c>
      <c r="O158">
        <f t="shared" si="19"/>
        <v>-55.366899433070152</v>
      </c>
      <c r="P158">
        <f t="shared" si="20"/>
        <v>2.6378198460577694E-5</v>
      </c>
    </row>
    <row r="159" spans="1:16" x14ac:dyDescent="0.25">
      <c r="A159" s="1">
        <v>7.85</v>
      </c>
      <c r="B159" s="2">
        <v>-2.7690000000000001</v>
      </c>
      <c r="C159">
        <v>3.0000000000000001E-3</v>
      </c>
      <c r="H159">
        <f t="shared" si="14"/>
        <v>7.85</v>
      </c>
      <c r="I159">
        <f t="shared" si="15"/>
        <v>-2.7690000000000001</v>
      </c>
      <c r="J159">
        <f t="shared" si="16"/>
        <v>2.7300048540323143E-3</v>
      </c>
      <c r="K159">
        <f t="shared" si="17"/>
        <v>-55.52732507431049</v>
      </c>
      <c r="L159">
        <f t="shared" si="18"/>
        <v>1.8200032360215425E-3</v>
      </c>
      <c r="O159">
        <f t="shared" si="19"/>
        <v>-55.366899433070152</v>
      </c>
      <c r="P159">
        <f t="shared" si="20"/>
        <v>2.5231722256893524E-5</v>
      </c>
    </row>
    <row r="160" spans="1:16" x14ac:dyDescent="0.25">
      <c r="A160" s="1">
        <v>7.9</v>
      </c>
      <c r="B160" s="2">
        <v>-2.7690000000000001</v>
      </c>
      <c r="C160">
        <v>3.0000000000000001E-3</v>
      </c>
      <c r="H160">
        <f t="shared" si="14"/>
        <v>7.9</v>
      </c>
      <c r="I160">
        <f t="shared" si="15"/>
        <v>-2.7690000000000001</v>
      </c>
      <c r="J160">
        <f t="shared" si="16"/>
        <v>2.7282851397267874E-3</v>
      </c>
      <c r="K160">
        <f t="shared" si="17"/>
        <v>-55.52732507431049</v>
      </c>
      <c r="L160">
        <f t="shared" si="18"/>
        <v>1.8188567598178579E-3</v>
      </c>
      <c r="O160">
        <f t="shared" si="19"/>
        <v>-55.366899433070152</v>
      </c>
      <c r="P160">
        <f t="shared" si="20"/>
        <v>2.4085246053208919E-5</v>
      </c>
    </row>
    <row r="161" spans="1:16" x14ac:dyDescent="0.25">
      <c r="A161" s="1">
        <v>7.95</v>
      </c>
      <c r="B161" s="2">
        <v>-2.7690000000000001</v>
      </c>
      <c r="C161">
        <v>3.0000000000000001E-3</v>
      </c>
      <c r="H161">
        <f t="shared" si="14"/>
        <v>7.95</v>
      </c>
      <c r="I161">
        <f t="shared" si="15"/>
        <v>-2.7690000000000001</v>
      </c>
      <c r="J161">
        <f t="shared" si="16"/>
        <v>2.726565425421261E-3</v>
      </c>
      <c r="K161">
        <f t="shared" si="17"/>
        <v>-55.52732507431049</v>
      </c>
      <c r="L161">
        <f t="shared" si="18"/>
        <v>1.8177102836141735E-3</v>
      </c>
      <c r="O161">
        <f t="shared" si="19"/>
        <v>-55.366899433070152</v>
      </c>
      <c r="P161">
        <f t="shared" si="20"/>
        <v>2.2938769849524532E-5</v>
      </c>
    </row>
    <row r="162" spans="1:16" x14ac:dyDescent="0.25">
      <c r="A162" s="1">
        <v>8</v>
      </c>
      <c r="B162" s="2">
        <v>-2.7679999999999998</v>
      </c>
      <c r="C162">
        <v>3.0000000000000001E-3</v>
      </c>
      <c r="H162">
        <f t="shared" si="14"/>
        <v>8</v>
      </c>
      <c r="I162">
        <f t="shared" si="15"/>
        <v>-2.7679999999999998</v>
      </c>
      <c r="J162">
        <f t="shared" si="16"/>
        <v>2.7248457111157341E-3</v>
      </c>
      <c r="K162">
        <f t="shared" si="17"/>
        <v>-55.507271869155439</v>
      </c>
      <c r="L162">
        <f t="shared" si="18"/>
        <v>1.8165638074104889E-3</v>
      </c>
      <c r="O162">
        <f t="shared" si="19"/>
        <v>-55.346846227915101</v>
      </c>
      <c r="P162">
        <f t="shared" si="20"/>
        <v>2.1792293645839927E-5</v>
      </c>
    </row>
    <row r="163" spans="1:16" x14ac:dyDescent="0.25">
      <c r="A163" s="1">
        <v>8.0500000000000007</v>
      </c>
      <c r="B163" s="2">
        <v>-2.7679999999999998</v>
      </c>
      <c r="C163">
        <v>3.0000000000000001E-3</v>
      </c>
      <c r="H163">
        <f t="shared" si="14"/>
        <v>8.0500000000000007</v>
      </c>
      <c r="I163">
        <f t="shared" si="15"/>
        <v>-2.7679999999999998</v>
      </c>
      <c r="J163">
        <f t="shared" si="16"/>
        <v>2.7231259968102076E-3</v>
      </c>
      <c r="K163">
        <f t="shared" si="17"/>
        <v>-55.507271869155439</v>
      </c>
      <c r="L163">
        <f t="shared" si="18"/>
        <v>1.8154173312068045E-3</v>
      </c>
      <c r="O163">
        <f t="shared" si="19"/>
        <v>-55.346846227915101</v>
      </c>
      <c r="P163">
        <f t="shared" si="20"/>
        <v>2.064581744215554E-5</v>
      </c>
    </row>
    <row r="164" spans="1:16" x14ac:dyDescent="0.25">
      <c r="A164" s="1">
        <v>8.1</v>
      </c>
      <c r="B164" s="2">
        <v>-2.722</v>
      </c>
      <c r="C164">
        <v>3.0000000000000001E-3</v>
      </c>
      <c r="H164">
        <f t="shared" si="14"/>
        <v>8.1</v>
      </c>
      <c r="I164">
        <f t="shared" si="15"/>
        <v>-2.722</v>
      </c>
      <c r="J164">
        <f t="shared" si="16"/>
        <v>2.7214062825046811E-3</v>
      </c>
      <c r="K164">
        <f t="shared" si="17"/>
        <v>-54.584824432023524</v>
      </c>
      <c r="L164">
        <f t="shared" si="18"/>
        <v>1.8142708550031204E-3</v>
      </c>
      <c r="O164">
        <f t="shared" si="19"/>
        <v>-54.424398790783187</v>
      </c>
      <c r="P164">
        <f t="shared" si="20"/>
        <v>1.9499341238471369E-5</v>
      </c>
    </row>
    <row r="165" spans="1:16" x14ac:dyDescent="0.25">
      <c r="A165" s="1">
        <v>8.15</v>
      </c>
      <c r="B165" s="2">
        <v>-2.5619999999999998</v>
      </c>
      <c r="C165">
        <v>3.0000000000000001E-3</v>
      </c>
      <c r="H165">
        <f t="shared" si="14"/>
        <v>8.15</v>
      </c>
      <c r="I165">
        <f t="shared" si="15"/>
        <v>-2.5619999999999998</v>
      </c>
      <c r="J165">
        <f t="shared" si="16"/>
        <v>2.7196865681991542E-3</v>
      </c>
      <c r="K165">
        <f t="shared" si="17"/>
        <v>-51.376311607216849</v>
      </c>
      <c r="L165">
        <f t="shared" si="18"/>
        <v>1.8131243787994358E-3</v>
      </c>
      <c r="O165">
        <f t="shared" si="19"/>
        <v>-51.215885965976511</v>
      </c>
      <c r="P165">
        <f t="shared" si="20"/>
        <v>1.8352865034786765E-5</v>
      </c>
    </row>
    <row r="166" spans="1:16" x14ac:dyDescent="0.25">
      <c r="A166" s="1">
        <v>8.1999999999999993</v>
      </c>
      <c r="B166" s="2">
        <v>-2.4710000000000001</v>
      </c>
      <c r="C166">
        <v>3.0000000000000001E-3</v>
      </c>
      <c r="H166">
        <f t="shared" si="14"/>
        <v>8.1999999999999993</v>
      </c>
      <c r="I166">
        <f t="shared" si="15"/>
        <v>-2.4710000000000001</v>
      </c>
      <c r="J166">
        <f t="shared" si="16"/>
        <v>2.7179668538936277E-3</v>
      </c>
      <c r="K166">
        <f t="shared" si="17"/>
        <v>-49.551469938108056</v>
      </c>
      <c r="L166">
        <f t="shared" si="18"/>
        <v>1.8119779025957514E-3</v>
      </c>
      <c r="O166">
        <f t="shared" si="19"/>
        <v>-49.391044296867719</v>
      </c>
      <c r="P166">
        <f t="shared" si="20"/>
        <v>1.7206388831102377E-5</v>
      </c>
    </row>
    <row r="167" spans="1:16" x14ac:dyDescent="0.25">
      <c r="A167" s="1">
        <v>8.25</v>
      </c>
      <c r="B167" s="2">
        <v>-2.4500000000000002</v>
      </c>
      <c r="C167">
        <v>3.0000000000000001E-3</v>
      </c>
      <c r="H167">
        <f t="shared" si="14"/>
        <v>8.25</v>
      </c>
      <c r="I167">
        <f t="shared" si="15"/>
        <v>-2.4500000000000002</v>
      </c>
      <c r="J167">
        <f t="shared" si="16"/>
        <v>2.7162471395881008E-3</v>
      </c>
      <c r="K167">
        <f t="shared" si="17"/>
        <v>-49.130352629852183</v>
      </c>
      <c r="L167">
        <f t="shared" si="18"/>
        <v>1.8108314263920668E-3</v>
      </c>
      <c r="O167">
        <f t="shared" si="19"/>
        <v>-48.969926988611846</v>
      </c>
      <c r="P167">
        <f t="shared" si="20"/>
        <v>1.6059912627417773E-5</v>
      </c>
    </row>
    <row r="168" spans="1:16" x14ac:dyDescent="0.25">
      <c r="A168" s="1">
        <v>8.3000000000000007</v>
      </c>
      <c r="B168" s="2">
        <v>-2.3980000000000001</v>
      </c>
      <c r="C168">
        <v>3.0000000000000001E-3</v>
      </c>
      <c r="H168">
        <f t="shared" si="14"/>
        <v>8.3000000000000007</v>
      </c>
      <c r="I168">
        <f t="shared" si="15"/>
        <v>-2.3980000000000001</v>
      </c>
      <c r="J168">
        <f t="shared" si="16"/>
        <v>2.7145274252825743E-3</v>
      </c>
      <c r="K168">
        <f t="shared" si="17"/>
        <v>-48.087585961790012</v>
      </c>
      <c r="L168">
        <f t="shared" si="18"/>
        <v>1.8096849501883824E-3</v>
      </c>
      <c r="O168">
        <f t="shared" si="19"/>
        <v>-47.927160320549675</v>
      </c>
      <c r="P168">
        <f t="shared" si="20"/>
        <v>1.4913436423733386E-5</v>
      </c>
    </row>
    <row r="169" spans="1:16" x14ac:dyDescent="0.25">
      <c r="A169" s="1">
        <v>8.35</v>
      </c>
      <c r="B169" s="2">
        <v>-2.3929999999999998</v>
      </c>
      <c r="C169">
        <v>3.0000000000000001E-3</v>
      </c>
      <c r="H169">
        <f t="shared" si="14"/>
        <v>8.35</v>
      </c>
      <c r="I169">
        <f t="shared" si="15"/>
        <v>-2.3929999999999998</v>
      </c>
      <c r="J169">
        <f t="shared" si="16"/>
        <v>2.7128077109770474E-3</v>
      </c>
      <c r="K169">
        <f t="shared" si="17"/>
        <v>-47.987319936014799</v>
      </c>
      <c r="L169">
        <f t="shared" si="18"/>
        <v>1.8085384739846978E-3</v>
      </c>
      <c r="O169">
        <f t="shared" si="19"/>
        <v>-47.826894294774462</v>
      </c>
      <c r="P169">
        <f t="shared" si="20"/>
        <v>1.3766960220048781E-5</v>
      </c>
    </row>
    <row r="170" spans="1:16" x14ac:dyDescent="0.25">
      <c r="A170" s="1">
        <v>8.4</v>
      </c>
      <c r="B170" s="2">
        <v>-2.3929999999999998</v>
      </c>
      <c r="C170">
        <v>3.0000000000000001E-3</v>
      </c>
      <c r="H170">
        <f t="shared" si="14"/>
        <v>8.4</v>
      </c>
      <c r="I170">
        <f t="shared" si="15"/>
        <v>-2.3929999999999998</v>
      </c>
      <c r="J170">
        <f t="shared" si="16"/>
        <v>2.711087996671521E-3</v>
      </c>
      <c r="K170">
        <f t="shared" si="17"/>
        <v>-47.987319936014799</v>
      </c>
      <c r="L170">
        <f t="shared" si="18"/>
        <v>1.8073919977810136E-3</v>
      </c>
      <c r="O170">
        <f t="shared" si="19"/>
        <v>-47.826894294774462</v>
      </c>
      <c r="P170">
        <f t="shared" si="20"/>
        <v>1.2620484016364611E-5</v>
      </c>
    </row>
    <row r="171" spans="1:16" x14ac:dyDescent="0.25">
      <c r="A171" s="1">
        <v>8.4499999999999993</v>
      </c>
      <c r="B171" s="2">
        <v>-2.3929999999999998</v>
      </c>
      <c r="C171">
        <v>3.0000000000000001E-3</v>
      </c>
      <c r="H171">
        <f t="shared" si="14"/>
        <v>8.4499999999999993</v>
      </c>
      <c r="I171">
        <f t="shared" si="15"/>
        <v>-2.3929999999999998</v>
      </c>
      <c r="J171">
        <f t="shared" si="16"/>
        <v>2.7093682823659945E-3</v>
      </c>
      <c r="K171">
        <f t="shared" si="17"/>
        <v>-47.987319936014799</v>
      </c>
      <c r="L171">
        <f t="shared" si="18"/>
        <v>1.8062455215773292E-3</v>
      </c>
      <c r="O171">
        <f t="shared" si="19"/>
        <v>-47.826894294774462</v>
      </c>
      <c r="P171">
        <f t="shared" si="20"/>
        <v>1.1474007812680223E-5</v>
      </c>
    </row>
    <row r="172" spans="1:16" x14ac:dyDescent="0.25">
      <c r="A172" s="1">
        <v>8.5</v>
      </c>
      <c r="B172" s="2">
        <v>-2.3929999999999998</v>
      </c>
      <c r="C172">
        <v>3.0000000000000001E-3</v>
      </c>
      <c r="H172">
        <f t="shared" si="14"/>
        <v>8.5</v>
      </c>
      <c r="I172">
        <f t="shared" si="15"/>
        <v>-2.3929999999999998</v>
      </c>
      <c r="J172">
        <f t="shared" si="16"/>
        <v>2.7076485680604676E-3</v>
      </c>
      <c r="K172">
        <f t="shared" si="17"/>
        <v>-47.987319936014799</v>
      </c>
      <c r="L172">
        <f t="shared" si="18"/>
        <v>1.8050990453736446E-3</v>
      </c>
      <c r="O172">
        <f t="shared" si="19"/>
        <v>-47.826894294774462</v>
      </c>
      <c r="P172">
        <f t="shared" si="20"/>
        <v>1.0327531608995619E-5</v>
      </c>
    </row>
    <row r="173" spans="1:16" x14ac:dyDescent="0.25">
      <c r="A173" s="1">
        <v>8.5500000000000007</v>
      </c>
      <c r="B173" s="2">
        <v>-2.3929999999999998</v>
      </c>
      <c r="C173">
        <v>3.0000000000000001E-3</v>
      </c>
      <c r="H173">
        <f t="shared" si="14"/>
        <v>8.5500000000000007</v>
      </c>
      <c r="I173">
        <f t="shared" si="15"/>
        <v>-2.3929999999999998</v>
      </c>
      <c r="J173">
        <f t="shared" si="16"/>
        <v>2.7059288537549411E-3</v>
      </c>
      <c r="K173">
        <f t="shared" si="17"/>
        <v>-47.987319936014799</v>
      </c>
      <c r="L173">
        <f t="shared" si="18"/>
        <v>1.8039525691699602E-3</v>
      </c>
      <c r="O173">
        <f t="shared" si="19"/>
        <v>-47.826894294774462</v>
      </c>
      <c r="P173">
        <f t="shared" si="20"/>
        <v>9.1810554053112312E-6</v>
      </c>
    </row>
    <row r="174" spans="1:16" x14ac:dyDescent="0.25">
      <c r="A174" s="1">
        <v>8.6</v>
      </c>
      <c r="B174" s="2">
        <v>-2.3929999999999998</v>
      </c>
      <c r="C174">
        <v>3.0000000000000001E-3</v>
      </c>
      <c r="H174">
        <f t="shared" si="14"/>
        <v>8.6</v>
      </c>
      <c r="I174">
        <f t="shared" si="15"/>
        <v>-2.3929999999999998</v>
      </c>
      <c r="J174">
        <f t="shared" si="16"/>
        <v>2.7042091394494142E-3</v>
      </c>
      <c r="K174">
        <f t="shared" si="17"/>
        <v>-47.987319936014799</v>
      </c>
      <c r="L174">
        <f t="shared" si="18"/>
        <v>1.8028060929662756E-3</v>
      </c>
      <c r="O174">
        <f t="shared" si="19"/>
        <v>-47.826894294774462</v>
      </c>
      <c r="P174">
        <f t="shared" si="20"/>
        <v>8.0345792016266269E-6</v>
      </c>
    </row>
    <row r="175" spans="1:16" x14ac:dyDescent="0.25">
      <c r="A175" s="1">
        <v>8.65</v>
      </c>
      <c r="B175" s="2">
        <v>-2.3929999999999998</v>
      </c>
      <c r="C175">
        <v>3.0000000000000001E-3</v>
      </c>
      <c r="H175">
        <f t="shared" si="14"/>
        <v>8.65</v>
      </c>
      <c r="I175">
        <f t="shared" si="15"/>
        <v>-2.3929999999999998</v>
      </c>
      <c r="J175">
        <f t="shared" si="16"/>
        <v>2.7024894251438877E-3</v>
      </c>
      <c r="K175">
        <f t="shared" si="17"/>
        <v>-47.987319936014799</v>
      </c>
      <c r="L175">
        <f t="shared" si="18"/>
        <v>1.8016596167625915E-3</v>
      </c>
      <c r="O175">
        <f t="shared" si="19"/>
        <v>-47.826894294774462</v>
      </c>
      <c r="P175">
        <f t="shared" si="20"/>
        <v>6.8881029979424562E-6</v>
      </c>
    </row>
    <row r="176" spans="1:16" x14ac:dyDescent="0.25">
      <c r="A176" s="1">
        <v>8.6999999999999993</v>
      </c>
      <c r="B176" s="2">
        <v>-2.3690000000000002</v>
      </c>
      <c r="C176">
        <v>3.0000000000000001E-3</v>
      </c>
      <c r="H176">
        <f t="shared" si="14"/>
        <v>8.6999999999999993</v>
      </c>
      <c r="I176">
        <f t="shared" si="15"/>
        <v>-2.3690000000000002</v>
      </c>
      <c r="J176">
        <f t="shared" si="16"/>
        <v>2.7007697108383608E-3</v>
      </c>
      <c r="K176">
        <f t="shared" si="17"/>
        <v>-47.506043012293809</v>
      </c>
      <c r="L176">
        <f t="shared" si="18"/>
        <v>1.8005131405589069E-3</v>
      </c>
      <c r="O176">
        <f t="shared" si="19"/>
        <v>-47.345617371053471</v>
      </c>
      <c r="P176">
        <f t="shared" si="20"/>
        <v>5.7416267942578519E-6</v>
      </c>
    </row>
    <row r="177" spans="1:16" x14ac:dyDescent="0.25">
      <c r="A177" s="1">
        <v>8.75</v>
      </c>
      <c r="B177" s="2">
        <v>-2.2959999999999998</v>
      </c>
      <c r="C177">
        <v>3.0000000000000001E-3</v>
      </c>
      <c r="H177">
        <f t="shared" si="14"/>
        <v>8.75</v>
      </c>
      <c r="I177">
        <f t="shared" si="15"/>
        <v>-2.2959999999999998</v>
      </c>
      <c r="J177">
        <f t="shared" si="16"/>
        <v>2.6990499965328344E-3</v>
      </c>
      <c r="K177">
        <f t="shared" si="17"/>
        <v>-46.04215903597575</v>
      </c>
      <c r="L177">
        <f t="shared" si="18"/>
        <v>1.7993666643552225E-3</v>
      </c>
      <c r="O177">
        <f t="shared" si="19"/>
        <v>-45.881733394735413</v>
      </c>
      <c r="P177">
        <f t="shared" si="20"/>
        <v>4.5951505905734644E-6</v>
      </c>
    </row>
    <row r="178" spans="1:16" x14ac:dyDescent="0.25">
      <c r="A178" s="1">
        <v>8.8000000000000007</v>
      </c>
      <c r="B178" s="2">
        <v>-2.2349999999999999</v>
      </c>
      <c r="C178">
        <v>3.0000000000000001E-3</v>
      </c>
      <c r="H178">
        <f t="shared" si="14"/>
        <v>8.8000000000000007</v>
      </c>
      <c r="I178">
        <f t="shared" si="15"/>
        <v>-2.2349999999999999</v>
      </c>
      <c r="J178">
        <f t="shared" si="16"/>
        <v>2.6973302822273079E-3</v>
      </c>
      <c r="K178">
        <f t="shared" si="17"/>
        <v>-44.818913521518212</v>
      </c>
      <c r="L178">
        <f t="shared" si="18"/>
        <v>1.7982201881515381E-3</v>
      </c>
      <c r="O178">
        <f t="shared" si="19"/>
        <v>-44.658487880277875</v>
      </c>
      <c r="P178">
        <f t="shared" si="20"/>
        <v>3.4486743868890769E-6</v>
      </c>
    </row>
    <row r="179" spans="1:16" x14ac:dyDescent="0.25">
      <c r="A179" s="1">
        <v>8.85</v>
      </c>
      <c r="B179" s="2">
        <v>-2.1920000000000002</v>
      </c>
      <c r="C179">
        <v>3.0000000000000001E-3</v>
      </c>
      <c r="H179">
        <f t="shared" si="14"/>
        <v>8.85</v>
      </c>
      <c r="I179">
        <f t="shared" si="15"/>
        <v>-2.1920000000000002</v>
      </c>
      <c r="J179">
        <f t="shared" si="16"/>
        <v>2.695610567921781E-3</v>
      </c>
      <c r="K179">
        <f t="shared" si="17"/>
        <v>-43.956625699851422</v>
      </c>
      <c r="L179">
        <f t="shared" si="18"/>
        <v>1.7970737119478535E-3</v>
      </c>
      <c r="O179">
        <f t="shared" si="19"/>
        <v>-43.796200058611085</v>
      </c>
      <c r="P179">
        <f t="shared" si="20"/>
        <v>2.3021981832044725E-6</v>
      </c>
    </row>
    <row r="180" spans="1:16" x14ac:dyDescent="0.25">
      <c r="A180" s="1">
        <v>8.9</v>
      </c>
      <c r="B180" s="2">
        <v>-2.1419999999999999</v>
      </c>
      <c r="C180">
        <v>3.0000000000000001E-3</v>
      </c>
      <c r="H180">
        <f t="shared" si="14"/>
        <v>8.9</v>
      </c>
      <c r="I180">
        <f t="shared" si="15"/>
        <v>-2.1419999999999999</v>
      </c>
      <c r="J180">
        <f t="shared" si="16"/>
        <v>2.6938908536162545E-3</v>
      </c>
      <c r="K180">
        <f t="shared" si="17"/>
        <v>-42.953965442099332</v>
      </c>
      <c r="L180">
        <f t="shared" si="18"/>
        <v>1.7959272357441693E-3</v>
      </c>
      <c r="O180">
        <f t="shared" si="19"/>
        <v>-42.793539800858994</v>
      </c>
      <c r="P180">
        <f t="shared" si="20"/>
        <v>1.1557219795203019E-6</v>
      </c>
    </row>
    <row r="181" spans="1:16" x14ac:dyDescent="0.25">
      <c r="A181" s="1">
        <v>8.9499999999999993</v>
      </c>
      <c r="B181" s="2">
        <v>-2.093</v>
      </c>
      <c r="C181">
        <v>3.0000000000000001E-3</v>
      </c>
      <c r="H181">
        <f t="shared" si="14"/>
        <v>8.9499999999999993</v>
      </c>
      <c r="I181">
        <f t="shared" si="15"/>
        <v>-2.093</v>
      </c>
      <c r="J181">
        <f t="shared" si="16"/>
        <v>2.6921711393107276E-3</v>
      </c>
      <c r="K181">
        <f t="shared" si="17"/>
        <v>-41.971358389502292</v>
      </c>
      <c r="L181">
        <f t="shared" si="18"/>
        <v>1.7947807595404847E-3</v>
      </c>
      <c r="O181">
        <f t="shared" si="19"/>
        <v>-41.810932748261955</v>
      </c>
      <c r="P181">
        <f t="shared" si="20"/>
        <v>9.2457758356975089E-9</v>
      </c>
    </row>
    <row r="182" spans="1:16" x14ac:dyDescent="0.25">
      <c r="A182" s="1">
        <v>9</v>
      </c>
      <c r="B182" s="2">
        <v>-2.0529999999999999</v>
      </c>
      <c r="C182">
        <v>3.0000000000000001E-3</v>
      </c>
      <c r="H182">
        <f t="shared" si="14"/>
        <v>9</v>
      </c>
      <c r="I182">
        <f t="shared" si="15"/>
        <v>-2.0529999999999999</v>
      </c>
      <c r="J182">
        <f t="shared" si="16"/>
        <v>2.6904514250052011E-3</v>
      </c>
      <c r="K182">
        <f t="shared" si="17"/>
        <v>-41.16923018330062</v>
      </c>
      <c r="L182">
        <f t="shared" si="18"/>
        <v>1.7936342833368003E-3</v>
      </c>
      <c r="O182">
        <f t="shared" si="19"/>
        <v>-41.008804542060282</v>
      </c>
      <c r="P182">
        <f t="shared" si="20"/>
        <v>-1.13723042784869E-6</v>
      </c>
    </row>
    <row r="183" spans="1:16" x14ac:dyDescent="0.25">
      <c r="A183" s="1">
        <v>9.0500000000000007</v>
      </c>
      <c r="B183" s="2">
        <v>-2.0019999999999998</v>
      </c>
      <c r="C183">
        <v>3.0000000000000001E-3</v>
      </c>
      <c r="H183">
        <f t="shared" si="14"/>
        <v>9.0500000000000007</v>
      </c>
      <c r="I183">
        <f t="shared" si="15"/>
        <v>-2.0019999999999998</v>
      </c>
      <c r="J183">
        <f t="shared" si="16"/>
        <v>2.6887317106996742E-3</v>
      </c>
      <c r="K183">
        <f t="shared" si="17"/>
        <v>-40.146516720393493</v>
      </c>
      <c r="L183">
        <f t="shared" si="18"/>
        <v>1.7924878071331157E-3</v>
      </c>
      <c r="O183">
        <f t="shared" si="19"/>
        <v>-39.986091079153155</v>
      </c>
      <c r="P183">
        <f t="shared" si="20"/>
        <v>-2.2837066315332943E-6</v>
      </c>
    </row>
    <row r="184" spans="1:16" x14ac:dyDescent="0.25">
      <c r="A184" s="1">
        <v>9.1</v>
      </c>
      <c r="B184" s="2">
        <v>-1.9470000000000001</v>
      </c>
      <c r="C184">
        <v>3.0000000000000001E-3</v>
      </c>
      <c r="H184">
        <f t="shared" si="14"/>
        <v>9.1</v>
      </c>
      <c r="I184">
        <f t="shared" si="15"/>
        <v>-1.9470000000000001</v>
      </c>
      <c r="J184">
        <f t="shared" si="16"/>
        <v>2.6870119963941477E-3</v>
      </c>
      <c r="K184">
        <f t="shared" si="17"/>
        <v>-39.043590436866204</v>
      </c>
      <c r="L184">
        <f t="shared" si="18"/>
        <v>1.7913413309294313E-3</v>
      </c>
      <c r="O184">
        <f t="shared" si="19"/>
        <v>-38.883164795625866</v>
      </c>
      <c r="P184">
        <f t="shared" si="20"/>
        <v>-3.4301828352176818E-6</v>
      </c>
    </row>
    <row r="185" spans="1:16" x14ac:dyDescent="0.25">
      <c r="A185" s="1">
        <v>9.15</v>
      </c>
      <c r="B185" s="2">
        <v>-1.909</v>
      </c>
      <c r="C185">
        <v>3.0000000000000001E-3</v>
      </c>
      <c r="H185">
        <f t="shared" si="14"/>
        <v>9.15</v>
      </c>
      <c r="I185">
        <f t="shared" si="15"/>
        <v>-1.909</v>
      </c>
      <c r="J185">
        <f t="shared" si="16"/>
        <v>2.6852922820886213E-3</v>
      </c>
      <c r="K185">
        <f t="shared" si="17"/>
        <v>-38.281568640974619</v>
      </c>
      <c r="L185">
        <f t="shared" si="18"/>
        <v>1.7901948547257472E-3</v>
      </c>
      <c r="O185">
        <f t="shared" si="19"/>
        <v>-38.121142999734282</v>
      </c>
      <c r="P185">
        <f t="shared" si="20"/>
        <v>-4.5766590389018525E-6</v>
      </c>
    </row>
    <row r="186" spans="1:16" x14ac:dyDescent="0.25">
      <c r="A186" s="1">
        <v>9.1999999999999993</v>
      </c>
      <c r="B186" s="2">
        <v>-1.8580000000000001</v>
      </c>
      <c r="C186">
        <v>3.0000000000000001E-3</v>
      </c>
      <c r="H186">
        <f t="shared" si="14"/>
        <v>9.1999999999999993</v>
      </c>
      <c r="I186">
        <f t="shared" si="15"/>
        <v>-1.8580000000000001</v>
      </c>
      <c r="J186">
        <f t="shared" si="16"/>
        <v>2.6835725677830944E-3</v>
      </c>
      <c r="K186">
        <f t="shared" si="17"/>
        <v>-37.258855178067492</v>
      </c>
      <c r="L186">
        <f t="shared" si="18"/>
        <v>1.7890483785220625E-3</v>
      </c>
      <c r="O186">
        <f t="shared" si="19"/>
        <v>-37.098429536827155</v>
      </c>
      <c r="P186">
        <f t="shared" si="20"/>
        <v>-5.7231352425864569E-6</v>
      </c>
    </row>
    <row r="187" spans="1:16" x14ac:dyDescent="0.25">
      <c r="A187" s="1">
        <v>9.25</v>
      </c>
      <c r="B187" s="2">
        <v>-1.841</v>
      </c>
      <c r="C187">
        <v>3.0000000000000001E-3</v>
      </c>
      <c r="H187">
        <f t="shared" si="14"/>
        <v>9.25</v>
      </c>
      <c r="I187">
        <f t="shared" si="15"/>
        <v>-1.841</v>
      </c>
      <c r="J187">
        <f t="shared" si="16"/>
        <v>2.6818528534775679E-3</v>
      </c>
      <c r="K187">
        <f t="shared" si="17"/>
        <v>-36.91795069043178</v>
      </c>
      <c r="L187">
        <f t="shared" si="18"/>
        <v>1.7879019023183782E-3</v>
      </c>
      <c r="O187">
        <f t="shared" si="19"/>
        <v>-36.757525049191443</v>
      </c>
      <c r="P187">
        <f t="shared" si="20"/>
        <v>-6.8696114462708444E-6</v>
      </c>
    </row>
    <row r="188" spans="1:16" x14ac:dyDescent="0.25">
      <c r="A188" s="1">
        <v>9.3000000000000007</v>
      </c>
      <c r="B188" s="2">
        <v>-1.8049999999999999</v>
      </c>
      <c r="C188">
        <v>3.0000000000000001E-3</v>
      </c>
      <c r="H188">
        <f t="shared" si="14"/>
        <v>9.3000000000000007</v>
      </c>
      <c r="I188">
        <f t="shared" si="15"/>
        <v>-1.8049999999999999</v>
      </c>
      <c r="J188">
        <f t="shared" si="16"/>
        <v>2.680133139172041E-3</v>
      </c>
      <c r="K188">
        <f t="shared" si="17"/>
        <v>-36.196035304850277</v>
      </c>
      <c r="L188">
        <f t="shared" si="18"/>
        <v>1.7867554261146936E-3</v>
      </c>
      <c r="O188">
        <f t="shared" si="19"/>
        <v>-36.035609663609939</v>
      </c>
      <c r="P188">
        <f t="shared" si="20"/>
        <v>-8.0160876499554487E-6</v>
      </c>
    </row>
    <row r="189" spans="1:16" x14ac:dyDescent="0.25">
      <c r="A189" s="1">
        <v>9.35</v>
      </c>
      <c r="B189" s="2">
        <v>-1.7609999999999999</v>
      </c>
      <c r="C189">
        <v>3.0000000000000001E-3</v>
      </c>
      <c r="H189">
        <f t="shared" si="14"/>
        <v>9.35</v>
      </c>
      <c r="I189">
        <f t="shared" si="15"/>
        <v>-1.7609999999999999</v>
      </c>
      <c r="J189">
        <f t="shared" si="16"/>
        <v>2.6784134248665145E-3</v>
      </c>
      <c r="K189">
        <f t="shared" si="17"/>
        <v>-35.313694278028443</v>
      </c>
      <c r="L189">
        <f t="shared" si="18"/>
        <v>1.7856089499110094E-3</v>
      </c>
      <c r="O189">
        <f t="shared" si="19"/>
        <v>-35.153268636788106</v>
      </c>
      <c r="P189">
        <f t="shared" si="20"/>
        <v>-9.1625638536396194E-6</v>
      </c>
    </row>
    <row r="190" spans="1:16" x14ac:dyDescent="0.25">
      <c r="A190" s="1">
        <v>9.4</v>
      </c>
      <c r="B190" s="2">
        <v>-1.7170000000000001</v>
      </c>
      <c r="C190">
        <v>4.0000000000000001E-3</v>
      </c>
      <c r="H190">
        <f t="shared" si="14"/>
        <v>9.4</v>
      </c>
      <c r="I190">
        <f t="shared" si="15"/>
        <v>-1.7170000000000001</v>
      </c>
      <c r="J190">
        <f t="shared" si="16"/>
        <v>3.6766937105609876E-3</v>
      </c>
      <c r="K190">
        <f t="shared" si="17"/>
        <v>-34.431353251206609</v>
      </c>
      <c r="L190">
        <f t="shared" si="18"/>
        <v>2.4511291403739913E-3</v>
      </c>
      <c r="O190">
        <f t="shared" si="19"/>
        <v>-34.270927609966272</v>
      </c>
      <c r="P190">
        <f t="shared" si="20"/>
        <v>6.5635762660934231E-4</v>
      </c>
    </row>
    <row r="191" spans="1:16" x14ac:dyDescent="0.25">
      <c r="A191" s="1">
        <v>9.4499999999999993</v>
      </c>
      <c r="B191" s="2">
        <v>-1.7070000000000001</v>
      </c>
      <c r="C191">
        <v>3.0000000000000001E-3</v>
      </c>
      <c r="H191">
        <f t="shared" si="14"/>
        <v>9.4499999999999993</v>
      </c>
      <c r="I191">
        <f t="shared" si="15"/>
        <v>-1.7070000000000001</v>
      </c>
      <c r="J191">
        <f t="shared" si="16"/>
        <v>2.6749739962554611E-3</v>
      </c>
      <c r="K191">
        <f t="shared" si="17"/>
        <v>-34.230821199656191</v>
      </c>
      <c r="L191">
        <f t="shared" si="18"/>
        <v>1.7833159975036404E-3</v>
      </c>
      <c r="O191">
        <f t="shared" si="19"/>
        <v>-34.070395558415854</v>
      </c>
      <c r="P191">
        <f t="shared" si="20"/>
        <v>-1.1455516261008611E-5</v>
      </c>
    </row>
    <row r="192" spans="1:16" x14ac:dyDescent="0.25">
      <c r="A192" s="1">
        <v>9.5</v>
      </c>
      <c r="B192" s="2">
        <v>-1.7070000000000001</v>
      </c>
      <c r="C192">
        <v>3.0000000000000001E-3</v>
      </c>
      <c r="H192">
        <f t="shared" si="14"/>
        <v>9.5</v>
      </c>
      <c r="I192">
        <f t="shared" si="15"/>
        <v>-1.7070000000000001</v>
      </c>
      <c r="J192">
        <f t="shared" si="16"/>
        <v>2.6732542819499347E-3</v>
      </c>
      <c r="K192">
        <f t="shared" si="17"/>
        <v>-34.230821199656191</v>
      </c>
      <c r="L192">
        <f t="shared" si="18"/>
        <v>1.782169521299956E-3</v>
      </c>
      <c r="O192">
        <f t="shared" si="19"/>
        <v>-34.070395558415854</v>
      </c>
      <c r="P192">
        <f t="shared" si="20"/>
        <v>-1.2601992464692999E-5</v>
      </c>
    </row>
    <row r="193" spans="1:16" x14ac:dyDescent="0.25">
      <c r="A193" s="1">
        <v>9.5500000000000007</v>
      </c>
      <c r="B193" s="2">
        <v>-1.7070000000000001</v>
      </c>
      <c r="C193">
        <v>3.0000000000000001E-3</v>
      </c>
      <c r="H193">
        <f t="shared" si="14"/>
        <v>9.5500000000000007</v>
      </c>
      <c r="I193">
        <f t="shared" si="15"/>
        <v>-1.7070000000000001</v>
      </c>
      <c r="J193">
        <f t="shared" si="16"/>
        <v>2.6715345676444078E-3</v>
      </c>
      <c r="K193">
        <f t="shared" si="17"/>
        <v>-34.230821199656191</v>
      </c>
      <c r="L193">
        <f t="shared" si="18"/>
        <v>1.7810230450962714E-3</v>
      </c>
      <c r="O193">
        <f t="shared" si="19"/>
        <v>-34.070395558415854</v>
      </c>
      <c r="P193">
        <f t="shared" si="20"/>
        <v>-1.3748468668377603E-5</v>
      </c>
    </row>
    <row r="194" spans="1:16" x14ac:dyDescent="0.25">
      <c r="A194" s="1">
        <v>9.6</v>
      </c>
      <c r="B194" s="2">
        <v>-1.7070000000000001</v>
      </c>
      <c r="C194">
        <v>3.0000000000000001E-3</v>
      </c>
      <c r="H194">
        <f t="shared" si="14"/>
        <v>9.6</v>
      </c>
      <c r="I194">
        <f t="shared" si="15"/>
        <v>-1.7070000000000001</v>
      </c>
      <c r="J194">
        <f t="shared" si="16"/>
        <v>2.6698148533388813E-3</v>
      </c>
      <c r="K194">
        <f t="shared" si="17"/>
        <v>-34.230821199656191</v>
      </c>
      <c r="L194">
        <f t="shared" si="18"/>
        <v>1.7798765688925872E-3</v>
      </c>
      <c r="O194">
        <f t="shared" si="19"/>
        <v>-34.070395558415854</v>
      </c>
      <c r="P194">
        <f t="shared" si="20"/>
        <v>-1.4894944872061774E-5</v>
      </c>
    </row>
    <row r="195" spans="1:16" x14ac:dyDescent="0.25">
      <c r="A195" s="1">
        <v>9.65</v>
      </c>
      <c r="B195" s="2">
        <v>-1.6759999999999999</v>
      </c>
      <c r="C195">
        <v>3.0000000000000001E-3</v>
      </c>
      <c r="H195">
        <f t="shared" ref="H195:H258" si="21">A195</f>
        <v>9.65</v>
      </c>
      <c r="I195">
        <f t="shared" ref="I195:I258" si="22">B195</f>
        <v>-1.6759999999999999</v>
      </c>
      <c r="J195">
        <f t="shared" ref="J195:J258" si="23">C195-E$12*A195</f>
        <v>2.6680951390333544E-3</v>
      </c>
      <c r="K195">
        <f t="shared" ref="K195:K258" si="24">F$24*I195</f>
        <v>-33.6091718398499</v>
      </c>
      <c r="L195">
        <f t="shared" ref="L195:L258" si="25">F$25*J195</f>
        <v>1.7787300926889026E-3</v>
      </c>
      <c r="O195">
        <f t="shared" ref="O195:O258" si="26">K195-N$12</f>
        <v>-33.448746198609562</v>
      </c>
      <c r="P195">
        <f t="shared" ref="P195:P258" si="27">L195-N$15</f>
        <v>-1.6041421075746378E-5</v>
      </c>
    </row>
    <row r="196" spans="1:16" x14ac:dyDescent="0.25">
      <c r="A196" s="1">
        <v>9.6999999999999993</v>
      </c>
      <c r="B196" s="2">
        <v>-1.593</v>
      </c>
      <c r="C196">
        <v>4.0000000000000001E-3</v>
      </c>
      <c r="H196">
        <f t="shared" si="21"/>
        <v>9.6999999999999993</v>
      </c>
      <c r="I196">
        <f t="shared" si="22"/>
        <v>-1.593</v>
      </c>
      <c r="J196">
        <f t="shared" si="23"/>
        <v>3.6663754247278279E-3</v>
      </c>
      <c r="K196">
        <f t="shared" si="24"/>
        <v>-31.944755811981437</v>
      </c>
      <c r="L196">
        <f t="shared" si="25"/>
        <v>2.4442502831518846E-3</v>
      </c>
      <c r="O196">
        <f t="shared" si="26"/>
        <v>-31.7843301707411</v>
      </c>
      <c r="P196">
        <f t="shared" si="27"/>
        <v>6.4947876938723555E-4</v>
      </c>
    </row>
    <row r="197" spans="1:16" x14ac:dyDescent="0.25">
      <c r="A197" s="1">
        <v>9.75</v>
      </c>
      <c r="B197" s="2">
        <v>-1.5329999999999999</v>
      </c>
      <c r="C197">
        <v>3.0000000000000001E-3</v>
      </c>
      <c r="H197">
        <f t="shared" si="21"/>
        <v>9.75</v>
      </c>
      <c r="I197">
        <f t="shared" si="22"/>
        <v>-1.5329999999999999</v>
      </c>
      <c r="J197">
        <f t="shared" si="23"/>
        <v>2.664655710422301E-3</v>
      </c>
      <c r="K197">
        <f t="shared" si="24"/>
        <v>-30.741563502678932</v>
      </c>
      <c r="L197">
        <f t="shared" si="25"/>
        <v>1.7764371402815336E-3</v>
      </c>
      <c r="O197">
        <f t="shared" si="26"/>
        <v>-30.581137861438595</v>
      </c>
      <c r="P197">
        <f t="shared" si="27"/>
        <v>-1.833437348311537E-5</v>
      </c>
    </row>
    <row r="198" spans="1:16" x14ac:dyDescent="0.25">
      <c r="A198" s="1">
        <v>9.8000000000000007</v>
      </c>
      <c r="B198" s="2">
        <v>-1.498</v>
      </c>
      <c r="C198">
        <v>3.0000000000000001E-3</v>
      </c>
      <c r="H198">
        <f t="shared" si="21"/>
        <v>9.8000000000000007</v>
      </c>
      <c r="I198">
        <f t="shared" si="22"/>
        <v>-1.498</v>
      </c>
      <c r="J198">
        <f t="shared" si="23"/>
        <v>2.6629359961167745E-3</v>
      </c>
      <c r="K198">
        <f t="shared" si="24"/>
        <v>-30.039701322252476</v>
      </c>
      <c r="L198">
        <f t="shared" si="25"/>
        <v>1.7752906640778492E-3</v>
      </c>
      <c r="O198">
        <f t="shared" si="26"/>
        <v>-29.879275681012139</v>
      </c>
      <c r="P198">
        <f t="shared" si="27"/>
        <v>-1.9480849686799757E-5</v>
      </c>
    </row>
    <row r="199" spans="1:16" x14ac:dyDescent="0.25">
      <c r="A199" s="1">
        <v>9.85</v>
      </c>
      <c r="B199" s="2">
        <v>-1.4890000000000001</v>
      </c>
      <c r="C199">
        <v>3.0000000000000001E-3</v>
      </c>
      <c r="H199">
        <f t="shared" si="21"/>
        <v>9.85</v>
      </c>
      <c r="I199">
        <f t="shared" si="22"/>
        <v>-1.4890000000000001</v>
      </c>
      <c r="J199">
        <f t="shared" si="23"/>
        <v>2.6612162818112481E-3</v>
      </c>
      <c r="K199">
        <f t="shared" si="24"/>
        <v>-29.859222475857102</v>
      </c>
      <c r="L199">
        <f t="shared" si="25"/>
        <v>1.7741441878741651E-3</v>
      </c>
      <c r="O199">
        <f t="shared" si="26"/>
        <v>-29.698796834616765</v>
      </c>
      <c r="P199">
        <f t="shared" si="27"/>
        <v>-2.0627325890483928E-5</v>
      </c>
    </row>
    <row r="200" spans="1:16" x14ac:dyDescent="0.25">
      <c r="A200" s="1">
        <v>9.9</v>
      </c>
      <c r="B200" s="2">
        <v>-1.4630000000000001</v>
      </c>
      <c r="C200">
        <v>3.0000000000000001E-3</v>
      </c>
      <c r="H200">
        <f t="shared" si="21"/>
        <v>9.9</v>
      </c>
      <c r="I200">
        <f t="shared" si="22"/>
        <v>-1.4630000000000001</v>
      </c>
      <c r="J200">
        <f t="shared" si="23"/>
        <v>2.6594965675057211E-3</v>
      </c>
      <c r="K200">
        <f t="shared" si="24"/>
        <v>-29.337839141826016</v>
      </c>
      <c r="L200">
        <f t="shared" si="25"/>
        <v>1.7729977116704805E-3</v>
      </c>
      <c r="O200">
        <f t="shared" si="26"/>
        <v>-29.177413500585679</v>
      </c>
      <c r="P200">
        <f t="shared" si="27"/>
        <v>-2.1773802094168532E-5</v>
      </c>
    </row>
    <row r="201" spans="1:16" x14ac:dyDescent="0.25">
      <c r="A201" s="1">
        <v>9.9499999999999993</v>
      </c>
      <c r="B201" s="2">
        <v>-1.4159999999999999</v>
      </c>
      <c r="C201">
        <v>3.0000000000000001E-3</v>
      </c>
      <c r="H201">
        <f t="shared" si="21"/>
        <v>9.9499999999999993</v>
      </c>
      <c r="I201">
        <f t="shared" si="22"/>
        <v>-1.4159999999999999</v>
      </c>
      <c r="J201">
        <f t="shared" si="23"/>
        <v>2.6577768532001947E-3</v>
      </c>
      <c r="K201">
        <f t="shared" si="24"/>
        <v>-28.395338499539054</v>
      </c>
      <c r="L201">
        <f t="shared" si="25"/>
        <v>1.7718512354667961E-3</v>
      </c>
      <c r="O201">
        <f t="shared" si="26"/>
        <v>-28.234912858298717</v>
      </c>
      <c r="P201">
        <f t="shared" si="27"/>
        <v>-2.292027829785292E-5</v>
      </c>
    </row>
    <row r="202" spans="1:16" x14ac:dyDescent="0.25">
      <c r="A202" s="1">
        <v>10</v>
      </c>
      <c r="B202" s="2">
        <v>-1.359</v>
      </c>
      <c r="C202">
        <v>3.0000000000000001E-3</v>
      </c>
      <c r="H202">
        <f t="shared" si="21"/>
        <v>10</v>
      </c>
      <c r="I202">
        <f t="shared" si="22"/>
        <v>-1.359</v>
      </c>
      <c r="J202">
        <f t="shared" si="23"/>
        <v>2.6560571388946678E-3</v>
      </c>
      <c r="K202">
        <f t="shared" si="24"/>
        <v>-27.252305805701678</v>
      </c>
      <c r="L202">
        <f t="shared" si="25"/>
        <v>1.7707047592631115E-3</v>
      </c>
      <c r="O202">
        <f t="shared" si="26"/>
        <v>-27.09188016446134</v>
      </c>
      <c r="P202">
        <f t="shared" si="27"/>
        <v>-2.4066754501537524E-5</v>
      </c>
    </row>
    <row r="203" spans="1:16" x14ac:dyDescent="0.25">
      <c r="A203" s="1">
        <v>10.050000000000001</v>
      </c>
      <c r="B203" s="2">
        <v>-1.32</v>
      </c>
      <c r="C203">
        <v>3.0000000000000001E-3</v>
      </c>
      <c r="H203">
        <f t="shared" si="21"/>
        <v>10.050000000000001</v>
      </c>
      <c r="I203">
        <f t="shared" si="22"/>
        <v>-1.32</v>
      </c>
      <c r="J203">
        <f t="shared" si="23"/>
        <v>2.6543374245891413E-3</v>
      </c>
      <c r="K203">
        <f t="shared" si="24"/>
        <v>-26.470230804655053</v>
      </c>
      <c r="L203">
        <f t="shared" si="25"/>
        <v>1.7695582830594271E-3</v>
      </c>
      <c r="O203">
        <f t="shared" si="26"/>
        <v>-26.309805163414715</v>
      </c>
      <c r="P203">
        <f t="shared" si="27"/>
        <v>-2.5213230705221912E-5</v>
      </c>
    </row>
    <row r="204" spans="1:16" x14ac:dyDescent="0.25">
      <c r="A204" s="1">
        <v>10.1</v>
      </c>
      <c r="B204" s="2">
        <v>-1.2869999999999999</v>
      </c>
      <c r="C204">
        <v>4.0000000000000001E-3</v>
      </c>
      <c r="H204">
        <f t="shared" si="21"/>
        <v>10.1</v>
      </c>
      <c r="I204">
        <f t="shared" si="22"/>
        <v>-1.2869999999999999</v>
      </c>
      <c r="J204">
        <f t="shared" si="23"/>
        <v>3.6526177102836144E-3</v>
      </c>
      <c r="K204">
        <f t="shared" si="24"/>
        <v>-25.808475034538674</v>
      </c>
      <c r="L204">
        <f t="shared" si="25"/>
        <v>2.435078473522409E-3</v>
      </c>
      <c r="O204">
        <f t="shared" si="26"/>
        <v>-25.648049393298336</v>
      </c>
      <c r="P204">
        <f t="shared" si="27"/>
        <v>6.4030695975776002E-4</v>
      </c>
    </row>
    <row r="205" spans="1:16" x14ac:dyDescent="0.25">
      <c r="A205" s="1">
        <v>10.15</v>
      </c>
      <c r="B205" s="2">
        <v>-1.286</v>
      </c>
      <c r="C205">
        <v>3.0000000000000001E-3</v>
      </c>
      <c r="H205">
        <f t="shared" si="21"/>
        <v>10.15</v>
      </c>
      <c r="I205">
        <f t="shared" si="22"/>
        <v>-1.286</v>
      </c>
      <c r="J205">
        <f t="shared" si="23"/>
        <v>2.6508979959780879E-3</v>
      </c>
      <c r="K205">
        <f t="shared" si="24"/>
        <v>-25.788421829383633</v>
      </c>
      <c r="L205">
        <f t="shared" si="25"/>
        <v>1.7672653306520583E-3</v>
      </c>
      <c r="O205">
        <f t="shared" si="26"/>
        <v>-25.627996188143296</v>
      </c>
      <c r="P205">
        <f t="shared" si="27"/>
        <v>-2.7506183112590687E-5</v>
      </c>
    </row>
    <row r="206" spans="1:16" x14ac:dyDescent="0.25">
      <c r="A206" s="1">
        <v>10.199999999999999</v>
      </c>
      <c r="B206" s="2">
        <v>-1.2869999999999999</v>
      </c>
      <c r="C206">
        <v>3.0000000000000001E-3</v>
      </c>
      <c r="H206">
        <f t="shared" si="21"/>
        <v>10.199999999999999</v>
      </c>
      <c r="I206">
        <f t="shared" si="22"/>
        <v>-1.2869999999999999</v>
      </c>
      <c r="J206">
        <f t="shared" si="23"/>
        <v>2.6491782816725614E-3</v>
      </c>
      <c r="K206">
        <f t="shared" si="24"/>
        <v>-25.808475034538674</v>
      </c>
      <c r="L206">
        <f t="shared" si="25"/>
        <v>1.7661188544483739E-3</v>
      </c>
      <c r="O206">
        <f t="shared" si="26"/>
        <v>-25.648049393298336</v>
      </c>
      <c r="P206">
        <f t="shared" si="27"/>
        <v>-2.8652659316275074E-5</v>
      </c>
    </row>
    <row r="207" spans="1:16" x14ac:dyDescent="0.25">
      <c r="A207" s="1">
        <v>10.25</v>
      </c>
      <c r="B207" s="2">
        <v>-1.286</v>
      </c>
      <c r="C207">
        <v>3.0000000000000001E-3</v>
      </c>
      <c r="H207">
        <f t="shared" si="21"/>
        <v>10.25</v>
      </c>
      <c r="I207">
        <f t="shared" si="22"/>
        <v>-1.286</v>
      </c>
      <c r="J207">
        <f t="shared" si="23"/>
        <v>2.6474585673670345E-3</v>
      </c>
      <c r="K207">
        <f t="shared" si="24"/>
        <v>-25.788421829383633</v>
      </c>
      <c r="L207">
        <f t="shared" si="25"/>
        <v>1.7649723782446893E-3</v>
      </c>
      <c r="O207">
        <f t="shared" si="26"/>
        <v>-25.627996188143296</v>
      </c>
      <c r="P207">
        <f t="shared" si="27"/>
        <v>-2.9799135519959679E-5</v>
      </c>
    </row>
    <row r="208" spans="1:16" x14ac:dyDescent="0.25">
      <c r="A208" s="1">
        <v>10.3</v>
      </c>
      <c r="B208" s="2">
        <v>-1.2869999999999999</v>
      </c>
      <c r="C208">
        <v>3.0000000000000001E-3</v>
      </c>
      <c r="H208">
        <f t="shared" si="21"/>
        <v>10.3</v>
      </c>
      <c r="I208">
        <f t="shared" si="22"/>
        <v>-1.2869999999999999</v>
      </c>
      <c r="J208">
        <f t="shared" si="23"/>
        <v>2.6457388530615076E-3</v>
      </c>
      <c r="K208">
        <f t="shared" si="24"/>
        <v>-25.808475034538674</v>
      </c>
      <c r="L208">
        <f t="shared" si="25"/>
        <v>1.7638259020410047E-3</v>
      </c>
      <c r="O208">
        <f t="shared" si="26"/>
        <v>-25.648049393298336</v>
      </c>
      <c r="P208">
        <f t="shared" si="27"/>
        <v>-3.0945611723644283E-5</v>
      </c>
    </row>
    <row r="209" spans="1:16" x14ac:dyDescent="0.25">
      <c r="A209" s="1">
        <v>10.35</v>
      </c>
      <c r="B209" s="2">
        <v>-1.286</v>
      </c>
      <c r="C209">
        <v>3.0000000000000001E-3</v>
      </c>
      <c r="H209">
        <f t="shared" si="21"/>
        <v>10.35</v>
      </c>
      <c r="I209">
        <f t="shared" si="22"/>
        <v>-1.286</v>
      </c>
      <c r="J209">
        <f t="shared" si="23"/>
        <v>2.6440191387559812E-3</v>
      </c>
      <c r="K209">
        <f t="shared" si="24"/>
        <v>-25.788421829383633</v>
      </c>
      <c r="L209">
        <f t="shared" si="25"/>
        <v>1.7626794258373203E-3</v>
      </c>
      <c r="O209">
        <f t="shared" si="26"/>
        <v>-25.627996188143296</v>
      </c>
      <c r="P209">
        <f t="shared" si="27"/>
        <v>-3.209208792732867E-5</v>
      </c>
    </row>
    <row r="210" spans="1:16" x14ac:dyDescent="0.25">
      <c r="A210" s="1">
        <v>10.4</v>
      </c>
      <c r="B210" s="2">
        <v>-1.2869999999999999</v>
      </c>
      <c r="C210">
        <v>3.0000000000000001E-3</v>
      </c>
      <c r="H210">
        <f t="shared" si="21"/>
        <v>10.4</v>
      </c>
      <c r="I210">
        <f t="shared" si="22"/>
        <v>-1.2869999999999999</v>
      </c>
      <c r="J210">
        <f t="shared" si="23"/>
        <v>2.6422994244504547E-3</v>
      </c>
      <c r="K210">
        <f t="shared" si="24"/>
        <v>-25.808475034538674</v>
      </c>
      <c r="L210">
        <f t="shared" si="25"/>
        <v>1.7615329496336362E-3</v>
      </c>
      <c r="O210">
        <f t="shared" si="26"/>
        <v>-25.648049393298336</v>
      </c>
      <c r="P210">
        <f t="shared" si="27"/>
        <v>-3.3238564131012841E-5</v>
      </c>
    </row>
    <row r="211" spans="1:16" x14ac:dyDescent="0.25">
      <c r="A211" s="1">
        <v>10.45</v>
      </c>
      <c r="B211" s="2">
        <v>-1.2549999999999999</v>
      </c>
      <c r="C211">
        <v>3.0000000000000001E-3</v>
      </c>
      <c r="H211">
        <f t="shared" si="21"/>
        <v>10.45</v>
      </c>
      <c r="I211">
        <f t="shared" si="22"/>
        <v>-1.2549999999999999</v>
      </c>
      <c r="J211">
        <f t="shared" si="23"/>
        <v>2.6405797101449278E-3</v>
      </c>
      <c r="K211">
        <f t="shared" si="24"/>
        <v>-25.166772469577339</v>
      </c>
      <c r="L211">
        <f t="shared" si="25"/>
        <v>1.7603864734299516E-3</v>
      </c>
      <c r="O211">
        <f t="shared" si="26"/>
        <v>-25.006346828337001</v>
      </c>
      <c r="P211">
        <f t="shared" si="27"/>
        <v>-3.4385040334697446E-5</v>
      </c>
    </row>
    <row r="212" spans="1:16" x14ac:dyDescent="0.25">
      <c r="A212" s="1">
        <v>10.5</v>
      </c>
      <c r="B212" s="2">
        <v>-1.179</v>
      </c>
      <c r="C212">
        <v>3.0000000000000001E-3</v>
      </c>
      <c r="H212">
        <f t="shared" si="21"/>
        <v>10.5</v>
      </c>
      <c r="I212">
        <f t="shared" si="22"/>
        <v>-1.179</v>
      </c>
      <c r="J212">
        <f t="shared" si="23"/>
        <v>2.6388599958394013E-3</v>
      </c>
      <c r="K212">
        <f t="shared" si="24"/>
        <v>-23.642728877794173</v>
      </c>
      <c r="L212">
        <f t="shared" si="25"/>
        <v>1.7592399972262672E-3</v>
      </c>
      <c r="O212">
        <f t="shared" si="26"/>
        <v>-23.482303236553836</v>
      </c>
      <c r="P212">
        <f t="shared" si="27"/>
        <v>-3.5531516538381833E-5</v>
      </c>
    </row>
    <row r="213" spans="1:16" x14ac:dyDescent="0.25">
      <c r="A213" s="1">
        <v>10.55</v>
      </c>
      <c r="B213" s="2">
        <v>-1.1140000000000001</v>
      </c>
      <c r="C213">
        <v>3.0000000000000001E-3</v>
      </c>
      <c r="H213">
        <f t="shared" si="21"/>
        <v>10.55</v>
      </c>
      <c r="I213">
        <f t="shared" si="22"/>
        <v>-1.1140000000000001</v>
      </c>
      <c r="J213">
        <f t="shared" si="23"/>
        <v>2.6371402815338744E-3</v>
      </c>
      <c r="K213">
        <f t="shared" si="24"/>
        <v>-22.339270542716463</v>
      </c>
      <c r="L213">
        <f t="shared" si="25"/>
        <v>1.7580935210225826E-3</v>
      </c>
      <c r="O213">
        <f t="shared" si="26"/>
        <v>-22.178844901476126</v>
      </c>
      <c r="P213">
        <f t="shared" si="27"/>
        <v>-3.6677992742066437E-5</v>
      </c>
    </row>
    <row r="214" spans="1:16" x14ac:dyDescent="0.25">
      <c r="A214" s="1">
        <v>10.6</v>
      </c>
      <c r="B214" s="2">
        <v>-1.0529999999999999</v>
      </c>
      <c r="C214">
        <v>3.0000000000000001E-3</v>
      </c>
      <c r="H214">
        <f t="shared" si="21"/>
        <v>10.6</v>
      </c>
      <c r="I214">
        <f t="shared" si="22"/>
        <v>-1.0529999999999999</v>
      </c>
      <c r="J214">
        <f t="shared" si="23"/>
        <v>2.6354205672283479E-3</v>
      </c>
      <c r="K214">
        <f t="shared" si="24"/>
        <v>-21.116025028258914</v>
      </c>
      <c r="L214">
        <f t="shared" si="25"/>
        <v>1.7569470448188982E-3</v>
      </c>
      <c r="O214">
        <f t="shared" si="26"/>
        <v>-20.955599387018577</v>
      </c>
      <c r="P214">
        <f t="shared" si="27"/>
        <v>-3.7824468945750825E-5</v>
      </c>
    </row>
    <row r="215" spans="1:16" x14ac:dyDescent="0.25">
      <c r="A215" s="1">
        <v>10.65</v>
      </c>
      <c r="B215" s="2">
        <v>-0.98399999999999999</v>
      </c>
      <c r="C215">
        <v>3.0000000000000001E-3</v>
      </c>
      <c r="H215">
        <f t="shared" si="21"/>
        <v>10.65</v>
      </c>
      <c r="I215">
        <f t="shared" si="22"/>
        <v>-0.98399999999999999</v>
      </c>
      <c r="J215">
        <f t="shared" si="23"/>
        <v>2.633700852922821E-3</v>
      </c>
      <c r="K215">
        <f t="shared" si="24"/>
        <v>-19.732353872561038</v>
      </c>
      <c r="L215">
        <f t="shared" si="25"/>
        <v>1.7558005686152136E-3</v>
      </c>
      <c r="O215">
        <f t="shared" si="26"/>
        <v>-19.571928231320701</v>
      </c>
      <c r="P215">
        <f t="shared" si="27"/>
        <v>-3.8970945149435429E-5</v>
      </c>
    </row>
    <row r="216" spans="1:16" x14ac:dyDescent="0.25">
      <c r="A216" s="1">
        <v>10.7</v>
      </c>
      <c r="B216" s="2">
        <v>-0.95699999999999996</v>
      </c>
      <c r="C216">
        <v>3.0000000000000001E-3</v>
      </c>
      <c r="H216">
        <f t="shared" si="21"/>
        <v>10.7</v>
      </c>
      <c r="I216">
        <f t="shared" si="22"/>
        <v>-0.95699999999999996</v>
      </c>
      <c r="J216">
        <f t="shared" si="23"/>
        <v>2.6319811386172945E-3</v>
      </c>
      <c r="K216">
        <f t="shared" si="24"/>
        <v>-19.190917333374912</v>
      </c>
      <c r="L216">
        <f t="shared" si="25"/>
        <v>1.7546540924115294E-3</v>
      </c>
      <c r="O216">
        <f t="shared" si="26"/>
        <v>-19.030491692134575</v>
      </c>
      <c r="P216">
        <f t="shared" si="27"/>
        <v>-4.01174213531196E-5</v>
      </c>
    </row>
    <row r="217" spans="1:16" x14ac:dyDescent="0.25">
      <c r="A217" s="1">
        <v>10.75</v>
      </c>
      <c r="B217" s="2">
        <v>-0.95299999999999996</v>
      </c>
      <c r="C217">
        <v>3.0000000000000001E-3</v>
      </c>
      <c r="H217">
        <f t="shared" si="21"/>
        <v>10.75</v>
      </c>
      <c r="I217">
        <f t="shared" si="22"/>
        <v>-0.95299999999999996</v>
      </c>
      <c r="J217">
        <f t="shared" si="23"/>
        <v>2.6302614243117681E-3</v>
      </c>
      <c r="K217">
        <f t="shared" si="24"/>
        <v>-19.110704512754744</v>
      </c>
      <c r="L217">
        <f t="shared" si="25"/>
        <v>1.753507616207845E-3</v>
      </c>
      <c r="O217">
        <f t="shared" si="26"/>
        <v>-18.950278871514406</v>
      </c>
      <c r="P217">
        <f t="shared" si="27"/>
        <v>-4.1263897556803987E-5</v>
      </c>
    </row>
    <row r="218" spans="1:16" x14ac:dyDescent="0.25">
      <c r="A218" s="1">
        <v>10.8</v>
      </c>
      <c r="B218" s="2">
        <v>-0.95399999999999996</v>
      </c>
      <c r="C218">
        <v>3.0000000000000001E-3</v>
      </c>
      <c r="H218">
        <f t="shared" si="21"/>
        <v>10.8</v>
      </c>
      <c r="I218">
        <f t="shared" si="22"/>
        <v>-0.95399999999999996</v>
      </c>
      <c r="J218">
        <f t="shared" si="23"/>
        <v>2.6285417100062412E-3</v>
      </c>
      <c r="K218">
        <f t="shared" si="24"/>
        <v>-19.130757717909788</v>
      </c>
      <c r="L218">
        <f t="shared" si="25"/>
        <v>1.7523611400041604E-3</v>
      </c>
      <c r="O218">
        <f t="shared" si="26"/>
        <v>-18.97033207666945</v>
      </c>
      <c r="P218">
        <f t="shared" si="27"/>
        <v>-4.2410373760488592E-5</v>
      </c>
    </row>
    <row r="219" spans="1:16" x14ac:dyDescent="0.25">
      <c r="A219" s="1">
        <v>10.85</v>
      </c>
      <c r="B219" s="2">
        <v>-0.95399999999999996</v>
      </c>
      <c r="C219">
        <v>3.0000000000000001E-3</v>
      </c>
      <c r="H219">
        <f t="shared" si="21"/>
        <v>10.85</v>
      </c>
      <c r="I219">
        <f t="shared" si="22"/>
        <v>-0.95399999999999996</v>
      </c>
      <c r="J219">
        <f t="shared" si="23"/>
        <v>2.6268219957007147E-3</v>
      </c>
      <c r="K219">
        <f t="shared" si="24"/>
        <v>-19.130757717909788</v>
      </c>
      <c r="L219">
        <f t="shared" si="25"/>
        <v>1.751214663800476E-3</v>
      </c>
      <c r="O219">
        <f t="shared" si="26"/>
        <v>-18.97033207666945</v>
      </c>
      <c r="P219">
        <f t="shared" si="27"/>
        <v>-4.3556849964172979E-5</v>
      </c>
    </row>
    <row r="220" spans="1:16" x14ac:dyDescent="0.25">
      <c r="A220" s="1">
        <v>10.9</v>
      </c>
      <c r="B220" s="2">
        <v>-0.95399999999999996</v>
      </c>
      <c r="C220">
        <v>3.0000000000000001E-3</v>
      </c>
      <c r="H220">
        <f t="shared" si="21"/>
        <v>10.9</v>
      </c>
      <c r="I220">
        <f t="shared" si="22"/>
        <v>-0.95399999999999996</v>
      </c>
      <c r="J220">
        <f t="shared" si="23"/>
        <v>2.6251022813951878E-3</v>
      </c>
      <c r="K220">
        <f t="shared" si="24"/>
        <v>-19.130757717909788</v>
      </c>
      <c r="L220">
        <f t="shared" si="25"/>
        <v>1.7500681875967914E-3</v>
      </c>
      <c r="O220">
        <f t="shared" si="26"/>
        <v>-18.97033207666945</v>
      </c>
      <c r="P220">
        <f t="shared" si="27"/>
        <v>-4.4703326167857584E-5</v>
      </c>
    </row>
    <row r="221" spans="1:16" x14ac:dyDescent="0.25">
      <c r="A221" s="1">
        <v>10.95</v>
      </c>
      <c r="B221" s="2">
        <v>-0.95299999999999996</v>
      </c>
      <c r="C221">
        <v>3.0000000000000001E-3</v>
      </c>
      <c r="H221">
        <f t="shared" si="21"/>
        <v>10.95</v>
      </c>
      <c r="I221">
        <f t="shared" si="22"/>
        <v>-0.95299999999999996</v>
      </c>
      <c r="J221">
        <f t="shared" si="23"/>
        <v>2.6233825670896613E-3</v>
      </c>
      <c r="K221">
        <f t="shared" si="24"/>
        <v>-19.110704512754744</v>
      </c>
      <c r="L221">
        <f t="shared" si="25"/>
        <v>1.7489217113931073E-3</v>
      </c>
      <c r="O221">
        <f t="shared" si="26"/>
        <v>-18.950278871514406</v>
      </c>
      <c r="P221">
        <f t="shared" si="27"/>
        <v>-4.5849802371541754E-5</v>
      </c>
    </row>
    <row r="222" spans="1:16" x14ac:dyDescent="0.25">
      <c r="A222" s="1">
        <v>11</v>
      </c>
      <c r="B222" s="2">
        <v>-0.92600000000000005</v>
      </c>
      <c r="C222">
        <v>3.0000000000000001E-3</v>
      </c>
      <c r="H222">
        <f t="shared" si="21"/>
        <v>11</v>
      </c>
      <c r="I222">
        <f t="shared" si="22"/>
        <v>-0.92600000000000005</v>
      </c>
      <c r="J222">
        <f t="shared" si="23"/>
        <v>2.6216628527841344E-3</v>
      </c>
      <c r="K222">
        <f t="shared" si="24"/>
        <v>-18.569267973568621</v>
      </c>
      <c r="L222">
        <f t="shared" si="25"/>
        <v>1.7477752351894226E-3</v>
      </c>
      <c r="O222">
        <f t="shared" si="26"/>
        <v>-18.408842332328284</v>
      </c>
      <c r="P222">
        <f t="shared" si="27"/>
        <v>-4.6996278575226359E-5</v>
      </c>
    </row>
    <row r="223" spans="1:16" x14ac:dyDescent="0.25">
      <c r="A223" s="1">
        <v>11.05</v>
      </c>
      <c r="B223" s="2">
        <v>-0.84799999999999998</v>
      </c>
      <c r="C223">
        <v>3.0000000000000001E-3</v>
      </c>
      <c r="H223">
        <f t="shared" si="21"/>
        <v>11.05</v>
      </c>
      <c r="I223">
        <f t="shared" si="22"/>
        <v>-0.84799999999999998</v>
      </c>
      <c r="J223">
        <f t="shared" si="23"/>
        <v>2.6199431384786079E-3</v>
      </c>
      <c r="K223">
        <f t="shared" si="24"/>
        <v>-17.005117971475364</v>
      </c>
      <c r="L223">
        <f t="shared" si="25"/>
        <v>1.7466287589857383E-3</v>
      </c>
      <c r="O223">
        <f t="shared" si="26"/>
        <v>-16.844692330235027</v>
      </c>
      <c r="P223">
        <f t="shared" si="27"/>
        <v>-4.8142754778910746E-5</v>
      </c>
    </row>
    <row r="224" spans="1:16" x14ac:dyDescent="0.25">
      <c r="A224" s="1">
        <v>11.1</v>
      </c>
      <c r="B224" s="2">
        <v>-0.81200000000000006</v>
      </c>
      <c r="C224">
        <v>3.0000000000000001E-3</v>
      </c>
      <c r="H224">
        <f t="shared" si="21"/>
        <v>11.1</v>
      </c>
      <c r="I224">
        <f t="shared" si="22"/>
        <v>-0.81200000000000006</v>
      </c>
      <c r="J224">
        <f t="shared" si="23"/>
        <v>2.6182234241730815E-3</v>
      </c>
      <c r="K224">
        <f t="shared" si="24"/>
        <v>-16.283202585893868</v>
      </c>
      <c r="L224">
        <f t="shared" si="25"/>
        <v>1.7454822827820539E-3</v>
      </c>
      <c r="O224">
        <f t="shared" si="26"/>
        <v>-16.122776944653531</v>
      </c>
      <c r="P224">
        <f t="shared" si="27"/>
        <v>-4.9289230982595134E-5</v>
      </c>
    </row>
    <row r="225" spans="1:16" x14ac:dyDescent="0.25">
      <c r="A225" s="1">
        <v>11.15</v>
      </c>
      <c r="B225" s="2">
        <v>-0.75</v>
      </c>
      <c r="C225">
        <v>3.0000000000000001E-3</v>
      </c>
      <c r="H225">
        <f t="shared" si="21"/>
        <v>11.15</v>
      </c>
      <c r="I225">
        <f t="shared" si="22"/>
        <v>-0.75</v>
      </c>
      <c r="J225">
        <f t="shared" si="23"/>
        <v>2.6165037098675546E-3</v>
      </c>
      <c r="K225">
        <f t="shared" si="24"/>
        <v>-15.039903866281279</v>
      </c>
      <c r="L225">
        <f t="shared" si="25"/>
        <v>1.7443358065783693E-3</v>
      </c>
      <c r="O225">
        <f t="shared" si="26"/>
        <v>-14.879478225040941</v>
      </c>
      <c r="P225">
        <f t="shared" si="27"/>
        <v>-5.0435707186279738E-5</v>
      </c>
    </row>
    <row r="226" spans="1:16" x14ac:dyDescent="0.25">
      <c r="A226" s="1">
        <v>11.2</v>
      </c>
      <c r="B226" s="2">
        <v>-0.71699999999999997</v>
      </c>
      <c r="C226">
        <v>3.0000000000000001E-3</v>
      </c>
      <c r="H226">
        <f t="shared" si="21"/>
        <v>11.2</v>
      </c>
      <c r="I226">
        <f t="shared" si="22"/>
        <v>-0.71699999999999997</v>
      </c>
      <c r="J226">
        <f t="shared" si="23"/>
        <v>2.6147839955620281E-3</v>
      </c>
      <c r="K226">
        <f t="shared" si="24"/>
        <v>-14.378148096164903</v>
      </c>
      <c r="L226">
        <f t="shared" si="25"/>
        <v>1.7431893303746851E-3</v>
      </c>
      <c r="O226">
        <f t="shared" si="26"/>
        <v>-14.217722454924566</v>
      </c>
      <c r="P226">
        <f t="shared" si="27"/>
        <v>-5.1582183389963909E-5</v>
      </c>
    </row>
    <row r="227" spans="1:16" x14ac:dyDescent="0.25">
      <c r="A227" s="1">
        <v>11.25</v>
      </c>
      <c r="B227" s="2">
        <v>-0.66500000000000004</v>
      </c>
      <c r="C227">
        <v>3.0000000000000001E-3</v>
      </c>
      <c r="H227">
        <f t="shared" si="21"/>
        <v>11.25</v>
      </c>
      <c r="I227">
        <f t="shared" si="22"/>
        <v>-0.66500000000000004</v>
      </c>
      <c r="J227">
        <f t="shared" si="23"/>
        <v>2.6130642812565012E-3</v>
      </c>
      <c r="K227">
        <f t="shared" si="24"/>
        <v>-13.335381428102735</v>
      </c>
      <c r="L227">
        <f t="shared" si="25"/>
        <v>1.7420428541710005E-3</v>
      </c>
      <c r="O227">
        <f t="shared" si="26"/>
        <v>-13.174955786862398</v>
      </c>
      <c r="P227">
        <f t="shared" si="27"/>
        <v>-5.2728659593648513E-5</v>
      </c>
    </row>
    <row r="228" spans="1:16" x14ac:dyDescent="0.25">
      <c r="A228" s="1">
        <v>11.3</v>
      </c>
      <c r="B228" s="2">
        <v>-0.63600000000000001</v>
      </c>
      <c r="C228">
        <v>3.0000000000000001E-3</v>
      </c>
      <c r="H228">
        <f t="shared" si="21"/>
        <v>11.3</v>
      </c>
      <c r="I228">
        <f t="shared" si="22"/>
        <v>-0.63600000000000001</v>
      </c>
      <c r="J228">
        <f t="shared" si="23"/>
        <v>2.6113445669509747E-3</v>
      </c>
      <c r="K228">
        <f t="shared" si="24"/>
        <v>-12.753838478606525</v>
      </c>
      <c r="L228">
        <f t="shared" si="25"/>
        <v>1.7408963779673161E-3</v>
      </c>
      <c r="O228">
        <f t="shared" si="26"/>
        <v>-12.593412837366188</v>
      </c>
      <c r="P228">
        <f t="shared" si="27"/>
        <v>-5.38751357973329E-5</v>
      </c>
    </row>
    <row r="229" spans="1:16" x14ac:dyDescent="0.25">
      <c r="A229" s="1">
        <v>11.35</v>
      </c>
      <c r="B229" s="2">
        <v>-0.63400000000000001</v>
      </c>
      <c r="C229">
        <v>3.0000000000000001E-3</v>
      </c>
      <c r="H229">
        <f t="shared" si="21"/>
        <v>11.35</v>
      </c>
      <c r="I229">
        <f t="shared" si="22"/>
        <v>-0.63400000000000001</v>
      </c>
      <c r="J229">
        <f t="shared" si="23"/>
        <v>2.6096248526454478E-3</v>
      </c>
      <c r="K229">
        <f t="shared" si="24"/>
        <v>-12.713732068296443</v>
      </c>
      <c r="L229">
        <f t="shared" si="25"/>
        <v>1.7397499017636315E-3</v>
      </c>
      <c r="O229">
        <f t="shared" si="26"/>
        <v>-12.553306427056105</v>
      </c>
      <c r="P229">
        <f t="shared" si="27"/>
        <v>-5.5021612001017505E-5</v>
      </c>
    </row>
    <row r="230" spans="1:16" x14ac:dyDescent="0.25">
      <c r="A230" s="1">
        <v>11.4</v>
      </c>
      <c r="B230" s="2">
        <v>-0.63400000000000001</v>
      </c>
      <c r="C230">
        <v>3.0000000000000001E-3</v>
      </c>
      <c r="H230">
        <f t="shared" si="21"/>
        <v>11.4</v>
      </c>
      <c r="I230">
        <f t="shared" si="22"/>
        <v>-0.63400000000000001</v>
      </c>
      <c r="J230">
        <f t="shared" si="23"/>
        <v>2.6079051383399213E-3</v>
      </c>
      <c r="K230">
        <f t="shared" si="24"/>
        <v>-12.713732068296443</v>
      </c>
      <c r="L230">
        <f t="shared" si="25"/>
        <v>1.7386034255599471E-3</v>
      </c>
      <c r="O230">
        <f t="shared" si="26"/>
        <v>-12.553306427056105</v>
      </c>
      <c r="P230">
        <f t="shared" si="27"/>
        <v>-5.6168088204701892E-5</v>
      </c>
    </row>
    <row r="231" spans="1:16" x14ac:dyDescent="0.25">
      <c r="A231" s="1">
        <v>11.45</v>
      </c>
      <c r="B231" s="2">
        <v>-0.63400000000000001</v>
      </c>
      <c r="C231">
        <v>3.0000000000000001E-3</v>
      </c>
      <c r="H231">
        <f t="shared" si="21"/>
        <v>11.45</v>
      </c>
      <c r="I231">
        <f t="shared" si="22"/>
        <v>-0.63400000000000001</v>
      </c>
      <c r="J231">
        <f t="shared" si="23"/>
        <v>2.6061854240343948E-3</v>
      </c>
      <c r="K231">
        <f t="shared" si="24"/>
        <v>-12.713732068296443</v>
      </c>
      <c r="L231">
        <f t="shared" si="25"/>
        <v>1.7374569493562629E-3</v>
      </c>
      <c r="O231">
        <f t="shared" si="26"/>
        <v>-12.553306427056105</v>
      </c>
      <c r="P231">
        <f t="shared" si="27"/>
        <v>-5.7314564408386063E-5</v>
      </c>
    </row>
    <row r="232" spans="1:16" x14ac:dyDescent="0.25">
      <c r="A232" s="1">
        <v>11.5</v>
      </c>
      <c r="B232" s="2">
        <v>-0.63400000000000001</v>
      </c>
      <c r="C232">
        <v>4.0000000000000001E-3</v>
      </c>
      <c r="H232">
        <f t="shared" si="21"/>
        <v>11.5</v>
      </c>
      <c r="I232">
        <f t="shared" si="22"/>
        <v>-0.63400000000000001</v>
      </c>
      <c r="J232">
        <f t="shared" si="23"/>
        <v>3.604465709728868E-3</v>
      </c>
      <c r="K232">
        <f t="shared" si="24"/>
        <v>-12.713732068296443</v>
      </c>
      <c r="L232">
        <f t="shared" si="25"/>
        <v>2.4029771398192449E-3</v>
      </c>
      <c r="O232">
        <f t="shared" si="26"/>
        <v>-12.553306427056105</v>
      </c>
      <c r="P232">
        <f t="shared" si="27"/>
        <v>6.0820562605459587E-4</v>
      </c>
    </row>
    <row r="233" spans="1:16" x14ac:dyDescent="0.25">
      <c r="A233" s="1">
        <v>11.55</v>
      </c>
      <c r="B233" s="2">
        <v>-0.63400000000000001</v>
      </c>
      <c r="C233">
        <v>3.0000000000000001E-3</v>
      </c>
      <c r="H233">
        <f t="shared" si="21"/>
        <v>11.55</v>
      </c>
      <c r="I233">
        <f t="shared" si="22"/>
        <v>-0.63400000000000001</v>
      </c>
      <c r="J233">
        <f t="shared" si="23"/>
        <v>2.6027459954233415E-3</v>
      </c>
      <c r="K233">
        <f t="shared" si="24"/>
        <v>-12.713732068296443</v>
      </c>
      <c r="L233">
        <f t="shared" si="25"/>
        <v>1.735163996948894E-3</v>
      </c>
      <c r="O233">
        <f t="shared" si="26"/>
        <v>-12.553306427056105</v>
      </c>
      <c r="P233">
        <f t="shared" si="27"/>
        <v>-5.9607516815755055E-5</v>
      </c>
    </row>
    <row r="234" spans="1:16" x14ac:dyDescent="0.25">
      <c r="A234" s="1">
        <v>11.6</v>
      </c>
      <c r="B234" s="2">
        <v>-0.63400000000000001</v>
      </c>
      <c r="C234">
        <v>3.0000000000000001E-3</v>
      </c>
      <c r="H234">
        <f t="shared" si="21"/>
        <v>11.6</v>
      </c>
      <c r="I234">
        <f t="shared" si="22"/>
        <v>-0.63400000000000001</v>
      </c>
      <c r="J234">
        <f t="shared" si="23"/>
        <v>2.6010262811178146E-3</v>
      </c>
      <c r="K234">
        <f t="shared" si="24"/>
        <v>-12.713732068296443</v>
      </c>
      <c r="L234">
        <f t="shared" si="25"/>
        <v>1.7340175207452093E-3</v>
      </c>
      <c r="O234">
        <f t="shared" si="26"/>
        <v>-12.553306427056105</v>
      </c>
      <c r="P234">
        <f t="shared" si="27"/>
        <v>-6.0753993019439659E-5</v>
      </c>
    </row>
    <row r="235" spans="1:16" x14ac:dyDescent="0.25">
      <c r="A235" s="1">
        <v>11.65</v>
      </c>
      <c r="B235" s="2">
        <v>-0.63</v>
      </c>
      <c r="C235">
        <v>3.0000000000000001E-3</v>
      </c>
      <c r="H235">
        <f t="shared" si="21"/>
        <v>11.65</v>
      </c>
      <c r="I235">
        <f t="shared" si="22"/>
        <v>-0.63</v>
      </c>
      <c r="J235">
        <f t="shared" si="23"/>
        <v>2.5993065668122881E-3</v>
      </c>
      <c r="K235">
        <f t="shared" si="24"/>
        <v>-12.633519247676276</v>
      </c>
      <c r="L235">
        <f t="shared" si="25"/>
        <v>1.732871044541525E-3</v>
      </c>
      <c r="O235">
        <f t="shared" si="26"/>
        <v>-12.473093606435938</v>
      </c>
      <c r="P235">
        <f t="shared" si="27"/>
        <v>-6.1900469223124047E-5</v>
      </c>
    </row>
    <row r="236" spans="1:16" x14ac:dyDescent="0.25">
      <c r="A236" s="1">
        <v>11.7</v>
      </c>
      <c r="B236" s="2">
        <v>-0.59699999999999998</v>
      </c>
      <c r="C236">
        <v>3.0000000000000001E-3</v>
      </c>
      <c r="H236">
        <f t="shared" si="21"/>
        <v>11.7</v>
      </c>
      <c r="I236">
        <f t="shared" si="22"/>
        <v>-0.59699999999999998</v>
      </c>
      <c r="J236">
        <f t="shared" si="23"/>
        <v>2.5975868525067612E-3</v>
      </c>
      <c r="K236">
        <f t="shared" si="24"/>
        <v>-11.971763477559898</v>
      </c>
      <c r="L236">
        <f t="shared" si="25"/>
        <v>1.7317245683378404E-3</v>
      </c>
      <c r="O236">
        <f t="shared" si="26"/>
        <v>-11.811337836319561</v>
      </c>
      <c r="P236">
        <f t="shared" si="27"/>
        <v>-6.3046945426808651E-5</v>
      </c>
    </row>
    <row r="237" spans="1:16" x14ac:dyDescent="0.25">
      <c r="A237" s="1">
        <v>11.75</v>
      </c>
      <c r="B237" s="2">
        <v>-0.52900000000000003</v>
      </c>
      <c r="C237">
        <v>3.0000000000000001E-3</v>
      </c>
      <c r="H237">
        <f t="shared" si="21"/>
        <v>11.75</v>
      </c>
      <c r="I237">
        <f t="shared" si="22"/>
        <v>-0.52900000000000003</v>
      </c>
      <c r="J237">
        <f t="shared" si="23"/>
        <v>2.5958671382012347E-3</v>
      </c>
      <c r="K237">
        <f t="shared" si="24"/>
        <v>-10.608145527017063</v>
      </c>
      <c r="L237">
        <f t="shared" si="25"/>
        <v>1.7305780921341562E-3</v>
      </c>
      <c r="O237">
        <f t="shared" si="26"/>
        <v>-10.447719885776726</v>
      </c>
      <c r="P237">
        <f t="shared" si="27"/>
        <v>-6.4193421630492822E-5</v>
      </c>
    </row>
    <row r="238" spans="1:16" x14ac:dyDescent="0.25">
      <c r="A238" s="1">
        <v>11.8</v>
      </c>
      <c r="B238" s="2">
        <v>-0.48499999999999999</v>
      </c>
      <c r="C238">
        <v>4.0000000000000001E-3</v>
      </c>
      <c r="H238">
        <f t="shared" si="21"/>
        <v>11.8</v>
      </c>
      <c r="I238">
        <f t="shared" si="22"/>
        <v>-0.48499999999999999</v>
      </c>
      <c r="J238">
        <f t="shared" si="23"/>
        <v>3.5941474238957078E-3</v>
      </c>
      <c r="K238">
        <f t="shared" si="24"/>
        <v>-9.7258045001952276</v>
      </c>
      <c r="L238">
        <f t="shared" si="25"/>
        <v>2.3960982825971381E-3</v>
      </c>
      <c r="O238">
        <f t="shared" si="26"/>
        <v>-9.5653788589548903</v>
      </c>
      <c r="P238">
        <f t="shared" si="27"/>
        <v>6.0132676883248911E-4</v>
      </c>
    </row>
    <row r="239" spans="1:16" x14ac:dyDescent="0.25">
      <c r="A239" s="1">
        <v>11.85</v>
      </c>
      <c r="B239" s="2">
        <v>-0.40500000000000003</v>
      </c>
      <c r="C239">
        <v>3.0000000000000001E-3</v>
      </c>
      <c r="H239">
        <f t="shared" si="21"/>
        <v>11.85</v>
      </c>
      <c r="I239">
        <f t="shared" si="22"/>
        <v>-0.40500000000000003</v>
      </c>
      <c r="J239">
        <f t="shared" si="23"/>
        <v>2.5924277095901813E-3</v>
      </c>
      <c r="K239">
        <f t="shared" si="24"/>
        <v>-8.1215480877918917</v>
      </c>
      <c r="L239">
        <f t="shared" si="25"/>
        <v>1.7282851397267872E-3</v>
      </c>
      <c r="O239">
        <f t="shared" si="26"/>
        <v>-7.9611224465515544</v>
      </c>
      <c r="P239">
        <f t="shared" si="27"/>
        <v>-6.6486374037861814E-5</v>
      </c>
    </row>
    <row r="240" spans="1:16" x14ac:dyDescent="0.25">
      <c r="A240" s="1">
        <v>11.9</v>
      </c>
      <c r="B240" s="2">
        <v>-0.315</v>
      </c>
      <c r="C240">
        <v>4.0000000000000001E-3</v>
      </c>
      <c r="H240">
        <f t="shared" si="21"/>
        <v>11.9</v>
      </c>
      <c r="I240">
        <f t="shared" si="22"/>
        <v>-0.315</v>
      </c>
      <c r="J240">
        <f t="shared" si="23"/>
        <v>3.5907079952846549E-3</v>
      </c>
      <c r="K240">
        <f t="shared" si="24"/>
        <v>-6.3167596238381378</v>
      </c>
      <c r="L240">
        <f t="shared" si="25"/>
        <v>2.3938053301897693E-3</v>
      </c>
      <c r="O240">
        <f t="shared" si="26"/>
        <v>-6.1563339825978005</v>
      </c>
      <c r="P240">
        <f t="shared" si="27"/>
        <v>5.9903381642512033E-4</v>
      </c>
    </row>
    <row r="241" spans="1:16" x14ac:dyDescent="0.25">
      <c r="A241" s="1">
        <v>11.95</v>
      </c>
      <c r="B241" s="2">
        <v>-0.249</v>
      </c>
      <c r="C241">
        <v>4.0000000000000001E-3</v>
      </c>
      <c r="H241">
        <f t="shared" si="21"/>
        <v>11.95</v>
      </c>
      <c r="I241">
        <f t="shared" si="22"/>
        <v>-0.249</v>
      </c>
      <c r="J241">
        <f t="shared" si="23"/>
        <v>3.588988280979128E-3</v>
      </c>
      <c r="K241">
        <f t="shared" si="24"/>
        <v>-4.9932480836053843</v>
      </c>
      <c r="L241">
        <f t="shared" si="25"/>
        <v>2.3926588539860847E-3</v>
      </c>
      <c r="O241">
        <f t="shared" si="26"/>
        <v>-4.832822442365047</v>
      </c>
      <c r="P241">
        <f t="shared" si="27"/>
        <v>5.9788734022143573E-4</v>
      </c>
    </row>
    <row r="242" spans="1:16" x14ac:dyDescent="0.25">
      <c r="A242" s="1">
        <v>12</v>
      </c>
      <c r="B242" s="2">
        <v>-0.222</v>
      </c>
      <c r="C242">
        <v>3.0000000000000001E-3</v>
      </c>
      <c r="H242">
        <f t="shared" si="21"/>
        <v>12</v>
      </c>
      <c r="I242">
        <f t="shared" si="22"/>
        <v>-0.222</v>
      </c>
      <c r="J242">
        <f t="shared" si="23"/>
        <v>2.5872685666736015E-3</v>
      </c>
      <c r="K242">
        <f t="shared" si="24"/>
        <v>-4.4518115444192592</v>
      </c>
      <c r="L242">
        <f t="shared" si="25"/>
        <v>1.724845711115734E-3</v>
      </c>
      <c r="O242">
        <f t="shared" si="26"/>
        <v>-4.2913859031789219</v>
      </c>
      <c r="P242">
        <f t="shared" si="27"/>
        <v>-6.9925802648914976E-5</v>
      </c>
    </row>
    <row r="243" spans="1:16" x14ac:dyDescent="0.25">
      <c r="A243" s="1">
        <v>12.05</v>
      </c>
      <c r="B243" s="2">
        <v>-0.20699999999999999</v>
      </c>
      <c r="C243">
        <v>3.0000000000000001E-3</v>
      </c>
      <c r="H243">
        <f t="shared" si="21"/>
        <v>12.05</v>
      </c>
      <c r="I243">
        <f t="shared" si="22"/>
        <v>-0.20699999999999999</v>
      </c>
      <c r="J243">
        <f t="shared" si="23"/>
        <v>2.5855488523680746E-3</v>
      </c>
      <c r="K243">
        <f t="shared" si="24"/>
        <v>-4.1510134670936329</v>
      </c>
      <c r="L243">
        <f t="shared" si="25"/>
        <v>1.7236992349120494E-3</v>
      </c>
      <c r="O243">
        <f t="shared" si="26"/>
        <v>-3.9905878258532956</v>
      </c>
      <c r="P243">
        <f t="shared" si="27"/>
        <v>-7.107227885259958E-5</v>
      </c>
    </row>
    <row r="244" spans="1:16" x14ac:dyDescent="0.25">
      <c r="A244" s="1">
        <v>12.1</v>
      </c>
      <c r="B244" s="2">
        <v>-0.20499999999999999</v>
      </c>
      <c r="C244">
        <v>4.0000000000000001E-3</v>
      </c>
      <c r="H244">
        <f t="shared" si="21"/>
        <v>12.1</v>
      </c>
      <c r="I244">
        <f t="shared" si="22"/>
        <v>-0.20499999999999999</v>
      </c>
      <c r="J244">
        <f t="shared" si="23"/>
        <v>3.5838291380625481E-3</v>
      </c>
      <c r="K244">
        <f t="shared" si="24"/>
        <v>-4.1109070567835495</v>
      </c>
      <c r="L244">
        <f t="shared" si="25"/>
        <v>2.3892194253750314E-3</v>
      </c>
      <c r="O244">
        <f t="shared" si="26"/>
        <v>-3.9504814155432122</v>
      </c>
      <c r="P244">
        <f t="shared" si="27"/>
        <v>5.9444791161038235E-4</v>
      </c>
    </row>
    <row r="245" spans="1:16" x14ac:dyDescent="0.25">
      <c r="A245" s="1">
        <v>12.15</v>
      </c>
      <c r="B245" s="2">
        <v>-0.20499999999999999</v>
      </c>
      <c r="C245">
        <v>4.0000000000000001E-3</v>
      </c>
      <c r="H245">
        <f t="shared" si="21"/>
        <v>12.15</v>
      </c>
      <c r="I245">
        <f t="shared" si="22"/>
        <v>-0.20499999999999999</v>
      </c>
      <c r="J245">
        <f t="shared" si="23"/>
        <v>3.5821094237570212E-3</v>
      </c>
      <c r="K245">
        <f t="shared" si="24"/>
        <v>-4.1109070567835495</v>
      </c>
      <c r="L245">
        <f t="shared" si="25"/>
        <v>2.3880729491713468E-3</v>
      </c>
      <c r="O245">
        <f t="shared" si="26"/>
        <v>-3.9504814155432122</v>
      </c>
      <c r="P245">
        <f t="shared" si="27"/>
        <v>5.9330143540669775E-4</v>
      </c>
    </row>
    <row r="246" spans="1:16" x14ac:dyDescent="0.25">
      <c r="A246" s="1">
        <v>12.2</v>
      </c>
      <c r="B246" s="2">
        <v>-0.20499999999999999</v>
      </c>
      <c r="C246">
        <v>4.0000000000000001E-3</v>
      </c>
      <c r="H246">
        <f t="shared" si="21"/>
        <v>12.2</v>
      </c>
      <c r="I246">
        <f t="shared" si="22"/>
        <v>-0.20499999999999999</v>
      </c>
      <c r="J246">
        <f t="shared" si="23"/>
        <v>3.5803897094514947E-3</v>
      </c>
      <c r="K246">
        <f t="shared" si="24"/>
        <v>-4.1109070567835495</v>
      </c>
      <c r="L246">
        <f t="shared" si="25"/>
        <v>2.3869264729676626E-3</v>
      </c>
      <c r="O246">
        <f t="shared" si="26"/>
        <v>-3.9504814155432122</v>
      </c>
      <c r="P246">
        <f t="shared" si="27"/>
        <v>5.9215495920301358E-4</v>
      </c>
    </row>
    <row r="247" spans="1:16" x14ac:dyDescent="0.25">
      <c r="A247" s="1">
        <v>12.25</v>
      </c>
      <c r="B247" s="2">
        <v>-0.20599999999999999</v>
      </c>
      <c r="C247">
        <v>3.0000000000000001E-3</v>
      </c>
      <c r="H247">
        <f t="shared" si="21"/>
        <v>12.25</v>
      </c>
      <c r="I247">
        <f t="shared" si="22"/>
        <v>-0.20599999999999999</v>
      </c>
      <c r="J247">
        <f t="shared" si="23"/>
        <v>2.5786699951459682E-3</v>
      </c>
      <c r="K247">
        <f t="shared" si="24"/>
        <v>-4.1309602619385908</v>
      </c>
      <c r="L247">
        <f t="shared" si="25"/>
        <v>1.7191133300973119E-3</v>
      </c>
      <c r="O247">
        <f t="shared" si="26"/>
        <v>-3.9705346206982535</v>
      </c>
      <c r="P247">
        <f t="shared" si="27"/>
        <v>-7.565818366733713E-5</v>
      </c>
    </row>
    <row r="248" spans="1:16" x14ac:dyDescent="0.25">
      <c r="A248" s="1">
        <v>12.3</v>
      </c>
      <c r="B248" s="2">
        <v>-0.20499999999999999</v>
      </c>
      <c r="C248">
        <v>4.0000000000000001E-3</v>
      </c>
      <c r="H248">
        <f t="shared" si="21"/>
        <v>12.3</v>
      </c>
      <c r="I248">
        <f t="shared" si="22"/>
        <v>-0.20499999999999999</v>
      </c>
      <c r="J248">
        <f t="shared" si="23"/>
        <v>3.5769502808404414E-3</v>
      </c>
      <c r="K248">
        <f t="shared" si="24"/>
        <v>-4.1109070567835495</v>
      </c>
      <c r="L248">
        <f t="shared" si="25"/>
        <v>2.3846335205602938E-3</v>
      </c>
      <c r="O248">
        <f t="shared" si="26"/>
        <v>-3.9504814155432122</v>
      </c>
      <c r="P248">
        <f t="shared" si="27"/>
        <v>5.898620067956448E-4</v>
      </c>
    </row>
    <row r="249" spans="1:16" x14ac:dyDescent="0.25">
      <c r="A249" s="1">
        <v>12.35</v>
      </c>
      <c r="B249" s="2">
        <v>-0.20100000000000001</v>
      </c>
      <c r="C249">
        <v>3.0000000000000001E-3</v>
      </c>
      <c r="H249">
        <f t="shared" si="21"/>
        <v>12.35</v>
      </c>
      <c r="I249">
        <f t="shared" si="22"/>
        <v>-0.20100000000000001</v>
      </c>
      <c r="J249">
        <f t="shared" si="23"/>
        <v>2.5752305665349149E-3</v>
      </c>
      <c r="K249">
        <f t="shared" si="24"/>
        <v>-4.0306942361633835</v>
      </c>
      <c r="L249">
        <f t="shared" si="25"/>
        <v>1.7168203776899429E-3</v>
      </c>
      <c r="O249">
        <f t="shared" si="26"/>
        <v>-3.8702685949230462</v>
      </c>
      <c r="P249">
        <f t="shared" si="27"/>
        <v>-7.7951136074706122E-5</v>
      </c>
    </row>
    <row r="250" spans="1:16" x14ac:dyDescent="0.25">
      <c r="A250" s="1">
        <v>12.4</v>
      </c>
      <c r="B250" s="2">
        <v>-0.16600000000000001</v>
      </c>
      <c r="C250">
        <v>4.0000000000000001E-3</v>
      </c>
      <c r="H250">
        <f t="shared" si="21"/>
        <v>12.4</v>
      </c>
      <c r="I250">
        <f t="shared" si="22"/>
        <v>-0.16600000000000001</v>
      </c>
      <c r="J250">
        <f t="shared" si="23"/>
        <v>3.573510852229388E-3</v>
      </c>
      <c r="K250">
        <f t="shared" si="24"/>
        <v>-3.3288320557369233</v>
      </c>
      <c r="L250">
        <f t="shared" si="25"/>
        <v>2.3823405681529246E-3</v>
      </c>
      <c r="O250">
        <f t="shared" si="26"/>
        <v>-3.168406414496586</v>
      </c>
      <c r="P250">
        <f t="shared" si="27"/>
        <v>5.8756905438827559E-4</v>
      </c>
    </row>
    <row r="251" spans="1:16" x14ac:dyDescent="0.25">
      <c r="A251" s="1">
        <v>12.45</v>
      </c>
      <c r="B251" s="2">
        <v>-0.13500000000000001</v>
      </c>
      <c r="C251">
        <v>3.0000000000000001E-3</v>
      </c>
      <c r="H251">
        <f t="shared" si="21"/>
        <v>12.45</v>
      </c>
      <c r="I251">
        <f t="shared" si="22"/>
        <v>-0.13500000000000001</v>
      </c>
      <c r="J251">
        <f t="shared" si="23"/>
        <v>2.5717911379238615E-3</v>
      </c>
      <c r="K251">
        <f t="shared" si="24"/>
        <v>-2.7071826959306304</v>
      </c>
      <c r="L251">
        <f t="shared" si="25"/>
        <v>1.7145274252825739E-3</v>
      </c>
      <c r="O251">
        <f t="shared" si="26"/>
        <v>-2.5467570546902931</v>
      </c>
      <c r="P251">
        <f t="shared" si="27"/>
        <v>-8.0244088482075114E-5</v>
      </c>
    </row>
    <row r="252" spans="1:16" x14ac:dyDescent="0.25">
      <c r="A252" s="1">
        <v>12.5</v>
      </c>
      <c r="B252" s="2">
        <v>-8.6999999999999994E-2</v>
      </c>
      <c r="C252">
        <v>4.0000000000000001E-3</v>
      </c>
      <c r="H252">
        <f t="shared" si="21"/>
        <v>12.5</v>
      </c>
      <c r="I252">
        <f t="shared" si="22"/>
        <v>-8.6999999999999994E-2</v>
      </c>
      <c r="J252">
        <f t="shared" si="23"/>
        <v>3.5700714236183346E-3</v>
      </c>
      <c r="K252">
        <f t="shared" si="24"/>
        <v>-1.7446288484886283</v>
      </c>
      <c r="L252">
        <f t="shared" si="25"/>
        <v>2.3800476157455558E-3</v>
      </c>
      <c r="O252">
        <f t="shared" si="26"/>
        <v>-1.584203207248291</v>
      </c>
      <c r="P252">
        <f t="shared" si="27"/>
        <v>5.8527610198090682E-4</v>
      </c>
    </row>
    <row r="253" spans="1:16" x14ac:dyDescent="0.25">
      <c r="A253" s="1">
        <v>12.55</v>
      </c>
      <c r="B253" s="2">
        <v>-4.4999999999999998E-2</v>
      </c>
      <c r="C253">
        <v>3.0000000000000001E-3</v>
      </c>
      <c r="H253">
        <f t="shared" si="21"/>
        <v>12.55</v>
      </c>
      <c r="I253">
        <f t="shared" si="22"/>
        <v>-4.4999999999999998E-2</v>
      </c>
      <c r="J253">
        <f t="shared" si="23"/>
        <v>2.5683517093128081E-3</v>
      </c>
      <c r="K253">
        <f t="shared" si="24"/>
        <v>-0.90239423197687674</v>
      </c>
      <c r="L253">
        <f t="shared" si="25"/>
        <v>1.7122344728752051E-3</v>
      </c>
      <c r="O253">
        <f t="shared" si="26"/>
        <v>-0.74196859073653942</v>
      </c>
      <c r="P253">
        <f t="shared" si="27"/>
        <v>-8.2537040889443889E-5</v>
      </c>
    </row>
    <row r="254" spans="1:16" x14ac:dyDescent="0.25">
      <c r="A254" s="1">
        <v>12.6</v>
      </c>
      <c r="B254" s="2">
        <v>-2.1000000000000001E-2</v>
      </c>
      <c r="C254">
        <v>4.0000000000000001E-3</v>
      </c>
      <c r="H254">
        <f t="shared" si="21"/>
        <v>12.6</v>
      </c>
      <c r="I254">
        <f t="shared" si="22"/>
        <v>-2.1000000000000001E-2</v>
      </c>
      <c r="J254">
        <f t="shared" si="23"/>
        <v>3.5666319950072817E-3</v>
      </c>
      <c r="K254">
        <f t="shared" si="24"/>
        <v>-0.42111730825587584</v>
      </c>
      <c r="L254">
        <f t="shared" si="25"/>
        <v>2.377754663338187E-3</v>
      </c>
      <c r="O254">
        <f t="shared" si="26"/>
        <v>-0.26069166701553853</v>
      </c>
      <c r="P254">
        <f t="shared" si="27"/>
        <v>5.8298314957353804E-4</v>
      </c>
    </row>
    <row r="255" spans="1:16" x14ac:dyDescent="0.25">
      <c r="A255" s="1">
        <v>12.65</v>
      </c>
      <c r="B255" s="2">
        <v>-0.01</v>
      </c>
      <c r="C255">
        <v>3.0000000000000001E-3</v>
      </c>
      <c r="H255">
        <f t="shared" si="21"/>
        <v>12.65</v>
      </c>
      <c r="I255">
        <f t="shared" si="22"/>
        <v>-0.01</v>
      </c>
      <c r="J255">
        <f t="shared" si="23"/>
        <v>2.5649122807017547E-3</v>
      </c>
      <c r="K255">
        <f t="shared" si="24"/>
        <v>-0.20053205155041706</v>
      </c>
      <c r="L255">
        <f t="shared" si="25"/>
        <v>1.7099415204678361E-3</v>
      </c>
      <c r="O255">
        <f t="shared" si="26"/>
        <v>-4.0106410310079749E-2</v>
      </c>
      <c r="P255">
        <f t="shared" si="27"/>
        <v>-8.4829993296812881E-5</v>
      </c>
    </row>
    <row r="256" spans="1:16" x14ac:dyDescent="0.25">
      <c r="A256" s="1">
        <v>12.7</v>
      </c>
      <c r="B256" s="2">
        <v>-3.0000000000000001E-3</v>
      </c>
      <c r="C256">
        <v>4.0000000000000001E-3</v>
      </c>
      <c r="H256">
        <f t="shared" si="21"/>
        <v>12.7</v>
      </c>
      <c r="I256">
        <f t="shared" si="22"/>
        <v>-3.0000000000000001E-3</v>
      </c>
      <c r="J256">
        <f t="shared" si="23"/>
        <v>3.5631925663962283E-3</v>
      </c>
      <c r="K256">
        <f t="shared" si="24"/>
        <v>-6.0159615465125119E-2</v>
      </c>
      <c r="L256">
        <f t="shared" si="25"/>
        <v>2.3754617109308183E-3</v>
      </c>
      <c r="O256">
        <f t="shared" si="26"/>
        <v>0.10026602577521219</v>
      </c>
      <c r="P256">
        <f t="shared" si="27"/>
        <v>5.8069019716616927E-4</v>
      </c>
    </row>
    <row r="257" spans="1:16" x14ac:dyDescent="0.25">
      <c r="A257" s="1">
        <v>12.75</v>
      </c>
      <c r="B257" s="2">
        <v>2E-3</v>
      </c>
      <c r="C257">
        <v>3.0000000000000001E-3</v>
      </c>
      <c r="H257">
        <f t="shared" si="21"/>
        <v>12.75</v>
      </c>
      <c r="I257">
        <f t="shared" si="22"/>
        <v>2E-3</v>
      </c>
      <c r="J257">
        <f t="shared" si="23"/>
        <v>2.5614728520907014E-3</v>
      </c>
      <c r="K257">
        <f t="shared" si="24"/>
        <v>4.0106410310083412E-2</v>
      </c>
      <c r="L257">
        <f t="shared" si="25"/>
        <v>1.7076485680604671E-3</v>
      </c>
      <c r="O257">
        <f t="shared" si="26"/>
        <v>0.20053205155042073</v>
      </c>
      <c r="P257">
        <f t="shared" si="27"/>
        <v>-8.7122945704181873E-5</v>
      </c>
    </row>
    <row r="258" spans="1:16" x14ac:dyDescent="0.25">
      <c r="A258" s="1">
        <v>12.8</v>
      </c>
      <c r="B258" s="2">
        <v>4.0000000000000001E-3</v>
      </c>
      <c r="C258">
        <v>4.0000000000000001E-3</v>
      </c>
      <c r="H258">
        <f t="shared" si="21"/>
        <v>12.8</v>
      </c>
      <c r="I258">
        <f t="shared" si="22"/>
        <v>4.0000000000000001E-3</v>
      </c>
      <c r="J258">
        <f t="shared" si="23"/>
        <v>3.5597531377851749E-3</v>
      </c>
      <c r="K258">
        <f t="shared" si="24"/>
        <v>8.0212820620166825E-2</v>
      </c>
      <c r="L258">
        <f t="shared" si="25"/>
        <v>2.3731687585234495E-3</v>
      </c>
      <c r="O258">
        <f t="shared" si="26"/>
        <v>0.24063846186050414</v>
      </c>
      <c r="P258">
        <f t="shared" si="27"/>
        <v>5.7839724475880049E-4</v>
      </c>
    </row>
    <row r="259" spans="1:16" x14ac:dyDescent="0.25">
      <c r="A259" s="1">
        <v>12.85</v>
      </c>
      <c r="B259" s="2">
        <v>4.0000000000000001E-3</v>
      </c>
      <c r="C259">
        <v>3.0000000000000001E-3</v>
      </c>
      <c r="H259">
        <f t="shared" ref="H259:H322" si="28">A259</f>
        <v>12.85</v>
      </c>
      <c r="I259">
        <f t="shared" ref="I259:I322" si="29">B259</f>
        <v>4.0000000000000001E-3</v>
      </c>
      <c r="J259">
        <f t="shared" ref="J259:J322" si="30">C259-E$12*A259</f>
        <v>2.558033423479648E-3</v>
      </c>
      <c r="K259">
        <f t="shared" ref="K259:K322" si="31">F$24*I259</f>
        <v>8.0212820620166825E-2</v>
      </c>
      <c r="L259">
        <f t="shared" ref="L259:L322" si="32">F$25*J259</f>
        <v>1.7053556156530984E-3</v>
      </c>
      <c r="O259">
        <f t="shared" ref="O259:O322" si="33">K259-N$12</f>
        <v>0.24063846186050414</v>
      </c>
      <c r="P259">
        <f t="shared" ref="P259:P322" si="34">L259-N$15</f>
        <v>-8.9415898111550648E-5</v>
      </c>
    </row>
    <row r="260" spans="1:16" x14ac:dyDescent="0.25">
      <c r="A260" s="1">
        <v>12.9</v>
      </c>
      <c r="B260" s="2">
        <v>4.0000000000000001E-3</v>
      </c>
      <c r="C260">
        <v>4.0000000000000001E-3</v>
      </c>
      <c r="H260">
        <f t="shared" si="28"/>
        <v>12.9</v>
      </c>
      <c r="I260">
        <f t="shared" si="29"/>
        <v>4.0000000000000001E-3</v>
      </c>
      <c r="J260">
        <f t="shared" si="30"/>
        <v>3.5563137091741215E-3</v>
      </c>
      <c r="K260">
        <f t="shared" si="31"/>
        <v>8.0212820620166825E-2</v>
      </c>
      <c r="L260">
        <f t="shared" si="32"/>
        <v>2.3708758061160803E-3</v>
      </c>
      <c r="O260">
        <f t="shared" si="33"/>
        <v>0.24063846186050414</v>
      </c>
      <c r="P260">
        <f t="shared" si="34"/>
        <v>5.7610429235143128E-4</v>
      </c>
    </row>
    <row r="261" spans="1:16" x14ac:dyDescent="0.25">
      <c r="A261" s="1">
        <v>12.95</v>
      </c>
      <c r="B261" s="2">
        <v>4.0000000000000001E-3</v>
      </c>
      <c r="C261">
        <v>3.0000000000000001E-3</v>
      </c>
      <c r="H261">
        <f t="shared" si="28"/>
        <v>12.95</v>
      </c>
      <c r="I261">
        <f t="shared" si="29"/>
        <v>4.0000000000000001E-3</v>
      </c>
      <c r="J261">
        <f t="shared" si="30"/>
        <v>2.5545939948685946E-3</v>
      </c>
      <c r="K261">
        <f t="shared" si="31"/>
        <v>8.0212820620166825E-2</v>
      </c>
      <c r="L261">
        <f t="shared" si="32"/>
        <v>1.7030626632457294E-3</v>
      </c>
      <c r="O261">
        <f t="shared" si="33"/>
        <v>0.24063846186050414</v>
      </c>
      <c r="P261">
        <f t="shared" si="34"/>
        <v>-9.170885051891964E-5</v>
      </c>
    </row>
    <row r="262" spans="1:16" x14ac:dyDescent="0.25">
      <c r="A262" s="1">
        <v>13</v>
      </c>
      <c r="B262" s="2">
        <v>2E-3</v>
      </c>
      <c r="C262">
        <v>4.0000000000000001E-3</v>
      </c>
      <c r="H262">
        <f t="shared" si="28"/>
        <v>13</v>
      </c>
      <c r="I262">
        <f t="shared" si="29"/>
        <v>2E-3</v>
      </c>
      <c r="J262">
        <f t="shared" si="30"/>
        <v>3.5528742805630681E-3</v>
      </c>
      <c r="K262">
        <f t="shared" si="31"/>
        <v>4.0106410310083412E-2</v>
      </c>
      <c r="L262">
        <f t="shared" si="32"/>
        <v>2.3685828537087115E-3</v>
      </c>
      <c r="O262">
        <f t="shared" si="33"/>
        <v>0.20053205155042073</v>
      </c>
      <c r="P262">
        <f t="shared" si="34"/>
        <v>5.7381133994406251E-4</v>
      </c>
    </row>
    <row r="263" spans="1:16" x14ac:dyDescent="0.25">
      <c r="A263" s="1">
        <v>13.05</v>
      </c>
      <c r="B263" s="2">
        <v>1E-3</v>
      </c>
      <c r="C263">
        <v>4.0000000000000001E-3</v>
      </c>
      <c r="H263">
        <f t="shared" si="28"/>
        <v>13.05</v>
      </c>
      <c r="I263">
        <f t="shared" si="29"/>
        <v>1E-3</v>
      </c>
      <c r="J263">
        <f t="shared" si="30"/>
        <v>3.5511545662575417E-3</v>
      </c>
      <c r="K263">
        <f t="shared" si="31"/>
        <v>2.0053205155041706E-2</v>
      </c>
      <c r="L263">
        <f t="shared" si="32"/>
        <v>2.3674363775050273E-3</v>
      </c>
      <c r="O263">
        <f t="shared" si="33"/>
        <v>0.18047884639537903</v>
      </c>
      <c r="P263">
        <f t="shared" si="34"/>
        <v>5.7266486374037834E-4</v>
      </c>
    </row>
    <row r="264" spans="1:16" x14ac:dyDescent="0.25">
      <c r="A264" s="1">
        <v>13.1</v>
      </c>
      <c r="B264" s="2">
        <v>1E-3</v>
      </c>
      <c r="C264">
        <v>4.0000000000000001E-3</v>
      </c>
      <c r="H264">
        <f t="shared" si="28"/>
        <v>13.1</v>
      </c>
      <c r="I264">
        <f t="shared" si="29"/>
        <v>1E-3</v>
      </c>
      <c r="J264">
        <f t="shared" si="30"/>
        <v>3.5494348519520148E-3</v>
      </c>
      <c r="K264">
        <f t="shared" si="31"/>
        <v>2.0053205155041706E-2</v>
      </c>
      <c r="L264">
        <f t="shared" si="32"/>
        <v>2.3662899013013427E-3</v>
      </c>
      <c r="O264">
        <f t="shared" si="33"/>
        <v>0.18047884639537903</v>
      </c>
      <c r="P264">
        <f t="shared" si="34"/>
        <v>5.7151838753669373E-4</v>
      </c>
    </row>
    <row r="265" spans="1:16" x14ac:dyDescent="0.25">
      <c r="A265" s="1">
        <v>13.15</v>
      </c>
      <c r="B265" s="2">
        <v>1E-3</v>
      </c>
      <c r="C265">
        <v>3.0000000000000001E-3</v>
      </c>
      <c r="H265">
        <f t="shared" si="28"/>
        <v>13.15</v>
      </c>
      <c r="I265">
        <f t="shared" si="29"/>
        <v>1E-3</v>
      </c>
      <c r="J265">
        <f t="shared" si="30"/>
        <v>2.5477151376464883E-3</v>
      </c>
      <c r="K265">
        <f t="shared" si="31"/>
        <v>2.0053205155041706E-2</v>
      </c>
      <c r="L265">
        <f t="shared" si="32"/>
        <v>1.6984767584309918E-3</v>
      </c>
      <c r="O265">
        <f t="shared" si="33"/>
        <v>0.18047884639537903</v>
      </c>
      <c r="P265">
        <f t="shared" si="34"/>
        <v>-9.629475533365719E-5</v>
      </c>
    </row>
    <row r="266" spans="1:16" x14ac:dyDescent="0.25">
      <c r="A266" s="1">
        <v>13.2</v>
      </c>
      <c r="B266" s="2">
        <v>1E-3</v>
      </c>
      <c r="C266">
        <v>3.0000000000000001E-3</v>
      </c>
      <c r="H266">
        <f t="shared" si="28"/>
        <v>13.2</v>
      </c>
      <c r="I266">
        <f t="shared" si="29"/>
        <v>1E-3</v>
      </c>
      <c r="J266">
        <f t="shared" si="30"/>
        <v>2.5459954233409614E-3</v>
      </c>
      <c r="K266">
        <f t="shared" si="31"/>
        <v>2.0053205155041706E-2</v>
      </c>
      <c r="L266">
        <f t="shared" si="32"/>
        <v>1.6973302822273072E-3</v>
      </c>
      <c r="O266">
        <f t="shared" si="33"/>
        <v>0.18047884639537903</v>
      </c>
      <c r="P266">
        <f t="shared" si="34"/>
        <v>-9.7441231537341794E-5</v>
      </c>
    </row>
    <row r="267" spans="1:16" x14ac:dyDescent="0.25">
      <c r="A267" s="1">
        <v>13.25</v>
      </c>
      <c r="B267" s="2">
        <v>1E-3</v>
      </c>
      <c r="C267">
        <v>4.0000000000000001E-3</v>
      </c>
      <c r="H267">
        <f t="shared" si="28"/>
        <v>13.25</v>
      </c>
      <c r="I267">
        <f t="shared" si="29"/>
        <v>1E-3</v>
      </c>
      <c r="J267">
        <f t="shared" si="30"/>
        <v>3.5442757090354349E-3</v>
      </c>
      <c r="K267">
        <f t="shared" si="31"/>
        <v>2.0053205155041706E-2</v>
      </c>
      <c r="L267">
        <f t="shared" si="32"/>
        <v>2.3628504726902894E-3</v>
      </c>
      <c r="O267">
        <f t="shared" si="33"/>
        <v>0.18047884639537903</v>
      </c>
      <c r="P267">
        <f t="shared" si="34"/>
        <v>5.6807895892564035E-4</v>
      </c>
    </row>
    <row r="268" spans="1:16" x14ac:dyDescent="0.25">
      <c r="A268" s="1">
        <v>13.3</v>
      </c>
      <c r="B268" s="2">
        <v>1E-3</v>
      </c>
      <c r="C268">
        <v>4.0000000000000001E-3</v>
      </c>
      <c r="H268">
        <f t="shared" si="28"/>
        <v>13.3</v>
      </c>
      <c r="I268">
        <f t="shared" si="29"/>
        <v>1E-3</v>
      </c>
      <c r="J268">
        <f t="shared" si="30"/>
        <v>3.542555994729908E-3</v>
      </c>
      <c r="K268">
        <f t="shared" si="31"/>
        <v>2.0053205155041706E-2</v>
      </c>
      <c r="L268">
        <f t="shared" si="32"/>
        <v>2.3617039964866048E-3</v>
      </c>
      <c r="O268">
        <f t="shared" si="33"/>
        <v>0.18047884639537903</v>
      </c>
      <c r="P268">
        <f t="shared" si="34"/>
        <v>5.6693248272195575E-4</v>
      </c>
    </row>
    <row r="269" spans="1:16" x14ac:dyDescent="0.25">
      <c r="A269" s="1">
        <v>13.35</v>
      </c>
      <c r="B269" s="2">
        <v>1E-3</v>
      </c>
      <c r="C269">
        <v>3.0000000000000001E-3</v>
      </c>
      <c r="H269">
        <f t="shared" si="28"/>
        <v>13.35</v>
      </c>
      <c r="I269">
        <f t="shared" si="29"/>
        <v>1E-3</v>
      </c>
      <c r="J269">
        <f t="shared" si="30"/>
        <v>2.5408362804243815E-3</v>
      </c>
      <c r="K269">
        <f t="shared" si="31"/>
        <v>2.0053205155041706E-2</v>
      </c>
      <c r="L269">
        <f t="shared" si="32"/>
        <v>1.693890853616254E-3</v>
      </c>
      <c r="O269">
        <f t="shared" si="33"/>
        <v>0.18047884639537903</v>
      </c>
      <c r="P269">
        <f t="shared" si="34"/>
        <v>-1.0088066014839496E-4</v>
      </c>
    </row>
    <row r="270" spans="1:16" x14ac:dyDescent="0.25">
      <c r="A270" s="1">
        <v>13.4</v>
      </c>
      <c r="B270" s="2">
        <v>5.0000000000000001E-3</v>
      </c>
      <c r="C270">
        <v>4.0000000000000001E-3</v>
      </c>
      <c r="H270">
        <f t="shared" si="28"/>
        <v>13.4</v>
      </c>
      <c r="I270">
        <f t="shared" si="29"/>
        <v>5.0000000000000001E-3</v>
      </c>
      <c r="J270">
        <f t="shared" si="30"/>
        <v>3.5391165661188551E-3</v>
      </c>
      <c r="K270">
        <f t="shared" si="31"/>
        <v>0.10026602577520853</v>
      </c>
      <c r="L270">
        <f t="shared" si="32"/>
        <v>2.359411044079236E-3</v>
      </c>
      <c r="O270">
        <f t="shared" si="33"/>
        <v>0.26069166701554586</v>
      </c>
      <c r="P270">
        <f t="shared" si="34"/>
        <v>5.6463953031458698E-4</v>
      </c>
    </row>
    <row r="271" spans="1:16" x14ac:dyDescent="0.25">
      <c r="A271" s="1">
        <v>13.45</v>
      </c>
      <c r="B271" s="2">
        <v>0.04</v>
      </c>
      <c r="C271">
        <v>3.0000000000000001E-3</v>
      </c>
      <c r="H271">
        <f t="shared" si="28"/>
        <v>13.45</v>
      </c>
      <c r="I271">
        <f t="shared" si="29"/>
        <v>0.04</v>
      </c>
      <c r="J271">
        <f t="shared" si="30"/>
        <v>2.5373968518133281E-3</v>
      </c>
      <c r="K271">
        <f t="shared" si="31"/>
        <v>0.80212820620166825</v>
      </c>
      <c r="L271">
        <f t="shared" si="32"/>
        <v>1.6915979012088851E-3</v>
      </c>
      <c r="O271">
        <f t="shared" si="33"/>
        <v>0.96255384744200556</v>
      </c>
      <c r="P271">
        <f t="shared" si="34"/>
        <v>-1.0317361255576395E-4</v>
      </c>
    </row>
    <row r="272" spans="1:16" x14ac:dyDescent="0.25">
      <c r="A272" s="1">
        <v>13.5</v>
      </c>
      <c r="B272" s="2">
        <v>5.5E-2</v>
      </c>
      <c r="C272">
        <v>3.0000000000000001E-3</v>
      </c>
      <c r="H272">
        <f t="shared" si="28"/>
        <v>13.5</v>
      </c>
      <c r="I272">
        <f t="shared" si="29"/>
        <v>5.5E-2</v>
      </c>
      <c r="J272">
        <f t="shared" si="30"/>
        <v>2.5356771375078017E-3</v>
      </c>
      <c r="K272">
        <f t="shared" si="31"/>
        <v>1.1029262835272939</v>
      </c>
      <c r="L272">
        <f t="shared" si="32"/>
        <v>1.6904514250052007E-3</v>
      </c>
      <c r="O272">
        <f t="shared" si="33"/>
        <v>1.2633519247676313</v>
      </c>
      <c r="P272">
        <f t="shared" si="34"/>
        <v>-1.0432008875944834E-4</v>
      </c>
    </row>
    <row r="273" spans="1:16" x14ac:dyDescent="0.25">
      <c r="A273" s="1">
        <v>13.55</v>
      </c>
      <c r="B273" s="2">
        <v>9.5000000000000001E-2</v>
      </c>
      <c r="C273">
        <v>3.0000000000000001E-3</v>
      </c>
      <c r="H273">
        <f t="shared" si="28"/>
        <v>13.55</v>
      </c>
      <c r="I273">
        <f t="shared" si="29"/>
        <v>9.5000000000000001E-2</v>
      </c>
      <c r="J273">
        <f t="shared" si="30"/>
        <v>2.5339574232022747E-3</v>
      </c>
      <c r="K273">
        <f t="shared" si="31"/>
        <v>1.9050544897289621</v>
      </c>
      <c r="L273">
        <f t="shared" si="32"/>
        <v>1.6893049488015161E-3</v>
      </c>
      <c r="O273">
        <f t="shared" si="33"/>
        <v>2.0654801309692994</v>
      </c>
      <c r="P273">
        <f t="shared" si="34"/>
        <v>-1.0546656496313294E-4</v>
      </c>
    </row>
    <row r="274" spans="1:16" x14ac:dyDescent="0.25">
      <c r="A274" s="1">
        <v>13.6</v>
      </c>
      <c r="B274" s="2">
        <v>0.183</v>
      </c>
      <c r="C274">
        <v>3.0000000000000001E-3</v>
      </c>
      <c r="H274">
        <f t="shared" si="28"/>
        <v>13.6</v>
      </c>
      <c r="I274">
        <f t="shared" si="29"/>
        <v>0.183</v>
      </c>
      <c r="J274">
        <f t="shared" si="30"/>
        <v>2.5322377088967483E-3</v>
      </c>
      <c r="K274">
        <f t="shared" si="31"/>
        <v>3.6697365433726321</v>
      </c>
      <c r="L274">
        <f t="shared" si="32"/>
        <v>1.6881584725978319E-3</v>
      </c>
      <c r="O274">
        <f t="shared" si="33"/>
        <v>3.8301621846129694</v>
      </c>
      <c r="P274">
        <f t="shared" si="34"/>
        <v>-1.0661304116681711E-4</v>
      </c>
    </row>
    <row r="275" spans="1:16" x14ac:dyDescent="0.25">
      <c r="A275" s="1">
        <v>13.65</v>
      </c>
      <c r="B275" s="2">
        <v>0.191</v>
      </c>
      <c r="C275">
        <v>3.0000000000000001E-3</v>
      </c>
      <c r="H275">
        <f t="shared" si="28"/>
        <v>13.65</v>
      </c>
      <c r="I275">
        <f t="shared" si="29"/>
        <v>0.191</v>
      </c>
      <c r="J275">
        <f t="shared" si="30"/>
        <v>2.5305179945912214E-3</v>
      </c>
      <c r="K275">
        <f t="shared" si="31"/>
        <v>3.8301621846129659</v>
      </c>
      <c r="L275">
        <f t="shared" si="32"/>
        <v>1.6870119963941473E-3</v>
      </c>
      <c r="O275">
        <f t="shared" si="33"/>
        <v>3.9905878258533032</v>
      </c>
      <c r="P275">
        <f t="shared" si="34"/>
        <v>-1.0775951737050172E-4</v>
      </c>
    </row>
    <row r="276" spans="1:16" x14ac:dyDescent="0.25">
      <c r="A276" s="1">
        <v>13.7</v>
      </c>
      <c r="B276" s="2">
        <v>0.20300000000000001</v>
      </c>
      <c r="C276">
        <v>3.0000000000000001E-3</v>
      </c>
      <c r="H276">
        <f t="shared" si="28"/>
        <v>13.7</v>
      </c>
      <c r="I276">
        <f t="shared" si="29"/>
        <v>0.20300000000000001</v>
      </c>
      <c r="J276">
        <f t="shared" si="30"/>
        <v>2.5287982802856949E-3</v>
      </c>
      <c r="K276">
        <f t="shared" si="31"/>
        <v>4.070800646473467</v>
      </c>
      <c r="L276">
        <f t="shared" si="32"/>
        <v>1.6858655201904629E-3</v>
      </c>
      <c r="O276">
        <f t="shared" si="33"/>
        <v>4.2312262877138043</v>
      </c>
      <c r="P276">
        <f t="shared" si="34"/>
        <v>-1.089059935741861E-4</v>
      </c>
    </row>
    <row r="277" spans="1:16" x14ac:dyDescent="0.25">
      <c r="A277" s="1">
        <v>13.75</v>
      </c>
      <c r="B277" s="2">
        <v>0.24199999999999999</v>
      </c>
      <c r="C277">
        <v>3.0000000000000001E-3</v>
      </c>
      <c r="H277">
        <f t="shared" si="28"/>
        <v>13.75</v>
      </c>
      <c r="I277">
        <f t="shared" si="29"/>
        <v>0.24199999999999999</v>
      </c>
      <c r="J277">
        <f t="shared" si="30"/>
        <v>2.5270785659801684E-3</v>
      </c>
      <c r="K277">
        <f t="shared" si="31"/>
        <v>4.8528756475200927</v>
      </c>
      <c r="L277">
        <f t="shared" si="32"/>
        <v>1.6847190439867785E-3</v>
      </c>
      <c r="O277">
        <f t="shared" si="33"/>
        <v>5.01330128876043</v>
      </c>
      <c r="P277">
        <f t="shared" si="34"/>
        <v>-1.1005246977787049E-4</v>
      </c>
    </row>
    <row r="278" spans="1:16" x14ac:dyDescent="0.25">
      <c r="A278" s="1">
        <v>13.8</v>
      </c>
      <c r="B278" s="2">
        <v>0.29399999999999998</v>
      </c>
      <c r="C278">
        <v>3.0000000000000001E-3</v>
      </c>
      <c r="H278">
        <f t="shared" si="28"/>
        <v>13.8</v>
      </c>
      <c r="I278">
        <f t="shared" si="29"/>
        <v>0.29399999999999998</v>
      </c>
      <c r="J278">
        <f t="shared" si="30"/>
        <v>2.5253588516746415E-3</v>
      </c>
      <c r="K278">
        <f t="shared" si="31"/>
        <v>5.8956423155822613</v>
      </c>
      <c r="L278">
        <f t="shared" si="32"/>
        <v>1.6835725677830939E-3</v>
      </c>
      <c r="O278">
        <f t="shared" si="33"/>
        <v>6.0560679568225986</v>
      </c>
      <c r="P278">
        <f t="shared" si="34"/>
        <v>-1.1119894598155509E-4</v>
      </c>
    </row>
    <row r="279" spans="1:16" x14ac:dyDescent="0.25">
      <c r="A279" s="1">
        <v>13.85</v>
      </c>
      <c r="B279" s="2">
        <v>0.31</v>
      </c>
      <c r="C279">
        <v>4.0000000000000001E-3</v>
      </c>
      <c r="H279">
        <f t="shared" si="28"/>
        <v>13.85</v>
      </c>
      <c r="I279">
        <f t="shared" si="29"/>
        <v>0.31</v>
      </c>
      <c r="J279">
        <f t="shared" si="30"/>
        <v>3.5236391373691151E-3</v>
      </c>
      <c r="K279">
        <f t="shared" si="31"/>
        <v>6.2164935980629288</v>
      </c>
      <c r="L279">
        <f t="shared" si="32"/>
        <v>2.3490927582460763E-3</v>
      </c>
      <c r="O279">
        <f t="shared" si="33"/>
        <v>6.3769192393032661</v>
      </c>
      <c r="P279">
        <f t="shared" si="34"/>
        <v>5.5432124448142727E-4</v>
      </c>
    </row>
    <row r="280" spans="1:16" x14ac:dyDescent="0.25">
      <c r="A280" s="1">
        <v>13.9</v>
      </c>
      <c r="B280" s="2">
        <v>0.32500000000000001</v>
      </c>
      <c r="C280">
        <v>3.0000000000000001E-3</v>
      </c>
      <c r="H280">
        <f t="shared" si="28"/>
        <v>13.9</v>
      </c>
      <c r="I280">
        <f t="shared" si="29"/>
        <v>0.32500000000000001</v>
      </c>
      <c r="J280">
        <f t="shared" si="30"/>
        <v>2.5219194230635881E-3</v>
      </c>
      <c r="K280">
        <f t="shared" si="31"/>
        <v>6.517291675388555</v>
      </c>
      <c r="L280">
        <f t="shared" si="32"/>
        <v>1.6812796153757251E-3</v>
      </c>
      <c r="O280">
        <f t="shared" si="33"/>
        <v>6.6777173166288923</v>
      </c>
      <c r="P280">
        <f t="shared" si="34"/>
        <v>-1.1349189838892387E-4</v>
      </c>
    </row>
    <row r="281" spans="1:16" x14ac:dyDescent="0.25">
      <c r="A281" s="1">
        <v>13.95</v>
      </c>
      <c r="B281" s="2">
        <v>0.32600000000000001</v>
      </c>
      <c r="C281">
        <v>4.0000000000000001E-3</v>
      </c>
      <c r="H281">
        <f t="shared" si="28"/>
        <v>13.95</v>
      </c>
      <c r="I281">
        <f t="shared" si="29"/>
        <v>0.32600000000000001</v>
      </c>
      <c r="J281">
        <f t="shared" si="30"/>
        <v>3.5201997087580617E-3</v>
      </c>
      <c r="K281">
        <f t="shared" si="31"/>
        <v>6.5373448805435963</v>
      </c>
      <c r="L281">
        <f t="shared" si="32"/>
        <v>2.3467998058387071E-3</v>
      </c>
      <c r="O281">
        <f t="shared" si="33"/>
        <v>6.6977705217839336</v>
      </c>
      <c r="P281">
        <f t="shared" si="34"/>
        <v>5.5202829207405806E-4</v>
      </c>
    </row>
    <row r="282" spans="1:16" x14ac:dyDescent="0.25">
      <c r="A282" s="1">
        <v>14</v>
      </c>
      <c r="B282" s="2">
        <v>0.32500000000000001</v>
      </c>
      <c r="C282">
        <v>4.0000000000000001E-3</v>
      </c>
      <c r="H282">
        <f t="shared" si="28"/>
        <v>14</v>
      </c>
      <c r="I282">
        <f t="shared" si="29"/>
        <v>0.32500000000000001</v>
      </c>
      <c r="J282">
        <f t="shared" si="30"/>
        <v>3.5184799944525348E-3</v>
      </c>
      <c r="K282">
        <f t="shared" si="31"/>
        <v>6.517291675388555</v>
      </c>
      <c r="L282">
        <f t="shared" si="32"/>
        <v>2.3456533296350225E-3</v>
      </c>
      <c r="O282">
        <f t="shared" si="33"/>
        <v>6.6777173166288923</v>
      </c>
      <c r="P282">
        <f t="shared" si="34"/>
        <v>5.5088181587037346E-4</v>
      </c>
    </row>
    <row r="283" spans="1:16" x14ac:dyDescent="0.25">
      <c r="A283" s="1">
        <v>14.05</v>
      </c>
      <c r="B283" s="2">
        <v>0.32500000000000001</v>
      </c>
      <c r="C283">
        <v>3.0000000000000001E-3</v>
      </c>
      <c r="H283">
        <f t="shared" si="28"/>
        <v>14.05</v>
      </c>
      <c r="I283">
        <f t="shared" si="29"/>
        <v>0.32500000000000001</v>
      </c>
      <c r="J283">
        <f t="shared" si="30"/>
        <v>2.5167602801470083E-3</v>
      </c>
      <c r="K283">
        <f t="shared" si="31"/>
        <v>6.517291675388555</v>
      </c>
      <c r="L283">
        <f t="shared" si="32"/>
        <v>1.6778401867646718E-3</v>
      </c>
      <c r="O283">
        <f t="shared" si="33"/>
        <v>6.6777173166288923</v>
      </c>
      <c r="P283">
        <f t="shared" si="34"/>
        <v>-1.1693132699997725E-4</v>
      </c>
    </row>
    <row r="284" spans="1:16" x14ac:dyDescent="0.25">
      <c r="A284" s="1">
        <v>14.1</v>
      </c>
      <c r="B284" s="2">
        <v>0.32900000000000001</v>
      </c>
      <c r="C284">
        <v>3.0000000000000001E-3</v>
      </c>
      <c r="H284">
        <f t="shared" si="28"/>
        <v>14.1</v>
      </c>
      <c r="I284">
        <f t="shared" si="29"/>
        <v>0.32900000000000001</v>
      </c>
      <c r="J284">
        <f t="shared" si="30"/>
        <v>2.5150405658414818E-3</v>
      </c>
      <c r="K284">
        <f t="shared" si="31"/>
        <v>6.5975044960087219</v>
      </c>
      <c r="L284">
        <f t="shared" si="32"/>
        <v>1.6766937105609876E-3</v>
      </c>
      <c r="O284">
        <f t="shared" si="33"/>
        <v>6.7579301372490592</v>
      </c>
      <c r="P284">
        <f t="shared" si="34"/>
        <v>-1.1807780320366142E-4</v>
      </c>
    </row>
    <row r="285" spans="1:16" x14ac:dyDescent="0.25">
      <c r="A285" s="1">
        <v>14.15</v>
      </c>
      <c r="B285" s="2">
        <v>0.33800000000000002</v>
      </c>
      <c r="C285">
        <v>4.0000000000000001E-3</v>
      </c>
      <c r="H285">
        <f t="shared" si="28"/>
        <v>14.15</v>
      </c>
      <c r="I285">
        <f t="shared" si="29"/>
        <v>0.33800000000000002</v>
      </c>
      <c r="J285">
        <f t="shared" si="30"/>
        <v>3.5133208515359549E-3</v>
      </c>
      <c r="K285">
        <f t="shared" si="31"/>
        <v>6.7779833424040969</v>
      </c>
      <c r="L285">
        <f t="shared" si="32"/>
        <v>2.3422139010239695E-3</v>
      </c>
      <c r="O285">
        <f t="shared" si="33"/>
        <v>6.9384089836444343</v>
      </c>
      <c r="P285">
        <f t="shared" si="34"/>
        <v>5.4744238725932051E-4</v>
      </c>
    </row>
    <row r="286" spans="1:16" x14ac:dyDescent="0.25">
      <c r="A286" s="1">
        <v>14.2</v>
      </c>
      <c r="B286" s="2">
        <v>0.34699999999999998</v>
      </c>
      <c r="C286">
        <v>4.0000000000000001E-3</v>
      </c>
      <c r="H286">
        <f t="shared" si="28"/>
        <v>14.2</v>
      </c>
      <c r="I286">
        <f t="shared" si="29"/>
        <v>0.34699999999999998</v>
      </c>
      <c r="J286">
        <f t="shared" si="30"/>
        <v>3.5116011372304285E-3</v>
      </c>
      <c r="K286">
        <f t="shared" si="31"/>
        <v>6.9584621887994711</v>
      </c>
      <c r="L286">
        <f t="shared" si="32"/>
        <v>2.3410674248202849E-3</v>
      </c>
      <c r="O286">
        <f t="shared" si="33"/>
        <v>7.1188878300398084</v>
      </c>
      <c r="P286">
        <f t="shared" si="34"/>
        <v>5.4629591105563591E-4</v>
      </c>
    </row>
    <row r="287" spans="1:16" x14ac:dyDescent="0.25">
      <c r="A287" s="1">
        <v>14.25</v>
      </c>
      <c r="B287" s="2">
        <v>0.371</v>
      </c>
      <c r="C287">
        <v>4.0000000000000001E-3</v>
      </c>
      <c r="H287">
        <f t="shared" si="28"/>
        <v>14.25</v>
      </c>
      <c r="I287">
        <f t="shared" si="29"/>
        <v>0.371</v>
      </c>
      <c r="J287">
        <f t="shared" si="30"/>
        <v>3.5098814229249015E-3</v>
      </c>
      <c r="K287">
        <f t="shared" si="31"/>
        <v>7.4397391125204724</v>
      </c>
      <c r="L287">
        <f t="shared" si="32"/>
        <v>2.3399209486166003E-3</v>
      </c>
      <c r="O287">
        <f t="shared" si="33"/>
        <v>7.6001647537608097</v>
      </c>
      <c r="P287">
        <f t="shared" si="34"/>
        <v>5.451494348519513E-4</v>
      </c>
    </row>
    <row r="288" spans="1:16" x14ac:dyDescent="0.25">
      <c r="A288" s="1">
        <v>14.3</v>
      </c>
      <c r="B288" s="2">
        <v>0.435</v>
      </c>
      <c r="C288">
        <v>3.0000000000000001E-3</v>
      </c>
      <c r="H288">
        <f t="shared" si="28"/>
        <v>14.3</v>
      </c>
      <c r="I288">
        <f t="shared" si="29"/>
        <v>0.435</v>
      </c>
      <c r="J288">
        <f t="shared" si="30"/>
        <v>2.5081617086193751E-3</v>
      </c>
      <c r="K288">
        <f t="shared" si="31"/>
        <v>8.7231442424431425</v>
      </c>
      <c r="L288">
        <f t="shared" si="32"/>
        <v>1.6721078057462496E-3</v>
      </c>
      <c r="O288">
        <f t="shared" si="33"/>
        <v>8.8835698836834798</v>
      </c>
      <c r="P288">
        <f t="shared" si="34"/>
        <v>-1.226637080183994E-4</v>
      </c>
    </row>
    <row r="289" spans="1:16" x14ac:dyDescent="0.25">
      <c r="A289" s="1">
        <v>14.35</v>
      </c>
      <c r="B289" s="2">
        <v>0.44800000000000001</v>
      </c>
      <c r="C289">
        <v>3.0000000000000001E-3</v>
      </c>
      <c r="H289">
        <f t="shared" si="28"/>
        <v>14.35</v>
      </c>
      <c r="I289">
        <f t="shared" si="29"/>
        <v>0.44800000000000001</v>
      </c>
      <c r="J289">
        <f t="shared" si="30"/>
        <v>2.5064419943138481E-3</v>
      </c>
      <c r="K289">
        <f t="shared" si="31"/>
        <v>8.9838359094586853</v>
      </c>
      <c r="L289">
        <f t="shared" si="32"/>
        <v>1.670961329542565E-3</v>
      </c>
      <c r="O289">
        <f t="shared" si="33"/>
        <v>9.1442615506990226</v>
      </c>
      <c r="P289">
        <f t="shared" si="34"/>
        <v>-1.2381018422208401E-4</v>
      </c>
    </row>
    <row r="290" spans="1:16" x14ac:dyDescent="0.25">
      <c r="A290" s="1">
        <v>14.4</v>
      </c>
      <c r="B290" s="2">
        <v>0.45200000000000001</v>
      </c>
      <c r="C290">
        <v>3.0000000000000001E-3</v>
      </c>
      <c r="H290">
        <f t="shared" si="28"/>
        <v>14.4</v>
      </c>
      <c r="I290">
        <f t="shared" si="29"/>
        <v>0.45200000000000001</v>
      </c>
      <c r="J290">
        <f t="shared" si="30"/>
        <v>2.5047222800083217E-3</v>
      </c>
      <c r="K290">
        <f t="shared" si="31"/>
        <v>9.0640487300788521</v>
      </c>
      <c r="L290">
        <f t="shared" si="32"/>
        <v>1.6698148533388808E-3</v>
      </c>
      <c r="O290">
        <f t="shared" si="33"/>
        <v>9.2244743713191895</v>
      </c>
      <c r="P290">
        <f t="shared" si="34"/>
        <v>-1.2495666042576818E-4</v>
      </c>
    </row>
    <row r="291" spans="1:16" x14ac:dyDescent="0.25">
      <c r="A291" s="1">
        <v>14.45</v>
      </c>
      <c r="B291" s="2">
        <v>0.48599999999999999</v>
      </c>
      <c r="C291">
        <v>4.0000000000000001E-3</v>
      </c>
      <c r="H291">
        <f t="shared" si="28"/>
        <v>14.45</v>
      </c>
      <c r="I291">
        <f t="shared" si="29"/>
        <v>0.48599999999999999</v>
      </c>
      <c r="J291">
        <f t="shared" si="30"/>
        <v>3.5030025657027952E-3</v>
      </c>
      <c r="K291">
        <f t="shared" si="31"/>
        <v>9.745857705350268</v>
      </c>
      <c r="L291">
        <f t="shared" si="32"/>
        <v>2.3353350438018628E-3</v>
      </c>
      <c r="O291">
        <f t="shared" si="33"/>
        <v>9.9062833465906053</v>
      </c>
      <c r="P291">
        <f t="shared" si="34"/>
        <v>5.4056353003721375E-4</v>
      </c>
    </row>
    <row r="292" spans="1:16" x14ac:dyDescent="0.25">
      <c r="A292" s="1">
        <v>14.5</v>
      </c>
      <c r="B292" s="2">
        <v>0.50700000000000001</v>
      </c>
      <c r="C292">
        <v>4.0000000000000001E-3</v>
      </c>
      <c r="H292">
        <f t="shared" si="28"/>
        <v>14.5</v>
      </c>
      <c r="I292">
        <f t="shared" si="29"/>
        <v>0.50700000000000001</v>
      </c>
      <c r="J292">
        <f t="shared" si="30"/>
        <v>3.5012828513972683E-3</v>
      </c>
      <c r="K292">
        <f t="shared" si="31"/>
        <v>10.166975013606145</v>
      </c>
      <c r="L292">
        <f t="shared" si="32"/>
        <v>2.3341885675981782E-3</v>
      </c>
      <c r="O292">
        <f t="shared" si="33"/>
        <v>10.327400654846482</v>
      </c>
      <c r="P292">
        <f t="shared" si="34"/>
        <v>5.3941705383352915E-4</v>
      </c>
    </row>
    <row r="293" spans="1:16" x14ac:dyDescent="0.25">
      <c r="A293" s="1">
        <v>14.55</v>
      </c>
      <c r="B293" s="2">
        <v>0.54400000000000004</v>
      </c>
      <c r="C293">
        <v>4.0000000000000001E-3</v>
      </c>
      <c r="H293">
        <f t="shared" si="28"/>
        <v>14.55</v>
      </c>
      <c r="I293">
        <f t="shared" si="29"/>
        <v>0.54400000000000004</v>
      </c>
      <c r="J293">
        <f t="shared" si="30"/>
        <v>3.4995631370917414E-3</v>
      </c>
      <c r="K293">
        <f t="shared" si="31"/>
        <v>10.908943604342689</v>
      </c>
      <c r="L293">
        <f t="shared" si="32"/>
        <v>2.3330420913944936E-3</v>
      </c>
      <c r="O293">
        <f t="shared" si="33"/>
        <v>11.069369245583026</v>
      </c>
      <c r="P293">
        <f t="shared" si="34"/>
        <v>5.3827057762984454E-4</v>
      </c>
    </row>
    <row r="294" spans="1:16" x14ac:dyDescent="0.25">
      <c r="A294" s="1">
        <v>14.6</v>
      </c>
      <c r="B294" s="2">
        <v>0.55000000000000004</v>
      </c>
      <c r="C294">
        <v>3.0000000000000001E-3</v>
      </c>
      <c r="H294">
        <f t="shared" si="28"/>
        <v>14.6</v>
      </c>
      <c r="I294">
        <f t="shared" si="29"/>
        <v>0.55000000000000004</v>
      </c>
      <c r="J294">
        <f t="shared" si="30"/>
        <v>2.4978434227862149E-3</v>
      </c>
      <c r="K294">
        <f t="shared" si="31"/>
        <v>11.02926283527294</v>
      </c>
      <c r="L294">
        <f t="shared" si="32"/>
        <v>1.6652289485241428E-3</v>
      </c>
      <c r="O294">
        <f t="shared" si="33"/>
        <v>11.189688476513277</v>
      </c>
      <c r="P294">
        <f t="shared" si="34"/>
        <v>-1.2954256524050616E-4</v>
      </c>
    </row>
    <row r="295" spans="1:16" x14ac:dyDescent="0.25">
      <c r="A295" s="1">
        <v>14.65</v>
      </c>
      <c r="B295" s="2">
        <v>0.55000000000000004</v>
      </c>
      <c r="C295">
        <v>4.0000000000000001E-3</v>
      </c>
      <c r="H295">
        <f t="shared" si="28"/>
        <v>14.65</v>
      </c>
      <c r="I295">
        <f t="shared" si="29"/>
        <v>0.55000000000000004</v>
      </c>
      <c r="J295">
        <f t="shared" si="30"/>
        <v>3.4961237084806885E-3</v>
      </c>
      <c r="K295">
        <f t="shared" si="31"/>
        <v>11.02926283527294</v>
      </c>
      <c r="L295">
        <f t="shared" si="32"/>
        <v>2.3307491389871252E-3</v>
      </c>
      <c r="O295">
        <f t="shared" si="33"/>
        <v>11.189688476513277</v>
      </c>
      <c r="P295">
        <f t="shared" si="34"/>
        <v>5.359776252224762E-4</v>
      </c>
    </row>
    <row r="296" spans="1:16" x14ac:dyDescent="0.25">
      <c r="A296" s="1">
        <v>14.7</v>
      </c>
      <c r="B296" s="2">
        <v>0.54900000000000004</v>
      </c>
      <c r="C296">
        <v>3.0000000000000001E-3</v>
      </c>
      <c r="H296">
        <f t="shared" si="28"/>
        <v>14.7</v>
      </c>
      <c r="I296">
        <f t="shared" si="29"/>
        <v>0.54900000000000004</v>
      </c>
      <c r="J296">
        <f t="shared" si="30"/>
        <v>2.4944039941751615E-3</v>
      </c>
      <c r="K296">
        <f t="shared" si="31"/>
        <v>11.009209630117898</v>
      </c>
      <c r="L296">
        <f t="shared" si="32"/>
        <v>1.6629359961167741E-3</v>
      </c>
      <c r="O296">
        <f t="shared" si="33"/>
        <v>11.169635271358235</v>
      </c>
      <c r="P296">
        <f t="shared" si="34"/>
        <v>-1.3183551764787494E-4</v>
      </c>
    </row>
    <row r="297" spans="1:16" x14ac:dyDescent="0.25">
      <c r="A297" s="1">
        <v>14.75</v>
      </c>
      <c r="B297" s="2">
        <v>0.55000000000000004</v>
      </c>
      <c r="C297">
        <v>4.0000000000000001E-3</v>
      </c>
      <c r="H297">
        <f t="shared" si="28"/>
        <v>14.75</v>
      </c>
      <c r="I297">
        <f t="shared" si="29"/>
        <v>0.55000000000000004</v>
      </c>
      <c r="J297">
        <f t="shared" si="30"/>
        <v>3.4926842798696351E-3</v>
      </c>
      <c r="K297">
        <f t="shared" si="31"/>
        <v>11.02926283527294</v>
      </c>
      <c r="L297">
        <f t="shared" si="32"/>
        <v>2.328456186579756E-3</v>
      </c>
      <c r="O297">
        <f t="shared" si="33"/>
        <v>11.189688476513277</v>
      </c>
      <c r="P297">
        <f t="shared" si="34"/>
        <v>5.3368467281510699E-4</v>
      </c>
    </row>
    <row r="298" spans="1:16" x14ac:dyDescent="0.25">
      <c r="A298" s="1">
        <v>14.8</v>
      </c>
      <c r="B298" s="2">
        <v>0.55000000000000004</v>
      </c>
      <c r="C298">
        <v>3.0000000000000001E-3</v>
      </c>
      <c r="H298">
        <f t="shared" si="28"/>
        <v>14.8</v>
      </c>
      <c r="I298">
        <f t="shared" si="29"/>
        <v>0.55000000000000004</v>
      </c>
      <c r="J298">
        <f t="shared" si="30"/>
        <v>2.4909645655641082E-3</v>
      </c>
      <c r="K298">
        <f t="shared" si="31"/>
        <v>11.02926283527294</v>
      </c>
      <c r="L298">
        <f t="shared" si="32"/>
        <v>1.6606430437094051E-3</v>
      </c>
      <c r="O298">
        <f t="shared" si="33"/>
        <v>11.189688476513277</v>
      </c>
      <c r="P298">
        <f t="shared" si="34"/>
        <v>-1.3412847005524393E-4</v>
      </c>
    </row>
    <row r="299" spans="1:16" x14ac:dyDescent="0.25">
      <c r="A299" s="1">
        <v>14.85</v>
      </c>
      <c r="B299" s="2">
        <v>0.55000000000000004</v>
      </c>
      <c r="C299">
        <v>3.0000000000000001E-3</v>
      </c>
      <c r="H299">
        <f t="shared" si="28"/>
        <v>14.85</v>
      </c>
      <c r="I299">
        <f t="shared" si="29"/>
        <v>0.55000000000000004</v>
      </c>
      <c r="J299">
        <f t="shared" si="30"/>
        <v>2.4892448512585817E-3</v>
      </c>
      <c r="K299">
        <f t="shared" si="31"/>
        <v>11.02926283527294</v>
      </c>
      <c r="L299">
        <f t="shared" si="32"/>
        <v>1.6594965675057207E-3</v>
      </c>
      <c r="O299">
        <f t="shared" si="33"/>
        <v>11.189688476513277</v>
      </c>
      <c r="P299">
        <f t="shared" si="34"/>
        <v>-1.3527494625892832E-4</v>
      </c>
    </row>
    <row r="300" spans="1:16" x14ac:dyDescent="0.25">
      <c r="A300" s="1">
        <v>14.9</v>
      </c>
      <c r="B300" s="2">
        <v>0.55300000000000005</v>
      </c>
      <c r="C300">
        <v>3.0000000000000001E-3</v>
      </c>
      <c r="H300">
        <f t="shared" si="28"/>
        <v>14.9</v>
      </c>
      <c r="I300">
        <f t="shared" si="29"/>
        <v>0.55300000000000005</v>
      </c>
      <c r="J300">
        <f t="shared" si="30"/>
        <v>2.4875251369530548E-3</v>
      </c>
      <c r="K300">
        <f t="shared" si="31"/>
        <v>11.089422450738065</v>
      </c>
      <c r="L300">
        <f t="shared" si="32"/>
        <v>1.6583500913020361E-3</v>
      </c>
      <c r="O300">
        <f t="shared" si="33"/>
        <v>11.249848091978402</v>
      </c>
      <c r="P300">
        <f t="shared" si="34"/>
        <v>-1.3642142246261292E-4</v>
      </c>
    </row>
    <row r="301" spans="1:16" x14ac:dyDescent="0.25">
      <c r="A301" s="1">
        <v>14.95</v>
      </c>
      <c r="B301" s="2">
        <v>0.57399999999999995</v>
      </c>
      <c r="C301">
        <v>3.0000000000000001E-3</v>
      </c>
      <c r="H301">
        <f t="shared" si="28"/>
        <v>14.95</v>
      </c>
      <c r="I301">
        <f t="shared" si="29"/>
        <v>0.57399999999999995</v>
      </c>
      <c r="J301">
        <f t="shared" si="30"/>
        <v>2.4858054226475283E-3</v>
      </c>
      <c r="K301">
        <f t="shared" si="31"/>
        <v>11.510539758993938</v>
      </c>
      <c r="L301">
        <f t="shared" si="32"/>
        <v>1.6572036150983519E-3</v>
      </c>
      <c r="O301">
        <f t="shared" si="33"/>
        <v>11.670965400234275</v>
      </c>
      <c r="P301">
        <f t="shared" si="34"/>
        <v>-1.3756789866629709E-4</v>
      </c>
    </row>
    <row r="302" spans="1:16" x14ac:dyDescent="0.25">
      <c r="A302" s="1">
        <v>15</v>
      </c>
      <c r="B302" s="2">
        <v>0.63400000000000001</v>
      </c>
      <c r="C302">
        <v>3.0000000000000001E-3</v>
      </c>
      <c r="H302">
        <f t="shared" si="28"/>
        <v>15</v>
      </c>
      <c r="I302">
        <f t="shared" si="29"/>
        <v>0.63400000000000001</v>
      </c>
      <c r="J302">
        <f t="shared" si="30"/>
        <v>2.4840857083420018E-3</v>
      </c>
      <c r="K302">
        <f t="shared" si="31"/>
        <v>12.713732068296443</v>
      </c>
      <c r="L302">
        <f t="shared" si="32"/>
        <v>1.6560571388946675E-3</v>
      </c>
      <c r="O302">
        <f t="shared" si="33"/>
        <v>12.87415770953678</v>
      </c>
      <c r="P302">
        <f t="shared" si="34"/>
        <v>-1.3871437486998148E-4</v>
      </c>
    </row>
    <row r="303" spans="1:16" x14ac:dyDescent="0.25">
      <c r="A303" s="1">
        <v>15.05</v>
      </c>
      <c r="B303" s="2">
        <v>0.66300000000000003</v>
      </c>
      <c r="C303">
        <v>3.0000000000000001E-3</v>
      </c>
      <c r="H303">
        <f t="shared" si="28"/>
        <v>15.05</v>
      </c>
      <c r="I303">
        <f t="shared" si="29"/>
        <v>0.66300000000000003</v>
      </c>
      <c r="J303">
        <f t="shared" si="30"/>
        <v>2.4823659940364749E-3</v>
      </c>
      <c r="K303">
        <f t="shared" si="31"/>
        <v>13.295275017792651</v>
      </c>
      <c r="L303">
        <f t="shared" si="32"/>
        <v>1.6549106626909829E-3</v>
      </c>
      <c r="O303">
        <f t="shared" si="33"/>
        <v>13.455700659032988</v>
      </c>
      <c r="P303">
        <f t="shared" si="34"/>
        <v>-1.3986085107366608E-4</v>
      </c>
    </row>
    <row r="304" spans="1:16" x14ac:dyDescent="0.25">
      <c r="A304" s="1">
        <v>15.1</v>
      </c>
      <c r="B304" s="2">
        <v>0.69799999999999995</v>
      </c>
      <c r="C304">
        <v>3.0000000000000001E-3</v>
      </c>
      <c r="H304">
        <f t="shared" si="28"/>
        <v>15.1</v>
      </c>
      <c r="I304">
        <f t="shared" si="29"/>
        <v>0.69799999999999995</v>
      </c>
      <c r="J304">
        <f t="shared" si="30"/>
        <v>2.4806462797309485E-3</v>
      </c>
      <c r="K304">
        <f t="shared" si="31"/>
        <v>13.997137198219109</v>
      </c>
      <c r="L304">
        <f t="shared" si="32"/>
        <v>1.6537641864872985E-3</v>
      </c>
      <c r="O304">
        <f t="shared" si="33"/>
        <v>14.157562839459446</v>
      </c>
      <c r="P304">
        <f t="shared" si="34"/>
        <v>-1.4100732727735047E-4</v>
      </c>
    </row>
    <row r="305" spans="1:16" x14ac:dyDescent="0.25">
      <c r="A305" s="1">
        <v>15.15</v>
      </c>
      <c r="B305" s="2">
        <v>0.76500000000000001</v>
      </c>
      <c r="C305">
        <v>3.0000000000000001E-3</v>
      </c>
      <c r="H305">
        <f t="shared" si="28"/>
        <v>15.15</v>
      </c>
      <c r="I305">
        <f t="shared" si="29"/>
        <v>0.76500000000000001</v>
      </c>
      <c r="J305">
        <f t="shared" si="30"/>
        <v>2.4789265654254215E-3</v>
      </c>
      <c r="K305">
        <f t="shared" si="31"/>
        <v>15.340701943606906</v>
      </c>
      <c r="L305">
        <f t="shared" si="32"/>
        <v>1.6526177102836139E-3</v>
      </c>
      <c r="O305">
        <f t="shared" si="33"/>
        <v>15.501127584847243</v>
      </c>
      <c r="P305">
        <f t="shared" si="34"/>
        <v>-1.4215380348103508E-4</v>
      </c>
    </row>
    <row r="306" spans="1:16" x14ac:dyDescent="0.25">
      <c r="A306" s="1">
        <v>15.2</v>
      </c>
      <c r="B306" s="2">
        <v>0.81499999999999995</v>
      </c>
      <c r="C306">
        <v>4.0000000000000001E-3</v>
      </c>
      <c r="H306">
        <f t="shared" si="28"/>
        <v>15.2</v>
      </c>
      <c r="I306">
        <f t="shared" si="29"/>
        <v>0.81499999999999995</v>
      </c>
      <c r="J306">
        <f t="shared" si="30"/>
        <v>3.4772068511198951E-3</v>
      </c>
      <c r="K306">
        <f t="shared" si="31"/>
        <v>16.343362201358989</v>
      </c>
      <c r="L306">
        <f t="shared" si="32"/>
        <v>2.3181379007465963E-3</v>
      </c>
      <c r="O306">
        <f t="shared" si="33"/>
        <v>16.503787842599326</v>
      </c>
      <c r="P306">
        <f t="shared" si="34"/>
        <v>5.2336638698194729E-4</v>
      </c>
    </row>
    <row r="307" spans="1:16" x14ac:dyDescent="0.25">
      <c r="A307" s="1">
        <v>15.25</v>
      </c>
      <c r="B307" s="2">
        <v>0.82499999999999996</v>
      </c>
      <c r="C307">
        <v>3.0000000000000001E-3</v>
      </c>
      <c r="H307">
        <f t="shared" si="28"/>
        <v>15.25</v>
      </c>
      <c r="I307">
        <f t="shared" si="29"/>
        <v>0.82499999999999996</v>
      </c>
      <c r="J307">
        <f t="shared" si="30"/>
        <v>2.4754871368143682E-3</v>
      </c>
      <c r="K307">
        <f t="shared" si="31"/>
        <v>16.543894252909407</v>
      </c>
      <c r="L307">
        <f t="shared" si="32"/>
        <v>1.6503247578762452E-3</v>
      </c>
      <c r="O307">
        <f t="shared" si="33"/>
        <v>16.704319894149744</v>
      </c>
      <c r="P307">
        <f t="shared" si="34"/>
        <v>-1.4444675588840385E-4</v>
      </c>
    </row>
    <row r="308" spans="1:16" x14ac:dyDescent="0.25">
      <c r="A308" s="1">
        <v>15.3</v>
      </c>
      <c r="B308" s="2">
        <v>0.85</v>
      </c>
      <c r="C308">
        <v>3.0000000000000001E-3</v>
      </c>
      <c r="H308">
        <f t="shared" si="28"/>
        <v>15.3</v>
      </c>
      <c r="I308">
        <f t="shared" si="29"/>
        <v>0.85</v>
      </c>
      <c r="J308">
        <f t="shared" si="30"/>
        <v>2.4737674225088417E-3</v>
      </c>
      <c r="K308">
        <f t="shared" si="31"/>
        <v>17.045224381785449</v>
      </c>
      <c r="L308">
        <f t="shared" si="32"/>
        <v>1.6491782816725608E-3</v>
      </c>
      <c r="O308">
        <f t="shared" si="33"/>
        <v>17.205650023025786</v>
      </c>
      <c r="P308">
        <f t="shared" si="34"/>
        <v>-1.4559323209208824E-4</v>
      </c>
    </row>
    <row r="309" spans="1:16" x14ac:dyDescent="0.25">
      <c r="A309" s="1">
        <v>15.35</v>
      </c>
      <c r="B309" s="2">
        <v>0.85199999999999998</v>
      </c>
      <c r="C309">
        <v>3.0000000000000001E-3</v>
      </c>
      <c r="H309">
        <f t="shared" si="28"/>
        <v>15.35</v>
      </c>
      <c r="I309">
        <f t="shared" si="29"/>
        <v>0.85199999999999998</v>
      </c>
      <c r="J309">
        <f t="shared" si="30"/>
        <v>2.4720477082033152E-3</v>
      </c>
      <c r="K309">
        <f t="shared" si="31"/>
        <v>17.085330792095533</v>
      </c>
      <c r="L309">
        <f t="shared" si="32"/>
        <v>1.6480318054688764E-3</v>
      </c>
      <c r="O309">
        <f t="shared" si="33"/>
        <v>17.24575643333587</v>
      </c>
      <c r="P309">
        <f t="shared" si="34"/>
        <v>-1.4673970829577263E-4</v>
      </c>
    </row>
    <row r="310" spans="1:16" x14ac:dyDescent="0.25">
      <c r="A310" s="1">
        <v>15.4</v>
      </c>
      <c r="B310" s="2">
        <v>0.85199999999999998</v>
      </c>
      <c r="C310">
        <v>3.0000000000000001E-3</v>
      </c>
      <c r="H310">
        <f t="shared" si="28"/>
        <v>15.4</v>
      </c>
      <c r="I310">
        <f t="shared" si="29"/>
        <v>0.85199999999999998</v>
      </c>
      <c r="J310">
        <f t="shared" si="30"/>
        <v>2.4703279938977883E-3</v>
      </c>
      <c r="K310">
        <f t="shared" si="31"/>
        <v>17.085330792095533</v>
      </c>
      <c r="L310">
        <f t="shared" si="32"/>
        <v>1.6468853292651918E-3</v>
      </c>
      <c r="O310">
        <f t="shared" si="33"/>
        <v>17.24575643333587</v>
      </c>
      <c r="P310">
        <f t="shared" si="34"/>
        <v>-1.4788618449945723E-4</v>
      </c>
    </row>
    <row r="311" spans="1:16" x14ac:dyDescent="0.25">
      <c r="A311" s="1">
        <v>15.45</v>
      </c>
      <c r="B311" s="2">
        <v>0.85199999999999998</v>
      </c>
      <c r="C311">
        <v>3.0000000000000001E-3</v>
      </c>
      <c r="H311">
        <f t="shared" si="28"/>
        <v>15.45</v>
      </c>
      <c r="I311">
        <f t="shared" si="29"/>
        <v>0.85199999999999998</v>
      </c>
      <c r="J311">
        <f t="shared" si="30"/>
        <v>2.4686082795922618E-3</v>
      </c>
      <c r="K311">
        <f t="shared" si="31"/>
        <v>17.085330792095533</v>
      </c>
      <c r="L311">
        <f t="shared" si="32"/>
        <v>1.6457388530615076E-3</v>
      </c>
      <c r="O311">
        <f t="shared" si="33"/>
        <v>17.24575643333587</v>
      </c>
      <c r="P311">
        <f t="shared" si="34"/>
        <v>-1.490326607031414E-4</v>
      </c>
    </row>
    <row r="312" spans="1:16" x14ac:dyDescent="0.25">
      <c r="A312" s="1">
        <v>15.5</v>
      </c>
      <c r="B312" s="2">
        <v>0.85199999999999998</v>
      </c>
      <c r="C312">
        <v>3.0000000000000001E-3</v>
      </c>
      <c r="H312">
        <f t="shared" si="28"/>
        <v>15.5</v>
      </c>
      <c r="I312">
        <f t="shared" si="29"/>
        <v>0.85199999999999998</v>
      </c>
      <c r="J312">
        <f t="shared" si="30"/>
        <v>2.4668885652867349E-3</v>
      </c>
      <c r="K312">
        <f t="shared" si="31"/>
        <v>17.085330792095533</v>
      </c>
      <c r="L312">
        <f t="shared" si="32"/>
        <v>1.644592376857823E-3</v>
      </c>
      <c r="O312">
        <f t="shared" si="33"/>
        <v>17.24575643333587</v>
      </c>
      <c r="P312">
        <f t="shared" si="34"/>
        <v>-1.50179136906826E-4</v>
      </c>
    </row>
    <row r="313" spans="1:16" x14ac:dyDescent="0.25">
      <c r="A313" s="1">
        <v>15.55</v>
      </c>
      <c r="B313" s="2">
        <v>0.85399999999999998</v>
      </c>
      <c r="C313">
        <v>4.0000000000000001E-3</v>
      </c>
      <c r="H313">
        <f t="shared" si="28"/>
        <v>15.55</v>
      </c>
      <c r="I313">
        <f t="shared" si="29"/>
        <v>0.85399999999999998</v>
      </c>
      <c r="J313">
        <f t="shared" si="30"/>
        <v>3.4651688509812085E-3</v>
      </c>
      <c r="K313">
        <f t="shared" si="31"/>
        <v>17.125437202405617</v>
      </c>
      <c r="L313">
        <f t="shared" si="32"/>
        <v>2.3101125673208049E-3</v>
      </c>
      <c r="O313">
        <f t="shared" si="33"/>
        <v>17.285862843645955</v>
      </c>
      <c r="P313">
        <f t="shared" si="34"/>
        <v>5.1534105355615593E-4</v>
      </c>
    </row>
    <row r="314" spans="1:16" x14ac:dyDescent="0.25">
      <c r="A314" s="1">
        <v>15.6</v>
      </c>
      <c r="B314" s="2">
        <v>0.872</v>
      </c>
      <c r="C314">
        <v>4.0000000000000001E-3</v>
      </c>
      <c r="H314">
        <f t="shared" si="28"/>
        <v>15.6</v>
      </c>
      <c r="I314">
        <f t="shared" si="29"/>
        <v>0.872</v>
      </c>
      <c r="J314">
        <f t="shared" si="30"/>
        <v>3.4634491366756816E-3</v>
      </c>
      <c r="K314">
        <f t="shared" si="31"/>
        <v>17.486394895196366</v>
      </c>
      <c r="L314">
        <f t="shared" si="32"/>
        <v>2.3089660911171203E-3</v>
      </c>
      <c r="O314">
        <f t="shared" si="33"/>
        <v>17.646820536436703</v>
      </c>
      <c r="P314">
        <f t="shared" si="34"/>
        <v>5.1419457735247132E-4</v>
      </c>
    </row>
    <row r="315" spans="1:16" x14ac:dyDescent="0.25">
      <c r="A315" s="1">
        <v>15.65</v>
      </c>
      <c r="B315" s="2">
        <v>0.91600000000000004</v>
      </c>
      <c r="C315">
        <v>3.0000000000000001E-3</v>
      </c>
      <c r="H315">
        <f t="shared" si="28"/>
        <v>15.65</v>
      </c>
      <c r="I315">
        <f t="shared" si="29"/>
        <v>0.91600000000000004</v>
      </c>
      <c r="J315">
        <f t="shared" si="30"/>
        <v>2.4617294223701551E-3</v>
      </c>
      <c r="K315">
        <f t="shared" si="31"/>
        <v>18.368735922018203</v>
      </c>
      <c r="L315">
        <f t="shared" si="32"/>
        <v>1.6411529482467696E-3</v>
      </c>
      <c r="O315">
        <f t="shared" si="33"/>
        <v>18.52916156325854</v>
      </c>
      <c r="P315">
        <f t="shared" si="34"/>
        <v>-1.5361856551787938E-4</v>
      </c>
    </row>
    <row r="316" spans="1:16" x14ac:dyDescent="0.25">
      <c r="A316" s="1">
        <v>15.7</v>
      </c>
      <c r="B316" s="2">
        <v>0.93600000000000005</v>
      </c>
      <c r="C316">
        <v>3.0000000000000001E-3</v>
      </c>
      <c r="H316">
        <f t="shared" si="28"/>
        <v>15.7</v>
      </c>
      <c r="I316">
        <f t="shared" si="29"/>
        <v>0.93600000000000005</v>
      </c>
      <c r="J316">
        <f t="shared" si="30"/>
        <v>2.4600097080646286E-3</v>
      </c>
      <c r="K316">
        <f t="shared" si="31"/>
        <v>18.769800025119039</v>
      </c>
      <c r="L316">
        <f t="shared" si="32"/>
        <v>1.6400064720430855E-3</v>
      </c>
      <c r="O316">
        <f t="shared" si="33"/>
        <v>18.930225666359377</v>
      </c>
      <c r="P316">
        <f t="shared" si="34"/>
        <v>-1.5476504172156355E-4</v>
      </c>
    </row>
    <row r="317" spans="1:16" x14ac:dyDescent="0.25">
      <c r="A317" s="1">
        <v>15.75</v>
      </c>
      <c r="B317" s="2">
        <v>0.96699999999999997</v>
      </c>
      <c r="C317">
        <v>3.0000000000000001E-3</v>
      </c>
      <c r="H317">
        <f t="shared" si="28"/>
        <v>15.75</v>
      </c>
      <c r="I317">
        <f t="shared" si="29"/>
        <v>0.96699999999999997</v>
      </c>
      <c r="J317">
        <f t="shared" si="30"/>
        <v>2.4582899937591017E-3</v>
      </c>
      <c r="K317">
        <f t="shared" si="31"/>
        <v>19.39144938492533</v>
      </c>
      <c r="L317">
        <f t="shared" si="32"/>
        <v>1.6388599958394008E-3</v>
      </c>
      <c r="O317">
        <f t="shared" si="33"/>
        <v>19.551875026165668</v>
      </c>
      <c r="P317">
        <f t="shared" si="34"/>
        <v>-1.5591151792524816E-4</v>
      </c>
    </row>
    <row r="318" spans="1:16" x14ac:dyDescent="0.25">
      <c r="A318" s="1">
        <v>15.8</v>
      </c>
      <c r="B318" s="2">
        <v>0.99299999999999999</v>
      </c>
      <c r="C318">
        <v>3.0000000000000001E-3</v>
      </c>
      <c r="H318">
        <f t="shared" si="28"/>
        <v>15.8</v>
      </c>
      <c r="I318">
        <f t="shared" si="29"/>
        <v>0.99299999999999999</v>
      </c>
      <c r="J318">
        <f t="shared" si="30"/>
        <v>2.4565702794535752E-3</v>
      </c>
      <c r="K318">
        <f t="shared" si="31"/>
        <v>19.912832718956412</v>
      </c>
      <c r="L318">
        <f t="shared" si="32"/>
        <v>1.6377135196357165E-3</v>
      </c>
      <c r="O318">
        <f t="shared" si="33"/>
        <v>20.07325836019675</v>
      </c>
      <c r="P318">
        <f t="shared" si="34"/>
        <v>-1.5705799412893255E-4</v>
      </c>
    </row>
    <row r="319" spans="1:16" x14ac:dyDescent="0.25">
      <c r="A319" s="1">
        <v>15.85</v>
      </c>
      <c r="B319" s="2">
        <v>1.0129999999999999</v>
      </c>
      <c r="C319">
        <v>4.0000000000000001E-3</v>
      </c>
      <c r="H319">
        <f t="shared" si="28"/>
        <v>15.85</v>
      </c>
      <c r="I319">
        <f t="shared" si="29"/>
        <v>1.0129999999999999</v>
      </c>
      <c r="J319">
        <f t="shared" si="30"/>
        <v>3.4548505651480483E-3</v>
      </c>
      <c r="K319">
        <f t="shared" si="31"/>
        <v>20.313896822057245</v>
      </c>
      <c r="L319">
        <f t="shared" si="32"/>
        <v>2.3032337100986982E-3</v>
      </c>
      <c r="O319">
        <f t="shared" si="33"/>
        <v>20.474322463297582</v>
      </c>
      <c r="P319">
        <f t="shared" si="34"/>
        <v>5.0846219633404917E-4</v>
      </c>
    </row>
    <row r="320" spans="1:16" x14ac:dyDescent="0.25">
      <c r="A320" s="1">
        <v>15.9</v>
      </c>
      <c r="B320" s="2">
        <v>1.0660000000000001</v>
      </c>
      <c r="C320">
        <v>3.0000000000000001E-3</v>
      </c>
      <c r="H320">
        <f t="shared" si="28"/>
        <v>15.9</v>
      </c>
      <c r="I320">
        <f t="shared" si="29"/>
        <v>1.0660000000000001</v>
      </c>
      <c r="J320">
        <f t="shared" si="30"/>
        <v>2.4531308508425219E-3</v>
      </c>
      <c r="K320">
        <f t="shared" si="31"/>
        <v>21.37671669527446</v>
      </c>
      <c r="L320">
        <f t="shared" si="32"/>
        <v>1.6354205672283475E-3</v>
      </c>
      <c r="O320">
        <f t="shared" si="33"/>
        <v>21.537142336514798</v>
      </c>
      <c r="P320">
        <f t="shared" si="34"/>
        <v>-1.5935094653630154E-4</v>
      </c>
    </row>
    <row r="321" spans="1:16" x14ac:dyDescent="0.25">
      <c r="A321" s="1">
        <v>15.95</v>
      </c>
      <c r="B321" s="2">
        <v>1.1279999999999999</v>
      </c>
      <c r="C321">
        <v>4.0000000000000001E-3</v>
      </c>
      <c r="H321">
        <f t="shared" si="28"/>
        <v>15.95</v>
      </c>
      <c r="I321">
        <f t="shared" si="29"/>
        <v>1.1279999999999999</v>
      </c>
      <c r="J321">
        <f t="shared" si="30"/>
        <v>3.451411136536995E-3</v>
      </c>
      <c r="K321">
        <f t="shared" si="31"/>
        <v>22.620015414887042</v>
      </c>
      <c r="L321">
        <f t="shared" si="32"/>
        <v>2.3009407576913294E-3</v>
      </c>
      <c r="O321">
        <f t="shared" si="33"/>
        <v>22.78044105612738</v>
      </c>
      <c r="P321">
        <f t="shared" si="34"/>
        <v>5.0616924392668039E-4</v>
      </c>
    </row>
    <row r="322" spans="1:16" x14ac:dyDescent="0.25">
      <c r="A322" s="1">
        <v>16</v>
      </c>
      <c r="B322" s="2">
        <v>1.351</v>
      </c>
      <c r="C322">
        <v>4.0000000000000001E-3</v>
      </c>
      <c r="H322">
        <f t="shared" si="28"/>
        <v>16</v>
      </c>
      <c r="I322">
        <f t="shared" si="29"/>
        <v>1.351</v>
      </c>
      <c r="J322">
        <f t="shared" si="30"/>
        <v>3.4496914222314685E-3</v>
      </c>
      <c r="K322">
        <f t="shared" si="31"/>
        <v>27.091880164461344</v>
      </c>
      <c r="L322">
        <f t="shared" si="32"/>
        <v>2.2997942814876452E-3</v>
      </c>
      <c r="O322">
        <f t="shared" si="33"/>
        <v>27.252305805701681</v>
      </c>
      <c r="P322">
        <f t="shared" si="34"/>
        <v>5.0502276772299622E-4</v>
      </c>
    </row>
    <row r="323" spans="1:16" x14ac:dyDescent="0.25">
      <c r="A323" s="1">
        <v>16.05</v>
      </c>
      <c r="B323" s="2">
        <v>1.3859999999999999</v>
      </c>
      <c r="C323">
        <v>4.0000000000000001E-3</v>
      </c>
      <c r="H323">
        <f t="shared" ref="H323:H386" si="35">A323</f>
        <v>16.05</v>
      </c>
      <c r="I323">
        <f t="shared" ref="I323:I386" si="36">B323</f>
        <v>1.3859999999999999</v>
      </c>
      <c r="J323">
        <f t="shared" ref="J323:J386" si="37">C323-E$12*A323</f>
        <v>3.447971707925942E-3</v>
      </c>
      <c r="K323">
        <f t="shared" ref="K323:K386" si="38">F$24*I323</f>
        <v>27.793742344887804</v>
      </c>
      <c r="L323">
        <f t="shared" ref="L323:L386" si="39">F$25*J323</f>
        <v>2.2986478052839606E-3</v>
      </c>
      <c r="O323">
        <f t="shared" ref="O323:O386" si="40">K323-N$12</f>
        <v>27.954167986128141</v>
      </c>
      <c r="P323">
        <f t="shared" ref="P323:P386" si="41">L323-N$15</f>
        <v>5.0387629151931162E-4</v>
      </c>
    </row>
    <row r="324" spans="1:16" x14ac:dyDescent="0.25">
      <c r="A324" s="1">
        <v>16.100000000000001</v>
      </c>
      <c r="B324" s="2">
        <v>1.385</v>
      </c>
      <c r="C324">
        <v>4.0000000000000001E-3</v>
      </c>
      <c r="H324">
        <f t="shared" si="35"/>
        <v>16.100000000000001</v>
      </c>
      <c r="I324">
        <f t="shared" si="36"/>
        <v>1.385</v>
      </c>
      <c r="J324">
        <f t="shared" si="37"/>
        <v>3.4462519936204151E-3</v>
      </c>
      <c r="K324">
        <f t="shared" si="38"/>
        <v>27.773689139732763</v>
      </c>
      <c r="L324">
        <f t="shared" si="39"/>
        <v>2.297501329080276E-3</v>
      </c>
      <c r="O324">
        <f t="shared" si="40"/>
        <v>27.934114780973101</v>
      </c>
      <c r="P324">
        <f t="shared" si="41"/>
        <v>5.0272981531562701E-4</v>
      </c>
    </row>
    <row r="325" spans="1:16" x14ac:dyDescent="0.25">
      <c r="A325" s="1">
        <v>16.149999999999999</v>
      </c>
      <c r="B325" s="2">
        <v>1.3859999999999999</v>
      </c>
      <c r="C325">
        <v>4.0000000000000001E-3</v>
      </c>
      <c r="H325">
        <f t="shared" si="35"/>
        <v>16.149999999999999</v>
      </c>
      <c r="I325">
        <f t="shared" si="36"/>
        <v>1.3859999999999999</v>
      </c>
      <c r="J325">
        <f t="shared" si="37"/>
        <v>3.4445322793148886E-3</v>
      </c>
      <c r="K325">
        <f t="shared" si="38"/>
        <v>27.793742344887804</v>
      </c>
      <c r="L325">
        <f t="shared" si="39"/>
        <v>2.2963548528765918E-3</v>
      </c>
      <c r="O325">
        <f t="shared" si="40"/>
        <v>27.954167986128141</v>
      </c>
      <c r="P325">
        <f t="shared" si="41"/>
        <v>5.0158333911194284E-4</v>
      </c>
    </row>
    <row r="326" spans="1:16" x14ac:dyDescent="0.25">
      <c r="A326" s="1">
        <v>16.2</v>
      </c>
      <c r="B326" s="2">
        <v>1.3859999999999999</v>
      </c>
      <c r="C326">
        <v>4.0000000000000001E-3</v>
      </c>
      <c r="H326">
        <f t="shared" si="35"/>
        <v>16.2</v>
      </c>
      <c r="I326">
        <f t="shared" si="36"/>
        <v>1.3859999999999999</v>
      </c>
      <c r="J326">
        <f t="shared" si="37"/>
        <v>3.4428125650093617E-3</v>
      </c>
      <c r="K326">
        <f t="shared" si="38"/>
        <v>27.793742344887804</v>
      </c>
      <c r="L326">
        <f t="shared" si="39"/>
        <v>2.2952083766729072E-3</v>
      </c>
      <c r="O326">
        <f t="shared" si="40"/>
        <v>27.954167986128141</v>
      </c>
      <c r="P326">
        <f t="shared" si="41"/>
        <v>5.0043686290825824E-4</v>
      </c>
    </row>
    <row r="327" spans="1:16" x14ac:dyDescent="0.25">
      <c r="A327" s="1">
        <v>16.25</v>
      </c>
      <c r="B327" s="2">
        <v>1.385</v>
      </c>
      <c r="C327">
        <v>4.0000000000000001E-3</v>
      </c>
      <c r="H327">
        <f t="shared" si="35"/>
        <v>16.25</v>
      </c>
      <c r="I327">
        <f t="shared" si="36"/>
        <v>1.385</v>
      </c>
      <c r="J327">
        <f t="shared" si="37"/>
        <v>3.4410928507038353E-3</v>
      </c>
      <c r="K327">
        <f t="shared" si="38"/>
        <v>27.773689139732763</v>
      </c>
      <c r="L327">
        <f t="shared" si="39"/>
        <v>2.2940619004692231E-3</v>
      </c>
      <c r="O327">
        <f t="shared" si="40"/>
        <v>27.934114780973101</v>
      </c>
      <c r="P327">
        <f t="shared" si="41"/>
        <v>4.9929038670457407E-4</v>
      </c>
    </row>
    <row r="328" spans="1:16" x14ac:dyDescent="0.25">
      <c r="A328" s="1">
        <v>16.3</v>
      </c>
      <c r="B328" s="2">
        <v>1.385</v>
      </c>
      <c r="C328">
        <v>4.0000000000000001E-3</v>
      </c>
      <c r="H328">
        <f t="shared" si="35"/>
        <v>16.3</v>
      </c>
      <c r="I328">
        <f t="shared" si="36"/>
        <v>1.385</v>
      </c>
      <c r="J328">
        <f t="shared" si="37"/>
        <v>3.4393731363983084E-3</v>
      </c>
      <c r="K328">
        <f t="shared" si="38"/>
        <v>27.773689139732763</v>
      </c>
      <c r="L328">
        <f t="shared" si="39"/>
        <v>2.2929154242655385E-3</v>
      </c>
      <c r="O328">
        <f t="shared" si="40"/>
        <v>27.934114780973101</v>
      </c>
      <c r="P328">
        <f t="shared" si="41"/>
        <v>4.9814391050088946E-4</v>
      </c>
    </row>
    <row r="329" spans="1:16" x14ac:dyDescent="0.25">
      <c r="A329" s="1">
        <v>16.350000000000001</v>
      </c>
      <c r="B329" s="2">
        <v>1.385</v>
      </c>
      <c r="C329">
        <v>4.0000000000000001E-3</v>
      </c>
      <c r="H329">
        <f t="shared" si="35"/>
        <v>16.350000000000001</v>
      </c>
      <c r="I329">
        <f t="shared" si="36"/>
        <v>1.385</v>
      </c>
      <c r="J329">
        <f t="shared" si="37"/>
        <v>3.4376534220927819E-3</v>
      </c>
      <c r="K329">
        <f t="shared" si="38"/>
        <v>27.773689139732763</v>
      </c>
      <c r="L329">
        <f t="shared" si="39"/>
        <v>2.2917689480618539E-3</v>
      </c>
      <c r="O329">
        <f t="shared" si="40"/>
        <v>27.934114780973101</v>
      </c>
      <c r="P329">
        <f t="shared" si="41"/>
        <v>4.9699743429720486E-4</v>
      </c>
    </row>
    <row r="330" spans="1:16" x14ac:dyDescent="0.25">
      <c r="A330" s="1">
        <v>16.399999999999999</v>
      </c>
      <c r="B330" s="2">
        <v>1.385</v>
      </c>
      <c r="C330">
        <v>4.0000000000000001E-3</v>
      </c>
      <c r="H330">
        <f t="shared" si="35"/>
        <v>16.399999999999999</v>
      </c>
      <c r="I330">
        <f t="shared" si="36"/>
        <v>1.385</v>
      </c>
      <c r="J330">
        <f t="shared" si="37"/>
        <v>3.4359337077872554E-3</v>
      </c>
      <c r="K330">
        <f t="shared" si="38"/>
        <v>27.773689139732763</v>
      </c>
      <c r="L330">
        <f t="shared" si="39"/>
        <v>2.2906224718581697E-3</v>
      </c>
      <c r="O330">
        <f t="shared" si="40"/>
        <v>27.934114780973101</v>
      </c>
      <c r="P330">
        <f t="shared" si="41"/>
        <v>4.9585095809352069E-4</v>
      </c>
    </row>
    <row r="331" spans="1:16" x14ac:dyDescent="0.25">
      <c r="A331" s="1">
        <v>16.45</v>
      </c>
      <c r="B331" s="2">
        <v>1.405</v>
      </c>
      <c r="C331">
        <v>4.0000000000000001E-3</v>
      </c>
      <c r="H331">
        <f t="shared" si="35"/>
        <v>16.45</v>
      </c>
      <c r="I331">
        <f t="shared" si="36"/>
        <v>1.405</v>
      </c>
      <c r="J331">
        <f t="shared" si="37"/>
        <v>3.4342139934817285E-3</v>
      </c>
      <c r="K331">
        <f t="shared" si="38"/>
        <v>28.174753242833596</v>
      </c>
      <c r="L331">
        <f t="shared" si="39"/>
        <v>2.2894759956544851E-3</v>
      </c>
      <c r="O331">
        <f t="shared" si="40"/>
        <v>28.335178884073933</v>
      </c>
      <c r="P331">
        <f t="shared" si="41"/>
        <v>4.9470448188983608E-4</v>
      </c>
    </row>
    <row r="332" spans="1:16" x14ac:dyDescent="0.25">
      <c r="A332" s="1">
        <v>16.5</v>
      </c>
      <c r="B332" s="2">
        <v>1.4510000000000001</v>
      </c>
      <c r="C332">
        <v>4.0000000000000001E-3</v>
      </c>
      <c r="H332">
        <f t="shared" si="35"/>
        <v>16.5</v>
      </c>
      <c r="I332">
        <f t="shared" si="36"/>
        <v>1.4510000000000001</v>
      </c>
      <c r="J332">
        <f t="shared" si="37"/>
        <v>3.432494279176202E-3</v>
      </c>
      <c r="K332">
        <f t="shared" si="38"/>
        <v>29.097200679965518</v>
      </c>
      <c r="L332">
        <f t="shared" si="39"/>
        <v>2.2883295194508009E-3</v>
      </c>
      <c r="O332">
        <f t="shared" si="40"/>
        <v>29.257626321205855</v>
      </c>
      <c r="P332">
        <f t="shared" si="41"/>
        <v>4.9355800568615191E-4</v>
      </c>
    </row>
    <row r="333" spans="1:16" x14ac:dyDescent="0.25">
      <c r="A333" s="1">
        <v>16.55</v>
      </c>
      <c r="B333" s="2">
        <v>1.47</v>
      </c>
      <c r="C333">
        <v>4.0000000000000001E-3</v>
      </c>
      <c r="H333">
        <f t="shared" si="35"/>
        <v>16.55</v>
      </c>
      <c r="I333">
        <f t="shared" si="36"/>
        <v>1.47</v>
      </c>
      <c r="J333">
        <f t="shared" si="37"/>
        <v>3.4307745648706751E-3</v>
      </c>
      <c r="K333">
        <f t="shared" si="38"/>
        <v>29.478211577911306</v>
      </c>
      <c r="L333">
        <f t="shared" si="39"/>
        <v>2.2871830432471163E-3</v>
      </c>
      <c r="O333">
        <f t="shared" si="40"/>
        <v>29.638637219151644</v>
      </c>
      <c r="P333">
        <f t="shared" si="41"/>
        <v>4.9241152948246731E-4</v>
      </c>
    </row>
    <row r="334" spans="1:16" x14ac:dyDescent="0.25">
      <c r="A334" s="1">
        <v>16.600000000000001</v>
      </c>
      <c r="B334" s="2">
        <v>1.47</v>
      </c>
      <c r="C334">
        <v>4.0000000000000001E-3</v>
      </c>
      <c r="H334">
        <f t="shared" si="35"/>
        <v>16.600000000000001</v>
      </c>
      <c r="I334">
        <f t="shared" si="36"/>
        <v>1.47</v>
      </c>
      <c r="J334">
        <f t="shared" si="37"/>
        <v>3.4290548505651487E-3</v>
      </c>
      <c r="K334">
        <f t="shared" si="38"/>
        <v>29.478211577911306</v>
      </c>
      <c r="L334">
        <f t="shared" si="39"/>
        <v>2.2860365670434317E-3</v>
      </c>
      <c r="O334">
        <f t="shared" si="40"/>
        <v>29.638637219151644</v>
      </c>
      <c r="P334">
        <f t="shared" si="41"/>
        <v>4.9126505327878271E-4</v>
      </c>
    </row>
    <row r="335" spans="1:16" x14ac:dyDescent="0.25">
      <c r="A335" s="1">
        <v>16.649999999999999</v>
      </c>
      <c r="B335" s="2">
        <v>1.4770000000000001</v>
      </c>
      <c r="C335">
        <v>4.0000000000000001E-3</v>
      </c>
      <c r="H335">
        <f t="shared" si="35"/>
        <v>16.649999999999999</v>
      </c>
      <c r="I335">
        <f t="shared" si="36"/>
        <v>1.4770000000000001</v>
      </c>
      <c r="J335">
        <f t="shared" si="37"/>
        <v>3.4273351362596217E-3</v>
      </c>
      <c r="K335">
        <f t="shared" si="38"/>
        <v>29.6185840139966</v>
      </c>
      <c r="L335">
        <f t="shared" si="39"/>
        <v>2.2848900908397471E-3</v>
      </c>
      <c r="O335">
        <f t="shared" si="40"/>
        <v>29.779009655236937</v>
      </c>
      <c r="P335">
        <f t="shared" si="41"/>
        <v>4.901185770750981E-4</v>
      </c>
    </row>
    <row r="336" spans="1:16" x14ac:dyDescent="0.25">
      <c r="A336" s="1">
        <v>16.7</v>
      </c>
      <c r="B336" s="2">
        <v>1.4950000000000001</v>
      </c>
      <c r="C336">
        <v>4.0000000000000001E-3</v>
      </c>
      <c r="H336">
        <f t="shared" si="35"/>
        <v>16.7</v>
      </c>
      <c r="I336">
        <f t="shared" si="36"/>
        <v>1.4950000000000001</v>
      </c>
      <c r="J336">
        <f t="shared" si="37"/>
        <v>3.4256154219540953E-3</v>
      </c>
      <c r="K336">
        <f t="shared" si="38"/>
        <v>29.979541706787352</v>
      </c>
      <c r="L336">
        <f t="shared" si="39"/>
        <v>2.2837436146360629E-3</v>
      </c>
      <c r="O336">
        <f t="shared" si="40"/>
        <v>30.139967348027689</v>
      </c>
      <c r="P336">
        <f t="shared" si="41"/>
        <v>4.8897210087141393E-4</v>
      </c>
    </row>
    <row r="337" spans="1:16" x14ac:dyDescent="0.25">
      <c r="A337" s="1">
        <v>16.75</v>
      </c>
      <c r="B337" s="2">
        <v>1.5089999999999999</v>
      </c>
      <c r="C337">
        <v>4.0000000000000001E-3</v>
      </c>
      <c r="H337">
        <f t="shared" si="35"/>
        <v>16.75</v>
      </c>
      <c r="I337">
        <f t="shared" si="36"/>
        <v>1.5089999999999999</v>
      </c>
      <c r="J337">
        <f t="shared" si="37"/>
        <v>3.4238957076485688E-3</v>
      </c>
      <c r="K337">
        <f t="shared" si="38"/>
        <v>30.260286578957931</v>
      </c>
      <c r="L337">
        <f t="shared" si="39"/>
        <v>2.2825971384323788E-3</v>
      </c>
      <c r="O337">
        <f t="shared" si="40"/>
        <v>30.420712220198268</v>
      </c>
      <c r="P337">
        <f t="shared" si="41"/>
        <v>4.8782562466772976E-4</v>
      </c>
    </row>
    <row r="338" spans="1:16" x14ac:dyDescent="0.25">
      <c r="A338" s="1">
        <v>16.8</v>
      </c>
      <c r="B338" s="2">
        <v>1.5229999999999999</v>
      </c>
      <c r="C338">
        <v>4.0000000000000001E-3</v>
      </c>
      <c r="H338">
        <f t="shared" si="35"/>
        <v>16.8</v>
      </c>
      <c r="I338">
        <f t="shared" si="36"/>
        <v>1.5229999999999999</v>
      </c>
      <c r="J338">
        <f t="shared" si="37"/>
        <v>3.4221759933430419E-3</v>
      </c>
      <c r="K338">
        <f t="shared" si="38"/>
        <v>30.541031451128518</v>
      </c>
      <c r="L338">
        <f t="shared" si="39"/>
        <v>2.2814506622286942E-3</v>
      </c>
      <c r="O338">
        <f t="shared" si="40"/>
        <v>30.701457092368855</v>
      </c>
      <c r="P338">
        <f t="shared" si="41"/>
        <v>4.8667914846404516E-4</v>
      </c>
    </row>
    <row r="339" spans="1:16" x14ac:dyDescent="0.25">
      <c r="A339" s="1">
        <v>16.850000000000001</v>
      </c>
      <c r="B339" s="2">
        <v>1.5289999999999999</v>
      </c>
      <c r="C339">
        <v>4.0000000000000001E-3</v>
      </c>
      <c r="H339">
        <f t="shared" si="35"/>
        <v>16.850000000000001</v>
      </c>
      <c r="I339">
        <f t="shared" si="36"/>
        <v>1.5289999999999999</v>
      </c>
      <c r="J339">
        <f t="shared" si="37"/>
        <v>3.420456279037515E-3</v>
      </c>
      <c r="K339">
        <f t="shared" si="38"/>
        <v>30.661350682058767</v>
      </c>
      <c r="L339">
        <f t="shared" si="39"/>
        <v>2.2803041860250096E-3</v>
      </c>
      <c r="O339">
        <f t="shared" si="40"/>
        <v>30.821776323299105</v>
      </c>
      <c r="P339">
        <f t="shared" si="41"/>
        <v>4.8553267226036055E-4</v>
      </c>
    </row>
    <row r="340" spans="1:16" x14ac:dyDescent="0.25">
      <c r="A340" s="1">
        <v>16.899999999999999</v>
      </c>
      <c r="B340" s="2">
        <v>1.5369999999999999</v>
      </c>
      <c r="C340">
        <v>3.0000000000000001E-3</v>
      </c>
      <c r="H340">
        <f t="shared" si="35"/>
        <v>16.899999999999999</v>
      </c>
      <c r="I340">
        <f t="shared" si="36"/>
        <v>1.5369999999999999</v>
      </c>
      <c r="J340">
        <f t="shared" si="37"/>
        <v>2.4187365647319885E-3</v>
      </c>
      <c r="K340">
        <f t="shared" si="38"/>
        <v>30.821776323299101</v>
      </c>
      <c r="L340">
        <f t="shared" si="39"/>
        <v>1.6124910431546586E-3</v>
      </c>
      <c r="O340">
        <f t="shared" si="40"/>
        <v>30.982201964539438</v>
      </c>
      <c r="P340">
        <f t="shared" si="41"/>
        <v>-1.8228047060999037E-4</v>
      </c>
    </row>
    <row r="341" spans="1:16" x14ac:dyDescent="0.25">
      <c r="A341" s="1">
        <v>16.95</v>
      </c>
      <c r="B341" s="2">
        <v>1.5609999999999999</v>
      </c>
      <c r="C341">
        <v>4.0000000000000001E-3</v>
      </c>
      <c r="H341">
        <f t="shared" si="35"/>
        <v>16.95</v>
      </c>
      <c r="I341">
        <f t="shared" si="36"/>
        <v>1.5609999999999999</v>
      </c>
      <c r="J341">
        <f t="shared" si="37"/>
        <v>3.417016850426462E-3</v>
      </c>
      <c r="K341">
        <f t="shared" si="38"/>
        <v>31.303053247020102</v>
      </c>
      <c r="L341">
        <f t="shared" si="39"/>
        <v>2.2780112336176408E-3</v>
      </c>
      <c r="O341">
        <f t="shared" si="40"/>
        <v>31.46347888826044</v>
      </c>
      <c r="P341">
        <f t="shared" si="41"/>
        <v>4.8323971985299178E-4</v>
      </c>
    </row>
    <row r="342" spans="1:16" x14ac:dyDescent="0.25">
      <c r="A342" s="1">
        <v>17</v>
      </c>
      <c r="B342" s="2">
        <v>1.5620000000000001</v>
      </c>
      <c r="C342">
        <v>4.0000000000000001E-3</v>
      </c>
      <c r="H342">
        <f t="shared" si="35"/>
        <v>17</v>
      </c>
      <c r="I342">
        <f t="shared" si="36"/>
        <v>1.5620000000000001</v>
      </c>
      <c r="J342">
        <f t="shared" si="37"/>
        <v>3.4152971361209351E-3</v>
      </c>
      <c r="K342">
        <f t="shared" si="38"/>
        <v>31.323106452175146</v>
      </c>
      <c r="L342">
        <f t="shared" si="39"/>
        <v>2.2768647574139562E-3</v>
      </c>
      <c r="O342">
        <f t="shared" si="40"/>
        <v>31.483532093415484</v>
      </c>
      <c r="P342">
        <f t="shared" si="41"/>
        <v>4.8209324364930717E-4</v>
      </c>
    </row>
    <row r="343" spans="1:16" x14ac:dyDescent="0.25">
      <c r="A343" s="1">
        <v>17.05</v>
      </c>
      <c r="B343" s="2">
        <v>1.5620000000000001</v>
      </c>
      <c r="C343">
        <v>4.0000000000000001E-3</v>
      </c>
      <c r="H343">
        <f t="shared" si="35"/>
        <v>17.05</v>
      </c>
      <c r="I343">
        <f t="shared" si="36"/>
        <v>1.5620000000000001</v>
      </c>
      <c r="J343">
        <f t="shared" si="37"/>
        <v>3.4135774218154087E-3</v>
      </c>
      <c r="K343">
        <f t="shared" si="38"/>
        <v>31.323106452175146</v>
      </c>
      <c r="L343">
        <f t="shared" si="39"/>
        <v>2.275718281210272E-3</v>
      </c>
      <c r="O343">
        <f t="shared" si="40"/>
        <v>31.483532093415484</v>
      </c>
      <c r="P343">
        <f t="shared" si="41"/>
        <v>4.80946767445623E-4</v>
      </c>
    </row>
    <row r="344" spans="1:16" x14ac:dyDescent="0.25">
      <c r="A344" s="1">
        <v>17.100000000000001</v>
      </c>
      <c r="B344" s="2">
        <v>1.5620000000000001</v>
      </c>
      <c r="C344">
        <v>4.0000000000000001E-3</v>
      </c>
      <c r="H344">
        <f t="shared" si="35"/>
        <v>17.100000000000001</v>
      </c>
      <c r="I344">
        <f t="shared" si="36"/>
        <v>1.5620000000000001</v>
      </c>
      <c r="J344">
        <f t="shared" si="37"/>
        <v>3.4118577075098818E-3</v>
      </c>
      <c r="K344">
        <f t="shared" si="38"/>
        <v>31.323106452175146</v>
      </c>
      <c r="L344">
        <f t="shared" si="39"/>
        <v>2.2745718050065874E-3</v>
      </c>
      <c r="O344">
        <f t="shared" si="40"/>
        <v>31.483532093415484</v>
      </c>
      <c r="P344">
        <f t="shared" si="41"/>
        <v>4.798002912419384E-4</v>
      </c>
    </row>
    <row r="345" spans="1:16" x14ac:dyDescent="0.25">
      <c r="A345" s="1">
        <v>17.149999999999999</v>
      </c>
      <c r="B345" s="2">
        <v>1.5620000000000001</v>
      </c>
      <c r="C345">
        <v>4.0000000000000001E-3</v>
      </c>
      <c r="H345">
        <f t="shared" si="35"/>
        <v>17.149999999999999</v>
      </c>
      <c r="I345">
        <f t="shared" si="36"/>
        <v>1.5620000000000001</v>
      </c>
      <c r="J345">
        <f t="shared" si="37"/>
        <v>3.4101379932043553E-3</v>
      </c>
      <c r="K345">
        <f t="shared" si="38"/>
        <v>31.323106452175146</v>
      </c>
      <c r="L345">
        <f t="shared" si="39"/>
        <v>2.2734253288029032E-3</v>
      </c>
      <c r="O345">
        <f t="shared" si="40"/>
        <v>31.483532093415484</v>
      </c>
      <c r="P345">
        <f t="shared" si="41"/>
        <v>4.7865381503825423E-4</v>
      </c>
    </row>
    <row r="346" spans="1:16" x14ac:dyDescent="0.25">
      <c r="A346" s="1">
        <v>17.2</v>
      </c>
      <c r="B346" s="2">
        <v>1.5660000000000001</v>
      </c>
      <c r="C346">
        <v>3.0000000000000001E-3</v>
      </c>
      <c r="H346">
        <f t="shared" si="35"/>
        <v>17.2</v>
      </c>
      <c r="I346">
        <f t="shared" si="36"/>
        <v>1.5660000000000001</v>
      </c>
      <c r="J346">
        <f t="shared" si="37"/>
        <v>2.4084182788988288E-3</v>
      </c>
      <c r="K346">
        <f t="shared" si="38"/>
        <v>31.403319272795311</v>
      </c>
      <c r="L346">
        <f t="shared" si="39"/>
        <v>1.6056121859325521E-3</v>
      </c>
      <c r="O346">
        <f t="shared" si="40"/>
        <v>31.563744914035649</v>
      </c>
      <c r="P346">
        <f t="shared" si="41"/>
        <v>-1.8915932783209691E-4</v>
      </c>
    </row>
    <row r="347" spans="1:16" x14ac:dyDescent="0.25">
      <c r="A347" s="1">
        <v>17.25</v>
      </c>
      <c r="B347" s="2">
        <v>1.605</v>
      </c>
      <c r="C347">
        <v>4.0000000000000001E-3</v>
      </c>
      <c r="H347">
        <f t="shared" si="35"/>
        <v>17.25</v>
      </c>
      <c r="I347">
        <f t="shared" si="36"/>
        <v>1.605</v>
      </c>
      <c r="J347">
        <f t="shared" si="37"/>
        <v>3.4066985645933019E-3</v>
      </c>
      <c r="K347">
        <f t="shared" si="38"/>
        <v>32.185394273841936</v>
      </c>
      <c r="L347">
        <f t="shared" si="39"/>
        <v>2.271132376395534E-3</v>
      </c>
      <c r="O347">
        <f t="shared" si="40"/>
        <v>32.345819915082274</v>
      </c>
      <c r="P347">
        <f t="shared" si="41"/>
        <v>4.7636086263088502E-4</v>
      </c>
    </row>
    <row r="348" spans="1:16" x14ac:dyDescent="0.25">
      <c r="A348" s="1">
        <v>17.3</v>
      </c>
      <c r="B348" s="2">
        <v>1.6679999999999999</v>
      </c>
      <c r="C348">
        <v>4.0000000000000001E-3</v>
      </c>
      <c r="H348">
        <f t="shared" si="35"/>
        <v>17.3</v>
      </c>
      <c r="I348">
        <f t="shared" si="36"/>
        <v>1.6679999999999999</v>
      </c>
      <c r="J348">
        <f t="shared" si="37"/>
        <v>3.4049788502877754E-3</v>
      </c>
      <c r="K348">
        <f t="shared" si="38"/>
        <v>33.448746198609562</v>
      </c>
      <c r="L348">
        <f t="shared" si="39"/>
        <v>2.2699859001918499E-3</v>
      </c>
      <c r="O348">
        <f t="shared" si="40"/>
        <v>33.6091718398499</v>
      </c>
      <c r="P348">
        <f t="shared" si="41"/>
        <v>4.7521438642720085E-4</v>
      </c>
    </row>
    <row r="349" spans="1:16" x14ac:dyDescent="0.25">
      <c r="A349" s="1">
        <v>17.350000000000001</v>
      </c>
      <c r="B349" s="2">
        <v>1.74</v>
      </c>
      <c r="C349">
        <v>4.0000000000000001E-3</v>
      </c>
      <c r="H349">
        <f t="shared" si="35"/>
        <v>17.350000000000001</v>
      </c>
      <c r="I349">
        <f t="shared" si="36"/>
        <v>1.74</v>
      </c>
      <c r="J349">
        <f t="shared" si="37"/>
        <v>3.4032591359822485E-3</v>
      </c>
      <c r="K349">
        <f t="shared" si="38"/>
        <v>34.89257696977257</v>
      </c>
      <c r="L349">
        <f t="shared" si="39"/>
        <v>2.2688394239881652E-3</v>
      </c>
      <c r="O349">
        <f t="shared" si="40"/>
        <v>35.053002611012907</v>
      </c>
      <c r="P349">
        <f t="shared" si="41"/>
        <v>4.7406791022351624E-4</v>
      </c>
    </row>
    <row r="350" spans="1:16" x14ac:dyDescent="0.25">
      <c r="A350" s="1">
        <v>17.399999999999999</v>
      </c>
      <c r="B350" s="2">
        <v>1.7649999999999999</v>
      </c>
      <c r="C350">
        <v>4.0000000000000001E-3</v>
      </c>
      <c r="H350">
        <f t="shared" si="35"/>
        <v>17.399999999999999</v>
      </c>
      <c r="I350">
        <f t="shared" si="36"/>
        <v>1.7649999999999999</v>
      </c>
      <c r="J350">
        <f t="shared" si="37"/>
        <v>3.4015394216767221E-3</v>
      </c>
      <c r="K350">
        <f t="shared" si="38"/>
        <v>35.393907098648612</v>
      </c>
      <c r="L350">
        <f t="shared" si="39"/>
        <v>2.2676929477844811E-3</v>
      </c>
      <c r="O350">
        <f t="shared" si="40"/>
        <v>35.554332739888949</v>
      </c>
      <c r="P350">
        <f t="shared" si="41"/>
        <v>4.7292143401983207E-4</v>
      </c>
    </row>
    <row r="351" spans="1:16" x14ac:dyDescent="0.25">
      <c r="A351" s="1">
        <v>17.45</v>
      </c>
      <c r="B351" s="2">
        <v>1.823</v>
      </c>
      <c r="C351">
        <v>4.0000000000000001E-3</v>
      </c>
      <c r="H351">
        <f t="shared" si="35"/>
        <v>17.45</v>
      </c>
      <c r="I351">
        <f t="shared" si="36"/>
        <v>1.823</v>
      </c>
      <c r="J351">
        <f t="shared" si="37"/>
        <v>3.3998197073711956E-3</v>
      </c>
      <c r="K351">
        <f t="shared" si="38"/>
        <v>36.556992997641032</v>
      </c>
      <c r="L351">
        <f t="shared" si="39"/>
        <v>2.2665464715807965E-3</v>
      </c>
      <c r="O351">
        <f t="shared" si="40"/>
        <v>36.717418638881369</v>
      </c>
      <c r="P351">
        <f t="shared" si="41"/>
        <v>4.7177495781614747E-4</v>
      </c>
    </row>
    <row r="352" spans="1:16" x14ac:dyDescent="0.25">
      <c r="A352" s="1">
        <v>17.5</v>
      </c>
      <c r="B352" s="2">
        <v>1.853</v>
      </c>
      <c r="C352">
        <v>4.0000000000000001E-3</v>
      </c>
      <c r="H352">
        <f t="shared" si="35"/>
        <v>17.5</v>
      </c>
      <c r="I352">
        <f t="shared" si="36"/>
        <v>1.853</v>
      </c>
      <c r="J352">
        <f t="shared" si="37"/>
        <v>3.3980999930656687E-3</v>
      </c>
      <c r="K352">
        <f t="shared" si="38"/>
        <v>37.158589152292279</v>
      </c>
      <c r="L352">
        <f t="shared" si="39"/>
        <v>2.2653999953771119E-3</v>
      </c>
      <c r="O352">
        <f t="shared" si="40"/>
        <v>37.319014793532617</v>
      </c>
      <c r="P352">
        <f t="shared" si="41"/>
        <v>4.7062848161246286E-4</v>
      </c>
    </row>
    <row r="353" spans="1:16" x14ac:dyDescent="0.25">
      <c r="A353" s="1">
        <v>17.55</v>
      </c>
      <c r="B353" s="2">
        <v>1.8520000000000001</v>
      </c>
      <c r="C353">
        <v>4.0000000000000001E-3</v>
      </c>
      <c r="H353">
        <f t="shared" si="35"/>
        <v>17.55</v>
      </c>
      <c r="I353">
        <f t="shared" si="36"/>
        <v>1.8520000000000001</v>
      </c>
      <c r="J353">
        <f t="shared" si="37"/>
        <v>3.3963802787601418E-3</v>
      </c>
      <c r="K353">
        <f t="shared" si="38"/>
        <v>37.138535947137242</v>
      </c>
      <c r="L353">
        <f t="shared" si="39"/>
        <v>2.2642535191734273E-3</v>
      </c>
      <c r="O353">
        <f t="shared" si="40"/>
        <v>37.29896158837758</v>
      </c>
      <c r="P353">
        <f t="shared" si="41"/>
        <v>4.6948200540877826E-4</v>
      </c>
    </row>
    <row r="354" spans="1:16" x14ac:dyDescent="0.25">
      <c r="A354" s="1">
        <v>17.600000000000001</v>
      </c>
      <c r="B354" s="2">
        <v>1.853</v>
      </c>
      <c r="C354">
        <v>4.0000000000000001E-3</v>
      </c>
      <c r="H354">
        <f t="shared" si="35"/>
        <v>17.600000000000001</v>
      </c>
      <c r="I354">
        <f t="shared" si="36"/>
        <v>1.853</v>
      </c>
      <c r="J354">
        <f t="shared" si="37"/>
        <v>3.3946605644546153E-3</v>
      </c>
      <c r="K354">
        <f t="shared" si="38"/>
        <v>37.158589152292279</v>
      </c>
      <c r="L354">
        <f t="shared" si="39"/>
        <v>2.2631070429697431E-3</v>
      </c>
      <c r="O354">
        <f t="shared" si="40"/>
        <v>37.319014793532617</v>
      </c>
      <c r="P354">
        <f t="shared" si="41"/>
        <v>4.6833552920509409E-4</v>
      </c>
    </row>
    <row r="355" spans="1:16" x14ac:dyDescent="0.25">
      <c r="A355" s="1">
        <v>17.649999999999999</v>
      </c>
      <c r="B355" s="2">
        <v>1.853</v>
      </c>
      <c r="C355">
        <v>4.0000000000000001E-3</v>
      </c>
      <c r="H355">
        <f t="shared" si="35"/>
        <v>17.649999999999999</v>
      </c>
      <c r="I355">
        <f t="shared" si="36"/>
        <v>1.853</v>
      </c>
      <c r="J355">
        <f t="shared" si="37"/>
        <v>3.3929408501490888E-3</v>
      </c>
      <c r="K355">
        <f t="shared" si="38"/>
        <v>37.158589152292279</v>
      </c>
      <c r="L355">
        <f t="shared" si="39"/>
        <v>2.2619605667660589E-3</v>
      </c>
      <c r="O355">
        <f t="shared" si="40"/>
        <v>37.319014793532617</v>
      </c>
      <c r="P355">
        <f t="shared" si="41"/>
        <v>4.6718905300140992E-4</v>
      </c>
    </row>
    <row r="356" spans="1:16" x14ac:dyDescent="0.25">
      <c r="A356" s="1">
        <v>17.7</v>
      </c>
      <c r="B356" s="2">
        <v>1.8520000000000001</v>
      </c>
      <c r="C356">
        <v>4.0000000000000001E-3</v>
      </c>
      <c r="H356">
        <f t="shared" si="35"/>
        <v>17.7</v>
      </c>
      <c r="I356">
        <f t="shared" si="36"/>
        <v>1.8520000000000001</v>
      </c>
      <c r="J356">
        <f t="shared" si="37"/>
        <v>3.3912211358435619E-3</v>
      </c>
      <c r="K356">
        <f t="shared" si="38"/>
        <v>37.138535947137242</v>
      </c>
      <c r="L356">
        <f t="shared" si="39"/>
        <v>2.2608140905623743E-3</v>
      </c>
      <c r="O356">
        <f t="shared" si="40"/>
        <v>37.29896158837758</v>
      </c>
      <c r="P356">
        <f t="shared" si="41"/>
        <v>4.6604257679772531E-4</v>
      </c>
    </row>
    <row r="357" spans="1:16" x14ac:dyDescent="0.25">
      <c r="A357" s="1">
        <v>17.75</v>
      </c>
      <c r="B357" s="2">
        <v>1.8520000000000001</v>
      </c>
      <c r="C357">
        <v>4.0000000000000001E-3</v>
      </c>
      <c r="H357">
        <f t="shared" si="35"/>
        <v>17.75</v>
      </c>
      <c r="I357">
        <f t="shared" si="36"/>
        <v>1.8520000000000001</v>
      </c>
      <c r="J357">
        <f t="shared" si="37"/>
        <v>3.3895014215380354E-3</v>
      </c>
      <c r="K357">
        <f t="shared" si="38"/>
        <v>37.138535947137242</v>
      </c>
      <c r="L357">
        <f t="shared" si="39"/>
        <v>2.2596676143586897E-3</v>
      </c>
      <c r="O357">
        <f t="shared" si="40"/>
        <v>37.29896158837758</v>
      </c>
      <c r="P357">
        <f t="shared" si="41"/>
        <v>4.6489610059404071E-4</v>
      </c>
    </row>
    <row r="358" spans="1:16" x14ac:dyDescent="0.25">
      <c r="A358" s="1">
        <v>17.8</v>
      </c>
      <c r="B358" s="2">
        <v>1.857</v>
      </c>
      <c r="C358">
        <v>4.0000000000000001E-3</v>
      </c>
      <c r="H358">
        <f t="shared" si="35"/>
        <v>17.8</v>
      </c>
      <c r="I358">
        <f t="shared" si="36"/>
        <v>1.857</v>
      </c>
      <c r="J358">
        <f t="shared" si="37"/>
        <v>3.3877817072325085E-3</v>
      </c>
      <c r="K358">
        <f t="shared" si="38"/>
        <v>37.238801972912448</v>
      </c>
      <c r="L358">
        <f t="shared" si="39"/>
        <v>2.2585211381550051E-3</v>
      </c>
      <c r="O358">
        <f t="shared" si="40"/>
        <v>37.399227614152785</v>
      </c>
      <c r="P358">
        <f t="shared" si="41"/>
        <v>4.637496243903561E-4</v>
      </c>
    </row>
    <row r="359" spans="1:16" x14ac:dyDescent="0.25">
      <c r="A359" s="1">
        <v>17.850000000000001</v>
      </c>
      <c r="B359" s="2">
        <v>1.861</v>
      </c>
      <c r="C359">
        <v>4.0000000000000001E-3</v>
      </c>
      <c r="H359">
        <f t="shared" si="35"/>
        <v>17.850000000000001</v>
      </c>
      <c r="I359">
        <f t="shared" si="36"/>
        <v>1.861</v>
      </c>
      <c r="J359">
        <f t="shared" si="37"/>
        <v>3.3860619929269821E-3</v>
      </c>
      <c r="K359">
        <f t="shared" si="38"/>
        <v>37.319014793532617</v>
      </c>
      <c r="L359">
        <f t="shared" si="39"/>
        <v>2.2573746619513209E-3</v>
      </c>
      <c r="O359">
        <f t="shared" si="40"/>
        <v>37.479440434772954</v>
      </c>
      <c r="P359">
        <f t="shared" si="41"/>
        <v>4.6260314818667193E-4</v>
      </c>
    </row>
    <row r="360" spans="1:16" x14ac:dyDescent="0.25">
      <c r="A360" s="1">
        <v>17.899999999999999</v>
      </c>
      <c r="B360" s="2">
        <v>1.87</v>
      </c>
      <c r="C360">
        <v>3.0000000000000001E-3</v>
      </c>
      <c r="H360">
        <f t="shared" si="35"/>
        <v>17.899999999999999</v>
      </c>
      <c r="I360">
        <f t="shared" si="36"/>
        <v>1.87</v>
      </c>
      <c r="J360">
        <f t="shared" si="37"/>
        <v>2.3843422786214551E-3</v>
      </c>
      <c r="K360">
        <f t="shared" si="38"/>
        <v>37.499493639927991</v>
      </c>
      <c r="L360">
        <f t="shared" si="39"/>
        <v>1.5895615190809698E-3</v>
      </c>
      <c r="O360">
        <f t="shared" si="40"/>
        <v>37.659919281168328</v>
      </c>
      <c r="P360">
        <f t="shared" si="41"/>
        <v>-2.0520999468367921E-4</v>
      </c>
    </row>
    <row r="361" spans="1:16" x14ac:dyDescent="0.25">
      <c r="A361" s="1">
        <v>17.95</v>
      </c>
      <c r="B361" s="2">
        <v>1.931</v>
      </c>
      <c r="C361">
        <v>4.0000000000000001E-3</v>
      </c>
      <c r="H361">
        <f t="shared" si="35"/>
        <v>17.95</v>
      </c>
      <c r="I361">
        <f t="shared" si="36"/>
        <v>1.931</v>
      </c>
      <c r="J361">
        <f t="shared" si="37"/>
        <v>3.3826225643159287E-3</v>
      </c>
      <c r="K361">
        <f t="shared" si="38"/>
        <v>38.722739154385536</v>
      </c>
      <c r="L361">
        <f t="shared" si="39"/>
        <v>2.2550817095439522E-3</v>
      </c>
      <c r="O361">
        <f t="shared" si="40"/>
        <v>38.883164795625873</v>
      </c>
      <c r="P361">
        <f t="shared" si="41"/>
        <v>4.6031019577930316E-4</v>
      </c>
    </row>
    <row r="362" spans="1:16" x14ac:dyDescent="0.25">
      <c r="A362" s="1">
        <v>18</v>
      </c>
      <c r="B362" s="2">
        <v>1.9850000000000001</v>
      </c>
      <c r="C362">
        <v>4.0000000000000001E-3</v>
      </c>
      <c r="H362">
        <f t="shared" si="35"/>
        <v>18</v>
      </c>
      <c r="I362">
        <f t="shared" si="36"/>
        <v>1.9850000000000001</v>
      </c>
      <c r="J362">
        <f t="shared" si="37"/>
        <v>3.3809028500104022E-3</v>
      </c>
      <c r="K362">
        <f t="shared" si="38"/>
        <v>39.805612232757788</v>
      </c>
      <c r="L362">
        <f t="shared" si="39"/>
        <v>2.2539352333402676E-3</v>
      </c>
      <c r="O362">
        <f t="shared" si="40"/>
        <v>39.966037873998125</v>
      </c>
      <c r="P362">
        <f t="shared" si="41"/>
        <v>4.5916371957561855E-4</v>
      </c>
    </row>
    <row r="363" spans="1:16" x14ac:dyDescent="0.25">
      <c r="A363" s="1">
        <v>18.05</v>
      </c>
      <c r="B363" s="2">
        <v>2.0030000000000001</v>
      </c>
      <c r="C363">
        <v>4.0000000000000001E-3</v>
      </c>
      <c r="H363">
        <f t="shared" si="35"/>
        <v>18.05</v>
      </c>
      <c r="I363">
        <f t="shared" si="36"/>
        <v>2.0030000000000001</v>
      </c>
      <c r="J363">
        <f t="shared" si="37"/>
        <v>3.3791831357048753E-3</v>
      </c>
      <c r="K363">
        <f t="shared" si="38"/>
        <v>40.166569925548536</v>
      </c>
      <c r="L363">
        <f t="shared" si="39"/>
        <v>2.252788757136583E-3</v>
      </c>
      <c r="O363">
        <f t="shared" si="40"/>
        <v>40.326995566788874</v>
      </c>
      <c r="P363">
        <f t="shared" si="41"/>
        <v>4.5801724337193395E-4</v>
      </c>
    </row>
    <row r="364" spans="1:16" x14ac:dyDescent="0.25">
      <c r="A364" s="1">
        <v>18.100000000000001</v>
      </c>
      <c r="B364" s="2">
        <v>2.0310000000000001</v>
      </c>
      <c r="C364">
        <v>4.0000000000000001E-3</v>
      </c>
      <c r="H364">
        <f t="shared" si="35"/>
        <v>18.100000000000001</v>
      </c>
      <c r="I364">
        <f t="shared" si="36"/>
        <v>2.0310000000000001</v>
      </c>
      <c r="J364">
        <f t="shared" si="37"/>
        <v>3.3774634213993488E-3</v>
      </c>
      <c r="K364">
        <f t="shared" si="38"/>
        <v>40.72805966988971</v>
      </c>
      <c r="L364">
        <f t="shared" si="39"/>
        <v>2.2516422809328988E-3</v>
      </c>
      <c r="O364">
        <f t="shared" si="40"/>
        <v>40.888485311130047</v>
      </c>
      <c r="P364">
        <f t="shared" si="41"/>
        <v>4.5687076716824978E-4</v>
      </c>
    </row>
    <row r="365" spans="1:16" x14ac:dyDescent="0.25">
      <c r="A365" s="1">
        <v>18.149999999999999</v>
      </c>
      <c r="B365" s="2">
        <v>2.0739999999999998</v>
      </c>
      <c r="C365">
        <v>4.0000000000000001E-3</v>
      </c>
      <c r="H365">
        <f t="shared" si="35"/>
        <v>18.149999999999999</v>
      </c>
      <c r="I365">
        <f t="shared" si="36"/>
        <v>2.0739999999999998</v>
      </c>
      <c r="J365">
        <f t="shared" si="37"/>
        <v>3.3757437070938224E-3</v>
      </c>
      <c r="K365">
        <f t="shared" si="38"/>
        <v>41.590347491556493</v>
      </c>
      <c r="L365">
        <f t="shared" si="39"/>
        <v>2.2504958047292146E-3</v>
      </c>
      <c r="O365">
        <f t="shared" si="40"/>
        <v>41.75077313279683</v>
      </c>
      <c r="P365">
        <f t="shared" si="41"/>
        <v>4.5572429096456561E-4</v>
      </c>
    </row>
    <row r="366" spans="1:16" x14ac:dyDescent="0.25">
      <c r="A366" s="1">
        <v>18.2</v>
      </c>
      <c r="B366" s="2">
        <v>2.1219999999999999</v>
      </c>
      <c r="C366">
        <v>3.0000000000000001E-3</v>
      </c>
      <c r="H366">
        <f t="shared" si="35"/>
        <v>18.2</v>
      </c>
      <c r="I366">
        <f t="shared" si="36"/>
        <v>2.1219999999999999</v>
      </c>
      <c r="J366">
        <f t="shared" si="37"/>
        <v>2.3740239927882954E-3</v>
      </c>
      <c r="K366">
        <f t="shared" si="38"/>
        <v>42.552901338998495</v>
      </c>
      <c r="L366">
        <f t="shared" si="39"/>
        <v>1.5826826618588633E-3</v>
      </c>
      <c r="O366">
        <f t="shared" si="40"/>
        <v>42.713326980238833</v>
      </c>
      <c r="P366">
        <f t="shared" si="41"/>
        <v>-2.1208885190578575E-4</v>
      </c>
    </row>
    <row r="367" spans="1:16" x14ac:dyDescent="0.25">
      <c r="A367" s="1">
        <v>18.25</v>
      </c>
      <c r="B367" s="2">
        <v>2.2029999999999998</v>
      </c>
      <c r="C367">
        <v>4.0000000000000001E-3</v>
      </c>
      <c r="H367">
        <f t="shared" si="35"/>
        <v>18.25</v>
      </c>
      <c r="I367">
        <f t="shared" si="36"/>
        <v>2.2029999999999998</v>
      </c>
      <c r="J367">
        <f t="shared" si="37"/>
        <v>3.3723042784827685E-3</v>
      </c>
      <c r="K367">
        <f t="shared" si="38"/>
        <v>44.177210956556877</v>
      </c>
      <c r="L367">
        <f t="shared" si="39"/>
        <v>2.2482028523218454E-3</v>
      </c>
      <c r="O367">
        <f t="shared" si="40"/>
        <v>44.337636597797214</v>
      </c>
      <c r="P367">
        <f t="shared" si="41"/>
        <v>4.534313385571964E-4</v>
      </c>
    </row>
    <row r="368" spans="1:16" x14ac:dyDescent="0.25">
      <c r="A368" s="1">
        <v>18.3</v>
      </c>
      <c r="B368" s="2">
        <v>2.222</v>
      </c>
      <c r="C368">
        <v>4.0000000000000001E-3</v>
      </c>
      <c r="H368">
        <f t="shared" si="35"/>
        <v>18.3</v>
      </c>
      <c r="I368">
        <f t="shared" si="36"/>
        <v>2.222</v>
      </c>
      <c r="J368">
        <f t="shared" si="37"/>
        <v>3.3705845641772421E-3</v>
      </c>
      <c r="K368">
        <f t="shared" si="38"/>
        <v>44.558221854502669</v>
      </c>
      <c r="L368">
        <f t="shared" si="39"/>
        <v>2.2470563761181608E-3</v>
      </c>
      <c r="O368">
        <f t="shared" si="40"/>
        <v>44.718647495743006</v>
      </c>
      <c r="P368">
        <f t="shared" si="41"/>
        <v>4.522848623535118E-4</v>
      </c>
    </row>
    <row r="369" spans="1:16" x14ac:dyDescent="0.25">
      <c r="A369" s="1">
        <v>18.350000000000001</v>
      </c>
      <c r="B369" s="2">
        <v>2.222</v>
      </c>
      <c r="C369">
        <v>4.0000000000000001E-3</v>
      </c>
      <c r="H369">
        <f t="shared" si="35"/>
        <v>18.350000000000001</v>
      </c>
      <c r="I369">
        <f t="shared" si="36"/>
        <v>2.222</v>
      </c>
      <c r="J369">
        <f t="shared" si="37"/>
        <v>3.3688648498717156E-3</v>
      </c>
      <c r="K369">
        <f t="shared" si="38"/>
        <v>44.558221854502669</v>
      </c>
      <c r="L369">
        <f t="shared" si="39"/>
        <v>2.2459098999144766E-3</v>
      </c>
      <c r="O369">
        <f t="shared" si="40"/>
        <v>44.718647495743006</v>
      </c>
      <c r="P369">
        <f t="shared" si="41"/>
        <v>4.5113838614982762E-4</v>
      </c>
    </row>
    <row r="370" spans="1:16" x14ac:dyDescent="0.25">
      <c r="A370" s="1">
        <v>18.399999999999999</v>
      </c>
      <c r="B370" s="2">
        <v>2.222</v>
      </c>
      <c r="C370">
        <v>4.0000000000000001E-3</v>
      </c>
      <c r="H370">
        <f t="shared" si="35"/>
        <v>18.399999999999999</v>
      </c>
      <c r="I370">
        <f t="shared" si="36"/>
        <v>2.222</v>
      </c>
      <c r="J370">
        <f t="shared" si="37"/>
        <v>3.3671451355661887E-3</v>
      </c>
      <c r="K370">
        <f t="shared" si="38"/>
        <v>44.558221854502669</v>
      </c>
      <c r="L370">
        <f t="shared" si="39"/>
        <v>2.244763423710792E-3</v>
      </c>
      <c r="O370">
        <f t="shared" si="40"/>
        <v>44.718647495743006</v>
      </c>
      <c r="P370">
        <f t="shared" si="41"/>
        <v>4.4999190994614302E-4</v>
      </c>
    </row>
    <row r="371" spans="1:16" x14ac:dyDescent="0.25">
      <c r="A371" s="1">
        <v>18.45</v>
      </c>
      <c r="B371" s="2">
        <v>2.222</v>
      </c>
      <c r="C371">
        <v>4.0000000000000001E-3</v>
      </c>
      <c r="H371">
        <f t="shared" si="35"/>
        <v>18.45</v>
      </c>
      <c r="I371">
        <f t="shared" si="36"/>
        <v>2.222</v>
      </c>
      <c r="J371">
        <f t="shared" si="37"/>
        <v>3.3654254212606622E-3</v>
      </c>
      <c r="K371">
        <f t="shared" si="38"/>
        <v>44.558221854502669</v>
      </c>
      <c r="L371">
        <f t="shared" si="39"/>
        <v>2.2436169475071079E-3</v>
      </c>
      <c r="O371">
        <f t="shared" si="40"/>
        <v>44.718647495743006</v>
      </c>
      <c r="P371">
        <f t="shared" si="41"/>
        <v>4.4884543374245885E-4</v>
      </c>
    </row>
    <row r="372" spans="1:16" x14ac:dyDescent="0.25">
      <c r="A372" s="1">
        <v>18.5</v>
      </c>
      <c r="B372" s="2">
        <v>2.218</v>
      </c>
      <c r="C372">
        <v>4.0000000000000001E-3</v>
      </c>
      <c r="H372">
        <f t="shared" si="35"/>
        <v>18.5</v>
      </c>
      <c r="I372">
        <f t="shared" si="36"/>
        <v>2.218</v>
      </c>
      <c r="J372">
        <f t="shared" si="37"/>
        <v>3.3637057069551353E-3</v>
      </c>
      <c r="K372">
        <f t="shared" si="38"/>
        <v>44.4780090338825</v>
      </c>
      <c r="L372">
        <f t="shared" si="39"/>
        <v>2.2424704713034233E-3</v>
      </c>
      <c r="O372">
        <f t="shared" si="40"/>
        <v>44.638434675122838</v>
      </c>
      <c r="P372">
        <f t="shared" si="41"/>
        <v>4.4769895753877425E-4</v>
      </c>
    </row>
    <row r="373" spans="1:16" x14ac:dyDescent="0.25">
      <c r="A373" s="1">
        <v>18.55</v>
      </c>
      <c r="B373" s="2">
        <v>2.2120000000000002</v>
      </c>
      <c r="C373">
        <v>4.0000000000000001E-3</v>
      </c>
      <c r="H373">
        <f t="shared" si="35"/>
        <v>18.55</v>
      </c>
      <c r="I373">
        <f t="shared" si="36"/>
        <v>2.2120000000000002</v>
      </c>
      <c r="J373">
        <f t="shared" si="37"/>
        <v>3.3619859926496088E-3</v>
      </c>
      <c r="K373">
        <f t="shared" si="38"/>
        <v>44.357689802952258</v>
      </c>
      <c r="L373">
        <f t="shared" si="39"/>
        <v>2.2413239950997386E-3</v>
      </c>
      <c r="O373">
        <f t="shared" si="40"/>
        <v>44.518115444192595</v>
      </c>
      <c r="P373">
        <f t="shared" si="41"/>
        <v>4.4655248133508964E-4</v>
      </c>
    </row>
    <row r="374" spans="1:16" x14ac:dyDescent="0.25">
      <c r="A374" s="1">
        <v>18.600000000000001</v>
      </c>
      <c r="B374" s="2">
        <v>2.234</v>
      </c>
      <c r="C374">
        <v>3.0000000000000001E-3</v>
      </c>
      <c r="H374">
        <f t="shared" si="35"/>
        <v>18.600000000000001</v>
      </c>
      <c r="I374">
        <f t="shared" si="36"/>
        <v>2.234</v>
      </c>
      <c r="J374">
        <f t="shared" si="37"/>
        <v>2.3602662783440819E-3</v>
      </c>
      <c r="K374">
        <f t="shared" si="38"/>
        <v>44.798860316363168</v>
      </c>
      <c r="L374">
        <f t="shared" si="39"/>
        <v>1.5735108522293875E-3</v>
      </c>
      <c r="O374">
        <f t="shared" si="40"/>
        <v>44.959285957603505</v>
      </c>
      <c r="P374">
        <f t="shared" si="41"/>
        <v>-2.212606615352615E-4</v>
      </c>
    </row>
    <row r="375" spans="1:16" x14ac:dyDescent="0.25">
      <c r="A375" s="1">
        <v>18.649999999999999</v>
      </c>
      <c r="B375" s="2">
        <v>2.3170000000000002</v>
      </c>
      <c r="C375">
        <v>4.0000000000000001E-3</v>
      </c>
      <c r="H375">
        <f t="shared" si="35"/>
        <v>18.649999999999999</v>
      </c>
      <c r="I375">
        <f t="shared" si="36"/>
        <v>2.3170000000000002</v>
      </c>
      <c r="J375">
        <f t="shared" si="37"/>
        <v>3.3585465640385555E-3</v>
      </c>
      <c r="K375">
        <f t="shared" si="38"/>
        <v>46.463276344231637</v>
      </c>
      <c r="L375">
        <f t="shared" si="39"/>
        <v>2.2390310426923699E-3</v>
      </c>
      <c r="O375">
        <f t="shared" si="40"/>
        <v>46.623701985471975</v>
      </c>
      <c r="P375">
        <f t="shared" si="41"/>
        <v>4.4425952892772087E-4</v>
      </c>
    </row>
    <row r="376" spans="1:16" x14ac:dyDescent="0.25">
      <c r="A376" s="1">
        <v>18.7</v>
      </c>
      <c r="B376" s="2">
        <v>2.4039999999999999</v>
      </c>
      <c r="C376">
        <v>4.0000000000000001E-3</v>
      </c>
      <c r="H376">
        <f t="shared" si="35"/>
        <v>18.7</v>
      </c>
      <c r="I376">
        <f t="shared" si="36"/>
        <v>2.4039999999999999</v>
      </c>
      <c r="J376">
        <f t="shared" si="37"/>
        <v>3.356826849733029E-3</v>
      </c>
      <c r="K376">
        <f t="shared" si="38"/>
        <v>48.207905192720261</v>
      </c>
      <c r="L376">
        <f t="shared" si="39"/>
        <v>2.2378845664886857E-3</v>
      </c>
      <c r="O376">
        <f t="shared" si="40"/>
        <v>48.368330833960599</v>
      </c>
      <c r="P376">
        <f t="shared" si="41"/>
        <v>4.431130527240367E-4</v>
      </c>
    </row>
    <row r="377" spans="1:16" x14ac:dyDescent="0.25">
      <c r="A377" s="1">
        <v>18.75</v>
      </c>
      <c r="B377" s="2">
        <v>2.4249999999999998</v>
      </c>
      <c r="C377">
        <v>4.0000000000000001E-3</v>
      </c>
      <c r="H377">
        <f t="shared" si="35"/>
        <v>18.75</v>
      </c>
      <c r="I377">
        <f t="shared" si="36"/>
        <v>2.4249999999999998</v>
      </c>
      <c r="J377">
        <f t="shared" si="37"/>
        <v>3.3551071354275021E-3</v>
      </c>
      <c r="K377">
        <f t="shared" si="38"/>
        <v>48.629022500976134</v>
      </c>
      <c r="L377">
        <f t="shared" si="39"/>
        <v>2.2367380902850011E-3</v>
      </c>
      <c r="O377">
        <f t="shared" si="40"/>
        <v>48.789448142216472</v>
      </c>
      <c r="P377">
        <f t="shared" si="41"/>
        <v>4.4196657652035209E-4</v>
      </c>
    </row>
    <row r="378" spans="1:16" x14ac:dyDescent="0.25">
      <c r="A378" s="1">
        <v>18.8</v>
      </c>
      <c r="B378" s="2">
        <v>2.4470000000000001</v>
      </c>
      <c r="C378">
        <v>4.0000000000000001E-3</v>
      </c>
      <c r="H378">
        <f t="shared" si="35"/>
        <v>18.8</v>
      </c>
      <c r="I378">
        <f t="shared" si="36"/>
        <v>2.4470000000000001</v>
      </c>
      <c r="J378">
        <f t="shared" si="37"/>
        <v>3.3533874211219752E-3</v>
      </c>
      <c r="K378">
        <f t="shared" si="38"/>
        <v>49.070193014387058</v>
      </c>
      <c r="L378">
        <f t="shared" si="39"/>
        <v>2.2355916140813165E-3</v>
      </c>
      <c r="O378">
        <f t="shared" si="40"/>
        <v>49.230618655627396</v>
      </c>
      <c r="P378">
        <f t="shared" si="41"/>
        <v>4.4082010031666749E-4</v>
      </c>
    </row>
    <row r="379" spans="1:16" x14ac:dyDescent="0.25">
      <c r="A379" s="1">
        <v>18.850000000000001</v>
      </c>
      <c r="B379" s="2">
        <v>2.4740000000000002</v>
      </c>
      <c r="C379">
        <v>4.0000000000000001E-3</v>
      </c>
      <c r="H379">
        <f t="shared" si="35"/>
        <v>18.850000000000001</v>
      </c>
      <c r="I379">
        <f t="shared" si="36"/>
        <v>2.4740000000000002</v>
      </c>
      <c r="J379">
        <f t="shared" si="37"/>
        <v>3.3516677068164487E-3</v>
      </c>
      <c r="K379">
        <f t="shared" si="38"/>
        <v>49.611629553573181</v>
      </c>
      <c r="L379">
        <f t="shared" si="39"/>
        <v>2.2344451378776319E-3</v>
      </c>
      <c r="O379">
        <f t="shared" si="40"/>
        <v>49.772055194813518</v>
      </c>
      <c r="P379">
        <f t="shared" si="41"/>
        <v>4.3967362411298288E-4</v>
      </c>
    </row>
    <row r="380" spans="1:16" x14ac:dyDescent="0.25">
      <c r="A380" s="1">
        <v>18.899999999999999</v>
      </c>
      <c r="B380" s="2">
        <v>2.4929999999999999</v>
      </c>
      <c r="C380">
        <v>4.0000000000000001E-3</v>
      </c>
      <c r="H380">
        <f t="shared" si="35"/>
        <v>18.899999999999999</v>
      </c>
      <c r="I380">
        <f t="shared" si="36"/>
        <v>2.4929999999999999</v>
      </c>
      <c r="J380">
        <f t="shared" si="37"/>
        <v>3.3499479925109222E-3</v>
      </c>
      <c r="K380">
        <f t="shared" si="38"/>
        <v>49.992640451518973</v>
      </c>
      <c r="L380">
        <f t="shared" si="39"/>
        <v>2.2332986616739477E-3</v>
      </c>
      <c r="O380">
        <f t="shared" si="40"/>
        <v>50.15306609275931</v>
      </c>
      <c r="P380">
        <f t="shared" si="41"/>
        <v>4.3852714790929871E-4</v>
      </c>
    </row>
    <row r="381" spans="1:16" x14ac:dyDescent="0.25">
      <c r="A381" s="1">
        <v>18.95</v>
      </c>
      <c r="B381" s="2">
        <v>2.5150000000000001</v>
      </c>
      <c r="C381">
        <v>4.0000000000000001E-3</v>
      </c>
      <c r="H381">
        <f t="shared" si="35"/>
        <v>18.95</v>
      </c>
      <c r="I381">
        <f t="shared" si="36"/>
        <v>2.5150000000000001</v>
      </c>
      <c r="J381">
        <f t="shared" si="37"/>
        <v>3.3482282782053953E-3</v>
      </c>
      <c r="K381">
        <f t="shared" si="38"/>
        <v>50.43381096492989</v>
      </c>
      <c r="L381">
        <f t="shared" si="39"/>
        <v>2.2321521854702631E-3</v>
      </c>
      <c r="O381">
        <f t="shared" si="40"/>
        <v>50.594236606170227</v>
      </c>
      <c r="P381">
        <f t="shared" si="41"/>
        <v>4.3738067170561411E-4</v>
      </c>
    </row>
    <row r="382" spans="1:16" x14ac:dyDescent="0.25">
      <c r="A382" s="1">
        <v>19</v>
      </c>
      <c r="B382" s="2">
        <v>2.5470000000000002</v>
      </c>
      <c r="C382">
        <v>4.0000000000000001E-3</v>
      </c>
      <c r="H382">
        <f t="shared" si="35"/>
        <v>19</v>
      </c>
      <c r="I382">
        <f t="shared" si="36"/>
        <v>2.5470000000000002</v>
      </c>
      <c r="J382">
        <f t="shared" si="37"/>
        <v>3.3465085638998688E-3</v>
      </c>
      <c r="K382">
        <f t="shared" si="38"/>
        <v>51.075513529891225</v>
      </c>
      <c r="L382">
        <f t="shared" si="39"/>
        <v>2.2310057092665789E-3</v>
      </c>
      <c r="O382">
        <f t="shared" si="40"/>
        <v>51.235939171131562</v>
      </c>
      <c r="P382">
        <f t="shared" si="41"/>
        <v>4.3623419550192994E-4</v>
      </c>
    </row>
    <row r="383" spans="1:16" x14ac:dyDescent="0.25">
      <c r="A383" s="1">
        <v>19.05</v>
      </c>
      <c r="B383" s="2">
        <v>2.5819999999999999</v>
      </c>
      <c r="C383">
        <v>4.0000000000000001E-3</v>
      </c>
      <c r="H383">
        <f t="shared" si="35"/>
        <v>19.05</v>
      </c>
      <c r="I383">
        <f t="shared" si="36"/>
        <v>2.5819999999999999</v>
      </c>
      <c r="J383">
        <f t="shared" si="37"/>
        <v>3.3447888495943424E-3</v>
      </c>
      <c r="K383">
        <f t="shared" si="38"/>
        <v>51.777375710317685</v>
      </c>
      <c r="L383">
        <f t="shared" si="39"/>
        <v>2.2298592330628943E-3</v>
      </c>
      <c r="O383">
        <f t="shared" si="40"/>
        <v>51.937801351558022</v>
      </c>
      <c r="P383">
        <f t="shared" si="41"/>
        <v>4.3508771929824533E-4</v>
      </c>
    </row>
    <row r="384" spans="1:16" x14ac:dyDescent="0.25">
      <c r="A384" s="1">
        <v>19.100000000000001</v>
      </c>
      <c r="B384" s="2">
        <v>2.6</v>
      </c>
      <c r="C384">
        <v>4.0000000000000001E-3</v>
      </c>
      <c r="H384">
        <f t="shared" si="35"/>
        <v>19.100000000000001</v>
      </c>
      <c r="I384">
        <f t="shared" si="36"/>
        <v>2.6</v>
      </c>
      <c r="J384">
        <f t="shared" si="37"/>
        <v>3.3430691352888155E-3</v>
      </c>
      <c r="K384">
        <f t="shared" si="38"/>
        <v>52.13833340310844</v>
      </c>
      <c r="L384">
        <f t="shared" si="39"/>
        <v>2.2287127568592097E-3</v>
      </c>
      <c r="O384">
        <f t="shared" si="40"/>
        <v>52.298759044348778</v>
      </c>
      <c r="P384">
        <f t="shared" si="41"/>
        <v>4.3394124309456073E-4</v>
      </c>
    </row>
    <row r="385" spans="1:16" x14ac:dyDescent="0.25">
      <c r="A385" s="1">
        <v>19.149999999999999</v>
      </c>
      <c r="B385" s="2">
        <v>2.6040000000000001</v>
      </c>
      <c r="C385">
        <v>4.0000000000000001E-3</v>
      </c>
      <c r="H385">
        <f t="shared" si="35"/>
        <v>19.149999999999999</v>
      </c>
      <c r="I385">
        <f t="shared" si="36"/>
        <v>2.6040000000000001</v>
      </c>
      <c r="J385">
        <f t="shared" si="37"/>
        <v>3.341349420983289E-3</v>
      </c>
      <c r="K385">
        <f t="shared" si="38"/>
        <v>52.218546223728602</v>
      </c>
      <c r="L385">
        <f t="shared" si="39"/>
        <v>2.2275662806555256E-3</v>
      </c>
      <c r="O385">
        <f t="shared" si="40"/>
        <v>52.378971864968939</v>
      </c>
      <c r="P385">
        <f t="shared" si="41"/>
        <v>4.3279476689087656E-4</v>
      </c>
    </row>
    <row r="386" spans="1:16" x14ac:dyDescent="0.25">
      <c r="A386" s="1">
        <v>19.2</v>
      </c>
      <c r="B386" s="2">
        <v>2.6040000000000001</v>
      </c>
      <c r="C386">
        <v>4.0000000000000001E-3</v>
      </c>
      <c r="H386">
        <f t="shared" si="35"/>
        <v>19.2</v>
      </c>
      <c r="I386">
        <f t="shared" si="36"/>
        <v>2.6040000000000001</v>
      </c>
      <c r="J386">
        <f t="shared" si="37"/>
        <v>3.3396297066777621E-3</v>
      </c>
      <c r="K386">
        <f t="shared" si="38"/>
        <v>52.218546223728602</v>
      </c>
      <c r="L386">
        <f t="shared" si="39"/>
        <v>2.226419804451841E-3</v>
      </c>
      <c r="O386">
        <f t="shared" si="40"/>
        <v>52.378971864968939</v>
      </c>
      <c r="P386">
        <f t="shared" si="41"/>
        <v>4.3164829068719195E-4</v>
      </c>
    </row>
    <row r="387" spans="1:16" x14ac:dyDescent="0.25">
      <c r="A387" s="1">
        <v>19.25</v>
      </c>
      <c r="B387" s="2">
        <v>2.6040000000000001</v>
      </c>
      <c r="C387">
        <v>4.0000000000000001E-3</v>
      </c>
      <c r="H387">
        <f t="shared" ref="H387:H450" si="42">A387</f>
        <v>19.25</v>
      </c>
      <c r="I387">
        <f t="shared" ref="I387:I450" si="43">B387</f>
        <v>2.6040000000000001</v>
      </c>
      <c r="J387">
        <f t="shared" ref="J387:J450" si="44">C387-E$12*A387</f>
        <v>3.3379099923722356E-3</v>
      </c>
      <c r="K387">
        <f t="shared" ref="K387:K450" si="45">F$24*I387</f>
        <v>52.218546223728602</v>
      </c>
      <c r="L387">
        <f t="shared" ref="L387:L450" si="46">F$25*J387</f>
        <v>2.2252733282481568E-3</v>
      </c>
      <c r="O387">
        <f t="shared" ref="O387:O450" si="47">K387-N$12</f>
        <v>52.378971864968939</v>
      </c>
      <c r="P387">
        <f t="shared" ref="P387:P450" si="48">L387-N$15</f>
        <v>4.3050181448350778E-4</v>
      </c>
    </row>
    <row r="388" spans="1:16" x14ac:dyDescent="0.25">
      <c r="A388" s="1">
        <v>19.3</v>
      </c>
      <c r="B388" s="2">
        <v>2.6040000000000001</v>
      </c>
      <c r="C388">
        <v>4.0000000000000001E-3</v>
      </c>
      <c r="H388">
        <f t="shared" si="42"/>
        <v>19.3</v>
      </c>
      <c r="I388">
        <f t="shared" si="43"/>
        <v>2.6040000000000001</v>
      </c>
      <c r="J388">
        <f t="shared" si="44"/>
        <v>3.3361902780667087E-3</v>
      </c>
      <c r="K388">
        <f t="shared" si="45"/>
        <v>52.218546223728602</v>
      </c>
      <c r="L388">
        <f t="shared" si="46"/>
        <v>2.2241268520444722E-3</v>
      </c>
      <c r="O388">
        <f t="shared" si="47"/>
        <v>52.378971864968939</v>
      </c>
      <c r="P388">
        <f t="shared" si="48"/>
        <v>4.2935533827982318E-4</v>
      </c>
    </row>
    <row r="389" spans="1:16" x14ac:dyDescent="0.25">
      <c r="A389" s="1">
        <v>19.350000000000001</v>
      </c>
      <c r="B389" s="2">
        <v>2.6059999999999999</v>
      </c>
      <c r="C389">
        <v>4.0000000000000001E-3</v>
      </c>
      <c r="H389">
        <f t="shared" si="42"/>
        <v>19.350000000000001</v>
      </c>
      <c r="I389">
        <f t="shared" si="43"/>
        <v>2.6059999999999999</v>
      </c>
      <c r="J389">
        <f t="shared" si="44"/>
        <v>3.3344705637611822E-3</v>
      </c>
      <c r="K389">
        <f t="shared" si="45"/>
        <v>52.258652634038683</v>
      </c>
      <c r="L389">
        <f t="shared" si="46"/>
        <v>2.2229803758407876E-3</v>
      </c>
      <c r="O389">
        <f t="shared" si="47"/>
        <v>52.41907827527902</v>
      </c>
      <c r="P389">
        <f t="shared" si="48"/>
        <v>4.2820886207613857E-4</v>
      </c>
    </row>
    <row r="390" spans="1:16" x14ac:dyDescent="0.25">
      <c r="A390" s="1">
        <v>19.399999999999999</v>
      </c>
      <c r="B390" s="2">
        <v>2.6429999999999998</v>
      </c>
      <c r="C390">
        <v>4.0000000000000001E-3</v>
      </c>
      <c r="H390">
        <f t="shared" si="42"/>
        <v>19.399999999999999</v>
      </c>
      <c r="I390">
        <f t="shared" si="43"/>
        <v>2.6429999999999998</v>
      </c>
      <c r="J390">
        <f t="shared" si="44"/>
        <v>3.3327508494556558E-3</v>
      </c>
      <c r="K390">
        <f t="shared" si="45"/>
        <v>53.000621224775223</v>
      </c>
      <c r="L390">
        <f t="shared" si="46"/>
        <v>2.2218338996371034E-3</v>
      </c>
      <c r="O390">
        <f t="shared" si="47"/>
        <v>53.16104686601556</v>
      </c>
      <c r="P390">
        <f t="shared" si="48"/>
        <v>4.270623858724544E-4</v>
      </c>
    </row>
    <row r="391" spans="1:16" x14ac:dyDescent="0.25">
      <c r="A391" s="1">
        <v>19.45</v>
      </c>
      <c r="B391" s="2">
        <v>2.702</v>
      </c>
      <c r="C391">
        <v>4.0000000000000001E-3</v>
      </c>
      <c r="H391">
        <f t="shared" si="42"/>
        <v>19.45</v>
      </c>
      <c r="I391">
        <f t="shared" si="43"/>
        <v>2.702</v>
      </c>
      <c r="J391">
        <f t="shared" si="44"/>
        <v>3.3310311351501289E-3</v>
      </c>
      <c r="K391">
        <f t="shared" si="45"/>
        <v>54.183760328922688</v>
      </c>
      <c r="L391">
        <f t="shared" si="46"/>
        <v>2.2206874234334188E-3</v>
      </c>
      <c r="O391">
        <f t="shared" si="47"/>
        <v>54.344185970163025</v>
      </c>
      <c r="P391">
        <f t="shared" si="48"/>
        <v>4.259159096687698E-4</v>
      </c>
    </row>
    <row r="392" spans="1:16" x14ac:dyDescent="0.25">
      <c r="A392" s="1">
        <v>19.5</v>
      </c>
      <c r="B392" s="2">
        <v>2.7549999999999999</v>
      </c>
      <c r="C392">
        <v>4.0000000000000001E-3</v>
      </c>
      <c r="H392">
        <f t="shared" si="42"/>
        <v>19.5</v>
      </c>
      <c r="I392">
        <f t="shared" si="43"/>
        <v>2.7549999999999999</v>
      </c>
      <c r="J392">
        <f t="shared" si="44"/>
        <v>3.329311420844602E-3</v>
      </c>
      <c r="K392">
        <f t="shared" si="45"/>
        <v>55.246580202139896</v>
      </c>
      <c r="L392">
        <f t="shared" si="46"/>
        <v>2.2195409472297342E-3</v>
      </c>
      <c r="O392">
        <f t="shared" si="47"/>
        <v>55.407005843380233</v>
      </c>
      <c r="P392">
        <f t="shared" si="48"/>
        <v>4.2476943346508519E-4</v>
      </c>
    </row>
    <row r="393" spans="1:16" x14ac:dyDescent="0.25">
      <c r="A393" s="1">
        <v>19.55</v>
      </c>
      <c r="B393" s="2">
        <v>2.819</v>
      </c>
      <c r="C393">
        <v>4.0000000000000001E-3</v>
      </c>
      <c r="H393">
        <f t="shared" si="42"/>
        <v>19.55</v>
      </c>
      <c r="I393">
        <f t="shared" si="43"/>
        <v>2.819</v>
      </c>
      <c r="J393">
        <f t="shared" si="44"/>
        <v>3.3275917065390755E-3</v>
      </c>
      <c r="K393">
        <f t="shared" si="45"/>
        <v>56.529985332062566</v>
      </c>
      <c r="L393">
        <f t="shared" si="46"/>
        <v>2.21839447102605E-3</v>
      </c>
      <c r="O393">
        <f t="shared" si="47"/>
        <v>56.690410973302903</v>
      </c>
      <c r="P393">
        <f t="shared" si="48"/>
        <v>4.2362295726140102E-4</v>
      </c>
    </row>
    <row r="394" spans="1:16" x14ac:dyDescent="0.25">
      <c r="A394" s="1">
        <v>19.600000000000001</v>
      </c>
      <c r="B394" s="2">
        <v>2.8679999999999999</v>
      </c>
      <c r="C394">
        <v>4.0000000000000001E-3</v>
      </c>
      <c r="H394">
        <f t="shared" si="42"/>
        <v>19.600000000000001</v>
      </c>
      <c r="I394">
        <f t="shared" si="43"/>
        <v>2.8679999999999999</v>
      </c>
      <c r="J394">
        <f t="shared" si="44"/>
        <v>3.325871992233549E-3</v>
      </c>
      <c r="K394">
        <f t="shared" si="45"/>
        <v>57.512592384659612</v>
      </c>
      <c r="L394">
        <f t="shared" si="46"/>
        <v>2.2172479948223654E-3</v>
      </c>
      <c r="O394">
        <f t="shared" si="47"/>
        <v>57.67301802589995</v>
      </c>
      <c r="P394">
        <f t="shared" si="48"/>
        <v>4.2247648105771642E-4</v>
      </c>
    </row>
    <row r="395" spans="1:16" x14ac:dyDescent="0.25">
      <c r="A395" s="1">
        <v>19.649999999999999</v>
      </c>
      <c r="B395" s="2">
        <v>2.8969999999999998</v>
      </c>
      <c r="C395">
        <v>4.0000000000000001E-3</v>
      </c>
      <c r="H395">
        <f t="shared" si="42"/>
        <v>19.649999999999999</v>
      </c>
      <c r="I395">
        <f t="shared" si="43"/>
        <v>2.8969999999999998</v>
      </c>
      <c r="J395">
        <f t="shared" si="44"/>
        <v>3.3241522779280221E-3</v>
      </c>
      <c r="K395">
        <f t="shared" si="45"/>
        <v>58.094135334155816</v>
      </c>
      <c r="L395">
        <f t="shared" si="46"/>
        <v>2.2161015186186808E-3</v>
      </c>
      <c r="O395">
        <f t="shared" si="47"/>
        <v>58.254560975396153</v>
      </c>
      <c r="P395">
        <f t="shared" si="48"/>
        <v>4.2133000485403182E-4</v>
      </c>
    </row>
    <row r="396" spans="1:16" x14ac:dyDescent="0.25">
      <c r="A396" s="1">
        <v>19.7</v>
      </c>
      <c r="B396" s="2">
        <v>2.944</v>
      </c>
      <c r="C396">
        <v>4.0000000000000001E-3</v>
      </c>
      <c r="H396">
        <f t="shared" si="42"/>
        <v>19.7</v>
      </c>
      <c r="I396">
        <f t="shared" si="43"/>
        <v>2.944</v>
      </c>
      <c r="J396">
        <f t="shared" si="44"/>
        <v>3.3224325636224956E-3</v>
      </c>
      <c r="K396">
        <f t="shared" si="45"/>
        <v>59.036635976442781</v>
      </c>
      <c r="L396">
        <f t="shared" si="46"/>
        <v>2.2149550424149967E-3</v>
      </c>
      <c r="O396">
        <f t="shared" si="47"/>
        <v>59.197061617683119</v>
      </c>
      <c r="P396">
        <f t="shared" si="48"/>
        <v>4.2018352865034764E-4</v>
      </c>
    </row>
    <row r="397" spans="1:16" x14ac:dyDescent="0.25">
      <c r="A397" s="1">
        <v>19.75</v>
      </c>
      <c r="B397" s="2">
        <v>2.9590000000000001</v>
      </c>
      <c r="C397">
        <v>4.0000000000000001E-3</v>
      </c>
      <c r="H397">
        <f t="shared" si="42"/>
        <v>19.75</v>
      </c>
      <c r="I397">
        <f t="shared" si="43"/>
        <v>2.9590000000000001</v>
      </c>
      <c r="J397">
        <f t="shared" si="44"/>
        <v>3.3207128493169692E-3</v>
      </c>
      <c r="K397">
        <f t="shared" si="45"/>
        <v>59.337434053768412</v>
      </c>
      <c r="L397">
        <f t="shared" si="46"/>
        <v>2.2138085662113125E-3</v>
      </c>
      <c r="O397">
        <f t="shared" si="47"/>
        <v>59.497859695008749</v>
      </c>
      <c r="P397">
        <f t="shared" si="48"/>
        <v>4.1903705244666347E-4</v>
      </c>
    </row>
    <row r="398" spans="1:16" x14ac:dyDescent="0.25">
      <c r="A398" s="1">
        <v>19.8</v>
      </c>
      <c r="B398" s="2">
        <v>2.9590000000000001</v>
      </c>
      <c r="C398">
        <v>4.0000000000000001E-3</v>
      </c>
      <c r="H398">
        <f t="shared" si="42"/>
        <v>19.8</v>
      </c>
      <c r="I398">
        <f t="shared" si="43"/>
        <v>2.9590000000000001</v>
      </c>
      <c r="J398">
        <f t="shared" si="44"/>
        <v>3.3189931350114422E-3</v>
      </c>
      <c r="K398">
        <f t="shared" si="45"/>
        <v>59.337434053768412</v>
      </c>
      <c r="L398">
        <f t="shared" si="46"/>
        <v>2.2126620900076279E-3</v>
      </c>
      <c r="O398">
        <f t="shared" si="47"/>
        <v>59.497859695008749</v>
      </c>
      <c r="P398">
        <f t="shared" si="48"/>
        <v>4.1789057624297887E-4</v>
      </c>
    </row>
    <row r="399" spans="1:16" x14ac:dyDescent="0.25">
      <c r="A399" s="1">
        <v>19.850000000000001</v>
      </c>
      <c r="B399" s="2">
        <v>2.9590000000000001</v>
      </c>
      <c r="C399">
        <v>4.0000000000000001E-3</v>
      </c>
      <c r="H399">
        <f t="shared" si="42"/>
        <v>19.850000000000001</v>
      </c>
      <c r="I399">
        <f t="shared" si="43"/>
        <v>2.9590000000000001</v>
      </c>
      <c r="J399">
        <f t="shared" si="44"/>
        <v>3.3172734207059153E-3</v>
      </c>
      <c r="K399">
        <f t="shared" si="45"/>
        <v>59.337434053768412</v>
      </c>
      <c r="L399">
        <f t="shared" si="46"/>
        <v>2.2115156138039433E-3</v>
      </c>
      <c r="O399">
        <f t="shared" si="47"/>
        <v>59.497859695008749</v>
      </c>
      <c r="P399">
        <f t="shared" si="48"/>
        <v>4.1674410003929427E-4</v>
      </c>
    </row>
    <row r="400" spans="1:16" x14ac:dyDescent="0.25">
      <c r="A400" s="1">
        <v>19.899999999999999</v>
      </c>
      <c r="B400" s="2">
        <v>2.9590000000000001</v>
      </c>
      <c r="C400">
        <v>4.0000000000000001E-3</v>
      </c>
      <c r="H400">
        <f t="shared" si="42"/>
        <v>19.899999999999999</v>
      </c>
      <c r="I400">
        <f t="shared" si="43"/>
        <v>2.9590000000000001</v>
      </c>
      <c r="J400">
        <f t="shared" si="44"/>
        <v>3.3155537064003889E-3</v>
      </c>
      <c r="K400">
        <f t="shared" si="45"/>
        <v>59.337434053768412</v>
      </c>
      <c r="L400">
        <f t="shared" si="46"/>
        <v>2.2103691376002587E-3</v>
      </c>
      <c r="O400">
        <f t="shared" si="47"/>
        <v>59.497859695008749</v>
      </c>
      <c r="P400">
        <f t="shared" si="48"/>
        <v>4.1559762383560966E-4</v>
      </c>
    </row>
    <row r="401" spans="1:16" x14ac:dyDescent="0.25">
      <c r="A401" s="1">
        <v>19.95</v>
      </c>
      <c r="B401" s="2">
        <v>2.9590000000000001</v>
      </c>
      <c r="C401">
        <v>4.0000000000000001E-3</v>
      </c>
      <c r="H401">
        <f t="shared" si="42"/>
        <v>19.95</v>
      </c>
      <c r="I401">
        <f t="shared" si="43"/>
        <v>2.9590000000000001</v>
      </c>
      <c r="J401">
        <f t="shared" si="44"/>
        <v>3.3138339920948624E-3</v>
      </c>
      <c r="K401">
        <f t="shared" si="45"/>
        <v>59.337434053768412</v>
      </c>
      <c r="L401">
        <f t="shared" si="46"/>
        <v>2.2092226613965745E-3</v>
      </c>
      <c r="O401">
        <f t="shared" si="47"/>
        <v>59.497859695008749</v>
      </c>
      <c r="P401">
        <f t="shared" si="48"/>
        <v>4.1445114763192549E-4</v>
      </c>
    </row>
    <row r="402" spans="1:16" x14ac:dyDescent="0.25">
      <c r="A402" s="1">
        <v>20</v>
      </c>
      <c r="B402" s="2">
        <v>2.9590000000000001</v>
      </c>
      <c r="C402">
        <v>4.0000000000000001E-3</v>
      </c>
      <c r="H402">
        <f t="shared" si="42"/>
        <v>20</v>
      </c>
      <c r="I402">
        <f t="shared" si="43"/>
        <v>2.9590000000000001</v>
      </c>
      <c r="J402">
        <f t="shared" si="44"/>
        <v>3.3121142777893355E-3</v>
      </c>
      <c r="K402">
        <f t="shared" si="45"/>
        <v>59.337434053768412</v>
      </c>
      <c r="L402">
        <f t="shared" si="46"/>
        <v>2.2080761851928899E-3</v>
      </c>
      <c r="O402">
        <f t="shared" si="47"/>
        <v>59.497859695008749</v>
      </c>
      <c r="P402">
        <f t="shared" si="48"/>
        <v>4.1330467142824089E-4</v>
      </c>
    </row>
    <row r="403" spans="1:16" x14ac:dyDescent="0.25">
      <c r="A403" s="1">
        <v>20.05</v>
      </c>
      <c r="B403" s="2">
        <v>2.9609999999999999</v>
      </c>
      <c r="C403">
        <v>4.0000000000000001E-3</v>
      </c>
      <c r="H403">
        <f t="shared" si="42"/>
        <v>20.05</v>
      </c>
      <c r="I403">
        <f t="shared" si="43"/>
        <v>2.9609999999999999</v>
      </c>
      <c r="J403">
        <f t="shared" si="44"/>
        <v>3.310394563483809E-3</v>
      </c>
      <c r="K403">
        <f t="shared" si="45"/>
        <v>59.377540464078486</v>
      </c>
      <c r="L403">
        <f t="shared" si="46"/>
        <v>2.2069297089892057E-3</v>
      </c>
      <c r="O403">
        <f t="shared" si="47"/>
        <v>59.537966105318823</v>
      </c>
      <c r="P403">
        <f t="shared" si="48"/>
        <v>4.1215819522455672E-4</v>
      </c>
    </row>
    <row r="404" spans="1:16" x14ac:dyDescent="0.25">
      <c r="A404" s="1">
        <v>20.100000000000001</v>
      </c>
      <c r="B404" s="2">
        <v>2.9969999999999999</v>
      </c>
      <c r="C404">
        <v>4.0000000000000001E-3</v>
      </c>
      <c r="H404">
        <f t="shared" si="42"/>
        <v>20.100000000000001</v>
      </c>
      <c r="I404">
        <f t="shared" si="43"/>
        <v>2.9969999999999999</v>
      </c>
      <c r="J404">
        <f t="shared" si="44"/>
        <v>3.3086748491782821E-3</v>
      </c>
      <c r="K404">
        <f t="shared" si="45"/>
        <v>60.099455849659989</v>
      </c>
      <c r="L404">
        <f t="shared" si="46"/>
        <v>2.2057832327855211E-3</v>
      </c>
      <c r="O404">
        <f t="shared" si="47"/>
        <v>60.259881490900327</v>
      </c>
      <c r="P404">
        <f t="shared" si="48"/>
        <v>4.1101171902087211E-4</v>
      </c>
    </row>
    <row r="405" spans="1:16" x14ac:dyDescent="0.25">
      <c r="A405" s="1">
        <v>20.149999999999999</v>
      </c>
      <c r="B405" s="2">
        <v>3.0369999999999999</v>
      </c>
      <c r="C405">
        <v>4.0000000000000001E-3</v>
      </c>
      <c r="H405">
        <f t="shared" si="42"/>
        <v>20.149999999999999</v>
      </c>
      <c r="I405">
        <f t="shared" si="43"/>
        <v>3.0369999999999999</v>
      </c>
      <c r="J405">
        <f t="shared" si="44"/>
        <v>3.3069551348727556E-3</v>
      </c>
      <c r="K405">
        <f t="shared" si="45"/>
        <v>60.901584055861662</v>
      </c>
      <c r="L405">
        <f t="shared" si="46"/>
        <v>2.2046367565818365E-3</v>
      </c>
      <c r="O405">
        <f t="shared" si="47"/>
        <v>61.062009697101999</v>
      </c>
      <c r="P405">
        <f t="shared" si="48"/>
        <v>4.0986524281718751E-4</v>
      </c>
    </row>
    <row r="406" spans="1:16" x14ac:dyDescent="0.25">
      <c r="A406" s="1">
        <v>20.2</v>
      </c>
      <c r="B406" s="2">
        <v>3.056</v>
      </c>
      <c r="C406">
        <v>4.0000000000000001E-3</v>
      </c>
      <c r="H406">
        <f t="shared" si="42"/>
        <v>20.2</v>
      </c>
      <c r="I406">
        <f t="shared" si="43"/>
        <v>3.056</v>
      </c>
      <c r="J406">
        <f t="shared" si="44"/>
        <v>3.3052354205672287E-3</v>
      </c>
      <c r="K406">
        <f t="shared" si="45"/>
        <v>61.282594953807454</v>
      </c>
      <c r="L406">
        <f t="shared" si="46"/>
        <v>2.2034902803781519E-3</v>
      </c>
      <c r="O406">
        <f t="shared" si="47"/>
        <v>61.443020595047791</v>
      </c>
      <c r="P406">
        <f t="shared" si="48"/>
        <v>4.087187666135029E-4</v>
      </c>
    </row>
    <row r="407" spans="1:16" x14ac:dyDescent="0.25">
      <c r="A407" s="1">
        <v>20.25</v>
      </c>
      <c r="B407" s="2">
        <v>3.113</v>
      </c>
      <c r="C407">
        <v>4.0000000000000001E-3</v>
      </c>
      <c r="H407">
        <f t="shared" si="42"/>
        <v>20.25</v>
      </c>
      <c r="I407">
        <f t="shared" si="43"/>
        <v>3.113</v>
      </c>
      <c r="J407">
        <f t="shared" si="44"/>
        <v>3.3035157062617023E-3</v>
      </c>
      <c r="K407">
        <f t="shared" si="45"/>
        <v>62.425627647644831</v>
      </c>
      <c r="L407">
        <f t="shared" si="46"/>
        <v>2.2023438041744677E-3</v>
      </c>
      <c r="O407">
        <f t="shared" si="47"/>
        <v>62.586053288885168</v>
      </c>
      <c r="P407">
        <f t="shared" si="48"/>
        <v>4.0757229040981873E-4</v>
      </c>
    </row>
    <row r="408" spans="1:16" x14ac:dyDescent="0.25">
      <c r="A408" s="1">
        <v>20.3</v>
      </c>
      <c r="B408" s="2">
        <v>3.1880000000000002</v>
      </c>
      <c r="C408">
        <v>4.0000000000000001E-3</v>
      </c>
      <c r="H408">
        <f t="shared" si="42"/>
        <v>20.3</v>
      </c>
      <c r="I408">
        <f t="shared" si="43"/>
        <v>3.1880000000000002</v>
      </c>
      <c r="J408">
        <f t="shared" si="44"/>
        <v>3.3017959919561758E-3</v>
      </c>
      <c r="K408">
        <f t="shared" si="45"/>
        <v>63.929618034272963</v>
      </c>
      <c r="L408">
        <f t="shared" si="46"/>
        <v>2.2011973279707836E-3</v>
      </c>
      <c r="O408">
        <f t="shared" si="47"/>
        <v>64.0900436755133</v>
      </c>
      <c r="P408">
        <f t="shared" si="48"/>
        <v>4.0642581420613456E-4</v>
      </c>
    </row>
    <row r="409" spans="1:16" x14ac:dyDescent="0.25">
      <c r="A409" s="1">
        <v>20.350000000000001</v>
      </c>
      <c r="B409" s="2">
        <v>3.242</v>
      </c>
      <c r="C409">
        <v>4.0000000000000001E-3</v>
      </c>
      <c r="H409">
        <f t="shared" si="42"/>
        <v>20.350000000000001</v>
      </c>
      <c r="I409">
        <f t="shared" si="43"/>
        <v>3.242</v>
      </c>
      <c r="J409">
        <f t="shared" si="44"/>
        <v>3.3000762776506489E-3</v>
      </c>
      <c r="K409">
        <f t="shared" si="45"/>
        <v>65.012491112645208</v>
      </c>
      <c r="L409">
        <f t="shared" si="46"/>
        <v>2.200050851767099E-3</v>
      </c>
      <c r="O409">
        <f t="shared" si="47"/>
        <v>65.172916753885545</v>
      </c>
      <c r="P409">
        <f t="shared" si="48"/>
        <v>4.0527933800244996E-4</v>
      </c>
    </row>
    <row r="410" spans="1:16" x14ac:dyDescent="0.25">
      <c r="A410" s="1">
        <v>20.399999999999999</v>
      </c>
      <c r="B410" s="2">
        <v>3.331</v>
      </c>
      <c r="C410">
        <v>4.0000000000000001E-3</v>
      </c>
      <c r="H410">
        <f t="shared" si="42"/>
        <v>20.399999999999999</v>
      </c>
      <c r="I410">
        <f t="shared" si="43"/>
        <v>3.331</v>
      </c>
      <c r="J410">
        <f t="shared" si="44"/>
        <v>3.2983565633451224E-3</v>
      </c>
      <c r="K410">
        <f t="shared" si="45"/>
        <v>66.797226371443926</v>
      </c>
      <c r="L410">
        <f t="shared" si="46"/>
        <v>2.1989043755634144E-3</v>
      </c>
      <c r="O410">
        <f t="shared" si="47"/>
        <v>66.957652012684264</v>
      </c>
      <c r="P410">
        <f t="shared" si="48"/>
        <v>4.0413286179876535E-4</v>
      </c>
    </row>
    <row r="411" spans="1:16" x14ac:dyDescent="0.25">
      <c r="A411" s="1">
        <v>20.45</v>
      </c>
      <c r="B411" s="2">
        <v>3.39</v>
      </c>
      <c r="C411">
        <v>4.0000000000000001E-3</v>
      </c>
      <c r="H411">
        <f t="shared" si="42"/>
        <v>20.45</v>
      </c>
      <c r="I411">
        <f t="shared" si="43"/>
        <v>3.39</v>
      </c>
      <c r="J411">
        <f t="shared" si="44"/>
        <v>3.2966368490395959E-3</v>
      </c>
      <c r="K411">
        <f t="shared" si="45"/>
        <v>67.980365475591384</v>
      </c>
      <c r="L411">
        <f t="shared" si="46"/>
        <v>2.1977578993597302E-3</v>
      </c>
      <c r="O411">
        <f t="shared" si="47"/>
        <v>68.140791116831721</v>
      </c>
      <c r="P411">
        <f t="shared" si="48"/>
        <v>4.0298638559508118E-4</v>
      </c>
    </row>
    <row r="412" spans="1:16" x14ac:dyDescent="0.25">
      <c r="A412" s="1">
        <v>20.5</v>
      </c>
      <c r="B412" s="2">
        <v>3.4060000000000001</v>
      </c>
      <c r="C412">
        <v>3.0000000000000001E-3</v>
      </c>
      <c r="H412">
        <f t="shared" si="42"/>
        <v>20.5</v>
      </c>
      <c r="I412">
        <f t="shared" si="43"/>
        <v>3.4060000000000001</v>
      </c>
      <c r="J412">
        <f t="shared" si="44"/>
        <v>2.294917134734069E-3</v>
      </c>
      <c r="K412">
        <f t="shared" si="45"/>
        <v>68.301216758072059</v>
      </c>
      <c r="L412">
        <f t="shared" si="46"/>
        <v>1.529944756489379E-3</v>
      </c>
      <c r="O412">
        <f t="shared" si="47"/>
        <v>68.461642399312396</v>
      </c>
      <c r="P412">
        <f t="shared" si="48"/>
        <v>-2.6482675727526996E-4</v>
      </c>
    </row>
    <row r="413" spans="1:16" x14ac:dyDescent="0.25">
      <c r="A413" s="1">
        <v>20.55</v>
      </c>
      <c r="B413" s="2">
        <v>3.4049999999999998</v>
      </c>
      <c r="C413">
        <v>4.0000000000000001E-3</v>
      </c>
      <c r="H413">
        <f t="shared" si="42"/>
        <v>20.55</v>
      </c>
      <c r="I413">
        <f t="shared" si="43"/>
        <v>3.4049999999999998</v>
      </c>
      <c r="J413">
        <f t="shared" si="44"/>
        <v>3.2931974204285421E-3</v>
      </c>
      <c r="K413">
        <f t="shared" si="45"/>
        <v>68.281163552917008</v>
      </c>
      <c r="L413">
        <f t="shared" si="46"/>
        <v>2.195464946952361E-3</v>
      </c>
      <c r="O413">
        <f t="shared" si="47"/>
        <v>68.441589194157345</v>
      </c>
      <c r="P413">
        <f t="shared" si="48"/>
        <v>4.0069343318771197E-4</v>
      </c>
    </row>
    <row r="414" spans="1:16" x14ac:dyDescent="0.25">
      <c r="A414" s="1">
        <v>20.6</v>
      </c>
      <c r="B414" s="2">
        <v>3.4049999999999998</v>
      </c>
      <c r="C414">
        <v>4.0000000000000001E-3</v>
      </c>
      <c r="H414">
        <f t="shared" si="42"/>
        <v>20.6</v>
      </c>
      <c r="I414">
        <f t="shared" si="43"/>
        <v>3.4049999999999998</v>
      </c>
      <c r="J414">
        <f t="shared" si="44"/>
        <v>3.2914777061230156E-3</v>
      </c>
      <c r="K414">
        <f t="shared" si="45"/>
        <v>68.281163552917008</v>
      </c>
      <c r="L414">
        <f t="shared" si="46"/>
        <v>2.1943184707486768E-3</v>
      </c>
      <c r="O414">
        <f t="shared" si="47"/>
        <v>68.441589194157345</v>
      </c>
      <c r="P414">
        <f t="shared" si="48"/>
        <v>3.995469569840278E-4</v>
      </c>
    </row>
    <row r="415" spans="1:16" x14ac:dyDescent="0.25">
      <c r="A415" s="1">
        <v>20.65</v>
      </c>
      <c r="B415" s="2">
        <v>3.4060000000000001</v>
      </c>
      <c r="C415">
        <v>4.0000000000000001E-3</v>
      </c>
      <c r="H415">
        <f t="shared" si="42"/>
        <v>20.65</v>
      </c>
      <c r="I415">
        <f t="shared" si="43"/>
        <v>3.4060000000000001</v>
      </c>
      <c r="J415">
        <f t="shared" si="44"/>
        <v>3.2897579918174892E-3</v>
      </c>
      <c r="K415">
        <f t="shared" si="45"/>
        <v>68.301216758072059</v>
      </c>
      <c r="L415">
        <f t="shared" si="46"/>
        <v>2.1931719945449922E-3</v>
      </c>
      <c r="O415">
        <f t="shared" si="47"/>
        <v>68.461642399312396</v>
      </c>
      <c r="P415">
        <f t="shared" si="48"/>
        <v>3.984004807803432E-4</v>
      </c>
    </row>
    <row r="416" spans="1:16" x14ac:dyDescent="0.25">
      <c r="A416" s="1">
        <v>20.7</v>
      </c>
      <c r="B416" s="2">
        <v>3.4060000000000001</v>
      </c>
      <c r="C416">
        <v>4.0000000000000001E-3</v>
      </c>
      <c r="H416">
        <f t="shared" si="42"/>
        <v>20.7</v>
      </c>
      <c r="I416">
        <f t="shared" si="43"/>
        <v>3.4060000000000001</v>
      </c>
      <c r="J416">
        <f t="shared" si="44"/>
        <v>3.2880382775119623E-3</v>
      </c>
      <c r="K416">
        <f t="shared" si="45"/>
        <v>68.301216758072059</v>
      </c>
      <c r="L416">
        <f t="shared" si="46"/>
        <v>2.1920255183413076E-3</v>
      </c>
      <c r="O416">
        <f t="shared" si="47"/>
        <v>68.461642399312396</v>
      </c>
      <c r="P416">
        <f t="shared" si="48"/>
        <v>3.9725400457665859E-4</v>
      </c>
    </row>
    <row r="417" spans="1:16" x14ac:dyDescent="0.25">
      <c r="A417" s="1">
        <v>20.75</v>
      </c>
      <c r="B417" s="2">
        <v>3.4060000000000001</v>
      </c>
      <c r="C417">
        <v>4.0000000000000001E-3</v>
      </c>
      <c r="H417">
        <f t="shared" si="42"/>
        <v>20.75</v>
      </c>
      <c r="I417">
        <f t="shared" si="43"/>
        <v>3.4060000000000001</v>
      </c>
      <c r="J417">
        <f t="shared" si="44"/>
        <v>3.2863185632064358E-3</v>
      </c>
      <c r="K417">
        <f t="shared" si="45"/>
        <v>68.301216758072059</v>
      </c>
      <c r="L417">
        <f t="shared" si="46"/>
        <v>2.1908790421376234E-3</v>
      </c>
      <c r="O417">
        <f t="shared" si="47"/>
        <v>68.461642399312396</v>
      </c>
      <c r="P417">
        <f t="shared" si="48"/>
        <v>3.9610752837297442E-4</v>
      </c>
    </row>
    <row r="418" spans="1:16" x14ac:dyDescent="0.25">
      <c r="A418" s="1">
        <v>20.8</v>
      </c>
      <c r="B418" s="2">
        <v>3.407</v>
      </c>
      <c r="C418">
        <v>4.0000000000000001E-3</v>
      </c>
      <c r="H418">
        <f t="shared" si="42"/>
        <v>20.8</v>
      </c>
      <c r="I418">
        <f t="shared" si="43"/>
        <v>3.407</v>
      </c>
      <c r="J418">
        <f t="shared" si="44"/>
        <v>3.2845988489009089E-3</v>
      </c>
      <c r="K418">
        <f t="shared" si="45"/>
        <v>68.321269963227095</v>
      </c>
      <c r="L418">
        <f t="shared" si="46"/>
        <v>2.1897325659339388E-3</v>
      </c>
      <c r="O418">
        <f t="shared" si="47"/>
        <v>68.481695604467433</v>
      </c>
      <c r="P418">
        <f t="shared" si="48"/>
        <v>3.9496105216928982E-4</v>
      </c>
    </row>
    <row r="419" spans="1:16" x14ac:dyDescent="0.25">
      <c r="A419" s="1">
        <v>20.85</v>
      </c>
      <c r="B419" s="2">
        <v>3.411</v>
      </c>
      <c r="C419">
        <v>4.0000000000000001E-3</v>
      </c>
      <c r="H419">
        <f t="shared" si="42"/>
        <v>20.85</v>
      </c>
      <c r="I419">
        <f t="shared" si="43"/>
        <v>3.411</v>
      </c>
      <c r="J419">
        <f t="shared" si="44"/>
        <v>3.2828791345953824E-3</v>
      </c>
      <c r="K419">
        <f t="shared" si="45"/>
        <v>68.401482783847257</v>
      </c>
      <c r="L419">
        <f t="shared" si="46"/>
        <v>2.1885860897302547E-3</v>
      </c>
      <c r="O419">
        <f t="shared" si="47"/>
        <v>68.561908425087594</v>
      </c>
      <c r="P419">
        <f t="shared" si="48"/>
        <v>3.9381457596560565E-4</v>
      </c>
    </row>
    <row r="420" spans="1:16" x14ac:dyDescent="0.25">
      <c r="A420" s="1">
        <v>20.9</v>
      </c>
      <c r="B420" s="2">
        <v>3.4489999999999998</v>
      </c>
      <c r="C420">
        <v>4.0000000000000001E-3</v>
      </c>
      <c r="H420">
        <f t="shared" si="42"/>
        <v>20.9</v>
      </c>
      <c r="I420">
        <f t="shared" si="43"/>
        <v>3.4489999999999998</v>
      </c>
      <c r="J420">
        <f t="shared" si="44"/>
        <v>3.2811594202898555E-3</v>
      </c>
      <c r="K420">
        <f t="shared" si="45"/>
        <v>69.163504579738841</v>
      </c>
      <c r="L420">
        <f t="shared" si="46"/>
        <v>2.18743961352657E-3</v>
      </c>
      <c r="O420">
        <f t="shared" si="47"/>
        <v>69.323930220979179</v>
      </c>
      <c r="P420">
        <f t="shared" si="48"/>
        <v>3.9266809976192104E-4</v>
      </c>
    </row>
    <row r="421" spans="1:16" x14ac:dyDescent="0.25">
      <c r="A421" s="1">
        <v>20.95</v>
      </c>
      <c r="B421" s="2">
        <v>3.5129999999999999</v>
      </c>
      <c r="C421">
        <v>4.0000000000000001E-3</v>
      </c>
      <c r="H421">
        <f t="shared" si="42"/>
        <v>20.95</v>
      </c>
      <c r="I421">
        <f t="shared" si="43"/>
        <v>3.5129999999999999</v>
      </c>
      <c r="J421">
        <f t="shared" si="44"/>
        <v>3.279439705984329E-3</v>
      </c>
      <c r="K421">
        <f t="shared" si="45"/>
        <v>70.446909709661512</v>
      </c>
      <c r="L421">
        <f t="shared" si="46"/>
        <v>2.1862931373228854E-3</v>
      </c>
      <c r="O421">
        <f t="shared" si="47"/>
        <v>70.607335350901849</v>
      </c>
      <c r="P421">
        <f t="shared" si="48"/>
        <v>3.9152162355823644E-4</v>
      </c>
    </row>
    <row r="422" spans="1:16" x14ac:dyDescent="0.25">
      <c r="A422" s="1">
        <v>21</v>
      </c>
      <c r="B422" s="2">
        <v>3.5630000000000002</v>
      </c>
      <c r="C422">
        <v>4.0000000000000001E-3</v>
      </c>
      <c r="H422">
        <f t="shared" si="42"/>
        <v>21</v>
      </c>
      <c r="I422">
        <f t="shared" si="43"/>
        <v>3.5630000000000002</v>
      </c>
      <c r="J422">
        <f t="shared" si="44"/>
        <v>3.2777199916788026E-3</v>
      </c>
      <c r="K422">
        <f t="shared" si="45"/>
        <v>71.449569967413595</v>
      </c>
      <c r="L422">
        <f t="shared" si="46"/>
        <v>2.1851466611192013E-3</v>
      </c>
      <c r="O422">
        <f t="shared" si="47"/>
        <v>71.609995608653932</v>
      </c>
      <c r="P422">
        <f t="shared" si="48"/>
        <v>3.9037514735455227E-4</v>
      </c>
    </row>
    <row r="423" spans="1:16" x14ac:dyDescent="0.25">
      <c r="A423" s="1">
        <v>21.05</v>
      </c>
      <c r="B423" s="2">
        <v>3.6030000000000002</v>
      </c>
      <c r="C423">
        <v>4.0000000000000001E-3</v>
      </c>
      <c r="H423">
        <f t="shared" si="42"/>
        <v>21.05</v>
      </c>
      <c r="I423">
        <f t="shared" si="43"/>
        <v>3.6030000000000002</v>
      </c>
      <c r="J423">
        <f t="shared" si="44"/>
        <v>3.2760002773732757E-3</v>
      </c>
      <c r="K423">
        <f t="shared" si="45"/>
        <v>72.251698173615267</v>
      </c>
      <c r="L423">
        <f t="shared" si="46"/>
        <v>2.1840001849155167E-3</v>
      </c>
      <c r="O423">
        <f t="shared" si="47"/>
        <v>72.412123814855605</v>
      </c>
      <c r="P423">
        <f t="shared" si="48"/>
        <v>3.8922867115086766E-4</v>
      </c>
    </row>
    <row r="424" spans="1:16" x14ac:dyDescent="0.25">
      <c r="A424" s="1">
        <v>21.1</v>
      </c>
      <c r="B424" s="2">
        <v>3.6219999999999999</v>
      </c>
      <c r="C424">
        <v>4.0000000000000001E-3</v>
      </c>
      <c r="H424">
        <f t="shared" si="42"/>
        <v>21.1</v>
      </c>
      <c r="I424">
        <f t="shared" si="43"/>
        <v>3.6219999999999999</v>
      </c>
      <c r="J424">
        <f t="shared" si="44"/>
        <v>3.2742805630677487E-3</v>
      </c>
      <c r="K424">
        <f t="shared" si="45"/>
        <v>72.632709071561052</v>
      </c>
      <c r="L424">
        <f t="shared" si="46"/>
        <v>2.1828537087118321E-3</v>
      </c>
      <c r="O424">
        <f t="shared" si="47"/>
        <v>72.79313471280139</v>
      </c>
      <c r="P424">
        <f t="shared" si="48"/>
        <v>3.8808219494718306E-4</v>
      </c>
    </row>
    <row r="425" spans="1:16" x14ac:dyDescent="0.25">
      <c r="A425" s="1">
        <v>21.15</v>
      </c>
      <c r="B425" s="2">
        <v>3.6709999999999998</v>
      </c>
      <c r="C425">
        <v>4.0000000000000001E-3</v>
      </c>
      <c r="H425">
        <f t="shared" si="42"/>
        <v>21.15</v>
      </c>
      <c r="I425">
        <f t="shared" si="43"/>
        <v>3.6709999999999998</v>
      </c>
      <c r="J425">
        <f t="shared" si="44"/>
        <v>3.2725608487622223E-3</v>
      </c>
      <c r="K425">
        <f t="shared" si="45"/>
        <v>73.615316124158099</v>
      </c>
      <c r="L425">
        <f t="shared" si="46"/>
        <v>2.1817072325081479E-3</v>
      </c>
      <c r="O425">
        <f t="shared" si="47"/>
        <v>73.775741765398436</v>
      </c>
      <c r="P425">
        <f t="shared" si="48"/>
        <v>3.8693571874349889E-4</v>
      </c>
    </row>
    <row r="426" spans="1:16" x14ac:dyDescent="0.25">
      <c r="A426" s="1">
        <v>21.2</v>
      </c>
      <c r="B426" s="2">
        <v>3.7050000000000001</v>
      </c>
      <c r="C426">
        <v>3.0000000000000001E-3</v>
      </c>
      <c r="H426">
        <f t="shared" si="42"/>
        <v>21.2</v>
      </c>
      <c r="I426">
        <f t="shared" si="43"/>
        <v>3.7050000000000001</v>
      </c>
      <c r="J426">
        <f t="shared" si="44"/>
        <v>2.2708411344566958E-3</v>
      </c>
      <c r="K426">
        <f t="shared" si="45"/>
        <v>74.297125099429522</v>
      </c>
      <c r="L426">
        <f t="shared" si="46"/>
        <v>1.5138940896377968E-3</v>
      </c>
      <c r="O426">
        <f t="shared" si="47"/>
        <v>74.457550740669859</v>
      </c>
      <c r="P426">
        <f t="shared" si="48"/>
        <v>-2.8087742412685225E-4</v>
      </c>
    </row>
    <row r="427" spans="1:16" x14ac:dyDescent="0.25">
      <c r="A427" s="1">
        <v>21.25</v>
      </c>
      <c r="B427" s="2">
        <v>3.7189999999999999</v>
      </c>
      <c r="C427">
        <v>4.0000000000000001E-3</v>
      </c>
      <c r="H427">
        <f t="shared" si="42"/>
        <v>21.25</v>
      </c>
      <c r="I427">
        <f t="shared" si="43"/>
        <v>3.7189999999999999</v>
      </c>
      <c r="J427">
        <f t="shared" si="44"/>
        <v>3.2691214201511689E-3</v>
      </c>
      <c r="K427">
        <f t="shared" si="45"/>
        <v>74.577869971600094</v>
      </c>
      <c r="L427">
        <f t="shared" si="46"/>
        <v>2.1794142801007787E-3</v>
      </c>
      <c r="O427">
        <f t="shared" si="47"/>
        <v>74.738295612840432</v>
      </c>
      <c r="P427">
        <f t="shared" si="48"/>
        <v>3.8464276633612968E-4</v>
      </c>
    </row>
    <row r="428" spans="1:16" x14ac:dyDescent="0.25">
      <c r="A428" s="1">
        <v>21.3</v>
      </c>
      <c r="B428" s="2">
        <v>3.7170000000000001</v>
      </c>
      <c r="C428">
        <v>4.0000000000000001E-3</v>
      </c>
      <c r="H428">
        <f t="shared" si="42"/>
        <v>21.3</v>
      </c>
      <c r="I428">
        <f t="shared" si="43"/>
        <v>3.7170000000000001</v>
      </c>
      <c r="J428">
        <f t="shared" si="44"/>
        <v>3.2674017058456424E-3</v>
      </c>
      <c r="K428">
        <f t="shared" si="45"/>
        <v>74.537763561290021</v>
      </c>
      <c r="L428">
        <f t="shared" si="46"/>
        <v>2.1782678038970945E-3</v>
      </c>
      <c r="O428">
        <f t="shared" si="47"/>
        <v>74.698189202530358</v>
      </c>
      <c r="P428">
        <f t="shared" si="48"/>
        <v>3.8349629013244551E-4</v>
      </c>
    </row>
    <row r="429" spans="1:16" x14ac:dyDescent="0.25">
      <c r="A429" s="1">
        <v>21.35</v>
      </c>
      <c r="B429" s="2">
        <v>3.7170000000000001</v>
      </c>
      <c r="C429">
        <v>4.0000000000000001E-3</v>
      </c>
      <c r="H429">
        <f t="shared" si="42"/>
        <v>21.35</v>
      </c>
      <c r="I429">
        <f t="shared" si="43"/>
        <v>3.7170000000000001</v>
      </c>
      <c r="J429">
        <f t="shared" si="44"/>
        <v>3.265681991540116E-3</v>
      </c>
      <c r="K429">
        <f t="shared" si="45"/>
        <v>74.537763561290021</v>
      </c>
      <c r="L429">
        <f t="shared" si="46"/>
        <v>2.1771213276934103E-3</v>
      </c>
      <c r="O429">
        <f t="shared" si="47"/>
        <v>74.698189202530358</v>
      </c>
      <c r="P429">
        <f t="shared" si="48"/>
        <v>3.8234981392876134E-4</v>
      </c>
    </row>
    <row r="430" spans="1:16" x14ac:dyDescent="0.25">
      <c r="A430" s="1">
        <v>21.4</v>
      </c>
      <c r="B430" s="2">
        <v>3.7149999999999999</v>
      </c>
      <c r="C430">
        <v>4.0000000000000001E-3</v>
      </c>
      <c r="H430">
        <f t="shared" si="42"/>
        <v>21.4</v>
      </c>
      <c r="I430">
        <f t="shared" si="43"/>
        <v>3.7149999999999999</v>
      </c>
      <c r="J430">
        <f t="shared" si="44"/>
        <v>3.263962277234589E-3</v>
      </c>
      <c r="K430">
        <f t="shared" si="45"/>
        <v>74.497657150979933</v>
      </c>
      <c r="L430">
        <f t="shared" si="46"/>
        <v>2.1759748514897257E-3</v>
      </c>
      <c r="O430">
        <f t="shared" si="47"/>
        <v>74.65808279222027</v>
      </c>
      <c r="P430">
        <f t="shared" si="48"/>
        <v>3.8120333772507673E-4</v>
      </c>
    </row>
    <row r="431" spans="1:16" x14ac:dyDescent="0.25">
      <c r="A431" s="1">
        <v>21.45</v>
      </c>
      <c r="B431" s="2">
        <v>3.714</v>
      </c>
      <c r="C431">
        <v>5.0000000000000001E-3</v>
      </c>
      <c r="H431">
        <f t="shared" si="42"/>
        <v>21.45</v>
      </c>
      <c r="I431">
        <f t="shared" si="43"/>
        <v>3.714</v>
      </c>
      <c r="J431">
        <f t="shared" si="44"/>
        <v>4.2622425629290622E-3</v>
      </c>
      <c r="K431">
        <f t="shared" si="45"/>
        <v>74.477603945824896</v>
      </c>
      <c r="L431">
        <f t="shared" si="46"/>
        <v>2.8414950419527077E-3</v>
      </c>
      <c r="O431">
        <f t="shared" si="47"/>
        <v>74.638029587065233</v>
      </c>
      <c r="P431">
        <f t="shared" si="48"/>
        <v>1.0467235281880587E-3</v>
      </c>
    </row>
    <row r="432" spans="1:16" x14ac:dyDescent="0.25">
      <c r="A432" s="1">
        <v>21.5</v>
      </c>
      <c r="B432" s="2">
        <v>3.714</v>
      </c>
      <c r="C432">
        <v>4.0000000000000001E-3</v>
      </c>
      <c r="H432">
        <f t="shared" si="42"/>
        <v>21.5</v>
      </c>
      <c r="I432">
        <f t="shared" si="43"/>
        <v>3.714</v>
      </c>
      <c r="J432">
        <f t="shared" si="44"/>
        <v>3.2605228486235357E-3</v>
      </c>
      <c r="K432">
        <f t="shared" si="45"/>
        <v>74.477603945824896</v>
      </c>
      <c r="L432">
        <f t="shared" si="46"/>
        <v>2.1736818990823565E-3</v>
      </c>
      <c r="O432">
        <f t="shared" si="47"/>
        <v>74.638029587065233</v>
      </c>
      <c r="P432">
        <f t="shared" si="48"/>
        <v>3.7891038531770753E-4</v>
      </c>
    </row>
    <row r="433" spans="1:16" x14ac:dyDescent="0.25">
      <c r="A433" s="1">
        <v>21.55</v>
      </c>
      <c r="B433" s="2">
        <v>3.72</v>
      </c>
      <c r="C433">
        <v>5.0000000000000001E-3</v>
      </c>
      <c r="H433">
        <f t="shared" si="42"/>
        <v>21.55</v>
      </c>
      <c r="I433">
        <f t="shared" si="43"/>
        <v>3.72</v>
      </c>
      <c r="J433">
        <f t="shared" si="44"/>
        <v>4.2588031343180092E-3</v>
      </c>
      <c r="K433">
        <f t="shared" si="45"/>
        <v>74.597923176755145</v>
      </c>
      <c r="L433">
        <f t="shared" si="46"/>
        <v>2.8392020895453389E-3</v>
      </c>
      <c r="O433">
        <f t="shared" si="47"/>
        <v>74.758348817995483</v>
      </c>
      <c r="P433">
        <f t="shared" si="48"/>
        <v>1.0444305757806899E-3</v>
      </c>
    </row>
    <row r="434" spans="1:16" x14ac:dyDescent="0.25">
      <c r="A434" s="1">
        <v>21.6</v>
      </c>
      <c r="B434" s="2">
        <v>3.738</v>
      </c>
      <c r="C434">
        <v>4.0000000000000001E-3</v>
      </c>
      <c r="H434">
        <f t="shared" si="42"/>
        <v>21.6</v>
      </c>
      <c r="I434">
        <f t="shared" si="43"/>
        <v>3.738</v>
      </c>
      <c r="J434">
        <f t="shared" si="44"/>
        <v>3.2570834200124823E-3</v>
      </c>
      <c r="K434">
        <f t="shared" si="45"/>
        <v>74.958880869545894</v>
      </c>
      <c r="L434">
        <f t="shared" si="46"/>
        <v>2.1713889466749878E-3</v>
      </c>
      <c r="O434">
        <f t="shared" si="47"/>
        <v>75.119306510786231</v>
      </c>
      <c r="P434">
        <f t="shared" si="48"/>
        <v>3.7661743291033875E-4</v>
      </c>
    </row>
    <row r="435" spans="1:16" x14ac:dyDescent="0.25">
      <c r="A435" s="1">
        <v>21.65</v>
      </c>
      <c r="B435" s="2">
        <v>3.78</v>
      </c>
      <c r="C435">
        <v>4.0000000000000001E-3</v>
      </c>
      <c r="H435">
        <f t="shared" si="42"/>
        <v>21.65</v>
      </c>
      <c r="I435">
        <f t="shared" si="43"/>
        <v>3.78</v>
      </c>
      <c r="J435">
        <f t="shared" si="44"/>
        <v>3.2553637057069558E-3</v>
      </c>
      <c r="K435">
        <f t="shared" si="45"/>
        <v>75.80111548605764</v>
      </c>
      <c r="L435">
        <f t="shared" si="46"/>
        <v>2.1702424704713036E-3</v>
      </c>
      <c r="O435">
        <f t="shared" si="47"/>
        <v>75.961541127297977</v>
      </c>
      <c r="P435">
        <f t="shared" si="48"/>
        <v>3.7547095670665458E-4</v>
      </c>
    </row>
    <row r="436" spans="1:16" x14ac:dyDescent="0.25">
      <c r="A436" s="1">
        <v>21.7</v>
      </c>
      <c r="B436" s="2">
        <v>3.85</v>
      </c>
      <c r="C436">
        <v>4.0000000000000001E-3</v>
      </c>
      <c r="H436">
        <f t="shared" si="42"/>
        <v>21.7</v>
      </c>
      <c r="I436">
        <f t="shared" si="43"/>
        <v>3.85</v>
      </c>
      <c r="J436">
        <f t="shared" si="44"/>
        <v>3.2536439914014293E-3</v>
      </c>
      <c r="K436">
        <f t="shared" si="45"/>
        <v>77.204839846910573</v>
      </c>
      <c r="L436">
        <f t="shared" si="46"/>
        <v>2.169095994267619E-3</v>
      </c>
      <c r="O436">
        <f t="shared" si="47"/>
        <v>77.365265488150911</v>
      </c>
      <c r="P436">
        <f t="shared" si="48"/>
        <v>3.7432448050296998E-4</v>
      </c>
    </row>
    <row r="437" spans="1:16" x14ac:dyDescent="0.25">
      <c r="A437" s="1">
        <v>21.75</v>
      </c>
      <c r="B437" s="2">
        <v>3.8839999999999999</v>
      </c>
      <c r="C437">
        <v>4.0000000000000001E-3</v>
      </c>
      <c r="H437">
        <f t="shared" si="42"/>
        <v>21.75</v>
      </c>
      <c r="I437">
        <f t="shared" si="43"/>
        <v>3.8839999999999999</v>
      </c>
      <c r="J437">
        <f t="shared" si="44"/>
        <v>3.2519242770959024E-3</v>
      </c>
      <c r="K437">
        <f t="shared" si="45"/>
        <v>77.886648822181982</v>
      </c>
      <c r="L437">
        <f t="shared" si="46"/>
        <v>2.1679495180639344E-3</v>
      </c>
      <c r="O437">
        <f t="shared" si="47"/>
        <v>78.047074463422319</v>
      </c>
      <c r="P437">
        <f t="shared" si="48"/>
        <v>3.7317800429928537E-4</v>
      </c>
    </row>
    <row r="438" spans="1:16" x14ac:dyDescent="0.25">
      <c r="A438" s="1">
        <v>21.8</v>
      </c>
      <c r="B438" s="2">
        <v>3.9249999999999998</v>
      </c>
      <c r="C438">
        <v>4.0000000000000001E-3</v>
      </c>
      <c r="H438">
        <f t="shared" si="42"/>
        <v>21.8</v>
      </c>
      <c r="I438">
        <f t="shared" si="43"/>
        <v>3.9249999999999998</v>
      </c>
      <c r="J438">
        <f t="shared" si="44"/>
        <v>3.2502045627903755E-3</v>
      </c>
      <c r="K438">
        <f t="shared" si="45"/>
        <v>78.708830233538691</v>
      </c>
      <c r="L438">
        <f t="shared" si="46"/>
        <v>2.1668030418602498E-3</v>
      </c>
      <c r="O438">
        <f t="shared" si="47"/>
        <v>78.869255874779029</v>
      </c>
      <c r="P438">
        <f t="shared" si="48"/>
        <v>3.7203152809560077E-4</v>
      </c>
    </row>
    <row r="439" spans="1:16" x14ac:dyDescent="0.25">
      <c r="A439" s="1">
        <v>21.85</v>
      </c>
      <c r="B439" s="2">
        <v>3.94</v>
      </c>
      <c r="C439">
        <v>5.0000000000000001E-3</v>
      </c>
      <c r="H439">
        <f t="shared" si="42"/>
        <v>21.85</v>
      </c>
      <c r="I439">
        <f t="shared" si="43"/>
        <v>3.94</v>
      </c>
      <c r="J439">
        <f t="shared" si="44"/>
        <v>4.2484848484848486E-3</v>
      </c>
      <c r="K439">
        <f t="shared" si="45"/>
        <v>79.009628310864315</v>
      </c>
      <c r="L439">
        <f t="shared" si="46"/>
        <v>2.8323232323232317E-3</v>
      </c>
      <c r="O439">
        <f t="shared" si="47"/>
        <v>79.170053952104652</v>
      </c>
      <c r="P439">
        <f t="shared" si="48"/>
        <v>1.0375517185585827E-3</v>
      </c>
    </row>
    <row r="440" spans="1:16" x14ac:dyDescent="0.25">
      <c r="A440" s="1">
        <v>21.9</v>
      </c>
      <c r="B440" s="2">
        <v>3.9609999999999999</v>
      </c>
      <c r="C440">
        <v>4.0000000000000001E-3</v>
      </c>
      <c r="H440">
        <f t="shared" si="42"/>
        <v>21.9</v>
      </c>
      <c r="I440">
        <f t="shared" si="43"/>
        <v>3.9609999999999999</v>
      </c>
      <c r="J440">
        <f t="shared" si="44"/>
        <v>3.2467651341793226E-3</v>
      </c>
      <c r="K440">
        <f t="shared" si="45"/>
        <v>79.430745619120188</v>
      </c>
      <c r="L440">
        <f t="shared" si="46"/>
        <v>2.1645100894528814E-3</v>
      </c>
      <c r="O440">
        <f t="shared" si="47"/>
        <v>79.591171260360525</v>
      </c>
      <c r="P440">
        <f t="shared" si="48"/>
        <v>3.6973857568823243E-4</v>
      </c>
    </row>
    <row r="441" spans="1:16" x14ac:dyDescent="0.25">
      <c r="A441" s="1">
        <v>21.95</v>
      </c>
      <c r="B441" s="2">
        <v>3.9729999999999999</v>
      </c>
      <c r="C441">
        <v>4.0000000000000001E-3</v>
      </c>
      <c r="H441">
        <f t="shared" si="42"/>
        <v>21.95</v>
      </c>
      <c r="I441">
        <f t="shared" si="43"/>
        <v>3.9729999999999999</v>
      </c>
      <c r="J441">
        <f t="shared" si="44"/>
        <v>3.2450454198737957E-3</v>
      </c>
      <c r="K441">
        <f t="shared" si="45"/>
        <v>79.671384080980701</v>
      </c>
      <c r="L441">
        <f t="shared" si="46"/>
        <v>2.1633636132491968E-3</v>
      </c>
      <c r="O441">
        <f t="shared" si="47"/>
        <v>79.831809722221038</v>
      </c>
      <c r="P441">
        <f t="shared" si="48"/>
        <v>3.6859209948454782E-4</v>
      </c>
    </row>
    <row r="442" spans="1:16" x14ac:dyDescent="0.25">
      <c r="A442" s="1">
        <v>22</v>
      </c>
      <c r="B442" s="2">
        <v>3.972</v>
      </c>
      <c r="C442">
        <v>4.0000000000000001E-3</v>
      </c>
      <c r="H442">
        <f t="shared" si="42"/>
        <v>22</v>
      </c>
      <c r="I442">
        <f t="shared" si="43"/>
        <v>3.972</v>
      </c>
      <c r="J442">
        <f t="shared" si="44"/>
        <v>3.2433257055682692E-3</v>
      </c>
      <c r="K442">
        <f t="shared" si="45"/>
        <v>79.65133087582565</v>
      </c>
      <c r="L442">
        <f t="shared" si="46"/>
        <v>2.1622171370455122E-3</v>
      </c>
      <c r="O442">
        <f t="shared" si="47"/>
        <v>79.811756517065987</v>
      </c>
      <c r="P442">
        <f t="shared" si="48"/>
        <v>3.6744562328086322E-4</v>
      </c>
    </row>
    <row r="443" spans="1:16" x14ac:dyDescent="0.25">
      <c r="A443" s="1">
        <v>22.05</v>
      </c>
      <c r="B443" s="2">
        <v>3.972</v>
      </c>
      <c r="C443">
        <v>4.0000000000000001E-3</v>
      </c>
      <c r="H443">
        <f t="shared" si="42"/>
        <v>22.05</v>
      </c>
      <c r="I443">
        <f t="shared" si="43"/>
        <v>3.972</v>
      </c>
      <c r="J443">
        <f t="shared" si="44"/>
        <v>3.2416059912627427E-3</v>
      </c>
      <c r="K443">
        <f t="shared" si="45"/>
        <v>79.65133087582565</v>
      </c>
      <c r="L443">
        <f t="shared" si="46"/>
        <v>2.1610706608418281E-3</v>
      </c>
      <c r="O443">
        <f t="shared" si="47"/>
        <v>79.811756517065987</v>
      </c>
      <c r="P443">
        <f t="shared" si="48"/>
        <v>3.6629914707717905E-4</v>
      </c>
    </row>
    <row r="444" spans="1:16" x14ac:dyDescent="0.25">
      <c r="A444" s="1">
        <v>22.1</v>
      </c>
      <c r="B444" s="2">
        <v>3.972</v>
      </c>
      <c r="C444">
        <v>4.0000000000000001E-3</v>
      </c>
      <c r="H444">
        <f t="shared" si="42"/>
        <v>22.1</v>
      </c>
      <c r="I444">
        <f t="shared" si="43"/>
        <v>3.972</v>
      </c>
      <c r="J444">
        <f t="shared" si="44"/>
        <v>3.2398862769572158E-3</v>
      </c>
      <c r="K444">
        <f t="shared" si="45"/>
        <v>79.65133087582565</v>
      </c>
      <c r="L444">
        <f t="shared" si="46"/>
        <v>2.1599241846381434E-3</v>
      </c>
      <c r="O444">
        <f t="shared" si="47"/>
        <v>79.811756517065987</v>
      </c>
      <c r="P444">
        <f t="shared" si="48"/>
        <v>3.6515267087349444E-4</v>
      </c>
    </row>
    <row r="445" spans="1:16" x14ac:dyDescent="0.25">
      <c r="A445" s="1">
        <v>22.15</v>
      </c>
      <c r="B445" s="2">
        <v>3.972</v>
      </c>
      <c r="C445">
        <v>4.0000000000000001E-3</v>
      </c>
      <c r="H445">
        <f t="shared" si="42"/>
        <v>22.15</v>
      </c>
      <c r="I445">
        <f t="shared" si="43"/>
        <v>3.972</v>
      </c>
      <c r="J445">
        <f t="shared" si="44"/>
        <v>3.2381665626516894E-3</v>
      </c>
      <c r="K445">
        <f t="shared" si="45"/>
        <v>79.65133087582565</v>
      </c>
      <c r="L445">
        <f t="shared" si="46"/>
        <v>2.1587777084344593E-3</v>
      </c>
      <c r="O445">
        <f t="shared" si="47"/>
        <v>79.811756517065987</v>
      </c>
      <c r="P445">
        <f t="shared" si="48"/>
        <v>3.6400619466981027E-4</v>
      </c>
    </row>
    <row r="446" spans="1:16" x14ac:dyDescent="0.25">
      <c r="A446" s="1">
        <v>22.2</v>
      </c>
      <c r="B446" s="2">
        <v>3.9750000000000001</v>
      </c>
      <c r="C446">
        <v>4.0000000000000001E-3</v>
      </c>
      <c r="H446">
        <f t="shared" si="42"/>
        <v>22.2</v>
      </c>
      <c r="I446">
        <f t="shared" si="43"/>
        <v>3.9750000000000001</v>
      </c>
      <c r="J446">
        <f t="shared" si="44"/>
        <v>3.2364468483461624E-3</v>
      </c>
      <c r="K446">
        <f t="shared" si="45"/>
        <v>79.711490491290789</v>
      </c>
      <c r="L446">
        <f t="shared" si="46"/>
        <v>2.1576312322307747E-3</v>
      </c>
      <c r="O446">
        <f t="shared" si="47"/>
        <v>79.871916132531126</v>
      </c>
      <c r="P446">
        <f t="shared" si="48"/>
        <v>3.6285971846612567E-4</v>
      </c>
    </row>
    <row r="447" spans="1:16" x14ac:dyDescent="0.25">
      <c r="A447" s="1">
        <v>22.25</v>
      </c>
      <c r="B447" s="2">
        <v>3.9980000000000002</v>
      </c>
      <c r="C447">
        <v>4.0000000000000001E-3</v>
      </c>
      <c r="H447">
        <f t="shared" si="42"/>
        <v>22.25</v>
      </c>
      <c r="I447">
        <f t="shared" si="43"/>
        <v>3.9980000000000002</v>
      </c>
      <c r="J447">
        <f t="shared" si="44"/>
        <v>3.234727134040636E-3</v>
      </c>
      <c r="K447">
        <f t="shared" si="45"/>
        <v>80.17271420985675</v>
      </c>
      <c r="L447">
        <f t="shared" si="46"/>
        <v>2.1564847560270901E-3</v>
      </c>
      <c r="O447">
        <f t="shared" si="47"/>
        <v>80.333139851097087</v>
      </c>
      <c r="P447">
        <f t="shared" si="48"/>
        <v>3.6171324226244106E-4</v>
      </c>
    </row>
    <row r="448" spans="1:16" x14ac:dyDescent="0.25">
      <c r="A448" s="1">
        <v>22.3</v>
      </c>
      <c r="B448" s="2">
        <v>4.0380000000000003</v>
      </c>
      <c r="C448">
        <v>4.0000000000000001E-3</v>
      </c>
      <c r="H448">
        <f t="shared" si="42"/>
        <v>22.3</v>
      </c>
      <c r="I448">
        <f t="shared" si="43"/>
        <v>4.0380000000000003</v>
      </c>
      <c r="J448">
        <f t="shared" si="44"/>
        <v>3.2330074197351091E-3</v>
      </c>
      <c r="K448">
        <f t="shared" si="45"/>
        <v>80.974842416058408</v>
      </c>
      <c r="L448">
        <f t="shared" si="46"/>
        <v>2.1553382798234055E-3</v>
      </c>
      <c r="O448">
        <f t="shared" si="47"/>
        <v>81.135268057298745</v>
      </c>
      <c r="P448">
        <f t="shared" si="48"/>
        <v>3.6056676605875646E-4</v>
      </c>
    </row>
    <row r="449" spans="1:16" x14ac:dyDescent="0.25">
      <c r="A449" s="1">
        <v>22.35</v>
      </c>
      <c r="B449" s="2">
        <v>4.0999999999999996</v>
      </c>
      <c r="C449">
        <v>5.0000000000000001E-3</v>
      </c>
      <c r="H449">
        <f t="shared" si="42"/>
        <v>22.35</v>
      </c>
      <c r="I449">
        <f t="shared" si="43"/>
        <v>4.0999999999999996</v>
      </c>
      <c r="J449">
        <f t="shared" si="44"/>
        <v>4.2312877054295822E-3</v>
      </c>
      <c r="K449">
        <f t="shared" si="45"/>
        <v>82.21814113567099</v>
      </c>
      <c r="L449">
        <f t="shared" si="46"/>
        <v>2.8208584702863874E-3</v>
      </c>
      <c r="O449">
        <f t="shared" si="47"/>
        <v>82.378566776911327</v>
      </c>
      <c r="P449">
        <f t="shared" si="48"/>
        <v>1.0260869565217384E-3</v>
      </c>
    </row>
    <row r="450" spans="1:16" x14ac:dyDescent="0.25">
      <c r="A450" s="1">
        <v>22.4</v>
      </c>
      <c r="B450" s="2">
        <v>4.1580000000000004</v>
      </c>
      <c r="C450">
        <v>4.0000000000000001E-3</v>
      </c>
      <c r="H450">
        <f t="shared" si="42"/>
        <v>22.4</v>
      </c>
      <c r="I450">
        <f t="shared" si="43"/>
        <v>4.1580000000000004</v>
      </c>
      <c r="J450">
        <f t="shared" si="44"/>
        <v>3.2295679911240561E-3</v>
      </c>
      <c r="K450">
        <f t="shared" si="45"/>
        <v>83.381227034663425</v>
      </c>
      <c r="L450">
        <f t="shared" si="46"/>
        <v>2.1530453274160371E-3</v>
      </c>
      <c r="O450">
        <f t="shared" si="47"/>
        <v>83.541652675903762</v>
      </c>
      <c r="P450">
        <f t="shared" si="48"/>
        <v>3.5827381365138812E-4</v>
      </c>
    </row>
    <row r="451" spans="1:16" x14ac:dyDescent="0.25">
      <c r="A451" s="1">
        <v>22.45</v>
      </c>
      <c r="B451" s="2">
        <v>4.1980000000000004</v>
      </c>
      <c r="C451">
        <v>4.0000000000000001E-3</v>
      </c>
      <c r="H451">
        <f t="shared" ref="H451:H514" si="49">A451</f>
        <v>22.45</v>
      </c>
      <c r="I451">
        <f t="shared" ref="I451:I514" si="50">B451</f>
        <v>4.1980000000000004</v>
      </c>
      <c r="J451">
        <f t="shared" ref="J451:J514" si="51">C451-E$12*A451</f>
        <v>3.2278482768185292E-3</v>
      </c>
      <c r="K451">
        <f t="shared" ref="K451:K514" si="52">F$24*I451</f>
        <v>84.183355240865083</v>
      </c>
      <c r="L451">
        <f t="shared" ref="L451:L514" si="53">F$25*J451</f>
        <v>2.1518988512123525E-3</v>
      </c>
      <c r="O451">
        <f t="shared" ref="O451:O514" si="54">K451-N$12</f>
        <v>84.34378088210542</v>
      </c>
      <c r="P451">
        <f t="shared" ref="P451:P514" si="55">L451-N$15</f>
        <v>3.5712733744770351E-4</v>
      </c>
    </row>
    <row r="452" spans="1:16" x14ac:dyDescent="0.25">
      <c r="A452" s="1">
        <v>22.5</v>
      </c>
      <c r="B452" s="2">
        <v>4.2530000000000001</v>
      </c>
      <c r="C452">
        <v>4.0000000000000001E-3</v>
      </c>
      <c r="H452">
        <f t="shared" si="49"/>
        <v>22.5</v>
      </c>
      <c r="I452">
        <f t="shared" si="50"/>
        <v>4.2530000000000001</v>
      </c>
      <c r="J452">
        <f t="shared" si="51"/>
        <v>3.2261285625130023E-3</v>
      </c>
      <c r="K452">
        <f t="shared" si="52"/>
        <v>85.286281524392379</v>
      </c>
      <c r="L452">
        <f t="shared" si="53"/>
        <v>2.1507523750086679E-3</v>
      </c>
      <c r="O452">
        <f t="shared" si="54"/>
        <v>85.446707165632716</v>
      </c>
      <c r="P452">
        <f t="shared" si="55"/>
        <v>3.5598086124401891E-4</v>
      </c>
    </row>
    <row r="453" spans="1:16" x14ac:dyDescent="0.25">
      <c r="A453" s="1">
        <v>22.55</v>
      </c>
      <c r="B453" s="2">
        <v>4.3079999999999998</v>
      </c>
      <c r="C453">
        <v>5.0000000000000001E-3</v>
      </c>
      <c r="H453">
        <f t="shared" si="49"/>
        <v>22.55</v>
      </c>
      <c r="I453">
        <f t="shared" si="50"/>
        <v>4.3079999999999998</v>
      </c>
      <c r="J453">
        <f t="shared" si="51"/>
        <v>4.2244088482074754E-3</v>
      </c>
      <c r="K453">
        <f t="shared" si="52"/>
        <v>86.389207807919661</v>
      </c>
      <c r="L453">
        <f t="shared" si="53"/>
        <v>2.8162725654716498E-3</v>
      </c>
      <c r="O453">
        <f t="shared" si="54"/>
        <v>86.549633449159998</v>
      </c>
      <c r="P453">
        <f t="shared" si="55"/>
        <v>1.0215010517070008E-3</v>
      </c>
    </row>
    <row r="454" spans="1:16" x14ac:dyDescent="0.25">
      <c r="A454" s="1">
        <v>22.6</v>
      </c>
      <c r="B454" s="2">
        <v>4.3289999999999997</v>
      </c>
      <c r="C454">
        <v>4.0000000000000001E-3</v>
      </c>
      <c r="H454">
        <f t="shared" si="49"/>
        <v>22.6</v>
      </c>
      <c r="I454">
        <f t="shared" si="50"/>
        <v>4.3289999999999997</v>
      </c>
      <c r="J454">
        <f t="shared" si="51"/>
        <v>3.2226891339019494E-3</v>
      </c>
      <c r="K454">
        <f t="shared" si="52"/>
        <v>86.810325116175534</v>
      </c>
      <c r="L454">
        <f t="shared" si="53"/>
        <v>2.1484594226012991E-3</v>
      </c>
      <c r="O454">
        <f t="shared" si="54"/>
        <v>86.970750757415871</v>
      </c>
      <c r="P454">
        <f t="shared" si="55"/>
        <v>3.5368790883665013E-4</v>
      </c>
    </row>
    <row r="455" spans="1:16" x14ac:dyDescent="0.25">
      <c r="A455" s="1">
        <v>22.65</v>
      </c>
      <c r="B455" s="2">
        <v>4.3280000000000003</v>
      </c>
      <c r="C455">
        <v>5.0000000000000001E-3</v>
      </c>
      <c r="H455">
        <f t="shared" si="49"/>
        <v>22.65</v>
      </c>
      <c r="I455">
        <f t="shared" si="50"/>
        <v>4.3280000000000003</v>
      </c>
      <c r="J455">
        <f t="shared" si="51"/>
        <v>4.2209694195964225E-3</v>
      </c>
      <c r="K455">
        <f t="shared" si="52"/>
        <v>86.790271911020511</v>
      </c>
      <c r="L455">
        <f t="shared" si="53"/>
        <v>2.8139796130642811E-3</v>
      </c>
      <c r="O455">
        <f t="shared" si="54"/>
        <v>86.950697552260849</v>
      </c>
      <c r="P455">
        <f t="shared" si="55"/>
        <v>1.0192080992996321E-3</v>
      </c>
    </row>
    <row r="456" spans="1:16" x14ac:dyDescent="0.25">
      <c r="A456" s="1">
        <v>22.7</v>
      </c>
      <c r="B456" s="2">
        <v>4.3280000000000003</v>
      </c>
      <c r="C456">
        <v>4.0000000000000001E-3</v>
      </c>
      <c r="H456">
        <f t="shared" si="49"/>
        <v>22.7</v>
      </c>
      <c r="I456">
        <f t="shared" si="50"/>
        <v>4.3280000000000003</v>
      </c>
      <c r="J456">
        <f t="shared" si="51"/>
        <v>3.219249705290896E-3</v>
      </c>
      <c r="K456">
        <f t="shared" si="52"/>
        <v>86.790271911020511</v>
      </c>
      <c r="L456">
        <f t="shared" si="53"/>
        <v>2.1461664701939304E-3</v>
      </c>
      <c r="O456">
        <f t="shared" si="54"/>
        <v>86.950697552260849</v>
      </c>
      <c r="P456">
        <f t="shared" si="55"/>
        <v>3.5139495642928136E-4</v>
      </c>
    </row>
    <row r="457" spans="1:16" x14ac:dyDescent="0.25">
      <c r="A457" s="1">
        <v>22.75</v>
      </c>
      <c r="B457" s="2">
        <v>4.3280000000000003</v>
      </c>
      <c r="C457">
        <v>4.0000000000000001E-3</v>
      </c>
      <c r="H457">
        <f t="shared" si="49"/>
        <v>22.75</v>
      </c>
      <c r="I457">
        <f t="shared" si="50"/>
        <v>4.3280000000000003</v>
      </c>
      <c r="J457">
        <f t="shared" si="51"/>
        <v>3.2175299909853691E-3</v>
      </c>
      <c r="K457">
        <f t="shared" si="52"/>
        <v>86.790271911020511</v>
      </c>
      <c r="L457">
        <f t="shared" si="53"/>
        <v>2.1450199939902458E-3</v>
      </c>
      <c r="O457">
        <f t="shared" si="54"/>
        <v>86.950697552260849</v>
      </c>
      <c r="P457">
        <f t="shared" si="55"/>
        <v>3.5024848022559675E-4</v>
      </c>
    </row>
    <row r="458" spans="1:16" x14ac:dyDescent="0.25">
      <c r="A458" s="1">
        <v>22.8</v>
      </c>
      <c r="B458" s="2">
        <v>4.3280000000000003</v>
      </c>
      <c r="C458">
        <v>4.0000000000000001E-3</v>
      </c>
      <c r="H458">
        <f t="shared" si="49"/>
        <v>22.8</v>
      </c>
      <c r="I458">
        <f t="shared" si="50"/>
        <v>4.3280000000000003</v>
      </c>
      <c r="J458">
        <f t="shared" si="51"/>
        <v>3.2158102766798426E-3</v>
      </c>
      <c r="K458">
        <f t="shared" si="52"/>
        <v>86.790271911020511</v>
      </c>
      <c r="L458">
        <f t="shared" si="53"/>
        <v>2.1438735177865612E-3</v>
      </c>
      <c r="O458">
        <f t="shared" si="54"/>
        <v>86.950697552260849</v>
      </c>
      <c r="P458">
        <f t="shared" si="55"/>
        <v>3.4910200402191215E-4</v>
      </c>
    </row>
    <row r="459" spans="1:16" x14ac:dyDescent="0.25">
      <c r="A459" s="1">
        <v>22.85</v>
      </c>
      <c r="B459" s="2">
        <v>4.3280000000000003</v>
      </c>
      <c r="C459">
        <v>4.0000000000000001E-3</v>
      </c>
      <c r="H459">
        <f t="shared" si="49"/>
        <v>22.85</v>
      </c>
      <c r="I459">
        <f t="shared" si="50"/>
        <v>4.3280000000000003</v>
      </c>
      <c r="J459">
        <f t="shared" si="51"/>
        <v>3.2140905623743157E-3</v>
      </c>
      <c r="K459">
        <f t="shared" si="52"/>
        <v>86.790271911020511</v>
      </c>
      <c r="L459">
        <f t="shared" si="53"/>
        <v>2.1427270415828766E-3</v>
      </c>
      <c r="O459">
        <f t="shared" si="54"/>
        <v>86.950697552260849</v>
      </c>
      <c r="P459">
        <f t="shared" si="55"/>
        <v>3.4795552781822755E-4</v>
      </c>
    </row>
    <row r="460" spans="1:16" x14ac:dyDescent="0.25">
      <c r="A460" s="1">
        <v>22.9</v>
      </c>
      <c r="B460" s="2">
        <v>4.3280000000000003</v>
      </c>
      <c r="C460">
        <v>4.0000000000000001E-3</v>
      </c>
      <c r="H460">
        <f t="shared" si="49"/>
        <v>22.9</v>
      </c>
      <c r="I460">
        <f t="shared" si="50"/>
        <v>4.3280000000000003</v>
      </c>
      <c r="J460">
        <f t="shared" si="51"/>
        <v>3.2123708480687892E-3</v>
      </c>
      <c r="K460">
        <f t="shared" si="52"/>
        <v>86.790271911020511</v>
      </c>
      <c r="L460">
        <f t="shared" si="53"/>
        <v>2.1415805653791924E-3</v>
      </c>
      <c r="O460">
        <f t="shared" si="54"/>
        <v>86.950697552260849</v>
      </c>
      <c r="P460">
        <f t="shared" si="55"/>
        <v>3.4680905161454337E-4</v>
      </c>
    </row>
    <row r="461" spans="1:16" x14ac:dyDescent="0.25">
      <c r="A461" s="1">
        <v>22.95</v>
      </c>
      <c r="B461" s="2">
        <v>4.3440000000000003</v>
      </c>
      <c r="C461">
        <v>4.0000000000000001E-3</v>
      </c>
      <c r="H461">
        <f t="shared" si="49"/>
        <v>22.95</v>
      </c>
      <c r="I461">
        <f t="shared" si="50"/>
        <v>4.3440000000000003</v>
      </c>
      <c r="J461">
        <f t="shared" si="51"/>
        <v>3.2106511337632627E-3</v>
      </c>
      <c r="K461">
        <f t="shared" si="52"/>
        <v>87.111123193501172</v>
      </c>
      <c r="L461">
        <f t="shared" si="53"/>
        <v>2.1404340891755082E-3</v>
      </c>
      <c r="O461">
        <f t="shared" si="54"/>
        <v>87.271548834741509</v>
      </c>
      <c r="P461">
        <f t="shared" si="55"/>
        <v>3.456625754108592E-4</v>
      </c>
    </row>
    <row r="462" spans="1:16" x14ac:dyDescent="0.25">
      <c r="A462" s="1">
        <v>23</v>
      </c>
      <c r="B462" s="2">
        <v>4.4139999999999997</v>
      </c>
      <c r="C462">
        <v>4.0000000000000001E-3</v>
      </c>
      <c r="H462">
        <f t="shared" si="49"/>
        <v>23</v>
      </c>
      <c r="I462">
        <f t="shared" si="50"/>
        <v>4.4139999999999997</v>
      </c>
      <c r="J462">
        <f t="shared" si="51"/>
        <v>3.2089314194577358E-3</v>
      </c>
      <c r="K462">
        <f t="shared" si="52"/>
        <v>88.514847554354077</v>
      </c>
      <c r="L462">
        <f t="shared" si="53"/>
        <v>2.1392876129718236E-3</v>
      </c>
      <c r="O462">
        <f t="shared" si="54"/>
        <v>88.675273195594414</v>
      </c>
      <c r="P462">
        <f t="shared" si="55"/>
        <v>3.445160992071746E-4</v>
      </c>
    </row>
    <row r="463" spans="1:16" x14ac:dyDescent="0.25">
      <c r="A463" s="1">
        <v>23.05</v>
      </c>
      <c r="B463" s="2">
        <v>4.4779999999999998</v>
      </c>
      <c r="C463">
        <v>4.0000000000000001E-3</v>
      </c>
      <c r="H463">
        <f t="shared" si="49"/>
        <v>23.05</v>
      </c>
      <c r="I463">
        <f t="shared" si="50"/>
        <v>4.4779999999999998</v>
      </c>
      <c r="J463">
        <f t="shared" si="51"/>
        <v>3.2072117051522094E-3</v>
      </c>
      <c r="K463">
        <f t="shared" si="52"/>
        <v>89.798252684276747</v>
      </c>
      <c r="L463">
        <f t="shared" si="53"/>
        <v>2.138141136768139E-3</v>
      </c>
      <c r="O463">
        <f t="shared" si="54"/>
        <v>89.958678325517084</v>
      </c>
      <c r="P463">
        <f t="shared" si="55"/>
        <v>3.4336962300349E-4</v>
      </c>
    </row>
    <row r="464" spans="1:16" x14ac:dyDescent="0.25">
      <c r="A464" s="1">
        <v>23.1</v>
      </c>
      <c r="B464" s="2">
        <v>4.4960000000000004</v>
      </c>
      <c r="C464">
        <v>4.0000000000000001E-3</v>
      </c>
      <c r="H464">
        <f t="shared" si="49"/>
        <v>23.1</v>
      </c>
      <c r="I464">
        <f t="shared" si="50"/>
        <v>4.4960000000000004</v>
      </c>
      <c r="J464">
        <f t="shared" si="51"/>
        <v>3.2054919908466825E-3</v>
      </c>
      <c r="K464">
        <f t="shared" si="52"/>
        <v>90.159210377067524</v>
      </c>
      <c r="L464">
        <f t="shared" si="53"/>
        <v>2.1369946605644544E-3</v>
      </c>
      <c r="O464">
        <f t="shared" si="54"/>
        <v>90.319636018307861</v>
      </c>
      <c r="P464">
        <f t="shared" si="55"/>
        <v>3.4222314679980539E-4</v>
      </c>
    </row>
    <row r="465" spans="1:16" x14ac:dyDescent="0.25">
      <c r="A465" s="1">
        <v>23.15</v>
      </c>
      <c r="B465" s="2">
        <v>4.5179999999999998</v>
      </c>
      <c r="C465">
        <v>5.0000000000000001E-3</v>
      </c>
      <c r="H465">
        <f t="shared" si="49"/>
        <v>23.15</v>
      </c>
      <c r="I465">
        <f t="shared" si="50"/>
        <v>4.5179999999999998</v>
      </c>
      <c r="J465">
        <f t="shared" si="51"/>
        <v>4.203772276541156E-3</v>
      </c>
      <c r="K465">
        <f t="shared" si="52"/>
        <v>90.600380890478419</v>
      </c>
      <c r="L465">
        <f t="shared" si="53"/>
        <v>2.8025148510274368E-3</v>
      </c>
      <c r="O465">
        <f t="shared" si="54"/>
        <v>90.760806531718757</v>
      </c>
      <c r="P465">
        <f t="shared" si="55"/>
        <v>1.0077433372627878E-3</v>
      </c>
    </row>
    <row r="466" spans="1:16" x14ac:dyDescent="0.25">
      <c r="A466" s="1">
        <v>23.2</v>
      </c>
      <c r="B466" s="2">
        <v>4.5540000000000003</v>
      </c>
      <c r="C466">
        <v>4.0000000000000001E-3</v>
      </c>
      <c r="H466">
        <f t="shared" si="49"/>
        <v>23.2</v>
      </c>
      <c r="I466">
        <f t="shared" si="50"/>
        <v>4.5540000000000003</v>
      </c>
      <c r="J466">
        <f t="shared" si="51"/>
        <v>3.2020525622356291E-3</v>
      </c>
      <c r="K466">
        <f t="shared" si="52"/>
        <v>91.32229627605993</v>
      </c>
      <c r="L466">
        <f t="shared" si="53"/>
        <v>2.1347017081570856E-3</v>
      </c>
      <c r="O466">
        <f t="shared" si="54"/>
        <v>91.482721917300267</v>
      </c>
      <c r="P466">
        <f t="shared" si="55"/>
        <v>3.3993019439243662E-4</v>
      </c>
    </row>
    <row r="467" spans="1:16" x14ac:dyDescent="0.25">
      <c r="A467" s="1">
        <v>23.25</v>
      </c>
      <c r="B467" s="2">
        <v>4.5720000000000001</v>
      </c>
      <c r="C467">
        <v>5.0000000000000001E-3</v>
      </c>
      <c r="H467">
        <f t="shared" si="49"/>
        <v>23.25</v>
      </c>
      <c r="I467">
        <f t="shared" si="50"/>
        <v>4.5720000000000001</v>
      </c>
      <c r="J467">
        <f t="shared" si="51"/>
        <v>4.2003328479301022E-3</v>
      </c>
      <c r="K467">
        <f t="shared" si="52"/>
        <v>91.683253968850678</v>
      </c>
      <c r="L467">
        <f t="shared" si="53"/>
        <v>2.8002218986200676E-3</v>
      </c>
      <c r="O467">
        <f t="shared" si="54"/>
        <v>91.843679610091016</v>
      </c>
      <c r="P467">
        <f t="shared" si="55"/>
        <v>1.0054503848554185E-3</v>
      </c>
    </row>
    <row r="468" spans="1:16" x14ac:dyDescent="0.25">
      <c r="A468" s="1">
        <v>23.3</v>
      </c>
      <c r="B468" s="2">
        <v>4.5970000000000004</v>
      </c>
      <c r="C468">
        <v>4.0000000000000001E-3</v>
      </c>
      <c r="H468">
        <f t="shared" si="49"/>
        <v>23.3</v>
      </c>
      <c r="I468">
        <f t="shared" si="50"/>
        <v>4.5970000000000004</v>
      </c>
      <c r="J468">
        <f t="shared" si="51"/>
        <v>3.1986131336245761E-3</v>
      </c>
      <c r="K468">
        <f t="shared" si="52"/>
        <v>92.184584097726727</v>
      </c>
      <c r="L468">
        <f t="shared" si="53"/>
        <v>2.1324087557497168E-3</v>
      </c>
      <c r="O468">
        <f t="shared" si="54"/>
        <v>92.345009738967065</v>
      </c>
      <c r="P468">
        <f t="shared" si="55"/>
        <v>3.3763724198506784E-4</v>
      </c>
    </row>
    <row r="469" spans="1:16" x14ac:dyDescent="0.25">
      <c r="A469" s="1">
        <v>23.35</v>
      </c>
      <c r="B469" s="2">
        <v>4.5990000000000002</v>
      </c>
      <c r="C469">
        <v>4.0000000000000001E-3</v>
      </c>
      <c r="H469">
        <f t="shared" si="49"/>
        <v>23.35</v>
      </c>
      <c r="I469">
        <f t="shared" si="50"/>
        <v>4.5990000000000002</v>
      </c>
      <c r="J469">
        <f t="shared" si="51"/>
        <v>3.1968934193190492E-3</v>
      </c>
      <c r="K469">
        <f t="shared" si="52"/>
        <v>92.224690508036815</v>
      </c>
      <c r="L469">
        <f t="shared" si="53"/>
        <v>2.1312622795460322E-3</v>
      </c>
      <c r="O469">
        <f t="shared" si="54"/>
        <v>92.385116149277152</v>
      </c>
      <c r="P469">
        <f t="shared" si="55"/>
        <v>3.3649076578138324E-4</v>
      </c>
    </row>
    <row r="470" spans="1:16" x14ac:dyDescent="0.25">
      <c r="A470" s="1">
        <v>23.4</v>
      </c>
      <c r="B470" s="2">
        <v>4.5979999999999999</v>
      </c>
      <c r="C470">
        <v>4.0000000000000001E-3</v>
      </c>
      <c r="H470">
        <f t="shared" si="49"/>
        <v>23.4</v>
      </c>
      <c r="I470">
        <f t="shared" si="50"/>
        <v>4.5979999999999999</v>
      </c>
      <c r="J470">
        <f t="shared" si="51"/>
        <v>3.1951737050135228E-3</v>
      </c>
      <c r="K470">
        <f t="shared" si="52"/>
        <v>92.204637302881764</v>
      </c>
      <c r="L470">
        <f t="shared" si="53"/>
        <v>2.1301158033423481E-3</v>
      </c>
      <c r="O470">
        <f t="shared" si="54"/>
        <v>92.365062944122101</v>
      </c>
      <c r="P470">
        <f t="shared" si="55"/>
        <v>3.3534428957769907E-4</v>
      </c>
    </row>
    <row r="471" spans="1:16" x14ac:dyDescent="0.25">
      <c r="A471" s="1">
        <v>23.45</v>
      </c>
      <c r="B471" s="2">
        <v>4.5949999999999998</v>
      </c>
      <c r="C471">
        <v>5.0000000000000001E-3</v>
      </c>
      <c r="H471">
        <f t="shared" si="49"/>
        <v>23.45</v>
      </c>
      <c r="I471">
        <f t="shared" si="50"/>
        <v>4.5949999999999998</v>
      </c>
      <c r="J471">
        <f t="shared" si="51"/>
        <v>4.1934539907079963E-3</v>
      </c>
      <c r="K471">
        <f t="shared" si="52"/>
        <v>92.144477687416639</v>
      </c>
      <c r="L471">
        <f t="shared" si="53"/>
        <v>2.7956359938053304E-3</v>
      </c>
      <c r="O471">
        <f t="shared" si="54"/>
        <v>92.304903328656977</v>
      </c>
      <c r="P471">
        <f t="shared" si="55"/>
        <v>1.0008644800406814E-3</v>
      </c>
    </row>
    <row r="472" spans="1:16" x14ac:dyDescent="0.25">
      <c r="A472" s="1">
        <v>23.5</v>
      </c>
      <c r="B472" s="2">
        <v>4.5940000000000003</v>
      </c>
      <c r="C472">
        <v>4.0000000000000001E-3</v>
      </c>
      <c r="H472">
        <f t="shared" si="49"/>
        <v>23.5</v>
      </c>
      <c r="I472">
        <f t="shared" si="50"/>
        <v>4.5940000000000003</v>
      </c>
      <c r="J472">
        <f t="shared" si="51"/>
        <v>3.1917342764024694E-3</v>
      </c>
      <c r="K472">
        <f t="shared" si="52"/>
        <v>92.124424482261603</v>
      </c>
      <c r="L472">
        <f t="shared" si="53"/>
        <v>2.1278228509349793E-3</v>
      </c>
      <c r="O472">
        <f t="shared" si="54"/>
        <v>92.28485012350194</v>
      </c>
      <c r="P472">
        <f t="shared" si="55"/>
        <v>3.3305133717033029E-4</v>
      </c>
    </row>
    <row r="473" spans="1:16" x14ac:dyDescent="0.25">
      <c r="A473" s="1">
        <v>23.55</v>
      </c>
      <c r="B473" s="2">
        <v>4.5940000000000003</v>
      </c>
      <c r="C473">
        <v>5.0000000000000001E-3</v>
      </c>
      <c r="H473">
        <f t="shared" si="49"/>
        <v>23.55</v>
      </c>
      <c r="I473">
        <f t="shared" si="50"/>
        <v>4.5940000000000003</v>
      </c>
      <c r="J473">
        <f t="shared" si="51"/>
        <v>4.1900145620969425E-3</v>
      </c>
      <c r="K473">
        <f t="shared" si="52"/>
        <v>92.124424482261603</v>
      </c>
      <c r="L473">
        <f t="shared" si="53"/>
        <v>2.7933430413979612E-3</v>
      </c>
      <c r="O473">
        <f t="shared" si="54"/>
        <v>92.28485012350194</v>
      </c>
      <c r="P473">
        <f t="shared" si="55"/>
        <v>9.9857152763331222E-4</v>
      </c>
    </row>
    <row r="474" spans="1:16" x14ac:dyDescent="0.25">
      <c r="A474" s="1">
        <v>23.6</v>
      </c>
      <c r="B474" s="2">
        <v>4.5910000000000002</v>
      </c>
      <c r="C474">
        <v>4.0000000000000001E-3</v>
      </c>
      <c r="H474">
        <f t="shared" si="49"/>
        <v>23.6</v>
      </c>
      <c r="I474">
        <f t="shared" si="50"/>
        <v>4.5910000000000002</v>
      </c>
      <c r="J474">
        <f t="shared" si="51"/>
        <v>3.188294847791416E-3</v>
      </c>
      <c r="K474">
        <f t="shared" si="52"/>
        <v>92.064264866796478</v>
      </c>
      <c r="L474">
        <f t="shared" si="53"/>
        <v>2.1255298985276101E-3</v>
      </c>
      <c r="O474">
        <f t="shared" si="54"/>
        <v>92.224690508036815</v>
      </c>
      <c r="P474">
        <f t="shared" si="55"/>
        <v>3.3075838476296108E-4</v>
      </c>
    </row>
    <row r="475" spans="1:16" x14ac:dyDescent="0.25">
      <c r="A475" s="1">
        <v>23.65</v>
      </c>
      <c r="B475" s="2">
        <v>4.6520000000000001</v>
      </c>
      <c r="C475">
        <v>4.0000000000000001E-3</v>
      </c>
      <c r="H475">
        <f t="shared" si="49"/>
        <v>23.65</v>
      </c>
      <c r="I475">
        <f t="shared" si="50"/>
        <v>4.6520000000000001</v>
      </c>
      <c r="J475">
        <f t="shared" si="51"/>
        <v>3.1865751334858895E-3</v>
      </c>
      <c r="K475">
        <f t="shared" si="52"/>
        <v>93.287510381254023</v>
      </c>
      <c r="L475">
        <f t="shared" si="53"/>
        <v>2.1243834223239259E-3</v>
      </c>
      <c r="O475">
        <f t="shared" si="54"/>
        <v>93.44793602249436</v>
      </c>
      <c r="P475">
        <f t="shared" si="55"/>
        <v>3.2961190855927691E-4</v>
      </c>
    </row>
    <row r="476" spans="1:16" x14ac:dyDescent="0.25">
      <c r="A476" s="1">
        <v>23.7</v>
      </c>
      <c r="B476" s="2">
        <v>4.7130000000000001</v>
      </c>
      <c r="C476">
        <v>4.0000000000000001E-3</v>
      </c>
      <c r="H476">
        <f t="shared" si="49"/>
        <v>23.7</v>
      </c>
      <c r="I476">
        <f t="shared" si="50"/>
        <v>4.7130000000000001</v>
      </c>
      <c r="J476">
        <f t="shared" si="51"/>
        <v>3.1848554191803626E-3</v>
      </c>
      <c r="K476">
        <f t="shared" si="52"/>
        <v>94.510755895711554</v>
      </c>
      <c r="L476">
        <f t="shared" si="53"/>
        <v>2.1232369461202413E-3</v>
      </c>
      <c r="O476">
        <f t="shared" si="54"/>
        <v>94.671181536951892</v>
      </c>
      <c r="P476">
        <f t="shared" si="55"/>
        <v>3.2846543235559231E-4</v>
      </c>
    </row>
    <row r="477" spans="1:16" x14ac:dyDescent="0.25">
      <c r="A477" s="1">
        <v>23.75</v>
      </c>
      <c r="B477" s="2">
        <v>4.7560000000000002</v>
      </c>
      <c r="C477">
        <v>5.0000000000000001E-3</v>
      </c>
      <c r="H477">
        <f t="shared" si="49"/>
        <v>23.75</v>
      </c>
      <c r="I477">
        <f t="shared" si="50"/>
        <v>4.7560000000000002</v>
      </c>
      <c r="J477">
        <f t="shared" si="51"/>
        <v>4.1831357048748357E-3</v>
      </c>
      <c r="K477">
        <f t="shared" si="52"/>
        <v>95.373043717378351</v>
      </c>
      <c r="L477">
        <f t="shared" si="53"/>
        <v>2.7887571365832232E-3</v>
      </c>
      <c r="O477">
        <f t="shared" si="54"/>
        <v>95.533469358618689</v>
      </c>
      <c r="P477">
        <f t="shared" si="55"/>
        <v>9.9398562281857424E-4</v>
      </c>
    </row>
    <row r="478" spans="1:16" x14ac:dyDescent="0.25">
      <c r="A478" s="1">
        <v>23.8</v>
      </c>
      <c r="B478" s="2">
        <v>4.7750000000000004</v>
      </c>
      <c r="C478">
        <v>4.0000000000000001E-3</v>
      </c>
      <c r="H478">
        <f t="shared" si="49"/>
        <v>23.8</v>
      </c>
      <c r="I478">
        <f t="shared" si="50"/>
        <v>4.7750000000000004</v>
      </c>
      <c r="J478">
        <f t="shared" si="51"/>
        <v>3.1814159905693092E-3</v>
      </c>
      <c r="K478">
        <f t="shared" si="52"/>
        <v>95.754054615324151</v>
      </c>
      <c r="L478">
        <f t="shared" si="53"/>
        <v>2.1209439937128725E-3</v>
      </c>
      <c r="O478">
        <f t="shared" si="54"/>
        <v>95.914480256564488</v>
      </c>
      <c r="P478">
        <f t="shared" si="55"/>
        <v>3.2617247994822353E-4</v>
      </c>
    </row>
    <row r="479" spans="1:16" x14ac:dyDescent="0.25">
      <c r="A479" s="1">
        <v>23.85</v>
      </c>
      <c r="B479" s="2">
        <v>4.7889999999999997</v>
      </c>
      <c r="C479">
        <v>5.0000000000000001E-3</v>
      </c>
      <c r="H479">
        <f t="shared" si="49"/>
        <v>23.85</v>
      </c>
      <c r="I479">
        <f t="shared" si="50"/>
        <v>4.7889999999999997</v>
      </c>
      <c r="J479">
        <f t="shared" si="51"/>
        <v>4.1796962762637828E-3</v>
      </c>
      <c r="K479">
        <f t="shared" si="52"/>
        <v>96.034799487494723</v>
      </c>
      <c r="L479">
        <f t="shared" si="53"/>
        <v>2.7864641841758545E-3</v>
      </c>
      <c r="O479">
        <f t="shared" si="54"/>
        <v>96.195225128735061</v>
      </c>
      <c r="P479">
        <f t="shared" si="55"/>
        <v>9.9169267041120546E-4</v>
      </c>
    </row>
    <row r="480" spans="1:16" x14ac:dyDescent="0.25">
      <c r="A480" s="1">
        <v>23.9</v>
      </c>
      <c r="B480" s="2">
        <v>4.8209999999999997</v>
      </c>
      <c r="C480">
        <v>4.0000000000000001E-3</v>
      </c>
      <c r="H480">
        <f t="shared" si="49"/>
        <v>23.9</v>
      </c>
      <c r="I480">
        <f t="shared" si="50"/>
        <v>4.8209999999999997</v>
      </c>
      <c r="J480">
        <f t="shared" si="51"/>
        <v>3.1779765619582559E-3</v>
      </c>
      <c r="K480">
        <f t="shared" si="52"/>
        <v>96.676502052456058</v>
      </c>
      <c r="L480">
        <f t="shared" si="53"/>
        <v>2.1186510413055033E-3</v>
      </c>
      <c r="O480">
        <f t="shared" si="54"/>
        <v>96.836927693696396</v>
      </c>
      <c r="P480">
        <f t="shared" si="55"/>
        <v>3.2387952754085432E-4</v>
      </c>
    </row>
    <row r="481" spans="1:16" x14ac:dyDescent="0.25">
      <c r="A481" s="1">
        <v>23.95</v>
      </c>
      <c r="B481" s="2">
        <v>4.8419999999999996</v>
      </c>
      <c r="C481">
        <v>5.0000000000000001E-3</v>
      </c>
      <c r="H481">
        <f t="shared" si="49"/>
        <v>23.95</v>
      </c>
      <c r="I481">
        <f t="shared" si="50"/>
        <v>4.8419999999999996</v>
      </c>
      <c r="J481">
        <f t="shared" si="51"/>
        <v>4.176256847652729E-3</v>
      </c>
      <c r="K481">
        <f t="shared" si="52"/>
        <v>97.097619360711931</v>
      </c>
      <c r="L481">
        <f t="shared" si="53"/>
        <v>2.7841712317684853E-3</v>
      </c>
      <c r="O481">
        <f t="shared" si="54"/>
        <v>97.258045001952269</v>
      </c>
      <c r="P481">
        <f t="shared" si="55"/>
        <v>9.8939971800383626E-4</v>
      </c>
    </row>
    <row r="482" spans="1:16" x14ac:dyDescent="0.25">
      <c r="A482" s="1">
        <v>24</v>
      </c>
      <c r="B482" s="2">
        <v>4.8460000000000001</v>
      </c>
      <c r="C482">
        <v>4.0000000000000001E-3</v>
      </c>
      <c r="H482">
        <f t="shared" si="49"/>
        <v>24</v>
      </c>
      <c r="I482">
        <f t="shared" si="50"/>
        <v>4.8460000000000001</v>
      </c>
      <c r="J482">
        <f t="shared" si="51"/>
        <v>3.1745371333472029E-3</v>
      </c>
      <c r="K482">
        <f t="shared" si="52"/>
        <v>97.177832181332107</v>
      </c>
      <c r="L482">
        <f t="shared" si="53"/>
        <v>2.116358088898135E-3</v>
      </c>
      <c r="O482">
        <f t="shared" si="54"/>
        <v>97.338257822572444</v>
      </c>
      <c r="P482">
        <f t="shared" si="55"/>
        <v>3.2158657513348598E-4</v>
      </c>
    </row>
    <row r="483" spans="1:16" x14ac:dyDescent="0.25">
      <c r="A483" s="1">
        <v>24.05</v>
      </c>
      <c r="B483" s="2">
        <v>4.8460000000000001</v>
      </c>
      <c r="C483">
        <v>4.0000000000000001E-3</v>
      </c>
      <c r="H483">
        <f t="shared" si="49"/>
        <v>24.05</v>
      </c>
      <c r="I483">
        <f t="shared" si="50"/>
        <v>4.8460000000000001</v>
      </c>
      <c r="J483">
        <f t="shared" si="51"/>
        <v>3.172817419041676E-3</v>
      </c>
      <c r="K483">
        <f t="shared" si="52"/>
        <v>97.177832181332107</v>
      </c>
      <c r="L483">
        <f t="shared" si="53"/>
        <v>2.1152116126944504E-3</v>
      </c>
      <c r="O483">
        <f t="shared" si="54"/>
        <v>97.338257822572444</v>
      </c>
      <c r="P483">
        <f t="shared" si="55"/>
        <v>3.2044009892980138E-4</v>
      </c>
    </row>
    <row r="484" spans="1:16" x14ac:dyDescent="0.25">
      <c r="A484" s="1">
        <v>24.1</v>
      </c>
      <c r="B484" s="2">
        <v>4.8449999999999998</v>
      </c>
      <c r="C484">
        <v>4.0000000000000001E-3</v>
      </c>
      <c r="H484">
        <f t="shared" si="49"/>
        <v>24.1</v>
      </c>
      <c r="I484">
        <f t="shared" si="50"/>
        <v>4.8449999999999998</v>
      </c>
      <c r="J484">
        <f t="shared" si="51"/>
        <v>3.1710977047361491E-3</v>
      </c>
      <c r="K484">
        <f t="shared" si="52"/>
        <v>97.157778976177056</v>
      </c>
      <c r="L484">
        <f t="shared" si="53"/>
        <v>2.1140651364907658E-3</v>
      </c>
      <c r="O484">
        <f t="shared" si="54"/>
        <v>97.318204617417393</v>
      </c>
      <c r="P484">
        <f t="shared" si="55"/>
        <v>3.1929362272611677E-4</v>
      </c>
    </row>
    <row r="485" spans="1:16" x14ac:dyDescent="0.25">
      <c r="A485" s="1">
        <v>24.15</v>
      </c>
      <c r="B485" s="2">
        <v>4.8449999999999998</v>
      </c>
      <c r="C485">
        <v>4.0000000000000001E-3</v>
      </c>
      <c r="H485">
        <f t="shared" si="49"/>
        <v>24.15</v>
      </c>
      <c r="I485">
        <f t="shared" si="50"/>
        <v>4.8449999999999998</v>
      </c>
      <c r="J485">
        <f t="shared" si="51"/>
        <v>3.1693779904306226E-3</v>
      </c>
      <c r="K485">
        <f t="shared" si="52"/>
        <v>97.157778976177056</v>
      </c>
      <c r="L485">
        <f t="shared" si="53"/>
        <v>2.1129186602870812E-3</v>
      </c>
      <c r="O485">
        <f t="shared" si="54"/>
        <v>97.318204617417393</v>
      </c>
      <c r="P485">
        <f t="shared" si="55"/>
        <v>3.1814714652243217E-4</v>
      </c>
    </row>
    <row r="486" spans="1:16" x14ac:dyDescent="0.25">
      <c r="A486" s="1">
        <v>24.2</v>
      </c>
      <c r="B486" s="2">
        <v>4.8460000000000001</v>
      </c>
      <c r="C486">
        <v>4.0000000000000001E-3</v>
      </c>
      <c r="H486">
        <f t="shared" si="49"/>
        <v>24.2</v>
      </c>
      <c r="I486">
        <f t="shared" si="50"/>
        <v>4.8460000000000001</v>
      </c>
      <c r="J486">
        <f t="shared" si="51"/>
        <v>3.1676582761250962E-3</v>
      </c>
      <c r="K486">
        <f t="shared" si="52"/>
        <v>97.177832181332107</v>
      </c>
      <c r="L486">
        <f t="shared" si="53"/>
        <v>2.111772184083397E-3</v>
      </c>
      <c r="O486">
        <f t="shared" si="54"/>
        <v>97.338257822572444</v>
      </c>
      <c r="P486">
        <f t="shared" si="55"/>
        <v>3.17000670318748E-4</v>
      </c>
    </row>
    <row r="487" spans="1:16" x14ac:dyDescent="0.25">
      <c r="A487" s="1">
        <v>24.25</v>
      </c>
      <c r="B487" s="2">
        <v>4.8769999999999998</v>
      </c>
      <c r="C487">
        <v>5.0000000000000001E-3</v>
      </c>
      <c r="H487">
        <f t="shared" si="49"/>
        <v>24.25</v>
      </c>
      <c r="I487">
        <f t="shared" si="50"/>
        <v>4.8769999999999998</v>
      </c>
      <c r="J487">
        <f t="shared" si="51"/>
        <v>4.1659385618195693E-3</v>
      </c>
      <c r="K487">
        <f t="shared" si="52"/>
        <v>97.799481541138391</v>
      </c>
      <c r="L487">
        <f t="shared" si="53"/>
        <v>2.7772923745463789E-3</v>
      </c>
      <c r="O487">
        <f t="shared" si="54"/>
        <v>97.959907182378728</v>
      </c>
      <c r="P487">
        <f t="shared" si="55"/>
        <v>9.8252086078172993E-4</v>
      </c>
    </row>
    <row r="488" spans="1:16" x14ac:dyDescent="0.25">
      <c r="A488" s="1">
        <v>24.3</v>
      </c>
      <c r="B488" s="2">
        <v>4.9530000000000003</v>
      </c>
      <c r="C488">
        <v>4.0000000000000001E-3</v>
      </c>
      <c r="H488">
        <f t="shared" si="49"/>
        <v>24.3</v>
      </c>
      <c r="I488">
        <f t="shared" si="50"/>
        <v>4.9530000000000003</v>
      </c>
      <c r="J488">
        <f t="shared" si="51"/>
        <v>3.1642188475140428E-3</v>
      </c>
      <c r="K488">
        <f t="shared" si="52"/>
        <v>99.323525132921574</v>
      </c>
      <c r="L488">
        <f t="shared" si="53"/>
        <v>2.1094792316760282E-3</v>
      </c>
      <c r="O488">
        <f t="shared" si="54"/>
        <v>99.483950774161912</v>
      </c>
      <c r="P488">
        <f t="shared" si="55"/>
        <v>3.1470771791137922E-4</v>
      </c>
    </row>
    <row r="489" spans="1:16" x14ac:dyDescent="0.25">
      <c r="A489" s="1">
        <v>24.35</v>
      </c>
      <c r="B489" s="2">
        <v>5.0129999999999999</v>
      </c>
      <c r="C489">
        <v>5.0000000000000001E-3</v>
      </c>
      <c r="H489">
        <f t="shared" si="49"/>
        <v>24.35</v>
      </c>
      <c r="I489">
        <f t="shared" si="50"/>
        <v>5.0129999999999999</v>
      </c>
      <c r="J489">
        <f t="shared" si="51"/>
        <v>4.1624991332085163E-3</v>
      </c>
      <c r="K489">
        <f t="shared" si="52"/>
        <v>100.52671744222407</v>
      </c>
      <c r="L489">
        <f t="shared" si="53"/>
        <v>2.7749994221390102E-3</v>
      </c>
      <c r="O489">
        <f t="shared" si="54"/>
        <v>100.68714308346441</v>
      </c>
      <c r="P489">
        <f t="shared" si="55"/>
        <v>9.8022790837436116E-4</v>
      </c>
    </row>
    <row r="490" spans="1:16" x14ac:dyDescent="0.25">
      <c r="A490" s="1">
        <v>24.4</v>
      </c>
      <c r="B490" s="2">
        <v>5.0410000000000004</v>
      </c>
      <c r="C490">
        <v>4.0000000000000001E-3</v>
      </c>
      <c r="H490">
        <f t="shared" si="49"/>
        <v>24.4</v>
      </c>
      <c r="I490">
        <f t="shared" si="50"/>
        <v>5.0410000000000004</v>
      </c>
      <c r="J490">
        <f t="shared" si="51"/>
        <v>3.1607794189029894E-3</v>
      </c>
      <c r="K490">
        <f t="shared" si="52"/>
        <v>101.08820718656524</v>
      </c>
      <c r="L490">
        <f t="shared" si="53"/>
        <v>2.107186279268659E-3</v>
      </c>
      <c r="O490">
        <f t="shared" si="54"/>
        <v>101.24863282780558</v>
      </c>
      <c r="P490">
        <f t="shared" si="55"/>
        <v>3.1241476550401001E-4</v>
      </c>
    </row>
    <row r="491" spans="1:16" x14ac:dyDescent="0.25">
      <c r="A491" s="1">
        <v>24.45</v>
      </c>
      <c r="B491" s="2">
        <v>5.0620000000000003</v>
      </c>
      <c r="C491">
        <v>4.0000000000000001E-3</v>
      </c>
      <c r="H491">
        <f t="shared" si="49"/>
        <v>24.45</v>
      </c>
      <c r="I491">
        <f t="shared" si="50"/>
        <v>5.0620000000000003</v>
      </c>
      <c r="J491">
        <f t="shared" si="51"/>
        <v>3.1590597045974629E-3</v>
      </c>
      <c r="K491">
        <f t="shared" si="52"/>
        <v>101.50932449482112</v>
      </c>
      <c r="L491">
        <f t="shared" si="53"/>
        <v>2.1060398030649749E-3</v>
      </c>
      <c r="O491">
        <f t="shared" si="54"/>
        <v>101.66975013606145</v>
      </c>
      <c r="P491">
        <f t="shared" si="55"/>
        <v>3.1126828930032584E-4</v>
      </c>
    </row>
    <row r="492" spans="1:16" x14ac:dyDescent="0.25">
      <c r="A492" s="1">
        <v>24.5</v>
      </c>
      <c r="B492" s="2">
        <v>5.1150000000000002</v>
      </c>
      <c r="C492">
        <v>4.0000000000000001E-3</v>
      </c>
      <c r="H492">
        <f t="shared" si="49"/>
        <v>24.5</v>
      </c>
      <c r="I492">
        <f t="shared" si="50"/>
        <v>5.1150000000000002</v>
      </c>
      <c r="J492">
        <f t="shared" si="51"/>
        <v>3.157339990291936E-3</v>
      </c>
      <c r="K492">
        <f t="shared" si="52"/>
        <v>102.57214436803832</v>
      </c>
      <c r="L492">
        <f t="shared" si="53"/>
        <v>2.1048933268612902E-3</v>
      </c>
      <c r="O492">
        <f t="shared" si="54"/>
        <v>102.73257000927866</v>
      </c>
      <c r="P492">
        <f t="shared" si="55"/>
        <v>3.1012181309664124E-4</v>
      </c>
    </row>
    <row r="493" spans="1:16" x14ac:dyDescent="0.25">
      <c r="A493" s="1">
        <v>24.55</v>
      </c>
      <c r="B493" s="2">
        <v>5.157</v>
      </c>
      <c r="C493">
        <v>5.0000000000000001E-3</v>
      </c>
      <c r="H493">
        <f t="shared" si="49"/>
        <v>24.55</v>
      </c>
      <c r="I493">
        <f t="shared" si="50"/>
        <v>5.157</v>
      </c>
      <c r="J493">
        <f t="shared" si="51"/>
        <v>4.1556202759864096E-3</v>
      </c>
      <c r="K493">
        <f t="shared" si="52"/>
        <v>103.41437898455008</v>
      </c>
      <c r="L493">
        <f t="shared" si="53"/>
        <v>2.7704135173242726E-3</v>
      </c>
      <c r="O493">
        <f t="shared" si="54"/>
        <v>103.57480462579042</v>
      </c>
      <c r="P493">
        <f t="shared" si="55"/>
        <v>9.7564200355962361E-4</v>
      </c>
    </row>
    <row r="494" spans="1:16" x14ac:dyDescent="0.25">
      <c r="A494" s="1">
        <v>24.6</v>
      </c>
      <c r="B494" s="2">
        <v>5.1920000000000002</v>
      </c>
      <c r="C494">
        <v>4.0000000000000001E-3</v>
      </c>
      <c r="H494">
        <f t="shared" si="49"/>
        <v>24.6</v>
      </c>
      <c r="I494">
        <f t="shared" si="50"/>
        <v>5.1920000000000002</v>
      </c>
      <c r="J494">
        <f t="shared" si="51"/>
        <v>3.1539005616808826E-3</v>
      </c>
      <c r="K494">
        <f t="shared" si="52"/>
        <v>104.11624116497654</v>
      </c>
      <c r="L494">
        <f t="shared" si="53"/>
        <v>2.1026003744539215E-3</v>
      </c>
      <c r="O494">
        <f t="shared" si="54"/>
        <v>104.27666680621688</v>
      </c>
      <c r="P494">
        <f t="shared" si="55"/>
        <v>3.0782886068927246E-4</v>
      </c>
    </row>
    <row r="495" spans="1:16" x14ac:dyDescent="0.25">
      <c r="A495" s="1">
        <v>24.65</v>
      </c>
      <c r="B495" s="2">
        <v>5.1959999999999997</v>
      </c>
      <c r="C495">
        <v>5.0000000000000001E-3</v>
      </c>
      <c r="H495">
        <f t="shared" si="49"/>
        <v>24.65</v>
      </c>
      <c r="I495">
        <f t="shared" si="50"/>
        <v>5.1959999999999997</v>
      </c>
      <c r="J495">
        <f t="shared" si="51"/>
        <v>4.1521808473753558E-3</v>
      </c>
      <c r="K495">
        <f t="shared" si="52"/>
        <v>104.1964539855967</v>
      </c>
      <c r="L495">
        <f t="shared" si="53"/>
        <v>2.7681205649169034E-3</v>
      </c>
      <c r="O495">
        <f t="shared" si="54"/>
        <v>104.35687962683704</v>
      </c>
      <c r="P495">
        <f t="shared" si="55"/>
        <v>9.733490511522544E-4</v>
      </c>
    </row>
    <row r="496" spans="1:16" x14ac:dyDescent="0.25">
      <c r="A496" s="1">
        <v>24.7</v>
      </c>
      <c r="B496" s="2">
        <v>5.1959999999999997</v>
      </c>
      <c r="C496">
        <v>4.0000000000000001E-3</v>
      </c>
      <c r="H496">
        <f t="shared" si="49"/>
        <v>24.7</v>
      </c>
      <c r="I496">
        <f t="shared" si="50"/>
        <v>5.1959999999999997</v>
      </c>
      <c r="J496">
        <f t="shared" si="51"/>
        <v>3.1504611330698297E-3</v>
      </c>
      <c r="K496">
        <f t="shared" si="52"/>
        <v>104.1964539855967</v>
      </c>
      <c r="L496">
        <f t="shared" si="53"/>
        <v>2.1003074220465527E-3</v>
      </c>
      <c r="O496">
        <f t="shared" si="54"/>
        <v>104.35687962683704</v>
      </c>
      <c r="P496">
        <f t="shared" si="55"/>
        <v>3.0553590828190369E-4</v>
      </c>
    </row>
    <row r="497" spans="1:16" x14ac:dyDescent="0.25">
      <c r="A497" s="1">
        <v>24.75</v>
      </c>
      <c r="B497" s="2">
        <v>5.1959999999999997</v>
      </c>
      <c r="C497">
        <v>5.0000000000000001E-3</v>
      </c>
      <c r="H497">
        <f t="shared" si="49"/>
        <v>24.75</v>
      </c>
      <c r="I497">
        <f t="shared" si="50"/>
        <v>5.1959999999999997</v>
      </c>
      <c r="J497">
        <f t="shared" si="51"/>
        <v>4.1487414187643028E-3</v>
      </c>
      <c r="K497">
        <f t="shared" si="52"/>
        <v>104.1964539855967</v>
      </c>
      <c r="L497">
        <f t="shared" si="53"/>
        <v>2.7658276125095346E-3</v>
      </c>
      <c r="O497">
        <f t="shared" si="54"/>
        <v>104.35687962683704</v>
      </c>
      <c r="P497">
        <f t="shared" si="55"/>
        <v>9.7105609874488562E-4</v>
      </c>
    </row>
    <row r="498" spans="1:16" x14ac:dyDescent="0.25">
      <c r="A498" s="1">
        <v>24.8</v>
      </c>
      <c r="B498" s="2">
        <v>5.1959999999999997</v>
      </c>
      <c r="C498">
        <v>4.0000000000000001E-3</v>
      </c>
      <c r="H498">
        <f t="shared" si="49"/>
        <v>24.8</v>
      </c>
      <c r="I498">
        <f t="shared" si="50"/>
        <v>5.1959999999999997</v>
      </c>
      <c r="J498">
        <f t="shared" si="51"/>
        <v>3.1470217044587759E-3</v>
      </c>
      <c r="K498">
        <f t="shared" si="52"/>
        <v>104.1964539855967</v>
      </c>
      <c r="L498">
        <f t="shared" si="53"/>
        <v>2.0980144696391835E-3</v>
      </c>
      <c r="O498">
        <f t="shared" si="54"/>
        <v>104.35687962683704</v>
      </c>
      <c r="P498">
        <f t="shared" si="55"/>
        <v>3.0324295587453448E-4</v>
      </c>
    </row>
    <row r="499" spans="1:16" x14ac:dyDescent="0.25">
      <c r="A499" s="1">
        <v>24.85</v>
      </c>
      <c r="B499" s="2">
        <v>5.1959999999999997</v>
      </c>
      <c r="C499">
        <v>5.0000000000000001E-3</v>
      </c>
      <c r="H499">
        <f t="shared" si="49"/>
        <v>24.85</v>
      </c>
      <c r="I499">
        <f t="shared" si="50"/>
        <v>5.1959999999999997</v>
      </c>
      <c r="J499">
        <f t="shared" si="51"/>
        <v>4.1453019901532499E-3</v>
      </c>
      <c r="K499">
        <f t="shared" si="52"/>
        <v>104.1964539855967</v>
      </c>
      <c r="L499">
        <f t="shared" si="53"/>
        <v>2.7635346601021659E-3</v>
      </c>
      <c r="O499">
        <f t="shared" si="54"/>
        <v>104.35687962683704</v>
      </c>
      <c r="P499">
        <f t="shared" si="55"/>
        <v>9.6876314633751685E-4</v>
      </c>
    </row>
    <row r="500" spans="1:16" x14ac:dyDescent="0.25">
      <c r="A500" s="1">
        <v>24.9</v>
      </c>
      <c r="B500" s="2">
        <v>5.1879999999999997</v>
      </c>
      <c r="C500">
        <v>4.0000000000000001E-3</v>
      </c>
      <c r="H500">
        <f t="shared" si="49"/>
        <v>24.9</v>
      </c>
      <c r="I500">
        <f t="shared" si="50"/>
        <v>5.1879999999999997</v>
      </c>
      <c r="J500">
        <f t="shared" si="51"/>
        <v>3.1435822758477229E-3</v>
      </c>
      <c r="K500">
        <f t="shared" si="52"/>
        <v>104.03602834435637</v>
      </c>
      <c r="L500">
        <f t="shared" si="53"/>
        <v>2.0957215172318147E-3</v>
      </c>
      <c r="O500">
        <f t="shared" si="54"/>
        <v>104.1964539855967</v>
      </c>
      <c r="P500">
        <f t="shared" si="55"/>
        <v>3.0095000346716571E-4</v>
      </c>
    </row>
    <row r="501" spans="1:16" x14ac:dyDescent="0.25">
      <c r="A501" s="1">
        <v>24.95</v>
      </c>
      <c r="B501" s="2">
        <v>5.2080000000000002</v>
      </c>
      <c r="C501">
        <v>5.0000000000000001E-3</v>
      </c>
      <c r="H501">
        <f t="shared" si="49"/>
        <v>24.95</v>
      </c>
      <c r="I501">
        <f t="shared" si="50"/>
        <v>5.2080000000000002</v>
      </c>
      <c r="J501">
        <f t="shared" si="51"/>
        <v>4.1418625615421961E-3</v>
      </c>
      <c r="K501">
        <f t="shared" si="52"/>
        <v>104.4370924474572</v>
      </c>
      <c r="L501">
        <f t="shared" si="53"/>
        <v>2.7612417076947966E-3</v>
      </c>
      <c r="O501">
        <f t="shared" si="54"/>
        <v>104.59751808869754</v>
      </c>
      <c r="P501">
        <f t="shared" si="55"/>
        <v>9.6647019393014764E-4</v>
      </c>
    </row>
    <row r="502" spans="1:16" x14ac:dyDescent="0.25">
      <c r="A502" s="1">
        <v>25</v>
      </c>
      <c r="B502" s="2">
        <v>5.2850000000000001</v>
      </c>
      <c r="C502">
        <v>4.0000000000000001E-3</v>
      </c>
      <c r="H502">
        <f t="shared" si="49"/>
        <v>25</v>
      </c>
      <c r="I502">
        <f t="shared" si="50"/>
        <v>5.2850000000000001</v>
      </c>
      <c r="J502">
        <f t="shared" si="51"/>
        <v>3.1401428472366696E-3</v>
      </c>
      <c r="K502">
        <f t="shared" si="52"/>
        <v>105.98118924439542</v>
      </c>
      <c r="L502">
        <f t="shared" si="53"/>
        <v>2.0934285648244459E-3</v>
      </c>
      <c r="O502">
        <f t="shared" si="54"/>
        <v>106.14161488563576</v>
      </c>
      <c r="P502">
        <f t="shared" si="55"/>
        <v>2.9865705105979693E-4</v>
      </c>
    </row>
    <row r="503" spans="1:16" x14ac:dyDescent="0.25">
      <c r="A503" s="1">
        <v>25.05</v>
      </c>
      <c r="B503" s="2">
        <v>5.3230000000000004</v>
      </c>
      <c r="C503">
        <v>4.0000000000000001E-3</v>
      </c>
      <c r="H503">
        <f t="shared" si="49"/>
        <v>25.05</v>
      </c>
      <c r="I503">
        <f t="shared" si="50"/>
        <v>5.3230000000000004</v>
      </c>
      <c r="J503">
        <f t="shared" si="51"/>
        <v>3.1384231329311426E-3</v>
      </c>
      <c r="K503">
        <f t="shared" si="52"/>
        <v>106.74321104028701</v>
      </c>
      <c r="L503">
        <f t="shared" si="53"/>
        <v>2.0922820886207613E-3</v>
      </c>
      <c r="O503">
        <f t="shared" si="54"/>
        <v>106.90363668152735</v>
      </c>
      <c r="P503">
        <f t="shared" si="55"/>
        <v>2.9751057485611233E-4</v>
      </c>
    </row>
    <row r="504" spans="1:16" x14ac:dyDescent="0.25">
      <c r="A504" s="1">
        <v>25.1</v>
      </c>
      <c r="B504" s="2">
        <v>5.3710000000000004</v>
      </c>
      <c r="C504">
        <v>4.0000000000000001E-3</v>
      </c>
      <c r="H504">
        <f t="shared" si="49"/>
        <v>25.1</v>
      </c>
      <c r="I504">
        <f t="shared" si="50"/>
        <v>5.3710000000000004</v>
      </c>
      <c r="J504">
        <f t="shared" si="51"/>
        <v>3.1367034186256162E-3</v>
      </c>
      <c r="K504">
        <f t="shared" si="52"/>
        <v>107.70576488772902</v>
      </c>
      <c r="L504">
        <f t="shared" si="53"/>
        <v>2.0911356124170772E-3</v>
      </c>
      <c r="O504">
        <f t="shared" si="54"/>
        <v>107.86619052896936</v>
      </c>
      <c r="P504">
        <f t="shared" si="55"/>
        <v>2.9636409865242816E-4</v>
      </c>
    </row>
    <row r="505" spans="1:16" x14ac:dyDescent="0.25">
      <c r="A505" s="1">
        <v>25.15</v>
      </c>
      <c r="B505" s="2">
        <v>5.3849999999999998</v>
      </c>
      <c r="C505">
        <v>5.0000000000000001E-3</v>
      </c>
      <c r="H505">
        <f t="shared" si="49"/>
        <v>25.15</v>
      </c>
      <c r="I505">
        <f t="shared" si="50"/>
        <v>5.3849999999999998</v>
      </c>
      <c r="J505">
        <f t="shared" si="51"/>
        <v>4.1349837043200893E-3</v>
      </c>
      <c r="K505">
        <f t="shared" si="52"/>
        <v>107.98650975989958</v>
      </c>
      <c r="L505">
        <f t="shared" si="53"/>
        <v>2.7566558028800591E-3</v>
      </c>
      <c r="O505">
        <f t="shared" si="54"/>
        <v>108.14693540113991</v>
      </c>
      <c r="P505">
        <f t="shared" si="55"/>
        <v>9.6188428911541009E-4</v>
      </c>
    </row>
    <row r="506" spans="1:16" x14ac:dyDescent="0.25">
      <c r="A506" s="1">
        <v>25.2</v>
      </c>
      <c r="B506" s="2">
        <v>5.3970000000000002</v>
      </c>
      <c r="C506">
        <v>4.0000000000000001E-3</v>
      </c>
      <c r="H506">
        <f t="shared" si="49"/>
        <v>25.2</v>
      </c>
      <c r="I506">
        <f t="shared" si="50"/>
        <v>5.3970000000000002</v>
      </c>
      <c r="J506">
        <f t="shared" si="51"/>
        <v>3.1332639900145628E-3</v>
      </c>
      <c r="K506">
        <f t="shared" si="52"/>
        <v>108.22714822176009</v>
      </c>
      <c r="L506">
        <f t="shared" si="53"/>
        <v>2.088842660009708E-3</v>
      </c>
      <c r="O506">
        <f t="shared" si="54"/>
        <v>108.38757386300043</v>
      </c>
      <c r="P506">
        <f t="shared" si="55"/>
        <v>2.9407114624505895E-4</v>
      </c>
    </row>
    <row r="507" spans="1:16" x14ac:dyDescent="0.25">
      <c r="A507" s="1">
        <v>25.25</v>
      </c>
      <c r="B507" s="2">
        <v>5.4539999999999997</v>
      </c>
      <c r="C507">
        <v>5.0000000000000001E-3</v>
      </c>
      <c r="H507">
        <f t="shared" si="49"/>
        <v>25.25</v>
      </c>
      <c r="I507">
        <f t="shared" si="50"/>
        <v>5.4539999999999997</v>
      </c>
      <c r="J507">
        <f t="shared" si="51"/>
        <v>4.1315442757090363E-3</v>
      </c>
      <c r="K507">
        <f t="shared" si="52"/>
        <v>109.37018091559746</v>
      </c>
      <c r="L507">
        <f t="shared" si="53"/>
        <v>2.7543628504726903E-3</v>
      </c>
      <c r="O507">
        <f t="shared" si="54"/>
        <v>109.5306065568378</v>
      </c>
      <c r="P507">
        <f t="shared" si="55"/>
        <v>9.5959133670804131E-4</v>
      </c>
    </row>
    <row r="508" spans="1:16" x14ac:dyDescent="0.25">
      <c r="A508" s="1">
        <v>25.3</v>
      </c>
      <c r="B508" s="2">
        <v>5.4649999999999999</v>
      </c>
      <c r="C508">
        <v>4.0000000000000001E-3</v>
      </c>
      <c r="H508">
        <f t="shared" si="49"/>
        <v>25.3</v>
      </c>
      <c r="I508">
        <f t="shared" si="50"/>
        <v>5.4649999999999999</v>
      </c>
      <c r="J508">
        <f t="shared" si="51"/>
        <v>3.1298245614035094E-3</v>
      </c>
      <c r="K508">
        <f t="shared" si="52"/>
        <v>109.59076617230292</v>
      </c>
      <c r="L508">
        <f t="shared" si="53"/>
        <v>2.0865497076023392E-3</v>
      </c>
      <c r="O508">
        <f t="shared" si="54"/>
        <v>109.75119181354326</v>
      </c>
      <c r="P508">
        <f t="shared" si="55"/>
        <v>2.9177819383769017E-4</v>
      </c>
    </row>
    <row r="509" spans="1:16" x14ac:dyDescent="0.25">
      <c r="A509" s="1">
        <v>25.35</v>
      </c>
      <c r="B509" s="2">
        <v>5.4649999999999999</v>
      </c>
      <c r="C509">
        <v>5.0000000000000001E-3</v>
      </c>
      <c r="H509">
        <f t="shared" si="49"/>
        <v>25.35</v>
      </c>
      <c r="I509">
        <f t="shared" si="50"/>
        <v>5.4649999999999999</v>
      </c>
      <c r="J509">
        <f t="shared" si="51"/>
        <v>4.1281048470979825E-3</v>
      </c>
      <c r="K509">
        <f t="shared" si="52"/>
        <v>109.59076617230292</v>
      </c>
      <c r="L509">
        <f t="shared" si="53"/>
        <v>2.7520698980653211E-3</v>
      </c>
      <c r="O509">
        <f t="shared" si="54"/>
        <v>109.75119181354326</v>
      </c>
      <c r="P509">
        <f t="shared" si="55"/>
        <v>9.572983843006721E-4</v>
      </c>
    </row>
    <row r="510" spans="1:16" x14ac:dyDescent="0.25">
      <c r="A510" s="1">
        <v>25.4</v>
      </c>
      <c r="B510" s="2">
        <v>5.4649999999999999</v>
      </c>
      <c r="C510">
        <v>4.0000000000000001E-3</v>
      </c>
      <c r="H510">
        <f t="shared" si="49"/>
        <v>25.4</v>
      </c>
      <c r="I510">
        <f t="shared" si="50"/>
        <v>5.4649999999999999</v>
      </c>
      <c r="J510">
        <f t="shared" si="51"/>
        <v>3.1263851327924565E-3</v>
      </c>
      <c r="K510">
        <f t="shared" si="52"/>
        <v>109.59076617230292</v>
      </c>
      <c r="L510">
        <f t="shared" si="53"/>
        <v>2.0842567551949704E-3</v>
      </c>
      <c r="O510">
        <f t="shared" si="54"/>
        <v>109.75119181354326</v>
      </c>
      <c r="P510">
        <f t="shared" si="55"/>
        <v>2.894852414303214E-4</v>
      </c>
    </row>
    <row r="511" spans="1:16" x14ac:dyDescent="0.25">
      <c r="A511" s="1">
        <v>25.45</v>
      </c>
      <c r="B511" s="2">
        <v>5.4649999999999999</v>
      </c>
      <c r="C511">
        <v>5.0000000000000001E-3</v>
      </c>
      <c r="H511">
        <f t="shared" si="49"/>
        <v>25.45</v>
      </c>
      <c r="I511">
        <f t="shared" si="50"/>
        <v>5.4649999999999999</v>
      </c>
      <c r="J511">
        <f t="shared" si="51"/>
        <v>4.1246654184869296E-3</v>
      </c>
      <c r="K511">
        <f t="shared" si="52"/>
        <v>109.59076617230292</v>
      </c>
      <c r="L511">
        <f t="shared" si="53"/>
        <v>2.7497769456579523E-3</v>
      </c>
      <c r="O511">
        <f t="shared" si="54"/>
        <v>109.75119181354326</v>
      </c>
      <c r="P511">
        <f t="shared" si="55"/>
        <v>9.5500543189330333E-4</v>
      </c>
    </row>
    <row r="512" spans="1:16" x14ac:dyDescent="0.25">
      <c r="A512" s="1">
        <v>25.5</v>
      </c>
      <c r="B512" s="2">
        <v>5.4649999999999999</v>
      </c>
      <c r="C512">
        <v>4.0000000000000001E-3</v>
      </c>
      <c r="H512">
        <f t="shared" si="49"/>
        <v>25.5</v>
      </c>
      <c r="I512">
        <f t="shared" si="50"/>
        <v>5.4649999999999999</v>
      </c>
      <c r="J512">
        <f t="shared" si="51"/>
        <v>3.1229457041814027E-3</v>
      </c>
      <c r="K512">
        <f t="shared" si="52"/>
        <v>109.59076617230292</v>
      </c>
      <c r="L512">
        <f t="shared" si="53"/>
        <v>2.0819638027876012E-3</v>
      </c>
      <c r="O512">
        <f t="shared" si="54"/>
        <v>109.75119181354326</v>
      </c>
      <c r="P512">
        <f t="shared" si="55"/>
        <v>2.8719228902295219E-4</v>
      </c>
    </row>
    <row r="513" spans="1:16" x14ac:dyDescent="0.25">
      <c r="A513" s="1">
        <v>25.55</v>
      </c>
      <c r="B513" s="2">
        <v>5.4649999999999999</v>
      </c>
      <c r="C513">
        <v>5.0000000000000001E-3</v>
      </c>
      <c r="H513">
        <f t="shared" si="49"/>
        <v>25.55</v>
      </c>
      <c r="I513">
        <f t="shared" si="50"/>
        <v>5.4649999999999999</v>
      </c>
      <c r="J513">
        <f t="shared" si="51"/>
        <v>4.1212259898758766E-3</v>
      </c>
      <c r="K513">
        <f t="shared" si="52"/>
        <v>109.59076617230292</v>
      </c>
      <c r="L513">
        <f t="shared" si="53"/>
        <v>2.747483993250584E-3</v>
      </c>
      <c r="O513">
        <f t="shared" si="54"/>
        <v>109.75119181354326</v>
      </c>
      <c r="P513">
        <f t="shared" si="55"/>
        <v>9.5271247948593499E-4</v>
      </c>
    </row>
    <row r="514" spans="1:16" x14ac:dyDescent="0.25">
      <c r="A514" s="1">
        <v>25.6</v>
      </c>
      <c r="B514" s="2">
        <v>5.4720000000000004</v>
      </c>
      <c r="C514">
        <v>4.0000000000000001E-3</v>
      </c>
      <c r="H514">
        <f t="shared" si="49"/>
        <v>25.6</v>
      </c>
      <c r="I514">
        <f t="shared" si="50"/>
        <v>5.4720000000000004</v>
      </c>
      <c r="J514">
        <f t="shared" si="51"/>
        <v>3.1195062755703497E-3</v>
      </c>
      <c r="K514">
        <f t="shared" si="52"/>
        <v>109.73113860838822</v>
      </c>
      <c r="L514">
        <f t="shared" si="53"/>
        <v>2.0796708503802329E-3</v>
      </c>
      <c r="O514">
        <f t="shared" si="54"/>
        <v>109.89156424962856</v>
      </c>
      <c r="P514">
        <f t="shared" si="55"/>
        <v>2.8489933661558385E-4</v>
      </c>
    </row>
    <row r="515" spans="1:16" x14ac:dyDescent="0.25">
      <c r="A515" s="1">
        <v>25.65</v>
      </c>
      <c r="B515" s="2">
        <v>5.5220000000000002</v>
      </c>
      <c r="C515">
        <v>4.0000000000000001E-3</v>
      </c>
      <c r="H515">
        <f t="shared" ref="H515:H578" si="56">A515</f>
        <v>25.65</v>
      </c>
      <c r="I515">
        <f t="shared" ref="I515:I578" si="57">B515</f>
        <v>5.5220000000000002</v>
      </c>
      <c r="J515">
        <f t="shared" ref="J515:J578" si="58">C515-E$12*A515</f>
        <v>3.1177865612648228E-3</v>
      </c>
      <c r="K515">
        <f t="shared" ref="K515:K578" si="59">F$24*I515</f>
        <v>110.7337988661403</v>
      </c>
      <c r="L515">
        <f t="shared" ref="L515:L578" si="60">F$25*J515</f>
        <v>2.0785243741765482E-3</v>
      </c>
      <c r="O515">
        <f t="shared" ref="O515:O578" si="61">K515-N$12</f>
        <v>110.89422450738064</v>
      </c>
      <c r="P515">
        <f t="shared" ref="P515:P578" si="62">L515-N$15</f>
        <v>2.8375286041189924E-4</v>
      </c>
    </row>
    <row r="516" spans="1:16" x14ac:dyDescent="0.25">
      <c r="A516" s="1">
        <v>25.7</v>
      </c>
      <c r="B516" s="2">
        <v>5.5940000000000003</v>
      </c>
      <c r="C516">
        <v>4.0000000000000001E-3</v>
      </c>
      <c r="H516">
        <f t="shared" si="56"/>
        <v>25.7</v>
      </c>
      <c r="I516">
        <f t="shared" si="57"/>
        <v>5.5940000000000003</v>
      </c>
      <c r="J516">
        <f t="shared" si="58"/>
        <v>3.1160668469592963E-3</v>
      </c>
      <c r="K516">
        <f t="shared" si="59"/>
        <v>112.17762963730331</v>
      </c>
      <c r="L516">
        <f t="shared" si="60"/>
        <v>2.0773778979728636E-3</v>
      </c>
      <c r="O516">
        <f t="shared" si="61"/>
        <v>112.33805527854365</v>
      </c>
      <c r="P516">
        <f t="shared" si="62"/>
        <v>2.8260638420821464E-4</v>
      </c>
    </row>
    <row r="517" spans="1:16" x14ac:dyDescent="0.25">
      <c r="A517" s="1">
        <v>25.75</v>
      </c>
      <c r="B517" s="2">
        <v>5.649</v>
      </c>
      <c r="C517">
        <v>5.0000000000000001E-3</v>
      </c>
      <c r="H517">
        <f t="shared" si="56"/>
        <v>25.75</v>
      </c>
      <c r="I517">
        <f t="shared" si="57"/>
        <v>5.649</v>
      </c>
      <c r="J517">
        <f t="shared" si="58"/>
        <v>4.1143471326537699E-3</v>
      </c>
      <c r="K517">
        <f t="shared" si="59"/>
        <v>113.28055592083059</v>
      </c>
      <c r="L517">
        <f t="shared" si="60"/>
        <v>2.742898088435846E-3</v>
      </c>
      <c r="O517">
        <f t="shared" si="61"/>
        <v>113.44098156207093</v>
      </c>
      <c r="P517">
        <f t="shared" si="62"/>
        <v>9.48126574671197E-4</v>
      </c>
    </row>
    <row r="518" spans="1:16" x14ac:dyDescent="0.25">
      <c r="A518" s="1">
        <v>25.8</v>
      </c>
      <c r="B518" s="2">
        <v>5.7240000000000002</v>
      </c>
      <c r="C518">
        <v>4.0000000000000001E-3</v>
      </c>
      <c r="H518">
        <f t="shared" si="56"/>
        <v>25.8</v>
      </c>
      <c r="I518">
        <f t="shared" si="57"/>
        <v>5.7240000000000002</v>
      </c>
      <c r="J518">
        <f t="shared" si="58"/>
        <v>3.112627418348243E-3</v>
      </c>
      <c r="K518">
        <f t="shared" si="59"/>
        <v>114.78454630745873</v>
      </c>
      <c r="L518">
        <f t="shared" si="60"/>
        <v>2.0750849455654949E-3</v>
      </c>
      <c r="O518">
        <f t="shared" si="61"/>
        <v>114.94497194869906</v>
      </c>
      <c r="P518">
        <f t="shared" si="62"/>
        <v>2.8031343180084586E-4</v>
      </c>
    </row>
    <row r="519" spans="1:16" x14ac:dyDescent="0.25">
      <c r="A519" s="1">
        <v>25.85</v>
      </c>
      <c r="B519" s="2">
        <v>5.7960000000000003</v>
      </c>
      <c r="C519">
        <v>5.0000000000000001E-3</v>
      </c>
      <c r="H519">
        <f t="shared" si="56"/>
        <v>25.85</v>
      </c>
      <c r="I519">
        <f t="shared" si="57"/>
        <v>5.7960000000000003</v>
      </c>
      <c r="J519">
        <f t="shared" si="58"/>
        <v>4.1109077040427161E-3</v>
      </c>
      <c r="K519">
        <f t="shared" si="59"/>
        <v>116.22837707862173</v>
      </c>
      <c r="L519">
        <f t="shared" si="60"/>
        <v>2.7406051360284768E-3</v>
      </c>
      <c r="O519">
        <f t="shared" si="61"/>
        <v>116.38880271986207</v>
      </c>
      <c r="P519">
        <f t="shared" si="62"/>
        <v>9.458336222638278E-4</v>
      </c>
    </row>
    <row r="520" spans="1:16" x14ac:dyDescent="0.25">
      <c r="A520" s="1">
        <v>25.9</v>
      </c>
      <c r="B520" s="2">
        <v>5.827</v>
      </c>
      <c r="C520">
        <v>4.0000000000000001E-3</v>
      </c>
      <c r="H520">
        <f t="shared" si="56"/>
        <v>25.9</v>
      </c>
      <c r="I520">
        <f t="shared" si="57"/>
        <v>5.827</v>
      </c>
      <c r="J520">
        <f t="shared" si="58"/>
        <v>3.1091879897371896E-3</v>
      </c>
      <c r="K520">
        <f t="shared" si="59"/>
        <v>116.85002643842802</v>
      </c>
      <c r="L520">
        <f t="shared" si="60"/>
        <v>2.0727919931581261E-3</v>
      </c>
      <c r="O520">
        <f t="shared" si="61"/>
        <v>117.01045207966835</v>
      </c>
      <c r="P520">
        <f t="shared" si="62"/>
        <v>2.7802047939347709E-4</v>
      </c>
    </row>
    <row r="521" spans="1:16" x14ac:dyDescent="0.25">
      <c r="A521" s="1">
        <v>25.95</v>
      </c>
      <c r="B521" s="2">
        <v>5.827</v>
      </c>
      <c r="C521">
        <v>5.0000000000000001E-3</v>
      </c>
      <c r="H521">
        <f t="shared" si="56"/>
        <v>25.95</v>
      </c>
      <c r="I521">
        <f t="shared" si="57"/>
        <v>5.827</v>
      </c>
      <c r="J521">
        <f t="shared" si="58"/>
        <v>4.1074682754316631E-3</v>
      </c>
      <c r="K521">
        <f t="shared" si="59"/>
        <v>116.85002643842802</v>
      </c>
      <c r="L521">
        <f t="shared" si="60"/>
        <v>2.738312183621108E-3</v>
      </c>
      <c r="O521">
        <f t="shared" si="61"/>
        <v>117.01045207966835</v>
      </c>
      <c r="P521">
        <f t="shared" si="62"/>
        <v>9.4354066985645902E-4</v>
      </c>
    </row>
    <row r="522" spans="1:16" x14ac:dyDescent="0.25">
      <c r="A522" s="1">
        <v>26</v>
      </c>
      <c r="B522" s="2">
        <v>5.827</v>
      </c>
      <c r="C522">
        <v>4.0000000000000001E-3</v>
      </c>
      <c r="H522">
        <f t="shared" si="56"/>
        <v>26</v>
      </c>
      <c r="I522">
        <f t="shared" si="57"/>
        <v>5.827</v>
      </c>
      <c r="J522">
        <f t="shared" si="58"/>
        <v>3.1057485611261362E-3</v>
      </c>
      <c r="K522">
        <f t="shared" si="59"/>
        <v>116.85002643842802</v>
      </c>
      <c r="L522">
        <f t="shared" si="60"/>
        <v>2.0704990407507569E-3</v>
      </c>
      <c r="O522">
        <f t="shared" si="61"/>
        <v>117.01045207966835</v>
      </c>
      <c r="P522">
        <f t="shared" si="62"/>
        <v>2.7572752698610788E-4</v>
      </c>
    </row>
    <row r="523" spans="1:16" x14ac:dyDescent="0.25">
      <c r="A523" s="1">
        <v>26.05</v>
      </c>
      <c r="B523" s="2">
        <v>5.827</v>
      </c>
      <c r="C523">
        <v>5.0000000000000001E-3</v>
      </c>
      <c r="H523">
        <f t="shared" si="56"/>
        <v>26.05</v>
      </c>
      <c r="I523">
        <f t="shared" si="57"/>
        <v>5.827</v>
      </c>
      <c r="J523">
        <f t="shared" si="58"/>
        <v>4.1040288468206093E-3</v>
      </c>
      <c r="K523">
        <f t="shared" si="59"/>
        <v>116.85002643842802</v>
      </c>
      <c r="L523">
        <f t="shared" si="60"/>
        <v>2.7360192312137388E-3</v>
      </c>
      <c r="O523">
        <f t="shared" si="61"/>
        <v>117.01045207966835</v>
      </c>
      <c r="P523">
        <f t="shared" si="62"/>
        <v>9.4124771744908981E-4</v>
      </c>
    </row>
    <row r="524" spans="1:16" x14ac:dyDescent="0.25">
      <c r="A524" s="1">
        <v>26.1</v>
      </c>
      <c r="B524" s="2">
        <v>5.827</v>
      </c>
      <c r="C524">
        <v>4.0000000000000001E-3</v>
      </c>
      <c r="H524">
        <f t="shared" si="56"/>
        <v>26.1</v>
      </c>
      <c r="I524">
        <f t="shared" si="57"/>
        <v>5.827</v>
      </c>
      <c r="J524">
        <f t="shared" si="58"/>
        <v>3.1023091325150828E-3</v>
      </c>
      <c r="K524">
        <f t="shared" si="59"/>
        <v>116.85002643842802</v>
      </c>
      <c r="L524">
        <f t="shared" si="60"/>
        <v>2.0682060883433881E-3</v>
      </c>
      <c r="O524">
        <f t="shared" si="61"/>
        <v>117.01045207966835</v>
      </c>
      <c r="P524">
        <f t="shared" si="62"/>
        <v>2.734345745787391E-4</v>
      </c>
    </row>
    <row r="525" spans="1:16" x14ac:dyDescent="0.25">
      <c r="A525" s="1">
        <v>26.15</v>
      </c>
      <c r="B525" s="2">
        <v>5.827</v>
      </c>
      <c r="C525">
        <v>5.0000000000000001E-3</v>
      </c>
      <c r="H525">
        <f t="shared" si="56"/>
        <v>26.15</v>
      </c>
      <c r="I525">
        <f t="shared" si="57"/>
        <v>5.827</v>
      </c>
      <c r="J525">
        <f t="shared" si="58"/>
        <v>4.1005894182095564E-3</v>
      </c>
      <c r="K525">
        <f t="shared" si="59"/>
        <v>116.85002643842802</v>
      </c>
      <c r="L525">
        <f t="shared" si="60"/>
        <v>2.7337262788063705E-3</v>
      </c>
      <c r="O525">
        <f t="shared" si="61"/>
        <v>117.01045207966835</v>
      </c>
      <c r="P525">
        <f t="shared" si="62"/>
        <v>9.3895476504172147E-4</v>
      </c>
    </row>
    <row r="526" spans="1:16" x14ac:dyDescent="0.25">
      <c r="A526" s="1">
        <v>26.2</v>
      </c>
      <c r="B526" s="2">
        <v>5.827</v>
      </c>
      <c r="C526">
        <v>4.0000000000000001E-3</v>
      </c>
      <c r="H526">
        <f t="shared" si="56"/>
        <v>26.2</v>
      </c>
      <c r="I526">
        <f t="shared" si="57"/>
        <v>5.827</v>
      </c>
      <c r="J526">
        <f t="shared" si="58"/>
        <v>3.0988697039040294E-3</v>
      </c>
      <c r="K526">
        <f t="shared" si="59"/>
        <v>116.85002643842802</v>
      </c>
      <c r="L526">
        <f t="shared" si="60"/>
        <v>2.0659131359360193E-3</v>
      </c>
      <c r="O526">
        <f t="shared" si="61"/>
        <v>117.01045207966835</v>
      </c>
      <c r="P526">
        <f t="shared" si="62"/>
        <v>2.7114162217137033E-4</v>
      </c>
    </row>
    <row r="527" spans="1:16" x14ac:dyDescent="0.25">
      <c r="A527" s="1">
        <v>26.25</v>
      </c>
      <c r="B527" s="2">
        <v>5.8280000000000003</v>
      </c>
      <c r="C527">
        <v>5.0000000000000001E-3</v>
      </c>
      <c r="H527">
        <f t="shared" si="56"/>
        <v>26.25</v>
      </c>
      <c r="I527">
        <f t="shared" si="57"/>
        <v>5.8280000000000003</v>
      </c>
      <c r="J527">
        <f t="shared" si="58"/>
        <v>4.0971499895985034E-3</v>
      </c>
      <c r="K527">
        <f t="shared" si="59"/>
        <v>116.87007964358307</v>
      </c>
      <c r="L527">
        <f t="shared" si="60"/>
        <v>2.7314333263990017E-3</v>
      </c>
      <c r="O527">
        <f t="shared" si="61"/>
        <v>117.03050528482341</v>
      </c>
      <c r="P527">
        <f t="shared" si="62"/>
        <v>9.366618126343527E-4</v>
      </c>
    </row>
    <row r="528" spans="1:16" x14ac:dyDescent="0.25">
      <c r="A528" s="1">
        <v>26.3</v>
      </c>
      <c r="B528" s="2">
        <v>5.883</v>
      </c>
      <c r="C528">
        <v>4.0000000000000001E-3</v>
      </c>
      <c r="H528">
        <f t="shared" si="56"/>
        <v>26.3</v>
      </c>
      <c r="I528">
        <f t="shared" si="57"/>
        <v>5.883</v>
      </c>
      <c r="J528">
        <f t="shared" si="58"/>
        <v>3.0954302752929765E-3</v>
      </c>
      <c r="K528">
        <f t="shared" si="59"/>
        <v>117.97300592711035</v>
      </c>
      <c r="L528">
        <f t="shared" si="60"/>
        <v>2.0636201835286506E-3</v>
      </c>
      <c r="O528">
        <f t="shared" si="61"/>
        <v>118.13343156835069</v>
      </c>
      <c r="P528">
        <f t="shared" si="62"/>
        <v>2.6884866976400155E-4</v>
      </c>
    </row>
    <row r="529" spans="1:16" x14ac:dyDescent="0.25">
      <c r="A529" s="1">
        <v>26.35</v>
      </c>
      <c r="B529" s="2">
        <v>5.9450000000000003</v>
      </c>
      <c r="C529">
        <v>5.0000000000000001E-3</v>
      </c>
      <c r="H529">
        <f t="shared" si="56"/>
        <v>26.35</v>
      </c>
      <c r="I529">
        <f t="shared" si="57"/>
        <v>5.9450000000000003</v>
      </c>
      <c r="J529">
        <f t="shared" si="58"/>
        <v>4.0937105609874496E-3</v>
      </c>
      <c r="K529">
        <f t="shared" si="59"/>
        <v>119.21630464672295</v>
      </c>
      <c r="L529">
        <f t="shared" si="60"/>
        <v>2.7291403739916325E-3</v>
      </c>
      <c r="O529">
        <f t="shared" si="61"/>
        <v>119.37673028796328</v>
      </c>
      <c r="P529">
        <f t="shared" si="62"/>
        <v>9.3436886022698349E-4</v>
      </c>
    </row>
    <row r="530" spans="1:16" x14ac:dyDescent="0.25">
      <c r="A530" s="1">
        <v>26.4</v>
      </c>
      <c r="B530" s="2">
        <v>5.9660000000000002</v>
      </c>
      <c r="C530">
        <v>4.0000000000000001E-3</v>
      </c>
      <c r="H530">
        <f t="shared" si="56"/>
        <v>26.4</v>
      </c>
      <c r="I530">
        <f t="shared" si="57"/>
        <v>5.9660000000000002</v>
      </c>
      <c r="J530">
        <f t="shared" si="58"/>
        <v>3.0919908466819231E-3</v>
      </c>
      <c r="K530">
        <f t="shared" si="59"/>
        <v>119.63742195497882</v>
      </c>
      <c r="L530">
        <f t="shared" si="60"/>
        <v>2.0613272311212818E-3</v>
      </c>
      <c r="O530">
        <f t="shared" si="61"/>
        <v>119.79784759621916</v>
      </c>
      <c r="P530">
        <f t="shared" si="62"/>
        <v>2.6655571735663278E-4</v>
      </c>
    </row>
    <row r="531" spans="1:16" x14ac:dyDescent="0.25">
      <c r="A531" s="1">
        <v>26.45</v>
      </c>
      <c r="B531" s="2">
        <v>5.9950000000000001</v>
      </c>
      <c r="C531">
        <v>5.0000000000000001E-3</v>
      </c>
      <c r="H531">
        <f t="shared" si="56"/>
        <v>26.45</v>
      </c>
      <c r="I531">
        <f t="shared" si="57"/>
        <v>5.9950000000000001</v>
      </c>
      <c r="J531">
        <f t="shared" si="58"/>
        <v>4.0902711323763967E-3</v>
      </c>
      <c r="K531">
        <f t="shared" si="59"/>
        <v>120.21896490447503</v>
      </c>
      <c r="L531">
        <f t="shared" si="60"/>
        <v>2.7268474215842637E-3</v>
      </c>
      <c r="O531">
        <f t="shared" si="61"/>
        <v>120.37939054571537</v>
      </c>
      <c r="P531">
        <f t="shared" si="62"/>
        <v>9.3207590781961471E-4</v>
      </c>
    </row>
    <row r="532" spans="1:16" x14ac:dyDescent="0.25">
      <c r="A532" s="1">
        <v>26.5</v>
      </c>
      <c r="B532" s="2">
        <v>6.0359999999999996</v>
      </c>
      <c r="C532">
        <v>4.0000000000000001E-3</v>
      </c>
      <c r="H532">
        <f t="shared" si="56"/>
        <v>26.5</v>
      </c>
      <c r="I532">
        <f t="shared" si="57"/>
        <v>6.0359999999999996</v>
      </c>
      <c r="J532">
        <f t="shared" si="58"/>
        <v>3.0885514180708697E-3</v>
      </c>
      <c r="K532">
        <f t="shared" si="59"/>
        <v>121.04114631583172</v>
      </c>
      <c r="L532">
        <f t="shared" si="60"/>
        <v>2.0590342787139126E-3</v>
      </c>
      <c r="O532">
        <f t="shared" si="61"/>
        <v>121.20157195707206</v>
      </c>
      <c r="P532">
        <f t="shared" si="62"/>
        <v>2.6426276494926357E-4</v>
      </c>
    </row>
    <row r="533" spans="1:16" x14ac:dyDescent="0.25">
      <c r="A533" s="1">
        <v>26.55</v>
      </c>
      <c r="B533" s="2">
        <v>6.085</v>
      </c>
      <c r="C533">
        <v>5.0000000000000001E-3</v>
      </c>
      <c r="H533">
        <f t="shared" si="56"/>
        <v>26.55</v>
      </c>
      <c r="I533">
        <f t="shared" si="57"/>
        <v>6.085</v>
      </c>
      <c r="J533">
        <f t="shared" si="58"/>
        <v>4.0868317037653428E-3</v>
      </c>
      <c r="K533">
        <f t="shared" si="59"/>
        <v>122.02375336842879</v>
      </c>
      <c r="L533">
        <f t="shared" si="60"/>
        <v>2.7245544691768945E-3</v>
      </c>
      <c r="O533">
        <f t="shared" si="61"/>
        <v>122.18417900966912</v>
      </c>
      <c r="P533">
        <f t="shared" si="62"/>
        <v>9.297829554122455E-4</v>
      </c>
    </row>
    <row r="534" spans="1:16" x14ac:dyDescent="0.25">
      <c r="A534" s="1">
        <v>26.6</v>
      </c>
      <c r="B534" s="2">
        <v>6.1449999999999996</v>
      </c>
      <c r="C534">
        <v>4.0000000000000001E-3</v>
      </c>
      <c r="H534">
        <f t="shared" si="56"/>
        <v>26.6</v>
      </c>
      <c r="I534">
        <f t="shared" si="57"/>
        <v>6.1449999999999996</v>
      </c>
      <c r="J534">
        <f t="shared" si="58"/>
        <v>3.0851119894598164E-3</v>
      </c>
      <c r="K534">
        <f t="shared" si="59"/>
        <v>123.22694567773128</v>
      </c>
      <c r="L534">
        <f t="shared" si="60"/>
        <v>2.0567413263065438E-3</v>
      </c>
      <c r="O534">
        <f t="shared" si="61"/>
        <v>123.38737131897162</v>
      </c>
      <c r="P534">
        <f t="shared" si="62"/>
        <v>2.619698125418948E-4</v>
      </c>
    </row>
    <row r="535" spans="1:16" x14ac:dyDescent="0.25">
      <c r="A535" s="1">
        <v>26.65</v>
      </c>
      <c r="B535" s="2">
        <v>6.1559999999999997</v>
      </c>
      <c r="C535">
        <v>5.0000000000000001E-3</v>
      </c>
      <c r="H535">
        <f t="shared" si="56"/>
        <v>26.65</v>
      </c>
      <c r="I535">
        <f t="shared" si="57"/>
        <v>6.1559999999999997</v>
      </c>
      <c r="J535">
        <f t="shared" si="58"/>
        <v>4.0833922751542899E-3</v>
      </c>
      <c r="K535">
        <f t="shared" si="59"/>
        <v>123.44753093443674</v>
      </c>
      <c r="L535">
        <f t="shared" si="60"/>
        <v>2.7222615167695262E-3</v>
      </c>
      <c r="O535">
        <f t="shared" si="61"/>
        <v>123.60795657567708</v>
      </c>
      <c r="P535">
        <f t="shared" si="62"/>
        <v>9.2749000300487716E-4</v>
      </c>
    </row>
    <row r="536" spans="1:16" x14ac:dyDescent="0.25">
      <c r="A536" s="1">
        <v>26.7</v>
      </c>
      <c r="B536" s="2">
        <v>6.1550000000000002</v>
      </c>
      <c r="C536">
        <v>4.0000000000000001E-3</v>
      </c>
      <c r="H536">
        <f t="shared" si="56"/>
        <v>26.7</v>
      </c>
      <c r="I536">
        <f t="shared" si="57"/>
        <v>6.1550000000000002</v>
      </c>
      <c r="J536">
        <f t="shared" si="58"/>
        <v>3.081672560848763E-3</v>
      </c>
      <c r="K536">
        <f t="shared" si="59"/>
        <v>123.4274777292817</v>
      </c>
      <c r="L536">
        <f t="shared" si="60"/>
        <v>2.054448373899175E-3</v>
      </c>
      <c r="O536">
        <f t="shared" si="61"/>
        <v>123.58790337052204</v>
      </c>
      <c r="P536">
        <f t="shared" si="62"/>
        <v>2.5967686013452602E-4</v>
      </c>
    </row>
    <row r="537" spans="1:16" x14ac:dyDescent="0.25">
      <c r="A537" s="1">
        <v>26.75</v>
      </c>
      <c r="B537" s="2">
        <v>6.1559999999999997</v>
      </c>
      <c r="C537">
        <v>5.0000000000000001E-3</v>
      </c>
      <c r="H537">
        <f t="shared" si="56"/>
        <v>26.75</v>
      </c>
      <c r="I537">
        <f t="shared" si="57"/>
        <v>6.1559999999999997</v>
      </c>
      <c r="J537">
        <f t="shared" si="58"/>
        <v>4.0799528465432361E-3</v>
      </c>
      <c r="K537">
        <f t="shared" si="59"/>
        <v>123.44753093443674</v>
      </c>
      <c r="L537">
        <f t="shared" si="60"/>
        <v>2.719968564362157E-3</v>
      </c>
      <c r="O537">
        <f t="shared" si="61"/>
        <v>123.60795657567708</v>
      </c>
      <c r="P537">
        <f t="shared" si="62"/>
        <v>9.2519705059750795E-4</v>
      </c>
    </row>
    <row r="538" spans="1:16" x14ac:dyDescent="0.25">
      <c r="A538" s="1">
        <v>26.8</v>
      </c>
      <c r="B538" s="2">
        <v>6.1559999999999997</v>
      </c>
      <c r="C538">
        <v>4.0000000000000001E-3</v>
      </c>
      <c r="H538">
        <f t="shared" si="56"/>
        <v>26.8</v>
      </c>
      <c r="I538">
        <f t="shared" si="57"/>
        <v>6.1559999999999997</v>
      </c>
      <c r="J538">
        <f t="shared" si="58"/>
        <v>3.0782331322377096E-3</v>
      </c>
      <c r="K538">
        <f t="shared" si="59"/>
        <v>123.44753093443674</v>
      </c>
      <c r="L538">
        <f t="shared" si="60"/>
        <v>2.0521554214918058E-3</v>
      </c>
      <c r="O538">
        <f t="shared" si="61"/>
        <v>123.60795657567708</v>
      </c>
      <c r="P538">
        <f t="shared" si="62"/>
        <v>2.5738390772715681E-4</v>
      </c>
    </row>
    <row r="539" spans="1:16" x14ac:dyDescent="0.25">
      <c r="A539" s="1">
        <v>26.85</v>
      </c>
      <c r="B539" s="2">
        <v>6.157</v>
      </c>
      <c r="C539">
        <v>5.0000000000000001E-3</v>
      </c>
      <c r="H539">
        <f t="shared" si="56"/>
        <v>26.85</v>
      </c>
      <c r="I539">
        <f t="shared" si="57"/>
        <v>6.157</v>
      </c>
      <c r="J539">
        <f t="shared" si="58"/>
        <v>4.0765134179321831E-3</v>
      </c>
      <c r="K539">
        <f t="shared" si="59"/>
        <v>123.46758413959178</v>
      </c>
      <c r="L539">
        <f t="shared" si="60"/>
        <v>2.7176756119547882E-3</v>
      </c>
      <c r="O539">
        <f t="shared" si="61"/>
        <v>123.62800978083212</v>
      </c>
      <c r="P539">
        <f t="shared" si="62"/>
        <v>9.2290409819013918E-4</v>
      </c>
    </row>
    <row r="540" spans="1:16" x14ac:dyDescent="0.25">
      <c r="A540" s="1">
        <v>26.9</v>
      </c>
      <c r="B540" s="2">
        <v>6.1639999999999997</v>
      </c>
      <c r="C540">
        <v>4.0000000000000001E-3</v>
      </c>
      <c r="H540">
        <f t="shared" si="56"/>
        <v>26.9</v>
      </c>
      <c r="I540">
        <f t="shared" si="57"/>
        <v>6.1639999999999997</v>
      </c>
      <c r="J540">
        <f t="shared" si="58"/>
        <v>3.0747937036266562E-3</v>
      </c>
      <c r="K540">
        <f t="shared" si="59"/>
        <v>123.60795657567706</v>
      </c>
      <c r="L540">
        <f t="shared" si="60"/>
        <v>2.049862469084437E-3</v>
      </c>
      <c r="O540">
        <f t="shared" si="61"/>
        <v>123.7683822169174</v>
      </c>
      <c r="P540">
        <f t="shared" si="62"/>
        <v>2.5509095531978804E-4</v>
      </c>
    </row>
    <row r="541" spans="1:16" x14ac:dyDescent="0.25">
      <c r="A541" s="1">
        <v>26.95</v>
      </c>
      <c r="B541" s="2">
        <v>6.24</v>
      </c>
      <c r="C541">
        <v>5.0000000000000001E-3</v>
      </c>
      <c r="H541">
        <f t="shared" si="56"/>
        <v>26.95</v>
      </c>
      <c r="I541">
        <f t="shared" si="57"/>
        <v>6.24</v>
      </c>
      <c r="J541">
        <f t="shared" si="58"/>
        <v>4.0730739893211302E-3</v>
      </c>
      <c r="K541">
        <f t="shared" si="59"/>
        <v>125.13200016746025</v>
      </c>
      <c r="L541">
        <f t="shared" si="60"/>
        <v>2.7153826595474194E-3</v>
      </c>
      <c r="O541">
        <f t="shared" si="61"/>
        <v>125.29242580870059</v>
      </c>
      <c r="P541">
        <f t="shared" si="62"/>
        <v>9.206111457827704E-4</v>
      </c>
    </row>
    <row r="542" spans="1:16" x14ac:dyDescent="0.25">
      <c r="A542" s="1">
        <v>27</v>
      </c>
      <c r="B542" s="2">
        <v>6.335</v>
      </c>
      <c r="C542">
        <v>4.0000000000000001E-3</v>
      </c>
      <c r="H542">
        <f t="shared" si="56"/>
        <v>27</v>
      </c>
      <c r="I542">
        <f t="shared" si="57"/>
        <v>6.335</v>
      </c>
      <c r="J542">
        <f t="shared" si="58"/>
        <v>3.0713542750156033E-3</v>
      </c>
      <c r="K542">
        <f t="shared" si="59"/>
        <v>127.0370546571892</v>
      </c>
      <c r="L542">
        <f t="shared" si="60"/>
        <v>2.0475695166770683E-3</v>
      </c>
      <c r="O542">
        <f t="shared" si="61"/>
        <v>127.19748029842954</v>
      </c>
      <c r="P542">
        <f t="shared" si="62"/>
        <v>2.5279800291241926E-4</v>
      </c>
    </row>
    <row r="543" spans="1:16" x14ac:dyDescent="0.25">
      <c r="A543" s="1">
        <v>27.05</v>
      </c>
      <c r="B543" s="2">
        <v>6.3739999999999997</v>
      </c>
      <c r="C543">
        <v>5.0000000000000001E-3</v>
      </c>
      <c r="H543">
        <f t="shared" si="56"/>
        <v>27.05</v>
      </c>
      <c r="I543">
        <f t="shared" si="57"/>
        <v>6.3739999999999997</v>
      </c>
      <c r="J543">
        <f t="shared" si="58"/>
        <v>4.0696345607100764E-3</v>
      </c>
      <c r="K543">
        <f t="shared" si="59"/>
        <v>127.81912965823582</v>
      </c>
      <c r="L543">
        <f t="shared" si="60"/>
        <v>2.7130897071400502E-3</v>
      </c>
      <c r="O543">
        <f t="shared" si="61"/>
        <v>127.97955529947616</v>
      </c>
      <c r="P543">
        <f t="shared" si="62"/>
        <v>9.1831819337540119E-4</v>
      </c>
    </row>
    <row r="544" spans="1:16" x14ac:dyDescent="0.25">
      <c r="A544" s="1">
        <v>27.1</v>
      </c>
      <c r="B544" s="2">
        <v>6.3940000000000001</v>
      </c>
      <c r="C544">
        <v>4.0000000000000001E-3</v>
      </c>
      <c r="H544">
        <f t="shared" si="56"/>
        <v>27.1</v>
      </c>
      <c r="I544">
        <f t="shared" si="57"/>
        <v>6.3940000000000001</v>
      </c>
      <c r="J544">
        <f t="shared" si="58"/>
        <v>3.0679148464045495E-3</v>
      </c>
      <c r="K544">
        <f t="shared" si="59"/>
        <v>128.22019376133667</v>
      </c>
      <c r="L544">
        <f t="shared" si="60"/>
        <v>2.0452765642696991E-3</v>
      </c>
      <c r="O544">
        <f t="shared" si="61"/>
        <v>128.380619402577</v>
      </c>
      <c r="P544">
        <f t="shared" si="62"/>
        <v>2.5050505050505005E-4</v>
      </c>
    </row>
    <row r="545" spans="1:16" x14ac:dyDescent="0.25">
      <c r="A545" s="1">
        <v>27.15</v>
      </c>
      <c r="B545" s="2">
        <v>6.4489999999999998</v>
      </c>
      <c r="C545">
        <v>5.0000000000000001E-3</v>
      </c>
      <c r="H545">
        <f t="shared" si="56"/>
        <v>27.15</v>
      </c>
      <c r="I545">
        <f t="shared" si="57"/>
        <v>6.4489999999999998</v>
      </c>
      <c r="J545">
        <f t="shared" si="58"/>
        <v>4.0661951320990234E-3</v>
      </c>
      <c r="K545">
        <f t="shared" si="59"/>
        <v>129.32312004486397</v>
      </c>
      <c r="L545">
        <f t="shared" si="60"/>
        <v>2.7107967547326819E-3</v>
      </c>
      <c r="O545">
        <f t="shared" si="61"/>
        <v>129.48354568610432</v>
      </c>
      <c r="P545">
        <f t="shared" si="62"/>
        <v>9.1602524096803285E-4</v>
      </c>
    </row>
    <row r="546" spans="1:16" x14ac:dyDescent="0.25">
      <c r="A546" s="1">
        <v>27.2</v>
      </c>
      <c r="B546" s="2">
        <v>6.4820000000000002</v>
      </c>
      <c r="C546">
        <v>4.0000000000000001E-3</v>
      </c>
      <c r="H546">
        <f t="shared" si="56"/>
        <v>27.2</v>
      </c>
      <c r="I546">
        <f t="shared" si="57"/>
        <v>6.4820000000000002</v>
      </c>
      <c r="J546">
        <f t="shared" si="58"/>
        <v>3.0644754177934965E-3</v>
      </c>
      <c r="K546">
        <f t="shared" si="59"/>
        <v>129.98487581498034</v>
      </c>
      <c r="L546">
        <f t="shared" si="60"/>
        <v>2.0429836118623307E-3</v>
      </c>
      <c r="O546">
        <f t="shared" si="61"/>
        <v>130.14530145622069</v>
      </c>
      <c r="P546">
        <f t="shared" si="62"/>
        <v>2.4821209809768171E-4</v>
      </c>
    </row>
    <row r="547" spans="1:16" x14ac:dyDescent="0.25">
      <c r="A547" s="1">
        <v>27.25</v>
      </c>
      <c r="B547" s="2">
        <v>6.4930000000000003</v>
      </c>
      <c r="C547">
        <v>5.0000000000000001E-3</v>
      </c>
      <c r="H547">
        <f t="shared" si="56"/>
        <v>27.25</v>
      </c>
      <c r="I547">
        <f t="shared" si="57"/>
        <v>6.4930000000000003</v>
      </c>
      <c r="J547">
        <f t="shared" si="58"/>
        <v>4.0627557034879696E-3</v>
      </c>
      <c r="K547">
        <f t="shared" si="59"/>
        <v>130.20546107168579</v>
      </c>
      <c r="L547">
        <f t="shared" si="60"/>
        <v>2.7085038023253127E-3</v>
      </c>
      <c r="O547">
        <f t="shared" si="61"/>
        <v>130.36588671292611</v>
      </c>
      <c r="P547">
        <f t="shared" si="62"/>
        <v>9.1373228856066364E-4</v>
      </c>
    </row>
    <row r="548" spans="1:16" x14ac:dyDescent="0.25">
      <c r="A548" s="1">
        <v>27.3</v>
      </c>
      <c r="B548" s="2">
        <v>6.4960000000000004</v>
      </c>
      <c r="C548">
        <v>4.0000000000000001E-3</v>
      </c>
      <c r="H548">
        <f t="shared" si="56"/>
        <v>27.3</v>
      </c>
      <c r="I548">
        <f t="shared" si="57"/>
        <v>6.4960000000000004</v>
      </c>
      <c r="J548">
        <f t="shared" si="58"/>
        <v>3.0610359891824431E-3</v>
      </c>
      <c r="K548">
        <f t="shared" si="59"/>
        <v>130.26562068715094</v>
      </c>
      <c r="L548">
        <f t="shared" si="60"/>
        <v>2.0406906594549615E-3</v>
      </c>
      <c r="O548">
        <f t="shared" si="61"/>
        <v>130.42604632839129</v>
      </c>
      <c r="P548">
        <f t="shared" si="62"/>
        <v>2.459191456903125E-4</v>
      </c>
    </row>
    <row r="549" spans="1:16" x14ac:dyDescent="0.25">
      <c r="A549" s="1">
        <v>27.35</v>
      </c>
      <c r="B549" s="2">
        <v>6.4960000000000004</v>
      </c>
      <c r="C549">
        <v>5.0000000000000001E-3</v>
      </c>
      <c r="H549">
        <f t="shared" si="56"/>
        <v>27.35</v>
      </c>
      <c r="I549">
        <f t="shared" si="57"/>
        <v>6.4960000000000004</v>
      </c>
      <c r="J549">
        <f t="shared" si="58"/>
        <v>4.0593162748769167E-3</v>
      </c>
      <c r="K549">
        <f t="shared" si="59"/>
        <v>130.26562068715094</v>
      </c>
      <c r="L549">
        <f t="shared" si="60"/>
        <v>2.7062108499179439E-3</v>
      </c>
      <c r="O549">
        <f t="shared" si="61"/>
        <v>130.42604632839129</v>
      </c>
      <c r="P549">
        <f t="shared" si="62"/>
        <v>9.1143933615329487E-4</v>
      </c>
    </row>
    <row r="550" spans="1:16" x14ac:dyDescent="0.25">
      <c r="A550" s="1">
        <v>27.4</v>
      </c>
      <c r="B550" s="2">
        <v>6.4960000000000004</v>
      </c>
      <c r="C550">
        <v>4.0000000000000001E-3</v>
      </c>
      <c r="H550">
        <f t="shared" si="56"/>
        <v>27.4</v>
      </c>
      <c r="I550">
        <f t="shared" si="57"/>
        <v>6.4960000000000004</v>
      </c>
      <c r="J550">
        <f t="shared" si="58"/>
        <v>3.0575965605713898E-3</v>
      </c>
      <c r="K550">
        <f t="shared" si="59"/>
        <v>130.26562068715094</v>
      </c>
      <c r="L550">
        <f t="shared" si="60"/>
        <v>2.0383977070475927E-3</v>
      </c>
      <c r="O550">
        <f t="shared" si="61"/>
        <v>130.42604632839129</v>
      </c>
      <c r="P550">
        <f t="shared" si="62"/>
        <v>2.4362619328294373E-4</v>
      </c>
    </row>
    <row r="551" spans="1:16" x14ac:dyDescent="0.25">
      <c r="A551" s="1">
        <v>27.45</v>
      </c>
      <c r="B551" s="2">
        <v>6.4969999999999999</v>
      </c>
      <c r="C551">
        <v>5.0000000000000001E-3</v>
      </c>
      <c r="H551">
        <f t="shared" si="56"/>
        <v>27.45</v>
      </c>
      <c r="I551">
        <f t="shared" si="57"/>
        <v>6.4969999999999999</v>
      </c>
      <c r="J551">
        <f t="shared" si="58"/>
        <v>4.0558768462658629E-3</v>
      </c>
      <c r="K551">
        <f t="shared" si="59"/>
        <v>130.28567389230597</v>
      </c>
      <c r="L551">
        <f t="shared" si="60"/>
        <v>2.7039178975105747E-3</v>
      </c>
      <c r="O551">
        <f t="shared" si="61"/>
        <v>130.44609953354632</v>
      </c>
      <c r="P551">
        <f t="shared" si="62"/>
        <v>9.0914638374592566E-4</v>
      </c>
    </row>
    <row r="552" spans="1:16" x14ac:dyDescent="0.25">
      <c r="A552" s="1">
        <v>27.5</v>
      </c>
      <c r="B552" s="2">
        <v>6.4960000000000004</v>
      </c>
      <c r="C552">
        <v>4.0000000000000001E-3</v>
      </c>
      <c r="H552">
        <f t="shared" si="56"/>
        <v>27.5</v>
      </c>
      <c r="I552">
        <f t="shared" si="57"/>
        <v>6.4960000000000004</v>
      </c>
      <c r="J552">
        <f t="shared" si="58"/>
        <v>3.0541571319603364E-3</v>
      </c>
      <c r="K552">
        <f t="shared" si="59"/>
        <v>130.26562068715094</v>
      </c>
      <c r="L552">
        <f t="shared" si="60"/>
        <v>2.036104754640224E-3</v>
      </c>
      <c r="O552">
        <f t="shared" si="61"/>
        <v>130.42604632839129</v>
      </c>
      <c r="P552">
        <f t="shared" si="62"/>
        <v>2.4133324087557495E-4</v>
      </c>
    </row>
    <row r="553" spans="1:16" x14ac:dyDescent="0.25">
      <c r="A553" s="1">
        <v>27.55</v>
      </c>
      <c r="B553" s="2">
        <v>6.5</v>
      </c>
      <c r="C553">
        <v>5.0000000000000001E-3</v>
      </c>
      <c r="H553">
        <f t="shared" si="56"/>
        <v>27.55</v>
      </c>
      <c r="I553">
        <f t="shared" si="57"/>
        <v>6.5</v>
      </c>
      <c r="J553">
        <f t="shared" si="58"/>
        <v>4.0524374176548099E-3</v>
      </c>
      <c r="K553">
        <f t="shared" si="59"/>
        <v>130.34583350777109</v>
      </c>
      <c r="L553">
        <f t="shared" si="60"/>
        <v>2.7016249451032059E-3</v>
      </c>
      <c r="O553">
        <f t="shared" si="61"/>
        <v>130.50625914901144</v>
      </c>
      <c r="P553">
        <f t="shared" si="62"/>
        <v>9.0685343133855689E-4</v>
      </c>
    </row>
    <row r="554" spans="1:16" x14ac:dyDescent="0.25">
      <c r="A554" s="1">
        <v>27.6</v>
      </c>
      <c r="B554" s="2">
        <v>6.5350000000000001</v>
      </c>
      <c r="C554">
        <v>4.0000000000000001E-3</v>
      </c>
      <c r="H554">
        <f t="shared" si="56"/>
        <v>27.6</v>
      </c>
      <c r="I554">
        <f t="shared" si="57"/>
        <v>6.5350000000000001</v>
      </c>
      <c r="J554">
        <f t="shared" si="58"/>
        <v>3.050717703349283E-3</v>
      </c>
      <c r="K554">
        <f t="shared" si="59"/>
        <v>131.04769568819756</v>
      </c>
      <c r="L554">
        <f t="shared" si="60"/>
        <v>2.0338118022328548E-3</v>
      </c>
      <c r="O554">
        <f t="shared" si="61"/>
        <v>131.20812132943792</v>
      </c>
      <c r="P554">
        <f t="shared" si="62"/>
        <v>2.3904028846820575E-4</v>
      </c>
    </row>
    <row r="555" spans="1:16" x14ac:dyDescent="0.25">
      <c r="A555" s="1">
        <v>27.65</v>
      </c>
      <c r="B555" s="2">
        <v>6.59</v>
      </c>
      <c r="C555">
        <v>5.0000000000000001E-3</v>
      </c>
      <c r="H555">
        <f t="shared" si="56"/>
        <v>27.65</v>
      </c>
      <c r="I555">
        <f t="shared" si="57"/>
        <v>6.59</v>
      </c>
      <c r="J555">
        <f t="shared" si="58"/>
        <v>4.048997989043757E-3</v>
      </c>
      <c r="K555">
        <f t="shared" si="59"/>
        <v>132.15062197172483</v>
      </c>
      <c r="L555">
        <f t="shared" si="60"/>
        <v>2.6993319926958376E-3</v>
      </c>
      <c r="O555">
        <f t="shared" si="61"/>
        <v>132.31104761296518</v>
      </c>
      <c r="P555">
        <f t="shared" si="62"/>
        <v>9.0456047893118854E-4</v>
      </c>
    </row>
    <row r="556" spans="1:16" x14ac:dyDescent="0.25">
      <c r="A556" s="1">
        <v>27.7</v>
      </c>
      <c r="B556" s="2">
        <v>6.6660000000000004</v>
      </c>
      <c r="C556">
        <v>4.0000000000000001E-3</v>
      </c>
      <c r="H556">
        <f t="shared" si="56"/>
        <v>27.7</v>
      </c>
      <c r="I556">
        <f t="shared" si="57"/>
        <v>6.6660000000000004</v>
      </c>
      <c r="J556">
        <f t="shared" si="58"/>
        <v>3.04727827473823E-3</v>
      </c>
      <c r="K556">
        <f t="shared" si="59"/>
        <v>133.67466556350803</v>
      </c>
      <c r="L556">
        <f t="shared" si="60"/>
        <v>2.0315188498254864E-3</v>
      </c>
      <c r="O556">
        <f t="shared" si="61"/>
        <v>133.83509120474838</v>
      </c>
      <c r="P556">
        <f t="shared" si="62"/>
        <v>2.367473360608374E-4</v>
      </c>
    </row>
    <row r="557" spans="1:16" x14ac:dyDescent="0.25">
      <c r="A557" s="1">
        <v>27.75</v>
      </c>
      <c r="B557" s="2">
        <v>6.7080000000000002</v>
      </c>
      <c r="C557">
        <v>5.0000000000000001E-3</v>
      </c>
      <c r="H557">
        <f t="shared" si="56"/>
        <v>27.75</v>
      </c>
      <c r="I557">
        <f t="shared" si="57"/>
        <v>6.7080000000000002</v>
      </c>
      <c r="J557">
        <f t="shared" si="58"/>
        <v>4.0455585604327032E-3</v>
      </c>
      <c r="K557">
        <f t="shared" si="59"/>
        <v>134.51690018001977</v>
      </c>
      <c r="L557">
        <f t="shared" si="60"/>
        <v>2.6970390402884683E-3</v>
      </c>
      <c r="O557">
        <f t="shared" si="61"/>
        <v>134.67732582126013</v>
      </c>
      <c r="P557">
        <f t="shared" si="62"/>
        <v>9.0226752652381934E-4</v>
      </c>
    </row>
    <row r="558" spans="1:16" x14ac:dyDescent="0.25">
      <c r="A558" s="1">
        <v>27.8</v>
      </c>
      <c r="B558" s="2">
        <v>6.7629999999999999</v>
      </c>
      <c r="C558">
        <v>4.0000000000000001E-3</v>
      </c>
      <c r="H558">
        <f t="shared" si="56"/>
        <v>27.8</v>
      </c>
      <c r="I558">
        <f t="shared" si="57"/>
        <v>6.7629999999999999</v>
      </c>
      <c r="J558">
        <f t="shared" si="58"/>
        <v>3.0438388461271762E-3</v>
      </c>
      <c r="K558">
        <f t="shared" si="59"/>
        <v>135.61982646354704</v>
      </c>
      <c r="L558">
        <f t="shared" si="60"/>
        <v>2.0292258974181172E-3</v>
      </c>
      <c r="O558">
        <f t="shared" si="61"/>
        <v>135.78025210478739</v>
      </c>
      <c r="P558">
        <f t="shared" si="62"/>
        <v>2.344543836534682E-4</v>
      </c>
    </row>
    <row r="559" spans="1:16" x14ac:dyDescent="0.25">
      <c r="A559" s="1">
        <v>27.85</v>
      </c>
      <c r="B559" s="2">
        <v>6.8120000000000003</v>
      </c>
      <c r="C559">
        <v>5.0000000000000001E-3</v>
      </c>
      <c r="H559">
        <f t="shared" si="56"/>
        <v>27.85</v>
      </c>
      <c r="I559">
        <f t="shared" si="57"/>
        <v>6.8120000000000003</v>
      </c>
      <c r="J559">
        <f t="shared" si="58"/>
        <v>4.0421191318216493E-3</v>
      </c>
      <c r="K559">
        <f t="shared" si="59"/>
        <v>136.60243351614412</v>
      </c>
      <c r="L559">
        <f t="shared" si="60"/>
        <v>2.6947460878810991E-3</v>
      </c>
      <c r="O559">
        <f t="shared" si="61"/>
        <v>136.76285915738447</v>
      </c>
      <c r="P559">
        <f t="shared" si="62"/>
        <v>8.9997457411645013E-4</v>
      </c>
    </row>
    <row r="560" spans="1:16" x14ac:dyDescent="0.25">
      <c r="A560" s="1">
        <v>27.9</v>
      </c>
      <c r="B560" s="2">
        <v>6.8639999999999999</v>
      </c>
      <c r="C560">
        <v>4.0000000000000001E-3</v>
      </c>
      <c r="H560">
        <f t="shared" si="56"/>
        <v>27.9</v>
      </c>
      <c r="I560">
        <f t="shared" si="57"/>
        <v>6.8639999999999999</v>
      </c>
      <c r="J560">
        <f t="shared" si="58"/>
        <v>3.0403994175161233E-3</v>
      </c>
      <c r="K560">
        <f t="shared" si="59"/>
        <v>137.64520018420626</v>
      </c>
      <c r="L560">
        <f t="shared" si="60"/>
        <v>2.0269329450107484E-3</v>
      </c>
      <c r="O560">
        <f t="shared" si="61"/>
        <v>137.80562582544661</v>
      </c>
      <c r="P560">
        <f t="shared" si="62"/>
        <v>2.3216143124609942E-4</v>
      </c>
    </row>
    <row r="561" spans="1:16" x14ac:dyDescent="0.25">
      <c r="A561" s="1">
        <v>27.95</v>
      </c>
      <c r="B561" s="2">
        <v>6.8730000000000002</v>
      </c>
      <c r="C561">
        <v>5.0000000000000001E-3</v>
      </c>
      <c r="H561">
        <f t="shared" si="56"/>
        <v>27.95</v>
      </c>
      <c r="I561">
        <f t="shared" si="57"/>
        <v>6.8730000000000002</v>
      </c>
      <c r="J561">
        <f t="shared" si="58"/>
        <v>4.0386797032105964E-3</v>
      </c>
      <c r="K561">
        <f t="shared" si="59"/>
        <v>137.82567903060166</v>
      </c>
      <c r="L561">
        <f t="shared" si="60"/>
        <v>2.6924531354737304E-3</v>
      </c>
      <c r="O561">
        <f t="shared" si="61"/>
        <v>137.98610467184199</v>
      </c>
      <c r="P561">
        <f t="shared" si="62"/>
        <v>8.9768162170908135E-4</v>
      </c>
    </row>
    <row r="562" spans="1:16" x14ac:dyDescent="0.25">
      <c r="A562" s="1">
        <v>28</v>
      </c>
      <c r="B562" s="2">
        <v>6.8730000000000002</v>
      </c>
      <c r="C562">
        <v>4.0000000000000001E-3</v>
      </c>
      <c r="H562">
        <f t="shared" si="56"/>
        <v>28</v>
      </c>
      <c r="I562">
        <f t="shared" si="57"/>
        <v>6.8730000000000002</v>
      </c>
      <c r="J562">
        <f t="shared" si="58"/>
        <v>3.0369599889050699E-3</v>
      </c>
      <c r="K562">
        <f t="shared" si="59"/>
        <v>137.82567903060166</v>
      </c>
      <c r="L562">
        <f t="shared" si="60"/>
        <v>2.0246399926033797E-3</v>
      </c>
      <c r="O562">
        <f t="shared" si="61"/>
        <v>137.98610467184199</v>
      </c>
      <c r="P562">
        <f t="shared" si="62"/>
        <v>2.2986847883873065E-4</v>
      </c>
    </row>
    <row r="563" spans="1:16" x14ac:dyDescent="0.25">
      <c r="A563" s="1">
        <v>28.05</v>
      </c>
      <c r="B563" s="2">
        <v>6.8730000000000002</v>
      </c>
      <c r="C563">
        <v>5.0000000000000001E-3</v>
      </c>
      <c r="H563">
        <f t="shared" si="56"/>
        <v>28.05</v>
      </c>
      <c r="I563">
        <f t="shared" si="57"/>
        <v>6.8730000000000002</v>
      </c>
      <c r="J563">
        <f t="shared" si="58"/>
        <v>4.0352402745995435E-3</v>
      </c>
      <c r="K563">
        <f t="shared" si="59"/>
        <v>137.82567903060166</v>
      </c>
      <c r="L563">
        <f t="shared" si="60"/>
        <v>2.6901601830663616E-3</v>
      </c>
      <c r="O563">
        <f t="shared" si="61"/>
        <v>137.98610467184199</v>
      </c>
      <c r="P563">
        <f t="shared" si="62"/>
        <v>8.9538866930171258E-4</v>
      </c>
    </row>
    <row r="564" spans="1:16" x14ac:dyDescent="0.25">
      <c r="A564" s="1">
        <v>28.1</v>
      </c>
      <c r="B564" s="2">
        <v>6.8730000000000002</v>
      </c>
      <c r="C564">
        <v>4.0000000000000001E-3</v>
      </c>
      <c r="H564">
        <f t="shared" si="56"/>
        <v>28.1</v>
      </c>
      <c r="I564">
        <f t="shared" si="57"/>
        <v>6.8730000000000002</v>
      </c>
      <c r="J564">
        <f t="shared" si="58"/>
        <v>3.0335205602940165E-3</v>
      </c>
      <c r="K564">
        <f t="shared" si="59"/>
        <v>137.82567903060166</v>
      </c>
      <c r="L564">
        <f t="shared" si="60"/>
        <v>2.0223470401960104E-3</v>
      </c>
      <c r="O564">
        <f t="shared" si="61"/>
        <v>137.98610467184199</v>
      </c>
      <c r="P564">
        <f t="shared" si="62"/>
        <v>2.2757552643136144E-4</v>
      </c>
    </row>
    <row r="565" spans="1:16" x14ac:dyDescent="0.25">
      <c r="A565" s="1">
        <v>28.15</v>
      </c>
      <c r="B565" s="2">
        <v>6.8730000000000002</v>
      </c>
      <c r="C565">
        <v>5.0000000000000001E-3</v>
      </c>
      <c r="H565">
        <f t="shared" si="56"/>
        <v>28.15</v>
      </c>
      <c r="I565">
        <f t="shared" si="57"/>
        <v>6.8730000000000002</v>
      </c>
      <c r="J565">
        <f t="shared" si="58"/>
        <v>4.0318008459884896E-3</v>
      </c>
      <c r="K565">
        <f t="shared" si="59"/>
        <v>137.82567903060166</v>
      </c>
      <c r="L565">
        <f t="shared" si="60"/>
        <v>2.6878672306589924E-3</v>
      </c>
      <c r="O565">
        <f t="shared" si="61"/>
        <v>137.98610467184199</v>
      </c>
      <c r="P565">
        <f t="shared" si="62"/>
        <v>8.9309571689434337E-4</v>
      </c>
    </row>
    <row r="566" spans="1:16" x14ac:dyDescent="0.25">
      <c r="A566" s="1">
        <v>28.2</v>
      </c>
      <c r="B566" s="2">
        <v>6.88</v>
      </c>
      <c r="C566">
        <v>4.0000000000000001E-3</v>
      </c>
      <c r="H566">
        <f t="shared" si="56"/>
        <v>28.2</v>
      </c>
      <c r="I566">
        <f t="shared" si="57"/>
        <v>6.88</v>
      </c>
      <c r="J566">
        <f t="shared" si="58"/>
        <v>3.0300811316829632E-3</v>
      </c>
      <c r="K566">
        <f t="shared" si="59"/>
        <v>137.96605146668693</v>
      </c>
      <c r="L566">
        <f t="shared" si="60"/>
        <v>2.0200540877886417E-3</v>
      </c>
      <c r="O566">
        <f t="shared" si="61"/>
        <v>138.12647710792726</v>
      </c>
      <c r="P566">
        <f t="shared" si="62"/>
        <v>2.2528257402399266E-4</v>
      </c>
    </row>
    <row r="567" spans="1:16" x14ac:dyDescent="0.25">
      <c r="A567" s="1">
        <v>28.25</v>
      </c>
      <c r="B567" s="2">
        <v>6.91</v>
      </c>
      <c r="C567">
        <v>5.0000000000000001E-3</v>
      </c>
      <c r="H567">
        <f t="shared" si="56"/>
        <v>28.25</v>
      </c>
      <c r="I567">
        <f t="shared" si="57"/>
        <v>6.91</v>
      </c>
      <c r="J567">
        <f t="shared" si="58"/>
        <v>4.0283614173774367E-3</v>
      </c>
      <c r="K567">
        <f t="shared" si="59"/>
        <v>138.56764762133818</v>
      </c>
      <c r="L567">
        <f t="shared" si="60"/>
        <v>2.685574278251624E-3</v>
      </c>
      <c r="O567">
        <f t="shared" si="61"/>
        <v>138.7280732625785</v>
      </c>
      <c r="P567">
        <f t="shared" si="62"/>
        <v>8.9080276448697503E-4</v>
      </c>
    </row>
    <row r="568" spans="1:16" x14ac:dyDescent="0.25">
      <c r="A568" s="1">
        <v>28.3</v>
      </c>
      <c r="B568" s="2">
        <v>6.9329999999999998</v>
      </c>
      <c r="C568">
        <v>4.0000000000000001E-3</v>
      </c>
      <c r="H568">
        <f t="shared" si="56"/>
        <v>28.3</v>
      </c>
      <c r="I568">
        <f t="shared" si="57"/>
        <v>6.9329999999999998</v>
      </c>
      <c r="J568">
        <f t="shared" si="58"/>
        <v>3.0266417030719098E-3</v>
      </c>
      <c r="K568">
        <f t="shared" si="59"/>
        <v>139.02887133990416</v>
      </c>
      <c r="L568">
        <f t="shared" si="60"/>
        <v>2.0177611353812729E-3</v>
      </c>
      <c r="O568">
        <f t="shared" si="61"/>
        <v>139.18929698114448</v>
      </c>
      <c r="P568">
        <f t="shared" si="62"/>
        <v>2.2298962161662389E-4</v>
      </c>
    </row>
    <row r="569" spans="1:16" x14ac:dyDescent="0.25">
      <c r="A569" s="1">
        <v>28.35</v>
      </c>
      <c r="B569" s="2">
        <v>6.9550000000000001</v>
      </c>
      <c r="C569">
        <v>5.0000000000000001E-3</v>
      </c>
      <c r="H569">
        <f t="shared" si="56"/>
        <v>28.35</v>
      </c>
      <c r="I569">
        <f t="shared" si="57"/>
        <v>6.9550000000000001</v>
      </c>
      <c r="J569">
        <f t="shared" si="58"/>
        <v>4.0249219887663829E-3</v>
      </c>
      <c r="K569">
        <f t="shared" si="59"/>
        <v>139.47004185331505</v>
      </c>
      <c r="L569">
        <f t="shared" si="60"/>
        <v>2.6832813258442548E-3</v>
      </c>
      <c r="O569">
        <f t="shared" si="61"/>
        <v>139.63046749455538</v>
      </c>
      <c r="P569">
        <f t="shared" si="62"/>
        <v>8.8850981207960582E-4</v>
      </c>
    </row>
    <row r="570" spans="1:16" x14ac:dyDescent="0.25">
      <c r="A570" s="1">
        <v>28.4</v>
      </c>
      <c r="B570" s="2">
        <v>6.9669999999999996</v>
      </c>
      <c r="C570">
        <v>4.0000000000000001E-3</v>
      </c>
      <c r="H570">
        <f t="shared" si="56"/>
        <v>28.4</v>
      </c>
      <c r="I570">
        <f t="shared" si="57"/>
        <v>6.9669999999999996</v>
      </c>
      <c r="J570">
        <f t="shared" si="58"/>
        <v>3.0232022744608568E-3</v>
      </c>
      <c r="K570">
        <f t="shared" si="59"/>
        <v>139.71068031517555</v>
      </c>
      <c r="L570">
        <f t="shared" si="60"/>
        <v>2.0154681829739041E-3</v>
      </c>
      <c r="O570">
        <f t="shared" si="61"/>
        <v>139.87110595641587</v>
      </c>
      <c r="P570">
        <f t="shared" si="62"/>
        <v>2.2069666920925511E-4</v>
      </c>
    </row>
    <row r="571" spans="1:16" x14ac:dyDescent="0.25">
      <c r="A571" s="1">
        <v>28.45</v>
      </c>
      <c r="B571" s="2">
        <v>6.9729999999999999</v>
      </c>
      <c r="C571">
        <v>5.0000000000000001E-3</v>
      </c>
      <c r="H571">
        <f t="shared" si="56"/>
        <v>28.45</v>
      </c>
      <c r="I571">
        <f t="shared" si="57"/>
        <v>6.9729999999999999</v>
      </c>
      <c r="J571">
        <f t="shared" si="58"/>
        <v>4.0214825601553299E-3</v>
      </c>
      <c r="K571">
        <f t="shared" si="59"/>
        <v>139.8309995461058</v>
      </c>
      <c r="L571">
        <f t="shared" si="60"/>
        <v>2.680988373436886E-3</v>
      </c>
      <c r="O571">
        <f t="shared" si="61"/>
        <v>139.99142518734612</v>
      </c>
      <c r="P571">
        <f t="shared" si="62"/>
        <v>8.8621685967223704E-4</v>
      </c>
    </row>
    <row r="572" spans="1:16" x14ac:dyDescent="0.25">
      <c r="A572" s="1">
        <v>28.5</v>
      </c>
      <c r="B572" s="2">
        <v>6.976</v>
      </c>
      <c r="C572">
        <v>4.0000000000000001E-3</v>
      </c>
      <c r="H572">
        <f t="shared" si="56"/>
        <v>28.5</v>
      </c>
      <c r="I572">
        <f t="shared" si="57"/>
        <v>6.976</v>
      </c>
      <c r="J572">
        <f t="shared" si="58"/>
        <v>3.019762845849803E-3</v>
      </c>
      <c r="K572">
        <f t="shared" si="59"/>
        <v>139.89115916157093</v>
      </c>
      <c r="L572">
        <f t="shared" si="60"/>
        <v>2.0131752305665349E-3</v>
      </c>
      <c r="O572">
        <f t="shared" si="61"/>
        <v>140.05158480281125</v>
      </c>
      <c r="P572">
        <f t="shared" si="62"/>
        <v>2.184037168018859E-4</v>
      </c>
    </row>
    <row r="573" spans="1:16" x14ac:dyDescent="0.25">
      <c r="A573" s="1">
        <v>28.55</v>
      </c>
      <c r="B573" s="2">
        <v>6.9779999999999998</v>
      </c>
      <c r="C573">
        <v>5.0000000000000001E-3</v>
      </c>
      <c r="H573">
        <f t="shared" si="56"/>
        <v>28.55</v>
      </c>
      <c r="I573">
        <f t="shared" si="57"/>
        <v>6.9779999999999998</v>
      </c>
      <c r="J573">
        <f t="shared" si="58"/>
        <v>4.0180431315442761E-3</v>
      </c>
      <c r="K573">
        <f t="shared" si="59"/>
        <v>139.93126557188103</v>
      </c>
      <c r="L573">
        <f t="shared" si="60"/>
        <v>2.6786954210295168E-3</v>
      </c>
      <c r="O573">
        <f t="shared" si="61"/>
        <v>140.09169121312135</v>
      </c>
      <c r="P573">
        <f t="shared" si="62"/>
        <v>8.8392390726486783E-4</v>
      </c>
    </row>
    <row r="574" spans="1:16" x14ac:dyDescent="0.25">
      <c r="A574" s="1">
        <v>28.6</v>
      </c>
      <c r="B574" s="2">
        <v>6.9790000000000001</v>
      </c>
      <c r="C574">
        <v>5.0000000000000001E-3</v>
      </c>
      <c r="H574">
        <f t="shared" si="56"/>
        <v>28.6</v>
      </c>
      <c r="I574">
        <f t="shared" si="57"/>
        <v>6.9790000000000001</v>
      </c>
      <c r="J574">
        <f t="shared" si="58"/>
        <v>4.0163234172387501E-3</v>
      </c>
      <c r="K574">
        <f t="shared" si="59"/>
        <v>139.95131877703608</v>
      </c>
      <c r="L574">
        <f t="shared" si="60"/>
        <v>2.6775489448258327E-3</v>
      </c>
      <c r="O574">
        <f t="shared" si="61"/>
        <v>140.11174441827643</v>
      </c>
      <c r="P574">
        <f t="shared" si="62"/>
        <v>8.8277743106118366E-4</v>
      </c>
    </row>
    <row r="575" spans="1:16" x14ac:dyDescent="0.25">
      <c r="A575" s="1">
        <v>28.65</v>
      </c>
      <c r="B575" s="2">
        <v>6.9790000000000001</v>
      </c>
      <c r="C575">
        <v>5.0000000000000001E-3</v>
      </c>
      <c r="H575">
        <f t="shared" si="56"/>
        <v>28.65</v>
      </c>
      <c r="I575">
        <f t="shared" si="57"/>
        <v>6.9790000000000001</v>
      </c>
      <c r="J575">
        <f t="shared" si="58"/>
        <v>4.0146037029332232E-3</v>
      </c>
      <c r="K575">
        <f t="shared" si="59"/>
        <v>139.95131877703608</v>
      </c>
      <c r="L575">
        <f t="shared" si="60"/>
        <v>2.6764024686221481E-3</v>
      </c>
      <c r="O575">
        <f t="shared" si="61"/>
        <v>140.11174441827643</v>
      </c>
      <c r="P575">
        <f t="shared" si="62"/>
        <v>8.8163095485749906E-4</v>
      </c>
    </row>
    <row r="576" spans="1:16" x14ac:dyDescent="0.25">
      <c r="A576" s="1">
        <v>28.7</v>
      </c>
      <c r="B576" s="2">
        <v>6.98</v>
      </c>
      <c r="C576">
        <v>4.0000000000000001E-3</v>
      </c>
      <c r="H576">
        <f t="shared" si="56"/>
        <v>28.7</v>
      </c>
      <c r="I576">
        <f t="shared" si="57"/>
        <v>6.98</v>
      </c>
      <c r="J576">
        <f t="shared" si="58"/>
        <v>3.0128839886276963E-3</v>
      </c>
      <c r="K576">
        <f t="shared" si="59"/>
        <v>139.9713719821911</v>
      </c>
      <c r="L576">
        <f t="shared" si="60"/>
        <v>2.0085893257517969E-3</v>
      </c>
      <c r="O576">
        <f t="shared" si="61"/>
        <v>140.13179762343145</v>
      </c>
      <c r="P576">
        <f t="shared" si="62"/>
        <v>2.1381781198714792E-4</v>
      </c>
    </row>
    <row r="577" spans="1:16" x14ac:dyDescent="0.25">
      <c r="A577" s="1">
        <v>28.75</v>
      </c>
      <c r="B577" s="2">
        <v>6.9790000000000001</v>
      </c>
      <c r="C577">
        <v>5.0000000000000001E-3</v>
      </c>
      <c r="H577">
        <f t="shared" si="56"/>
        <v>28.75</v>
      </c>
      <c r="I577">
        <f t="shared" si="57"/>
        <v>6.9790000000000001</v>
      </c>
      <c r="J577">
        <f t="shared" si="58"/>
        <v>4.0111642743221702E-3</v>
      </c>
      <c r="K577">
        <f t="shared" si="59"/>
        <v>139.95131877703608</v>
      </c>
      <c r="L577">
        <f t="shared" si="60"/>
        <v>2.6741095162147797E-3</v>
      </c>
      <c r="O577">
        <f t="shared" si="61"/>
        <v>140.11174441827643</v>
      </c>
      <c r="P577">
        <f t="shared" si="62"/>
        <v>8.7933800245013072E-4</v>
      </c>
    </row>
    <row r="578" spans="1:16" x14ac:dyDescent="0.25">
      <c r="A578" s="1">
        <v>28.8</v>
      </c>
      <c r="B578" s="2">
        <v>6.98</v>
      </c>
      <c r="C578">
        <v>4.0000000000000001E-3</v>
      </c>
      <c r="H578">
        <f t="shared" si="56"/>
        <v>28.8</v>
      </c>
      <c r="I578">
        <f t="shared" si="57"/>
        <v>6.98</v>
      </c>
      <c r="J578">
        <f t="shared" si="58"/>
        <v>3.0094445600166433E-3</v>
      </c>
      <c r="K578">
        <f t="shared" si="59"/>
        <v>139.9713719821911</v>
      </c>
      <c r="L578">
        <f t="shared" si="60"/>
        <v>2.0062963733444286E-3</v>
      </c>
      <c r="O578">
        <f t="shared" si="61"/>
        <v>140.13179762343145</v>
      </c>
      <c r="P578">
        <f t="shared" si="62"/>
        <v>2.1152485957977958E-4</v>
      </c>
    </row>
    <row r="579" spans="1:16" x14ac:dyDescent="0.25">
      <c r="A579" s="1">
        <v>28.85</v>
      </c>
      <c r="B579" s="2">
        <v>6.98</v>
      </c>
      <c r="C579">
        <v>5.0000000000000001E-3</v>
      </c>
      <c r="H579">
        <f t="shared" ref="H579:H642" si="63">A579</f>
        <v>28.85</v>
      </c>
      <c r="I579">
        <f t="shared" ref="I579:I642" si="64">B579</f>
        <v>6.98</v>
      </c>
      <c r="J579">
        <f t="shared" ref="J579:J642" si="65">C579-E$12*A579</f>
        <v>4.0077248457111164E-3</v>
      </c>
      <c r="K579">
        <f t="shared" ref="K579:K642" si="66">F$24*I579</f>
        <v>139.9713719821911</v>
      </c>
      <c r="L579">
        <f t="shared" ref="L579:L642" si="67">F$25*J579</f>
        <v>2.6718165638074105E-3</v>
      </c>
      <c r="O579">
        <f t="shared" ref="O579:O642" si="68">K579-N$12</f>
        <v>140.13179762343145</v>
      </c>
      <c r="P579">
        <f t="shared" ref="P579:P642" si="69">L579-N$15</f>
        <v>8.7704505004276151E-4</v>
      </c>
    </row>
    <row r="580" spans="1:16" x14ac:dyDescent="0.25">
      <c r="A580" s="1">
        <v>28.9</v>
      </c>
      <c r="B580" s="2">
        <v>6.9809999999999999</v>
      </c>
      <c r="C580">
        <v>4.0000000000000001E-3</v>
      </c>
      <c r="H580">
        <f t="shared" si="63"/>
        <v>28.9</v>
      </c>
      <c r="I580">
        <f t="shared" si="64"/>
        <v>6.9809999999999999</v>
      </c>
      <c r="J580">
        <f t="shared" si="65"/>
        <v>3.0060051314055899E-3</v>
      </c>
      <c r="K580">
        <f t="shared" si="66"/>
        <v>139.99142518734615</v>
      </c>
      <c r="L580">
        <f t="shared" si="67"/>
        <v>2.0040034209370594E-3</v>
      </c>
      <c r="O580">
        <f t="shared" si="68"/>
        <v>140.15185082858648</v>
      </c>
      <c r="P580">
        <f t="shared" si="69"/>
        <v>2.0923190717241037E-4</v>
      </c>
    </row>
    <row r="581" spans="1:16" x14ac:dyDescent="0.25">
      <c r="A581" s="1">
        <v>28.95</v>
      </c>
      <c r="B581" s="2">
        <v>6.98</v>
      </c>
      <c r="C581">
        <v>5.0000000000000001E-3</v>
      </c>
      <c r="H581">
        <f t="shared" si="63"/>
        <v>28.95</v>
      </c>
      <c r="I581">
        <f t="shared" si="64"/>
        <v>6.98</v>
      </c>
      <c r="J581">
        <f t="shared" si="65"/>
        <v>4.0042854171000635E-3</v>
      </c>
      <c r="K581">
        <f t="shared" si="66"/>
        <v>139.9713719821911</v>
      </c>
      <c r="L581">
        <f t="shared" si="67"/>
        <v>2.6695236114000417E-3</v>
      </c>
      <c r="O581">
        <f t="shared" si="68"/>
        <v>140.13179762343145</v>
      </c>
      <c r="P581">
        <f t="shared" si="69"/>
        <v>8.7475209763539273E-4</v>
      </c>
    </row>
    <row r="582" spans="1:16" x14ac:dyDescent="0.25">
      <c r="A582" s="1">
        <v>29</v>
      </c>
      <c r="B582" s="2">
        <v>6.9809999999999999</v>
      </c>
      <c r="C582">
        <v>4.0000000000000001E-3</v>
      </c>
      <c r="H582">
        <f t="shared" si="63"/>
        <v>29</v>
      </c>
      <c r="I582">
        <f t="shared" si="64"/>
        <v>6.9809999999999999</v>
      </c>
      <c r="J582">
        <f t="shared" si="65"/>
        <v>3.0025657027945366E-3</v>
      </c>
      <c r="K582">
        <f t="shared" si="66"/>
        <v>139.99142518734615</v>
      </c>
      <c r="L582">
        <f t="shared" si="67"/>
        <v>2.0017104685296906E-3</v>
      </c>
      <c r="O582">
        <f t="shared" si="68"/>
        <v>140.15185082858648</v>
      </c>
      <c r="P582">
        <f t="shared" si="69"/>
        <v>2.0693895476504159E-4</v>
      </c>
    </row>
    <row r="583" spans="1:16" x14ac:dyDescent="0.25">
      <c r="A583" s="1">
        <v>29.05</v>
      </c>
      <c r="B583" s="2">
        <v>6.98</v>
      </c>
      <c r="C583">
        <v>5.0000000000000001E-3</v>
      </c>
      <c r="H583">
        <f t="shared" si="63"/>
        <v>29.05</v>
      </c>
      <c r="I583">
        <f t="shared" si="64"/>
        <v>6.98</v>
      </c>
      <c r="J583">
        <f t="shared" si="65"/>
        <v>4.0008459884890097E-3</v>
      </c>
      <c r="K583">
        <f t="shared" si="66"/>
        <v>139.9713719821911</v>
      </c>
      <c r="L583">
        <f t="shared" si="67"/>
        <v>2.6672306589926725E-3</v>
      </c>
      <c r="O583">
        <f t="shared" si="68"/>
        <v>140.13179762343145</v>
      </c>
      <c r="P583">
        <f t="shared" si="69"/>
        <v>8.7245914522802353E-4</v>
      </c>
    </row>
    <row r="584" spans="1:16" x14ac:dyDescent="0.25">
      <c r="A584" s="1">
        <v>29.1</v>
      </c>
      <c r="B584" s="2">
        <v>6.9809999999999999</v>
      </c>
      <c r="C584">
        <v>4.0000000000000001E-3</v>
      </c>
      <c r="H584">
        <f t="shared" si="63"/>
        <v>29.1</v>
      </c>
      <c r="I584">
        <f t="shared" si="64"/>
        <v>6.9809999999999999</v>
      </c>
      <c r="J584">
        <f t="shared" si="65"/>
        <v>2.9991262741834832E-3</v>
      </c>
      <c r="K584">
        <f t="shared" si="66"/>
        <v>139.99142518734615</v>
      </c>
      <c r="L584">
        <f t="shared" si="67"/>
        <v>1.9994175161223218E-3</v>
      </c>
      <c r="O584">
        <f t="shared" si="68"/>
        <v>140.15185082858648</v>
      </c>
      <c r="P584">
        <f t="shared" si="69"/>
        <v>2.0464600235767282E-4</v>
      </c>
    </row>
    <row r="585" spans="1:16" x14ac:dyDescent="0.25">
      <c r="A585" s="1">
        <v>29.15</v>
      </c>
      <c r="B585" s="2">
        <v>6.9740000000000002</v>
      </c>
      <c r="C585">
        <v>5.0000000000000001E-3</v>
      </c>
      <c r="H585">
        <f t="shared" si="63"/>
        <v>29.15</v>
      </c>
      <c r="I585">
        <f t="shared" si="64"/>
        <v>6.9740000000000002</v>
      </c>
      <c r="J585">
        <f t="shared" si="65"/>
        <v>3.9974065598779567E-3</v>
      </c>
      <c r="K585">
        <f t="shared" si="66"/>
        <v>139.85105275126085</v>
      </c>
      <c r="L585">
        <f t="shared" si="67"/>
        <v>2.6649377065853038E-3</v>
      </c>
      <c r="O585">
        <f t="shared" si="68"/>
        <v>140.0114783925012</v>
      </c>
      <c r="P585">
        <f t="shared" si="69"/>
        <v>8.7016619282065475E-4</v>
      </c>
    </row>
    <row r="586" spans="1:16" x14ac:dyDescent="0.25">
      <c r="A586" s="1">
        <v>29.2</v>
      </c>
      <c r="B586" s="2">
        <v>6.8979999999999997</v>
      </c>
      <c r="C586">
        <v>4.0000000000000001E-3</v>
      </c>
      <c r="H586">
        <f t="shared" si="63"/>
        <v>29.2</v>
      </c>
      <c r="I586">
        <f t="shared" si="64"/>
        <v>6.8979999999999997</v>
      </c>
      <c r="J586">
        <f t="shared" si="65"/>
        <v>2.9956868455724298E-3</v>
      </c>
      <c r="K586">
        <f t="shared" si="66"/>
        <v>138.32700915947768</v>
      </c>
      <c r="L586">
        <f t="shared" si="67"/>
        <v>1.9971245637149526E-3</v>
      </c>
      <c r="O586">
        <f t="shared" si="68"/>
        <v>138.48743480071801</v>
      </c>
      <c r="P586">
        <f t="shared" si="69"/>
        <v>2.0235304995030361E-4</v>
      </c>
    </row>
    <row r="587" spans="1:16" x14ac:dyDescent="0.25">
      <c r="A587" s="1">
        <v>29.25</v>
      </c>
      <c r="B587" s="2">
        <v>6.8090000000000002</v>
      </c>
      <c r="C587">
        <v>5.0000000000000001E-3</v>
      </c>
      <c r="H587">
        <f t="shared" si="63"/>
        <v>29.25</v>
      </c>
      <c r="I587">
        <f t="shared" si="64"/>
        <v>6.8090000000000002</v>
      </c>
      <c r="J587">
        <f t="shared" si="65"/>
        <v>3.9939671312669029E-3</v>
      </c>
      <c r="K587">
        <f t="shared" si="66"/>
        <v>136.54227390067899</v>
      </c>
      <c r="L587">
        <f t="shared" si="67"/>
        <v>2.6626447541779345E-3</v>
      </c>
      <c r="O587">
        <f t="shared" si="68"/>
        <v>136.70269954191934</v>
      </c>
      <c r="P587">
        <f t="shared" si="69"/>
        <v>8.6787324041328554E-4</v>
      </c>
    </row>
    <row r="588" spans="1:16" x14ac:dyDescent="0.25">
      <c r="A588" s="1">
        <v>29.3</v>
      </c>
      <c r="B588" s="2">
        <v>6.7850000000000001</v>
      </c>
      <c r="C588">
        <v>4.0000000000000001E-3</v>
      </c>
      <c r="H588">
        <f t="shared" si="63"/>
        <v>29.3</v>
      </c>
      <c r="I588">
        <f t="shared" si="64"/>
        <v>6.7850000000000001</v>
      </c>
      <c r="J588">
        <f t="shared" si="65"/>
        <v>2.9922474169613768E-3</v>
      </c>
      <c r="K588">
        <f t="shared" si="66"/>
        <v>136.06099697695797</v>
      </c>
      <c r="L588">
        <f t="shared" si="67"/>
        <v>1.9948316113075843E-3</v>
      </c>
      <c r="O588">
        <f t="shared" si="68"/>
        <v>136.22142261819829</v>
      </c>
      <c r="P588">
        <f t="shared" si="69"/>
        <v>2.0006009754293527E-4</v>
      </c>
    </row>
    <row r="589" spans="1:16" x14ac:dyDescent="0.25">
      <c r="A589" s="1">
        <v>29.35</v>
      </c>
      <c r="B589" s="2">
        <v>6.7839999999999998</v>
      </c>
      <c r="C589">
        <v>5.0000000000000001E-3</v>
      </c>
      <c r="H589">
        <f t="shared" si="63"/>
        <v>29.35</v>
      </c>
      <c r="I589">
        <f t="shared" si="64"/>
        <v>6.7839999999999998</v>
      </c>
      <c r="J589">
        <f t="shared" si="65"/>
        <v>3.99052770265585E-3</v>
      </c>
      <c r="K589">
        <f t="shared" si="66"/>
        <v>136.04094377180292</v>
      </c>
      <c r="L589">
        <f t="shared" si="67"/>
        <v>2.6603518017705662E-3</v>
      </c>
      <c r="O589">
        <f t="shared" si="68"/>
        <v>136.20136941304327</v>
      </c>
      <c r="P589">
        <f t="shared" si="69"/>
        <v>8.655802880059172E-4</v>
      </c>
    </row>
    <row r="590" spans="1:16" x14ac:dyDescent="0.25">
      <c r="A590" s="1">
        <v>29.4</v>
      </c>
      <c r="B590" s="2">
        <v>6.7850000000000001</v>
      </c>
      <c r="C590">
        <v>5.0000000000000001E-3</v>
      </c>
      <c r="H590">
        <f t="shared" si="63"/>
        <v>29.4</v>
      </c>
      <c r="I590">
        <f t="shared" si="64"/>
        <v>6.7850000000000001</v>
      </c>
      <c r="J590">
        <f t="shared" si="65"/>
        <v>3.9888079883503231E-3</v>
      </c>
      <c r="K590">
        <f t="shared" si="66"/>
        <v>136.06099697695797</v>
      </c>
      <c r="L590">
        <f t="shared" si="67"/>
        <v>2.6592053255668816E-3</v>
      </c>
      <c r="O590">
        <f t="shared" si="68"/>
        <v>136.22142261819829</v>
      </c>
      <c r="P590">
        <f t="shared" si="69"/>
        <v>8.644338118022326E-4</v>
      </c>
    </row>
    <row r="591" spans="1:16" x14ac:dyDescent="0.25">
      <c r="A591" s="1">
        <v>29.45</v>
      </c>
      <c r="B591" s="2">
        <v>6.7850000000000001</v>
      </c>
      <c r="C591">
        <v>5.0000000000000001E-3</v>
      </c>
      <c r="H591">
        <f t="shared" si="63"/>
        <v>29.45</v>
      </c>
      <c r="I591">
        <f t="shared" si="64"/>
        <v>6.7850000000000001</v>
      </c>
      <c r="J591">
        <f t="shared" si="65"/>
        <v>3.987088274044797E-3</v>
      </c>
      <c r="K591">
        <f t="shared" si="66"/>
        <v>136.06099697695797</v>
      </c>
      <c r="L591">
        <f t="shared" si="67"/>
        <v>2.6580588493631974E-3</v>
      </c>
      <c r="O591">
        <f t="shared" si="68"/>
        <v>136.22142261819829</v>
      </c>
      <c r="P591">
        <f t="shared" si="69"/>
        <v>8.6328733559854843E-4</v>
      </c>
    </row>
    <row r="592" spans="1:16" x14ac:dyDescent="0.25">
      <c r="A592" s="1">
        <v>29.5</v>
      </c>
      <c r="B592" s="2">
        <v>6.7839999999999998</v>
      </c>
      <c r="C592">
        <v>4.0000000000000001E-3</v>
      </c>
      <c r="H592">
        <f t="shared" si="63"/>
        <v>29.5</v>
      </c>
      <c r="I592">
        <f t="shared" si="64"/>
        <v>6.7839999999999998</v>
      </c>
      <c r="J592">
        <f t="shared" si="65"/>
        <v>2.9853685597392701E-3</v>
      </c>
      <c r="K592">
        <f t="shared" si="66"/>
        <v>136.04094377180292</v>
      </c>
      <c r="L592">
        <f t="shared" si="67"/>
        <v>1.9902457064928463E-3</v>
      </c>
      <c r="O592">
        <f t="shared" si="68"/>
        <v>136.20136941304327</v>
      </c>
      <c r="P592">
        <f t="shared" si="69"/>
        <v>1.9547419272819729E-4</v>
      </c>
    </row>
    <row r="593" spans="1:16" x14ac:dyDescent="0.25">
      <c r="A593" s="1">
        <v>29.55</v>
      </c>
      <c r="B593" s="2">
        <v>6.7850000000000001</v>
      </c>
      <c r="C593">
        <v>5.0000000000000001E-3</v>
      </c>
      <c r="H593">
        <f t="shared" si="63"/>
        <v>29.55</v>
      </c>
      <c r="I593">
        <f t="shared" si="64"/>
        <v>6.7850000000000001</v>
      </c>
      <c r="J593">
        <f t="shared" si="65"/>
        <v>3.9836488454337432E-3</v>
      </c>
      <c r="K593">
        <f t="shared" si="66"/>
        <v>136.06099697695797</v>
      </c>
      <c r="L593">
        <f t="shared" si="67"/>
        <v>2.6557658969558282E-3</v>
      </c>
      <c r="O593">
        <f t="shared" si="68"/>
        <v>136.22142261819829</v>
      </c>
      <c r="P593">
        <f t="shared" si="69"/>
        <v>8.6099438319117922E-4</v>
      </c>
    </row>
    <row r="594" spans="1:16" x14ac:dyDescent="0.25">
      <c r="A594" s="1">
        <v>29.6</v>
      </c>
      <c r="B594" s="2">
        <v>6.7850000000000001</v>
      </c>
      <c r="C594">
        <v>4.0000000000000001E-3</v>
      </c>
      <c r="H594">
        <f t="shared" si="63"/>
        <v>29.6</v>
      </c>
      <c r="I594">
        <f t="shared" si="64"/>
        <v>6.7850000000000001</v>
      </c>
      <c r="J594">
        <f t="shared" si="65"/>
        <v>2.9819291311282163E-3</v>
      </c>
      <c r="K594">
        <f t="shared" si="66"/>
        <v>136.06099697695797</v>
      </c>
      <c r="L594">
        <f t="shared" si="67"/>
        <v>1.9879527540854771E-3</v>
      </c>
      <c r="O594">
        <f t="shared" si="68"/>
        <v>136.22142261819829</v>
      </c>
      <c r="P594">
        <f t="shared" si="69"/>
        <v>1.9318124032082808E-4</v>
      </c>
    </row>
    <row r="595" spans="1:16" x14ac:dyDescent="0.25">
      <c r="A595" s="1">
        <v>29.65</v>
      </c>
      <c r="B595" s="2">
        <v>6.7839999999999998</v>
      </c>
      <c r="C595">
        <v>5.0000000000000001E-3</v>
      </c>
      <c r="H595">
        <f t="shared" si="63"/>
        <v>29.65</v>
      </c>
      <c r="I595">
        <f t="shared" si="64"/>
        <v>6.7839999999999998</v>
      </c>
      <c r="J595">
        <f t="shared" si="65"/>
        <v>3.9802094168226903E-3</v>
      </c>
      <c r="K595">
        <f t="shared" si="66"/>
        <v>136.04094377180292</v>
      </c>
      <c r="L595">
        <f t="shared" si="67"/>
        <v>2.6534729445484594E-3</v>
      </c>
      <c r="O595">
        <f t="shared" si="68"/>
        <v>136.20136941304327</v>
      </c>
      <c r="P595">
        <f t="shared" si="69"/>
        <v>8.5870143078381044E-4</v>
      </c>
    </row>
    <row r="596" spans="1:16" x14ac:dyDescent="0.25">
      <c r="A596" s="1">
        <v>29.7</v>
      </c>
      <c r="B596" s="2">
        <v>6.7690000000000001</v>
      </c>
      <c r="C596">
        <v>4.0000000000000001E-3</v>
      </c>
      <c r="H596">
        <f t="shared" si="63"/>
        <v>29.7</v>
      </c>
      <c r="I596">
        <f t="shared" si="64"/>
        <v>6.7690000000000001</v>
      </c>
      <c r="J596">
        <f t="shared" si="65"/>
        <v>2.9784897025171633E-3</v>
      </c>
      <c r="K596">
        <f t="shared" si="66"/>
        <v>135.74014569447732</v>
      </c>
      <c r="L596">
        <f t="shared" si="67"/>
        <v>1.9856598016781083E-3</v>
      </c>
      <c r="O596">
        <f t="shared" si="68"/>
        <v>135.90057133571764</v>
      </c>
      <c r="P596">
        <f t="shared" si="69"/>
        <v>1.908882879134593E-4</v>
      </c>
    </row>
    <row r="597" spans="1:16" x14ac:dyDescent="0.25">
      <c r="A597" s="1">
        <v>29.75</v>
      </c>
      <c r="B597" s="2">
        <v>6.6470000000000002</v>
      </c>
      <c r="C597">
        <v>5.0000000000000001E-3</v>
      </c>
      <c r="H597">
        <f t="shared" si="63"/>
        <v>29.75</v>
      </c>
      <c r="I597">
        <f t="shared" si="64"/>
        <v>6.6470000000000002</v>
      </c>
      <c r="J597">
        <f t="shared" si="65"/>
        <v>3.9767699882116364E-3</v>
      </c>
      <c r="K597">
        <f t="shared" si="66"/>
        <v>133.29365466556223</v>
      </c>
      <c r="L597">
        <f t="shared" si="67"/>
        <v>2.6511799921410902E-3</v>
      </c>
      <c r="O597">
        <f t="shared" si="68"/>
        <v>133.45408030680255</v>
      </c>
      <c r="P597">
        <f t="shared" si="69"/>
        <v>8.5640847837644123E-4</v>
      </c>
    </row>
    <row r="598" spans="1:16" x14ac:dyDescent="0.25">
      <c r="A598" s="1">
        <v>29.8</v>
      </c>
      <c r="B598" s="2">
        <v>6.5019999999999998</v>
      </c>
      <c r="C598">
        <v>4.0000000000000001E-3</v>
      </c>
      <c r="H598">
        <f t="shared" si="63"/>
        <v>29.8</v>
      </c>
      <c r="I598">
        <f t="shared" si="64"/>
        <v>6.5019999999999998</v>
      </c>
      <c r="J598">
        <f t="shared" si="65"/>
        <v>2.9750502739061099E-3</v>
      </c>
      <c r="K598">
        <f t="shared" si="66"/>
        <v>130.38593991808116</v>
      </c>
      <c r="L598">
        <f t="shared" si="67"/>
        <v>1.9833668492707395E-3</v>
      </c>
      <c r="O598">
        <f t="shared" si="68"/>
        <v>130.54636555932149</v>
      </c>
      <c r="P598">
        <f t="shared" si="69"/>
        <v>1.8859533550609053E-4</v>
      </c>
    </row>
    <row r="599" spans="1:16" x14ac:dyDescent="0.25">
      <c r="A599" s="1">
        <v>29.85</v>
      </c>
      <c r="B599" s="2">
        <v>6.4470000000000001</v>
      </c>
      <c r="C599">
        <v>5.0000000000000001E-3</v>
      </c>
      <c r="H599">
        <f t="shared" si="63"/>
        <v>29.85</v>
      </c>
      <c r="I599">
        <f t="shared" si="64"/>
        <v>6.4470000000000001</v>
      </c>
      <c r="J599">
        <f t="shared" si="65"/>
        <v>3.9733305596005835E-3</v>
      </c>
      <c r="K599">
        <f t="shared" si="66"/>
        <v>129.28301363455387</v>
      </c>
      <c r="L599">
        <f t="shared" si="67"/>
        <v>2.6488870397337219E-3</v>
      </c>
      <c r="O599">
        <f t="shared" si="68"/>
        <v>129.44343927579422</v>
      </c>
      <c r="P599">
        <f t="shared" si="69"/>
        <v>8.5411552596907289E-4</v>
      </c>
    </row>
    <row r="600" spans="1:16" x14ac:dyDescent="0.25">
      <c r="A600" s="1">
        <v>29.9</v>
      </c>
      <c r="B600" s="2">
        <v>6.4089999999999998</v>
      </c>
      <c r="C600">
        <v>5.0000000000000001E-3</v>
      </c>
      <c r="H600">
        <f t="shared" si="63"/>
        <v>29.9</v>
      </c>
      <c r="I600">
        <f t="shared" si="64"/>
        <v>6.4089999999999998</v>
      </c>
      <c r="J600">
        <f t="shared" si="65"/>
        <v>3.9716108452950566E-3</v>
      </c>
      <c r="K600">
        <f t="shared" si="66"/>
        <v>128.5209918386623</v>
      </c>
      <c r="L600">
        <f t="shared" si="67"/>
        <v>2.6477405635300373E-3</v>
      </c>
      <c r="O600">
        <f t="shared" si="68"/>
        <v>128.68141747990262</v>
      </c>
      <c r="P600">
        <f t="shared" si="69"/>
        <v>8.5296904976538829E-4</v>
      </c>
    </row>
    <row r="601" spans="1:16" x14ac:dyDescent="0.25">
      <c r="A601" s="1">
        <v>29.95</v>
      </c>
      <c r="B601" s="2">
        <v>6.3579999999999997</v>
      </c>
      <c r="C601">
        <v>5.0000000000000001E-3</v>
      </c>
      <c r="H601">
        <f t="shared" si="63"/>
        <v>29.95</v>
      </c>
      <c r="I601">
        <f t="shared" si="64"/>
        <v>6.3579999999999997</v>
      </c>
      <c r="J601">
        <f t="shared" si="65"/>
        <v>3.9698911309895297E-3</v>
      </c>
      <c r="K601">
        <f t="shared" si="66"/>
        <v>127.49827837575516</v>
      </c>
      <c r="L601">
        <f t="shared" si="67"/>
        <v>2.6465940873263527E-3</v>
      </c>
      <c r="O601">
        <f t="shared" si="68"/>
        <v>127.6587040169955</v>
      </c>
      <c r="P601">
        <f t="shared" si="69"/>
        <v>8.5182257356170368E-4</v>
      </c>
    </row>
    <row r="602" spans="1:16" x14ac:dyDescent="0.25">
      <c r="A602" s="1">
        <v>30</v>
      </c>
      <c r="B602" s="2">
        <v>6.2649999999999997</v>
      </c>
      <c r="C602">
        <v>5.0000000000000001E-3</v>
      </c>
      <c r="H602">
        <f t="shared" si="63"/>
        <v>30</v>
      </c>
      <c r="I602">
        <f t="shared" si="64"/>
        <v>6.2649999999999997</v>
      </c>
      <c r="J602">
        <f t="shared" si="65"/>
        <v>3.9681714166840036E-3</v>
      </c>
      <c r="K602">
        <f t="shared" si="66"/>
        <v>125.63333029633628</v>
      </c>
      <c r="L602">
        <f t="shared" si="67"/>
        <v>2.6454476111226685E-3</v>
      </c>
      <c r="O602">
        <f t="shared" si="68"/>
        <v>125.79375593757662</v>
      </c>
      <c r="P602">
        <f t="shared" si="69"/>
        <v>8.5067609735801951E-4</v>
      </c>
    </row>
    <row r="603" spans="1:16" x14ac:dyDescent="0.25">
      <c r="A603" s="1">
        <v>30.05</v>
      </c>
      <c r="B603" s="2">
        <v>6.0890000000000004</v>
      </c>
      <c r="C603">
        <v>5.0000000000000001E-3</v>
      </c>
      <c r="H603">
        <f t="shared" si="63"/>
        <v>30.05</v>
      </c>
      <c r="I603">
        <f t="shared" si="64"/>
        <v>6.0890000000000004</v>
      </c>
      <c r="J603">
        <f t="shared" si="65"/>
        <v>3.9664517023784767E-3</v>
      </c>
      <c r="K603">
        <f t="shared" si="66"/>
        <v>122.10396618904896</v>
      </c>
      <c r="L603">
        <f t="shared" si="67"/>
        <v>2.6443011349189839E-3</v>
      </c>
      <c r="O603">
        <f t="shared" si="68"/>
        <v>122.2643918302893</v>
      </c>
      <c r="P603">
        <f t="shared" si="69"/>
        <v>8.4952962115433491E-4</v>
      </c>
    </row>
    <row r="604" spans="1:16" x14ac:dyDescent="0.25">
      <c r="A604" s="1">
        <v>30.1</v>
      </c>
      <c r="B604" s="2">
        <v>5.9989999999999997</v>
      </c>
      <c r="C604">
        <v>4.0000000000000001E-3</v>
      </c>
      <c r="H604">
        <f t="shared" si="63"/>
        <v>30.1</v>
      </c>
      <c r="I604">
        <f t="shared" si="64"/>
        <v>5.9989999999999997</v>
      </c>
      <c r="J604">
        <f t="shared" si="65"/>
        <v>2.9647319880729498E-3</v>
      </c>
      <c r="K604">
        <f t="shared" si="66"/>
        <v>120.29917772509519</v>
      </c>
      <c r="L604">
        <f t="shared" si="67"/>
        <v>1.9764879920486328E-3</v>
      </c>
      <c r="O604">
        <f t="shared" si="68"/>
        <v>120.45960336633553</v>
      </c>
      <c r="P604">
        <f t="shared" si="69"/>
        <v>1.8171647828398377E-4</v>
      </c>
    </row>
    <row r="605" spans="1:16" x14ac:dyDescent="0.25">
      <c r="A605" s="1">
        <v>30.15</v>
      </c>
      <c r="B605" s="2">
        <v>5.9950000000000001</v>
      </c>
      <c r="C605">
        <v>5.0000000000000001E-3</v>
      </c>
      <c r="H605">
        <f t="shared" si="63"/>
        <v>30.15</v>
      </c>
      <c r="I605">
        <f t="shared" si="64"/>
        <v>5.9950000000000001</v>
      </c>
      <c r="J605">
        <f t="shared" si="65"/>
        <v>3.9630122737674238E-3</v>
      </c>
      <c r="K605">
        <f t="shared" si="66"/>
        <v>120.21896490447503</v>
      </c>
      <c r="L605">
        <f t="shared" si="67"/>
        <v>2.6420081825116151E-3</v>
      </c>
      <c r="O605">
        <f t="shared" si="68"/>
        <v>120.37939054571537</v>
      </c>
      <c r="P605">
        <f t="shared" si="69"/>
        <v>8.4723666874696613E-4</v>
      </c>
    </row>
    <row r="606" spans="1:16" x14ac:dyDescent="0.25">
      <c r="A606" s="1">
        <v>30.2</v>
      </c>
      <c r="B606" s="2">
        <v>5.9950000000000001</v>
      </c>
      <c r="C606">
        <v>4.0000000000000001E-3</v>
      </c>
      <c r="H606">
        <f t="shared" si="63"/>
        <v>30.2</v>
      </c>
      <c r="I606">
        <f t="shared" si="64"/>
        <v>5.9950000000000001</v>
      </c>
      <c r="J606">
        <f t="shared" si="65"/>
        <v>2.9612925594618969E-3</v>
      </c>
      <c r="K606">
        <f t="shared" si="66"/>
        <v>120.21896490447503</v>
      </c>
      <c r="L606">
        <f t="shared" si="67"/>
        <v>1.974195039641264E-3</v>
      </c>
      <c r="O606">
        <f t="shared" si="68"/>
        <v>120.37939054571537</v>
      </c>
      <c r="P606">
        <f t="shared" si="69"/>
        <v>1.7942352587661499E-4</v>
      </c>
    </row>
    <row r="607" spans="1:16" x14ac:dyDescent="0.25">
      <c r="A607" s="1">
        <v>30.25</v>
      </c>
      <c r="B607" s="2">
        <v>5.9950000000000001</v>
      </c>
      <c r="C607">
        <v>5.0000000000000001E-3</v>
      </c>
      <c r="H607">
        <f t="shared" si="63"/>
        <v>30.25</v>
      </c>
      <c r="I607">
        <f t="shared" si="64"/>
        <v>5.9950000000000001</v>
      </c>
      <c r="J607">
        <f t="shared" si="65"/>
        <v>3.95957284515637E-3</v>
      </c>
      <c r="K607">
        <f t="shared" si="66"/>
        <v>120.21896490447503</v>
      </c>
      <c r="L607">
        <f t="shared" si="67"/>
        <v>2.6397152301042459E-3</v>
      </c>
      <c r="O607">
        <f t="shared" si="68"/>
        <v>120.37939054571537</v>
      </c>
      <c r="P607">
        <f t="shared" si="69"/>
        <v>8.4494371633959692E-4</v>
      </c>
    </row>
    <row r="608" spans="1:16" x14ac:dyDescent="0.25">
      <c r="A608" s="1">
        <v>30.3</v>
      </c>
      <c r="B608" s="2">
        <v>5.9950000000000001</v>
      </c>
      <c r="C608">
        <v>4.0000000000000001E-3</v>
      </c>
      <c r="H608">
        <f t="shared" si="63"/>
        <v>30.3</v>
      </c>
      <c r="I608">
        <f t="shared" si="64"/>
        <v>5.9950000000000001</v>
      </c>
      <c r="J608">
        <f t="shared" si="65"/>
        <v>2.9578531308508431E-3</v>
      </c>
      <c r="K608">
        <f t="shared" si="66"/>
        <v>120.21896490447503</v>
      </c>
      <c r="L608">
        <f t="shared" si="67"/>
        <v>1.9719020872338948E-3</v>
      </c>
      <c r="O608">
        <f t="shared" si="68"/>
        <v>120.37939054571537</v>
      </c>
      <c r="P608">
        <f t="shared" si="69"/>
        <v>1.7713057346924578E-4</v>
      </c>
    </row>
    <row r="609" spans="1:16" x14ac:dyDescent="0.25">
      <c r="A609" s="1">
        <v>30.35</v>
      </c>
      <c r="B609" s="2">
        <v>5.9909999999999997</v>
      </c>
      <c r="C609">
        <v>5.0000000000000001E-3</v>
      </c>
      <c r="H609">
        <f t="shared" si="63"/>
        <v>30.35</v>
      </c>
      <c r="I609">
        <f t="shared" si="64"/>
        <v>5.9909999999999997</v>
      </c>
      <c r="J609">
        <f t="shared" si="65"/>
        <v>3.9561334165453162E-3</v>
      </c>
      <c r="K609">
        <f t="shared" si="66"/>
        <v>120.13875208385485</v>
      </c>
      <c r="L609">
        <f t="shared" si="67"/>
        <v>2.6374222776968767E-3</v>
      </c>
      <c r="O609">
        <f t="shared" si="68"/>
        <v>120.29917772509519</v>
      </c>
      <c r="P609">
        <f t="shared" si="69"/>
        <v>8.4265076393222772E-4</v>
      </c>
    </row>
    <row r="610" spans="1:16" x14ac:dyDescent="0.25">
      <c r="A610" s="1">
        <v>30.4</v>
      </c>
      <c r="B610" s="2">
        <v>5.9390000000000001</v>
      </c>
      <c r="C610">
        <v>4.0000000000000001E-3</v>
      </c>
      <c r="H610">
        <f t="shared" si="63"/>
        <v>30.4</v>
      </c>
      <c r="I610">
        <f t="shared" si="64"/>
        <v>5.9390000000000001</v>
      </c>
      <c r="J610">
        <f t="shared" si="65"/>
        <v>2.9544137022397901E-3</v>
      </c>
      <c r="K610">
        <f t="shared" si="66"/>
        <v>119.0959854157927</v>
      </c>
      <c r="L610">
        <f t="shared" si="67"/>
        <v>1.9696091348265264E-3</v>
      </c>
      <c r="O610">
        <f t="shared" si="68"/>
        <v>119.25641105703303</v>
      </c>
      <c r="P610">
        <f t="shared" si="69"/>
        <v>1.7483762106187744E-4</v>
      </c>
    </row>
    <row r="611" spans="1:16" x14ac:dyDescent="0.25">
      <c r="A611" s="1">
        <v>30.45</v>
      </c>
      <c r="B611" s="2">
        <v>5.8630000000000004</v>
      </c>
      <c r="C611">
        <v>5.0000000000000001E-3</v>
      </c>
      <c r="H611">
        <f t="shared" si="63"/>
        <v>30.45</v>
      </c>
      <c r="I611">
        <f t="shared" si="64"/>
        <v>5.8630000000000004</v>
      </c>
      <c r="J611">
        <f t="shared" si="65"/>
        <v>3.9526939879342632E-3</v>
      </c>
      <c r="K611">
        <f t="shared" si="66"/>
        <v>117.57194182400953</v>
      </c>
      <c r="L611">
        <f t="shared" si="67"/>
        <v>2.6351293252895084E-3</v>
      </c>
      <c r="O611">
        <f t="shared" si="68"/>
        <v>117.73236746524987</v>
      </c>
      <c r="P611">
        <f t="shared" si="69"/>
        <v>8.4035781152485937E-4</v>
      </c>
    </row>
    <row r="612" spans="1:16" x14ac:dyDescent="0.25">
      <c r="A612" s="1">
        <v>30.5</v>
      </c>
      <c r="B612" s="2">
        <v>5.7880000000000003</v>
      </c>
      <c r="C612">
        <v>4.0000000000000001E-3</v>
      </c>
      <c r="H612">
        <f t="shared" si="63"/>
        <v>30.5</v>
      </c>
      <c r="I612">
        <f t="shared" si="64"/>
        <v>5.7880000000000003</v>
      </c>
      <c r="J612">
        <f t="shared" si="65"/>
        <v>2.9509742736287367E-3</v>
      </c>
      <c r="K612">
        <f t="shared" si="66"/>
        <v>116.0679514373814</v>
      </c>
      <c r="L612">
        <f t="shared" si="67"/>
        <v>1.9673161824191572E-3</v>
      </c>
      <c r="O612">
        <f t="shared" si="68"/>
        <v>116.22837707862173</v>
      </c>
      <c r="P612">
        <f t="shared" si="69"/>
        <v>1.7254466865450823E-4</v>
      </c>
    </row>
    <row r="613" spans="1:16" x14ac:dyDescent="0.25">
      <c r="A613" s="1">
        <v>30.55</v>
      </c>
      <c r="B613" s="2">
        <v>5.6680000000000001</v>
      </c>
      <c r="C613">
        <v>5.0000000000000001E-3</v>
      </c>
      <c r="H613">
        <f t="shared" si="63"/>
        <v>30.55</v>
      </c>
      <c r="I613">
        <f t="shared" si="64"/>
        <v>5.6680000000000001</v>
      </c>
      <c r="J613">
        <f t="shared" si="65"/>
        <v>3.9492545593232103E-3</v>
      </c>
      <c r="K613">
        <f t="shared" si="66"/>
        <v>113.66156681877639</v>
      </c>
      <c r="L613">
        <f t="shared" si="67"/>
        <v>2.6328363728821396E-3</v>
      </c>
      <c r="O613">
        <f t="shared" si="68"/>
        <v>113.82199246001673</v>
      </c>
      <c r="P613">
        <f t="shared" si="69"/>
        <v>8.380648591174906E-4</v>
      </c>
    </row>
    <row r="614" spans="1:16" x14ac:dyDescent="0.25">
      <c r="A614" s="1">
        <v>30.6</v>
      </c>
      <c r="B614" s="2">
        <v>5.5789999999999997</v>
      </c>
      <c r="C614">
        <v>4.0000000000000001E-3</v>
      </c>
      <c r="H614">
        <f t="shared" si="63"/>
        <v>30.6</v>
      </c>
      <c r="I614">
        <f t="shared" si="64"/>
        <v>5.5789999999999997</v>
      </c>
      <c r="J614">
        <f t="shared" si="65"/>
        <v>2.9475348450176833E-3</v>
      </c>
      <c r="K614">
        <f t="shared" si="66"/>
        <v>111.87683155997767</v>
      </c>
      <c r="L614">
        <f t="shared" si="67"/>
        <v>1.9650232300117885E-3</v>
      </c>
      <c r="O614">
        <f t="shared" si="68"/>
        <v>112.03725720121801</v>
      </c>
      <c r="P614">
        <f t="shared" si="69"/>
        <v>1.7025171624713946E-4</v>
      </c>
    </row>
    <row r="615" spans="1:16" x14ac:dyDescent="0.25">
      <c r="A615" s="1">
        <v>30.65</v>
      </c>
      <c r="B615" s="2">
        <v>5.5289999999999999</v>
      </c>
      <c r="C615">
        <v>5.0000000000000001E-3</v>
      </c>
      <c r="H615">
        <f t="shared" si="63"/>
        <v>30.65</v>
      </c>
      <c r="I615">
        <f t="shared" si="64"/>
        <v>5.5289999999999999</v>
      </c>
      <c r="J615">
        <f t="shared" si="65"/>
        <v>3.9458151307121565E-3</v>
      </c>
      <c r="K615">
        <f t="shared" si="66"/>
        <v>110.87417130222559</v>
      </c>
      <c r="L615">
        <f t="shared" si="67"/>
        <v>2.6305434204747704E-3</v>
      </c>
      <c r="O615">
        <f t="shared" si="68"/>
        <v>111.03459694346593</v>
      </c>
      <c r="P615">
        <f t="shared" si="69"/>
        <v>8.3577190671012139E-4</v>
      </c>
    </row>
    <row r="616" spans="1:16" x14ac:dyDescent="0.25">
      <c r="A616" s="1">
        <v>30.7</v>
      </c>
      <c r="B616" s="2">
        <v>5.5</v>
      </c>
      <c r="C616">
        <v>4.0000000000000001E-3</v>
      </c>
      <c r="H616">
        <f t="shared" si="63"/>
        <v>30.7</v>
      </c>
      <c r="I616">
        <f t="shared" si="64"/>
        <v>5.5</v>
      </c>
      <c r="J616">
        <f t="shared" si="65"/>
        <v>2.9440954164066304E-3</v>
      </c>
      <c r="K616">
        <f t="shared" si="66"/>
        <v>110.29262835272938</v>
      </c>
      <c r="L616">
        <f t="shared" si="67"/>
        <v>1.9627302776044197E-3</v>
      </c>
      <c r="O616">
        <f t="shared" si="68"/>
        <v>110.45305399396972</v>
      </c>
      <c r="P616">
        <f t="shared" si="69"/>
        <v>1.6795876383977068E-4</v>
      </c>
    </row>
    <row r="617" spans="1:16" x14ac:dyDescent="0.25">
      <c r="A617" s="1">
        <v>30.75</v>
      </c>
      <c r="B617" s="2">
        <v>5.4989999999999997</v>
      </c>
      <c r="C617">
        <v>5.0000000000000001E-3</v>
      </c>
      <c r="H617">
        <f t="shared" si="63"/>
        <v>30.75</v>
      </c>
      <c r="I617">
        <f t="shared" si="64"/>
        <v>5.4989999999999997</v>
      </c>
      <c r="J617">
        <f t="shared" si="65"/>
        <v>3.9423757021011035E-3</v>
      </c>
      <c r="K617">
        <f t="shared" si="66"/>
        <v>110.27257514757433</v>
      </c>
      <c r="L617">
        <f t="shared" si="67"/>
        <v>2.6282504680674016E-3</v>
      </c>
      <c r="O617">
        <f t="shared" si="68"/>
        <v>110.43300078881467</v>
      </c>
      <c r="P617">
        <f t="shared" si="69"/>
        <v>8.3347895430275262E-4</v>
      </c>
    </row>
    <row r="618" spans="1:16" x14ac:dyDescent="0.25">
      <c r="A618" s="1">
        <v>30.8</v>
      </c>
      <c r="B618" s="2">
        <v>5.4989999999999997</v>
      </c>
      <c r="C618">
        <v>4.0000000000000001E-3</v>
      </c>
      <c r="H618">
        <f t="shared" si="63"/>
        <v>30.8</v>
      </c>
      <c r="I618">
        <f t="shared" si="64"/>
        <v>5.4989999999999997</v>
      </c>
      <c r="J618">
        <f t="shared" si="65"/>
        <v>2.9406559877955766E-3</v>
      </c>
      <c r="K618">
        <f t="shared" si="66"/>
        <v>110.27257514757433</v>
      </c>
      <c r="L618">
        <f t="shared" si="67"/>
        <v>1.9604373251970505E-3</v>
      </c>
      <c r="O618">
        <f t="shared" si="68"/>
        <v>110.43300078881467</v>
      </c>
      <c r="P618">
        <f t="shared" si="69"/>
        <v>1.6566581143240148E-4</v>
      </c>
    </row>
    <row r="619" spans="1:16" x14ac:dyDescent="0.25">
      <c r="A619" s="1">
        <v>30.85</v>
      </c>
      <c r="B619" s="2">
        <v>5.4989999999999997</v>
      </c>
      <c r="C619">
        <v>5.0000000000000001E-3</v>
      </c>
      <c r="H619">
        <f t="shared" si="63"/>
        <v>30.85</v>
      </c>
      <c r="I619">
        <f t="shared" si="64"/>
        <v>5.4989999999999997</v>
      </c>
      <c r="J619">
        <f t="shared" si="65"/>
        <v>3.9389362734900506E-3</v>
      </c>
      <c r="K619">
        <f t="shared" si="66"/>
        <v>110.27257514757433</v>
      </c>
      <c r="L619">
        <f t="shared" si="67"/>
        <v>2.6259575156600333E-3</v>
      </c>
      <c r="O619">
        <f t="shared" si="68"/>
        <v>110.43300078881467</v>
      </c>
      <c r="P619">
        <f t="shared" si="69"/>
        <v>8.3118600189538427E-4</v>
      </c>
    </row>
    <row r="620" spans="1:16" x14ac:dyDescent="0.25">
      <c r="A620" s="1">
        <v>30.9</v>
      </c>
      <c r="B620" s="2">
        <v>5.4989999999999997</v>
      </c>
      <c r="C620">
        <v>4.0000000000000001E-3</v>
      </c>
      <c r="H620">
        <f t="shared" si="63"/>
        <v>30.9</v>
      </c>
      <c r="I620">
        <f t="shared" si="64"/>
        <v>5.4989999999999997</v>
      </c>
      <c r="J620">
        <f t="shared" si="65"/>
        <v>2.9372165591845236E-3</v>
      </c>
      <c r="K620">
        <f t="shared" si="66"/>
        <v>110.27257514757433</v>
      </c>
      <c r="L620">
        <f t="shared" si="67"/>
        <v>1.9581443727896821E-3</v>
      </c>
      <c r="O620">
        <f t="shared" si="68"/>
        <v>110.43300078881467</v>
      </c>
      <c r="P620">
        <f t="shared" si="69"/>
        <v>1.6337285902503313E-4</v>
      </c>
    </row>
    <row r="621" spans="1:16" x14ac:dyDescent="0.25">
      <c r="A621" s="1">
        <v>30.95</v>
      </c>
      <c r="B621" s="2">
        <v>5.4989999999999997</v>
      </c>
      <c r="C621">
        <v>5.0000000000000001E-3</v>
      </c>
      <c r="H621">
        <f t="shared" si="63"/>
        <v>30.95</v>
      </c>
      <c r="I621">
        <f t="shared" si="64"/>
        <v>5.4989999999999997</v>
      </c>
      <c r="J621">
        <f t="shared" si="65"/>
        <v>3.9354968448789968E-3</v>
      </c>
      <c r="K621">
        <f t="shared" si="66"/>
        <v>110.27257514757433</v>
      </c>
      <c r="L621">
        <f t="shared" si="67"/>
        <v>2.6236645632526641E-3</v>
      </c>
      <c r="O621">
        <f t="shared" si="68"/>
        <v>110.43300078881467</v>
      </c>
      <c r="P621">
        <f t="shared" si="69"/>
        <v>8.2889304948801507E-4</v>
      </c>
    </row>
    <row r="622" spans="1:16" x14ac:dyDescent="0.25">
      <c r="A622" s="1">
        <v>31</v>
      </c>
      <c r="B622" s="2">
        <v>5.4969999999999999</v>
      </c>
      <c r="C622">
        <v>4.0000000000000001E-3</v>
      </c>
      <c r="H622">
        <f t="shared" si="63"/>
        <v>31</v>
      </c>
      <c r="I622">
        <f t="shared" si="64"/>
        <v>5.4969999999999999</v>
      </c>
      <c r="J622">
        <f t="shared" si="65"/>
        <v>2.9337771305734698E-3</v>
      </c>
      <c r="K622">
        <f t="shared" si="66"/>
        <v>110.23246873726426</v>
      </c>
      <c r="L622">
        <f t="shared" si="67"/>
        <v>1.9558514203823129E-3</v>
      </c>
      <c r="O622">
        <f t="shared" si="68"/>
        <v>110.39289437850459</v>
      </c>
      <c r="P622">
        <f t="shared" si="69"/>
        <v>1.6107990661766393E-4</v>
      </c>
    </row>
    <row r="623" spans="1:16" x14ac:dyDescent="0.25">
      <c r="A623" s="1">
        <v>31.05</v>
      </c>
      <c r="B623" s="2">
        <v>5.44</v>
      </c>
      <c r="C623">
        <v>5.0000000000000001E-3</v>
      </c>
      <c r="H623">
        <f t="shared" si="63"/>
        <v>31.05</v>
      </c>
      <c r="I623">
        <f t="shared" si="64"/>
        <v>5.44</v>
      </c>
      <c r="J623">
        <f t="shared" si="65"/>
        <v>3.9320574162679429E-3</v>
      </c>
      <c r="K623">
        <f t="shared" si="66"/>
        <v>109.08943604342689</v>
      </c>
      <c r="L623">
        <f t="shared" si="67"/>
        <v>2.6213716108452949E-3</v>
      </c>
      <c r="O623">
        <f t="shared" si="68"/>
        <v>109.24986168466722</v>
      </c>
      <c r="P623">
        <f t="shared" si="69"/>
        <v>8.2660009708064586E-4</v>
      </c>
    </row>
    <row r="624" spans="1:16" x14ac:dyDescent="0.25">
      <c r="A624" s="1">
        <v>31.1</v>
      </c>
      <c r="B624" s="2">
        <v>5.3659999999999997</v>
      </c>
      <c r="C624">
        <v>4.0000000000000001E-3</v>
      </c>
      <c r="H624">
        <f t="shared" si="63"/>
        <v>31.1</v>
      </c>
      <c r="I624">
        <f t="shared" si="64"/>
        <v>5.3659999999999997</v>
      </c>
      <c r="J624">
        <f t="shared" si="65"/>
        <v>2.9303377019624169E-3</v>
      </c>
      <c r="K624">
        <f t="shared" si="66"/>
        <v>107.60549886195379</v>
      </c>
      <c r="L624">
        <f t="shared" si="67"/>
        <v>1.9535584679749442E-3</v>
      </c>
      <c r="O624">
        <f t="shared" si="68"/>
        <v>107.76592450319413</v>
      </c>
      <c r="P624">
        <f t="shared" si="69"/>
        <v>1.5878695421029515E-4</v>
      </c>
    </row>
    <row r="625" spans="1:16" x14ac:dyDescent="0.25">
      <c r="A625" s="1">
        <v>31.15</v>
      </c>
      <c r="B625" s="2">
        <v>5.27</v>
      </c>
      <c r="C625">
        <v>5.0000000000000001E-3</v>
      </c>
      <c r="H625">
        <f t="shared" si="63"/>
        <v>31.15</v>
      </c>
      <c r="I625">
        <f t="shared" si="64"/>
        <v>5.27</v>
      </c>
      <c r="J625">
        <f t="shared" si="65"/>
        <v>3.92861798765689E-3</v>
      </c>
      <c r="K625">
        <f t="shared" si="66"/>
        <v>105.68039116706979</v>
      </c>
      <c r="L625">
        <f t="shared" si="67"/>
        <v>2.6190786584379261E-3</v>
      </c>
      <c r="O625">
        <f t="shared" si="68"/>
        <v>105.84081680831012</v>
      </c>
      <c r="P625">
        <f t="shared" si="69"/>
        <v>8.2430714467327708E-4</v>
      </c>
    </row>
    <row r="626" spans="1:16" x14ac:dyDescent="0.25">
      <c r="A626" s="1">
        <v>31.2</v>
      </c>
      <c r="B626" s="2">
        <v>5.1520000000000001</v>
      </c>
      <c r="C626">
        <v>4.0000000000000001E-3</v>
      </c>
      <c r="H626">
        <f t="shared" si="63"/>
        <v>31.2</v>
      </c>
      <c r="I626">
        <f t="shared" si="64"/>
        <v>5.1520000000000001</v>
      </c>
      <c r="J626">
        <f t="shared" si="65"/>
        <v>2.9268982733513635E-3</v>
      </c>
      <c r="K626">
        <f t="shared" si="66"/>
        <v>103.31411295877487</v>
      </c>
      <c r="L626">
        <f t="shared" si="67"/>
        <v>1.9512655155675752E-3</v>
      </c>
      <c r="O626">
        <f t="shared" si="68"/>
        <v>103.47453860001521</v>
      </c>
      <c r="P626">
        <f t="shared" si="69"/>
        <v>1.5649400180292616E-4</v>
      </c>
    </row>
    <row r="627" spans="1:16" x14ac:dyDescent="0.25">
      <c r="A627" s="1">
        <v>31.25</v>
      </c>
      <c r="B627" s="2">
        <v>5.085</v>
      </c>
      <c r="C627">
        <v>5.0000000000000001E-3</v>
      </c>
      <c r="H627">
        <f t="shared" si="63"/>
        <v>31.25</v>
      </c>
      <c r="I627">
        <f t="shared" si="64"/>
        <v>5.085</v>
      </c>
      <c r="J627">
        <f t="shared" si="65"/>
        <v>3.9251785590458371E-3</v>
      </c>
      <c r="K627">
        <f t="shared" si="66"/>
        <v>101.97054821338708</v>
      </c>
      <c r="L627">
        <f t="shared" si="67"/>
        <v>2.6167857060305573E-3</v>
      </c>
      <c r="O627">
        <f t="shared" si="68"/>
        <v>102.13097385462741</v>
      </c>
      <c r="P627">
        <f t="shared" si="69"/>
        <v>8.2201419226590831E-4</v>
      </c>
    </row>
    <row r="628" spans="1:16" x14ac:dyDescent="0.25">
      <c r="A628" s="1">
        <v>31.3</v>
      </c>
      <c r="B628" s="2">
        <v>5.0590000000000002</v>
      </c>
      <c r="C628">
        <v>4.0000000000000001E-3</v>
      </c>
      <c r="H628">
        <f t="shared" si="63"/>
        <v>31.3</v>
      </c>
      <c r="I628">
        <f t="shared" si="64"/>
        <v>5.0590000000000002</v>
      </c>
      <c r="J628">
        <f t="shared" si="65"/>
        <v>2.9234588447403101E-3</v>
      </c>
      <c r="K628">
        <f t="shared" si="66"/>
        <v>101.44916487935599</v>
      </c>
      <c r="L628">
        <f t="shared" si="67"/>
        <v>1.9489725631602064E-3</v>
      </c>
      <c r="O628">
        <f t="shared" si="68"/>
        <v>101.60959052059633</v>
      </c>
      <c r="P628">
        <f t="shared" si="69"/>
        <v>1.5420104939555738E-4</v>
      </c>
    </row>
    <row r="629" spans="1:16" x14ac:dyDescent="0.25">
      <c r="A629" s="1">
        <v>31.35</v>
      </c>
      <c r="B629" s="2">
        <v>5.0039999999999996</v>
      </c>
      <c r="C629">
        <v>5.0000000000000001E-3</v>
      </c>
      <c r="H629">
        <f t="shared" si="63"/>
        <v>31.35</v>
      </c>
      <c r="I629">
        <f t="shared" si="64"/>
        <v>5.0039999999999996</v>
      </c>
      <c r="J629">
        <f t="shared" si="65"/>
        <v>3.9217391304347832E-3</v>
      </c>
      <c r="K629">
        <f t="shared" si="66"/>
        <v>100.34623859582868</v>
      </c>
      <c r="L629">
        <f t="shared" si="67"/>
        <v>2.6144927536231881E-3</v>
      </c>
      <c r="O629">
        <f t="shared" si="68"/>
        <v>100.50666423706902</v>
      </c>
      <c r="P629">
        <f t="shared" si="69"/>
        <v>8.197212398585391E-4</v>
      </c>
    </row>
    <row r="630" spans="1:16" x14ac:dyDescent="0.25">
      <c r="A630" s="1">
        <v>31.4</v>
      </c>
      <c r="B630" s="2">
        <v>4.9770000000000003</v>
      </c>
      <c r="C630">
        <v>4.0000000000000001E-3</v>
      </c>
      <c r="H630">
        <f t="shared" si="63"/>
        <v>31.4</v>
      </c>
      <c r="I630">
        <f t="shared" si="64"/>
        <v>4.9770000000000003</v>
      </c>
      <c r="J630">
        <f t="shared" si="65"/>
        <v>2.9200194161292572E-3</v>
      </c>
      <c r="K630">
        <f t="shared" si="66"/>
        <v>99.804802056642572</v>
      </c>
      <c r="L630">
        <f t="shared" si="67"/>
        <v>1.9466796107528376E-3</v>
      </c>
      <c r="O630">
        <f t="shared" si="68"/>
        <v>99.965227697882909</v>
      </c>
      <c r="P630">
        <f t="shared" si="69"/>
        <v>1.5190809698818861E-4</v>
      </c>
    </row>
    <row r="631" spans="1:16" x14ac:dyDescent="0.25">
      <c r="A631" s="1">
        <v>31.45</v>
      </c>
      <c r="B631" s="2">
        <v>4.9589999999999996</v>
      </c>
      <c r="C631">
        <v>5.0000000000000001E-3</v>
      </c>
      <c r="H631">
        <f t="shared" si="63"/>
        <v>31.45</v>
      </c>
      <c r="I631">
        <f t="shared" si="64"/>
        <v>4.9589999999999996</v>
      </c>
      <c r="J631">
        <f t="shared" si="65"/>
        <v>3.9182997018237303E-3</v>
      </c>
      <c r="K631">
        <f t="shared" si="66"/>
        <v>99.443844363851809</v>
      </c>
      <c r="L631">
        <f t="shared" si="67"/>
        <v>2.6121998012158198E-3</v>
      </c>
      <c r="O631">
        <f t="shared" si="68"/>
        <v>99.604270005092147</v>
      </c>
      <c r="P631">
        <f t="shared" si="69"/>
        <v>8.1742828745117076E-4</v>
      </c>
    </row>
    <row r="632" spans="1:16" x14ac:dyDescent="0.25">
      <c r="A632" s="1">
        <v>31.5</v>
      </c>
      <c r="B632" s="2">
        <v>4.9580000000000002</v>
      </c>
      <c r="C632">
        <v>4.0000000000000001E-3</v>
      </c>
      <c r="H632">
        <f t="shared" si="63"/>
        <v>31.5</v>
      </c>
      <c r="I632">
        <f t="shared" si="64"/>
        <v>4.9580000000000002</v>
      </c>
      <c r="J632">
        <f t="shared" si="65"/>
        <v>2.9165799875182034E-3</v>
      </c>
      <c r="K632">
        <f t="shared" si="66"/>
        <v>99.423791158696787</v>
      </c>
      <c r="L632">
        <f t="shared" si="67"/>
        <v>1.9443866583454684E-3</v>
      </c>
      <c r="O632">
        <f t="shared" si="68"/>
        <v>99.584216799937124</v>
      </c>
      <c r="P632">
        <f t="shared" si="69"/>
        <v>1.496151445808194E-4</v>
      </c>
    </row>
    <row r="633" spans="1:16" x14ac:dyDescent="0.25">
      <c r="A633" s="1">
        <v>31.55</v>
      </c>
      <c r="B633" s="2">
        <v>4.9569999999999999</v>
      </c>
      <c r="C633">
        <v>5.0000000000000001E-3</v>
      </c>
      <c r="H633">
        <f t="shared" si="63"/>
        <v>31.55</v>
      </c>
      <c r="I633">
        <f t="shared" si="64"/>
        <v>4.9569999999999999</v>
      </c>
      <c r="J633">
        <f t="shared" si="65"/>
        <v>3.9148602732126773E-3</v>
      </c>
      <c r="K633">
        <f t="shared" si="66"/>
        <v>99.403737953541736</v>
      </c>
      <c r="L633">
        <f t="shared" si="67"/>
        <v>2.609906848808451E-3</v>
      </c>
      <c r="O633">
        <f t="shared" si="68"/>
        <v>99.564163594782073</v>
      </c>
      <c r="P633">
        <f t="shared" si="69"/>
        <v>8.1513533504380198E-4</v>
      </c>
    </row>
    <row r="634" spans="1:16" x14ac:dyDescent="0.25">
      <c r="A634" s="1">
        <v>31.6</v>
      </c>
      <c r="B634" s="2">
        <v>4.9569999999999999</v>
      </c>
      <c r="C634">
        <v>4.0000000000000001E-3</v>
      </c>
      <c r="H634">
        <f t="shared" si="63"/>
        <v>31.6</v>
      </c>
      <c r="I634">
        <f t="shared" si="64"/>
        <v>4.9569999999999999</v>
      </c>
      <c r="J634">
        <f t="shared" si="65"/>
        <v>2.9131405589071504E-3</v>
      </c>
      <c r="K634">
        <f t="shared" si="66"/>
        <v>99.403737953541736</v>
      </c>
      <c r="L634">
        <f t="shared" si="67"/>
        <v>1.9420937059380998E-3</v>
      </c>
      <c r="O634">
        <f t="shared" si="68"/>
        <v>99.564163594782073</v>
      </c>
      <c r="P634">
        <f t="shared" si="69"/>
        <v>1.4732219217345084E-4</v>
      </c>
    </row>
    <row r="635" spans="1:16" x14ac:dyDescent="0.25">
      <c r="A635" s="1">
        <v>31.65</v>
      </c>
      <c r="B635" s="2">
        <v>4.9580000000000002</v>
      </c>
      <c r="C635">
        <v>5.0000000000000001E-3</v>
      </c>
      <c r="H635">
        <f t="shared" si="63"/>
        <v>31.65</v>
      </c>
      <c r="I635">
        <f t="shared" si="64"/>
        <v>4.9580000000000002</v>
      </c>
      <c r="J635">
        <f t="shared" si="65"/>
        <v>3.9114208446016235E-3</v>
      </c>
      <c r="K635">
        <f t="shared" si="66"/>
        <v>99.423791158696787</v>
      </c>
      <c r="L635">
        <f t="shared" si="67"/>
        <v>2.6076138964010818E-3</v>
      </c>
      <c r="O635">
        <f t="shared" si="68"/>
        <v>99.584216799937124</v>
      </c>
      <c r="P635">
        <f t="shared" si="69"/>
        <v>8.1284238263643277E-4</v>
      </c>
    </row>
    <row r="636" spans="1:16" x14ac:dyDescent="0.25">
      <c r="A636" s="1">
        <v>31.7</v>
      </c>
      <c r="B636" s="2">
        <v>4.9509999999999996</v>
      </c>
      <c r="C636">
        <v>4.0000000000000001E-3</v>
      </c>
      <c r="H636">
        <f t="shared" si="63"/>
        <v>31.7</v>
      </c>
      <c r="I636">
        <f t="shared" si="64"/>
        <v>4.9509999999999996</v>
      </c>
      <c r="J636">
        <f t="shared" si="65"/>
        <v>2.9097011302960966E-3</v>
      </c>
      <c r="K636">
        <f t="shared" si="66"/>
        <v>99.283418722611472</v>
      </c>
      <c r="L636">
        <f t="shared" si="67"/>
        <v>1.9398007535307306E-3</v>
      </c>
      <c r="O636">
        <f t="shared" si="68"/>
        <v>99.443844363851809</v>
      </c>
      <c r="P636">
        <f t="shared" si="69"/>
        <v>1.4502923976608163E-4</v>
      </c>
    </row>
    <row r="637" spans="1:16" x14ac:dyDescent="0.25">
      <c r="A637" s="1">
        <v>31.75</v>
      </c>
      <c r="B637" s="2">
        <v>4.8559999999999999</v>
      </c>
      <c r="C637">
        <v>5.0000000000000001E-3</v>
      </c>
      <c r="H637">
        <f t="shared" si="63"/>
        <v>31.75</v>
      </c>
      <c r="I637">
        <f t="shared" si="64"/>
        <v>4.8559999999999999</v>
      </c>
      <c r="J637">
        <f t="shared" si="65"/>
        <v>3.9079814159905697E-3</v>
      </c>
      <c r="K637">
        <f t="shared" si="66"/>
        <v>97.378364232882518</v>
      </c>
      <c r="L637">
        <f t="shared" si="67"/>
        <v>2.6053209439937126E-3</v>
      </c>
      <c r="O637">
        <f t="shared" si="68"/>
        <v>97.538789874122855</v>
      </c>
      <c r="P637">
        <f t="shared" si="69"/>
        <v>8.1054943022906356E-4</v>
      </c>
    </row>
    <row r="638" spans="1:16" x14ac:dyDescent="0.25">
      <c r="A638" s="1">
        <v>31.8</v>
      </c>
      <c r="B638" s="2">
        <v>4.7770000000000001</v>
      </c>
      <c r="C638">
        <v>4.0000000000000001E-3</v>
      </c>
      <c r="H638">
        <f t="shared" si="63"/>
        <v>31.8</v>
      </c>
      <c r="I638">
        <f t="shared" si="64"/>
        <v>4.7770000000000001</v>
      </c>
      <c r="J638">
        <f t="shared" si="65"/>
        <v>2.9062617016850437E-3</v>
      </c>
      <c r="K638">
        <f t="shared" si="66"/>
        <v>95.794161025634239</v>
      </c>
      <c r="L638">
        <f t="shared" si="67"/>
        <v>1.9375078011233621E-3</v>
      </c>
      <c r="O638">
        <f t="shared" si="68"/>
        <v>95.954586666874576</v>
      </c>
      <c r="P638">
        <f t="shared" si="69"/>
        <v>1.4273628735871307E-4</v>
      </c>
    </row>
    <row r="639" spans="1:16" x14ac:dyDescent="0.25">
      <c r="A639" s="1">
        <v>31.85</v>
      </c>
      <c r="B639" s="2">
        <v>4.6840000000000002</v>
      </c>
      <c r="C639">
        <v>5.0000000000000001E-3</v>
      </c>
      <c r="H639">
        <f t="shared" si="63"/>
        <v>31.85</v>
      </c>
      <c r="I639">
        <f t="shared" si="64"/>
        <v>4.6840000000000002</v>
      </c>
      <c r="J639">
        <f t="shared" si="65"/>
        <v>3.9045419873795168E-3</v>
      </c>
      <c r="K639">
        <f t="shared" si="66"/>
        <v>93.929212946215358</v>
      </c>
      <c r="L639">
        <f t="shared" si="67"/>
        <v>2.6030279915863438E-3</v>
      </c>
      <c r="O639">
        <f t="shared" si="68"/>
        <v>94.089638587455696</v>
      </c>
      <c r="P639">
        <f t="shared" si="69"/>
        <v>8.0825647782169479E-4</v>
      </c>
    </row>
    <row r="640" spans="1:16" x14ac:dyDescent="0.25">
      <c r="A640" s="1">
        <v>31.9</v>
      </c>
      <c r="B640" s="2">
        <v>4.6369999999999996</v>
      </c>
      <c r="C640">
        <v>4.0000000000000001E-3</v>
      </c>
      <c r="H640">
        <f t="shared" si="63"/>
        <v>31.9</v>
      </c>
      <c r="I640">
        <f t="shared" si="64"/>
        <v>4.6369999999999996</v>
      </c>
      <c r="J640">
        <f t="shared" si="65"/>
        <v>2.9028222730739903E-3</v>
      </c>
      <c r="K640">
        <f t="shared" si="66"/>
        <v>92.986712303928385</v>
      </c>
      <c r="L640">
        <f t="shared" si="67"/>
        <v>1.9352148487159931E-3</v>
      </c>
      <c r="O640">
        <f t="shared" si="68"/>
        <v>93.147137945168723</v>
      </c>
      <c r="P640">
        <f t="shared" si="69"/>
        <v>1.4044333495134408E-4</v>
      </c>
    </row>
    <row r="641" spans="1:16" x14ac:dyDescent="0.25">
      <c r="A641" s="1">
        <v>31.95</v>
      </c>
      <c r="B641" s="2">
        <v>4.5990000000000002</v>
      </c>
      <c r="C641">
        <v>5.0000000000000001E-3</v>
      </c>
      <c r="H641">
        <f t="shared" si="63"/>
        <v>31.95</v>
      </c>
      <c r="I641">
        <f t="shared" si="64"/>
        <v>4.5990000000000002</v>
      </c>
      <c r="J641">
        <f t="shared" si="65"/>
        <v>3.9011025587684638E-3</v>
      </c>
      <c r="K641">
        <f t="shared" si="66"/>
        <v>92.224690508036815</v>
      </c>
      <c r="L641">
        <f t="shared" si="67"/>
        <v>2.6007350391789755E-3</v>
      </c>
      <c r="O641">
        <f t="shared" si="68"/>
        <v>92.385116149277152</v>
      </c>
      <c r="P641">
        <f t="shared" si="69"/>
        <v>8.0596352541432645E-4</v>
      </c>
    </row>
    <row r="642" spans="1:16" x14ac:dyDescent="0.25">
      <c r="A642" s="1">
        <v>32</v>
      </c>
      <c r="B642" s="2">
        <v>4.5570000000000004</v>
      </c>
      <c r="C642">
        <v>4.0000000000000001E-3</v>
      </c>
      <c r="H642">
        <f t="shared" si="63"/>
        <v>32</v>
      </c>
      <c r="I642">
        <f t="shared" si="64"/>
        <v>4.5570000000000004</v>
      </c>
      <c r="J642">
        <f t="shared" si="65"/>
        <v>2.8993828444629369E-3</v>
      </c>
      <c r="K642">
        <f t="shared" si="66"/>
        <v>91.382455891525055</v>
      </c>
      <c r="L642">
        <f t="shared" si="67"/>
        <v>1.9329218963086241E-3</v>
      </c>
      <c r="O642">
        <f t="shared" si="68"/>
        <v>91.542881532765392</v>
      </c>
      <c r="P642">
        <f t="shared" si="69"/>
        <v>1.3815038254397509E-4</v>
      </c>
    </row>
    <row r="643" spans="1:16" x14ac:dyDescent="0.25">
      <c r="A643" s="1">
        <v>32.049999999999997</v>
      </c>
      <c r="B643" s="2">
        <v>4.516</v>
      </c>
      <c r="C643">
        <v>5.0000000000000001E-3</v>
      </c>
      <c r="H643">
        <f t="shared" ref="H643:H706" si="70">A643</f>
        <v>32.049999999999997</v>
      </c>
      <c r="I643">
        <f t="shared" ref="I643:I706" si="71">B643</f>
        <v>4.516</v>
      </c>
      <c r="J643">
        <f t="shared" ref="J643:J706" si="72">C643-E$12*A643</f>
        <v>3.8976631301574105E-3</v>
      </c>
      <c r="K643">
        <f t="shared" ref="K643:K706" si="73">F$24*I643</f>
        <v>90.560274480168346</v>
      </c>
      <c r="L643">
        <f t="shared" ref="L643:L706" si="74">F$25*J643</f>
        <v>2.5984420867716062E-3</v>
      </c>
      <c r="O643">
        <f t="shared" ref="O643:O706" si="75">K643-N$12</f>
        <v>90.720700121408683</v>
      </c>
      <c r="P643">
        <f t="shared" ref="P643:P706" si="76">L643-N$15</f>
        <v>8.0367057300695724E-4</v>
      </c>
    </row>
    <row r="644" spans="1:16" x14ac:dyDescent="0.25">
      <c r="A644" s="1">
        <v>32.1</v>
      </c>
      <c r="B644" s="2">
        <v>4.4560000000000004</v>
      </c>
      <c r="C644">
        <v>4.0000000000000001E-3</v>
      </c>
      <c r="H644">
        <f t="shared" si="70"/>
        <v>32.1</v>
      </c>
      <c r="I644">
        <f t="shared" si="71"/>
        <v>4.4560000000000004</v>
      </c>
      <c r="J644">
        <f t="shared" si="72"/>
        <v>2.8959434158518835E-3</v>
      </c>
      <c r="K644">
        <f t="shared" si="73"/>
        <v>89.357082170865851</v>
      </c>
      <c r="L644">
        <f t="shared" si="74"/>
        <v>1.9306289439012553E-3</v>
      </c>
      <c r="O644">
        <f t="shared" si="75"/>
        <v>89.517507812106189</v>
      </c>
      <c r="P644">
        <f t="shared" si="76"/>
        <v>1.3585743013660632E-4</v>
      </c>
    </row>
    <row r="645" spans="1:16" x14ac:dyDescent="0.25">
      <c r="A645" s="1">
        <v>32.15</v>
      </c>
      <c r="B645" s="2">
        <v>4.3789999999999996</v>
      </c>
      <c r="C645">
        <v>5.0000000000000001E-3</v>
      </c>
      <c r="H645">
        <f t="shared" si="70"/>
        <v>32.15</v>
      </c>
      <c r="I645">
        <f t="shared" si="71"/>
        <v>4.3789999999999996</v>
      </c>
      <c r="J645">
        <f t="shared" si="72"/>
        <v>3.8942237015463571E-3</v>
      </c>
      <c r="K645">
        <f t="shared" si="73"/>
        <v>87.812985373927617</v>
      </c>
      <c r="L645">
        <f t="shared" si="74"/>
        <v>2.5961491343642375E-3</v>
      </c>
      <c r="O645">
        <f t="shared" si="75"/>
        <v>87.973411015167954</v>
      </c>
      <c r="P645">
        <f t="shared" si="76"/>
        <v>8.0137762059958846E-4</v>
      </c>
    </row>
    <row r="646" spans="1:16" x14ac:dyDescent="0.25">
      <c r="A646" s="1">
        <v>32.200000000000003</v>
      </c>
      <c r="B646" s="2">
        <v>4.3520000000000003</v>
      </c>
      <c r="C646">
        <v>4.0000000000000001E-3</v>
      </c>
      <c r="H646">
        <f t="shared" si="70"/>
        <v>32.200000000000003</v>
      </c>
      <c r="I646">
        <f t="shared" si="71"/>
        <v>4.3520000000000003</v>
      </c>
      <c r="J646">
        <f t="shared" si="72"/>
        <v>2.8925039872408301E-3</v>
      </c>
      <c r="K646">
        <f t="shared" si="73"/>
        <v>87.271548834741509</v>
      </c>
      <c r="L646">
        <f t="shared" si="74"/>
        <v>1.9283359914938863E-3</v>
      </c>
      <c r="O646">
        <f t="shared" si="75"/>
        <v>87.431974475981846</v>
      </c>
      <c r="P646">
        <f t="shared" si="76"/>
        <v>1.3356447772923732E-4</v>
      </c>
    </row>
    <row r="647" spans="1:16" x14ac:dyDescent="0.25">
      <c r="A647" s="1">
        <v>32.25</v>
      </c>
      <c r="B647" s="2">
        <v>4.3479999999999999</v>
      </c>
      <c r="C647">
        <v>5.0000000000000001E-3</v>
      </c>
      <c r="H647">
        <f t="shared" si="70"/>
        <v>32.25</v>
      </c>
      <c r="I647">
        <f t="shared" si="71"/>
        <v>4.3479999999999999</v>
      </c>
      <c r="J647">
        <f t="shared" si="72"/>
        <v>3.8907842729353037E-3</v>
      </c>
      <c r="K647">
        <f t="shared" si="73"/>
        <v>87.191336014121333</v>
      </c>
      <c r="L647">
        <f t="shared" si="74"/>
        <v>2.5938561819568687E-3</v>
      </c>
      <c r="O647">
        <f t="shared" si="75"/>
        <v>87.35176165536167</v>
      </c>
      <c r="P647">
        <f t="shared" si="76"/>
        <v>7.9908466819221969E-4</v>
      </c>
    </row>
    <row r="648" spans="1:16" x14ac:dyDescent="0.25">
      <c r="A648" s="1">
        <v>32.299999999999997</v>
      </c>
      <c r="B648" s="2">
        <v>4.3479999999999999</v>
      </c>
      <c r="C648">
        <v>4.0000000000000001E-3</v>
      </c>
      <c r="H648">
        <f t="shared" si="70"/>
        <v>32.299999999999997</v>
      </c>
      <c r="I648">
        <f t="shared" si="71"/>
        <v>4.3479999999999999</v>
      </c>
      <c r="J648">
        <f t="shared" si="72"/>
        <v>2.8890645586297772E-3</v>
      </c>
      <c r="K648">
        <f t="shared" si="73"/>
        <v>87.191336014121333</v>
      </c>
      <c r="L648">
        <f t="shared" si="74"/>
        <v>1.9260430390865178E-3</v>
      </c>
      <c r="O648">
        <f t="shared" si="75"/>
        <v>87.35176165536167</v>
      </c>
      <c r="P648">
        <f t="shared" si="76"/>
        <v>1.3127152532186877E-4</v>
      </c>
    </row>
    <row r="649" spans="1:16" x14ac:dyDescent="0.25">
      <c r="A649" s="1">
        <v>32.35</v>
      </c>
      <c r="B649" s="2">
        <v>4.3479999999999999</v>
      </c>
      <c r="C649">
        <v>5.0000000000000001E-3</v>
      </c>
      <c r="H649">
        <f t="shared" si="70"/>
        <v>32.35</v>
      </c>
      <c r="I649">
        <f t="shared" si="71"/>
        <v>4.3479999999999999</v>
      </c>
      <c r="J649">
        <f t="shared" si="72"/>
        <v>3.8873448443242503E-3</v>
      </c>
      <c r="K649">
        <f t="shared" si="73"/>
        <v>87.191336014121333</v>
      </c>
      <c r="L649">
        <f t="shared" si="74"/>
        <v>2.5915632295494995E-3</v>
      </c>
      <c r="O649">
        <f t="shared" si="75"/>
        <v>87.35176165536167</v>
      </c>
      <c r="P649">
        <f t="shared" si="76"/>
        <v>7.9679171578485048E-4</v>
      </c>
    </row>
    <row r="650" spans="1:16" x14ac:dyDescent="0.25">
      <c r="A650" s="1">
        <v>32.4</v>
      </c>
      <c r="B650" s="2">
        <v>4.3479999999999999</v>
      </c>
      <c r="C650">
        <v>4.0000000000000001E-3</v>
      </c>
      <c r="H650">
        <f t="shared" si="70"/>
        <v>32.4</v>
      </c>
      <c r="I650">
        <f t="shared" si="71"/>
        <v>4.3479999999999999</v>
      </c>
      <c r="J650">
        <f t="shared" si="72"/>
        <v>2.8856251300187234E-3</v>
      </c>
      <c r="K650">
        <f t="shared" si="73"/>
        <v>87.191336014121333</v>
      </c>
      <c r="L650">
        <f t="shared" si="74"/>
        <v>1.9237500866791486E-3</v>
      </c>
      <c r="O650">
        <f t="shared" si="75"/>
        <v>87.35176165536167</v>
      </c>
      <c r="P650">
        <f t="shared" si="76"/>
        <v>1.2897857291449956E-4</v>
      </c>
    </row>
    <row r="651" spans="1:16" x14ac:dyDescent="0.25">
      <c r="A651" s="1">
        <v>32.450000000000003</v>
      </c>
      <c r="B651" s="2">
        <v>4.3479999999999999</v>
      </c>
      <c r="C651">
        <v>5.0000000000000001E-3</v>
      </c>
      <c r="H651">
        <f t="shared" si="70"/>
        <v>32.450000000000003</v>
      </c>
      <c r="I651">
        <f t="shared" si="71"/>
        <v>4.3479999999999999</v>
      </c>
      <c r="J651">
        <f t="shared" si="72"/>
        <v>3.8839054157131969E-3</v>
      </c>
      <c r="K651">
        <f t="shared" si="73"/>
        <v>87.191336014121333</v>
      </c>
      <c r="L651">
        <f t="shared" si="74"/>
        <v>2.5892702771421307E-3</v>
      </c>
      <c r="O651">
        <f t="shared" si="75"/>
        <v>87.35176165536167</v>
      </c>
      <c r="P651">
        <f t="shared" si="76"/>
        <v>7.9449876337748171E-4</v>
      </c>
    </row>
    <row r="652" spans="1:16" x14ac:dyDescent="0.25">
      <c r="A652" s="1">
        <v>32.5</v>
      </c>
      <c r="B652" s="2">
        <v>4.3490000000000002</v>
      </c>
      <c r="C652">
        <v>4.0000000000000001E-3</v>
      </c>
      <c r="H652">
        <f t="shared" si="70"/>
        <v>32.5</v>
      </c>
      <c r="I652">
        <f t="shared" si="71"/>
        <v>4.3490000000000002</v>
      </c>
      <c r="J652">
        <f t="shared" si="72"/>
        <v>2.8821857014076704E-3</v>
      </c>
      <c r="K652">
        <f t="shared" si="73"/>
        <v>87.211389219276384</v>
      </c>
      <c r="L652">
        <f t="shared" si="74"/>
        <v>1.9214571342717798E-3</v>
      </c>
      <c r="O652">
        <f t="shared" si="75"/>
        <v>87.371814860516722</v>
      </c>
      <c r="P652">
        <f t="shared" si="76"/>
        <v>1.2668562050713078E-4</v>
      </c>
    </row>
    <row r="653" spans="1:16" x14ac:dyDescent="0.25">
      <c r="A653" s="1">
        <v>32.549999999999997</v>
      </c>
      <c r="B653" s="2">
        <v>4.3490000000000002</v>
      </c>
      <c r="C653">
        <v>5.0000000000000001E-3</v>
      </c>
      <c r="H653">
        <f t="shared" si="70"/>
        <v>32.549999999999997</v>
      </c>
      <c r="I653">
        <f t="shared" si="71"/>
        <v>4.3490000000000002</v>
      </c>
      <c r="J653">
        <f t="shared" si="72"/>
        <v>3.8804659871021436E-3</v>
      </c>
      <c r="K653">
        <f t="shared" si="73"/>
        <v>87.211389219276384</v>
      </c>
      <c r="L653">
        <f t="shared" si="74"/>
        <v>2.5869773247347619E-3</v>
      </c>
      <c r="O653">
        <f t="shared" si="75"/>
        <v>87.371814860516722</v>
      </c>
      <c r="P653">
        <f t="shared" si="76"/>
        <v>7.9220581097011293E-4</v>
      </c>
    </row>
    <row r="654" spans="1:16" x14ac:dyDescent="0.25">
      <c r="A654" s="1">
        <v>32.6</v>
      </c>
      <c r="B654" s="2">
        <v>4.3600000000000003</v>
      </c>
      <c r="C654">
        <v>4.0000000000000001E-3</v>
      </c>
      <c r="H654">
        <f t="shared" si="70"/>
        <v>32.6</v>
      </c>
      <c r="I654">
        <f t="shared" si="71"/>
        <v>4.3600000000000003</v>
      </c>
      <c r="J654">
        <f t="shared" si="72"/>
        <v>2.8787462727966166E-3</v>
      </c>
      <c r="K654">
        <f t="shared" si="73"/>
        <v>87.431974475981846</v>
      </c>
      <c r="L654">
        <f t="shared" si="74"/>
        <v>1.9191641818644106E-3</v>
      </c>
      <c r="O654">
        <f t="shared" si="75"/>
        <v>87.592400117222184</v>
      </c>
      <c r="P654">
        <f t="shared" si="76"/>
        <v>1.2439266809976157E-4</v>
      </c>
    </row>
    <row r="655" spans="1:16" x14ac:dyDescent="0.25">
      <c r="A655" s="1">
        <v>32.65</v>
      </c>
      <c r="B655" s="2">
        <v>4.26</v>
      </c>
      <c r="C655">
        <v>5.0000000000000001E-3</v>
      </c>
      <c r="H655">
        <f t="shared" si="70"/>
        <v>32.65</v>
      </c>
      <c r="I655">
        <f t="shared" si="71"/>
        <v>4.26</v>
      </c>
      <c r="J655">
        <f t="shared" si="72"/>
        <v>3.8770265584910906E-3</v>
      </c>
      <c r="K655">
        <f t="shared" si="73"/>
        <v>85.426653960477665</v>
      </c>
      <c r="L655">
        <f t="shared" si="74"/>
        <v>2.5846843723273932E-3</v>
      </c>
      <c r="O655">
        <f t="shared" si="75"/>
        <v>85.587079601718003</v>
      </c>
      <c r="P655">
        <f t="shared" si="76"/>
        <v>7.8991285856274416E-4</v>
      </c>
    </row>
    <row r="656" spans="1:16" x14ac:dyDescent="0.25">
      <c r="A656" s="1">
        <v>32.700000000000003</v>
      </c>
      <c r="B656" s="2">
        <v>4.1890000000000001</v>
      </c>
      <c r="C656">
        <v>4.0000000000000001E-3</v>
      </c>
      <c r="H656">
        <f t="shared" si="70"/>
        <v>32.700000000000003</v>
      </c>
      <c r="I656">
        <f t="shared" si="71"/>
        <v>4.1890000000000001</v>
      </c>
      <c r="J656">
        <f t="shared" si="72"/>
        <v>2.8753068441855637E-3</v>
      </c>
      <c r="K656">
        <f t="shared" si="73"/>
        <v>84.002876394469709</v>
      </c>
      <c r="L656">
        <f t="shared" si="74"/>
        <v>1.916871229457042E-3</v>
      </c>
      <c r="O656">
        <f t="shared" si="75"/>
        <v>84.163302035710046</v>
      </c>
      <c r="P656">
        <f t="shared" si="76"/>
        <v>1.2209971569239302E-4</v>
      </c>
    </row>
    <row r="657" spans="1:16" x14ac:dyDescent="0.25">
      <c r="A657" s="1">
        <v>32.75</v>
      </c>
      <c r="B657" s="2">
        <v>4.0750000000000002</v>
      </c>
      <c r="C657">
        <v>5.0000000000000001E-3</v>
      </c>
      <c r="H657">
        <f t="shared" si="70"/>
        <v>32.75</v>
      </c>
      <c r="I657">
        <f t="shared" si="71"/>
        <v>4.0750000000000002</v>
      </c>
      <c r="J657">
        <f t="shared" si="72"/>
        <v>3.8735871298800368E-3</v>
      </c>
      <c r="K657">
        <f t="shared" si="73"/>
        <v>81.716811006794956</v>
      </c>
      <c r="L657">
        <f t="shared" si="74"/>
        <v>2.582391419920024E-3</v>
      </c>
      <c r="O657">
        <f t="shared" si="75"/>
        <v>81.877236648035293</v>
      </c>
      <c r="P657">
        <f t="shared" si="76"/>
        <v>7.8761990615537495E-4</v>
      </c>
    </row>
    <row r="658" spans="1:16" x14ac:dyDescent="0.25">
      <c r="A658" s="1">
        <v>32.799999999999997</v>
      </c>
      <c r="B658" s="2">
        <v>3.9830000000000001</v>
      </c>
      <c r="C658">
        <v>4.0000000000000001E-3</v>
      </c>
      <c r="H658">
        <f t="shared" si="70"/>
        <v>32.799999999999997</v>
      </c>
      <c r="I658">
        <f t="shared" si="71"/>
        <v>3.9830000000000001</v>
      </c>
      <c r="J658">
        <f t="shared" si="72"/>
        <v>2.8718674155745107E-3</v>
      </c>
      <c r="K658">
        <f t="shared" si="73"/>
        <v>79.871916132531112</v>
      </c>
      <c r="L658">
        <f t="shared" si="74"/>
        <v>1.9145782770496735E-3</v>
      </c>
      <c r="O658">
        <f t="shared" si="75"/>
        <v>80.032341773771449</v>
      </c>
      <c r="P658">
        <f t="shared" si="76"/>
        <v>1.1980676328502446E-4</v>
      </c>
    </row>
    <row r="659" spans="1:16" x14ac:dyDescent="0.25">
      <c r="A659" s="1">
        <v>32.85</v>
      </c>
      <c r="B659" s="2">
        <v>3.9060000000000001</v>
      </c>
      <c r="C659">
        <v>5.0000000000000001E-3</v>
      </c>
      <c r="H659">
        <f t="shared" si="70"/>
        <v>32.85</v>
      </c>
      <c r="I659">
        <f t="shared" si="71"/>
        <v>3.9060000000000001</v>
      </c>
      <c r="J659">
        <f t="shared" si="72"/>
        <v>3.8701477012689839E-3</v>
      </c>
      <c r="K659">
        <f t="shared" si="73"/>
        <v>78.327819335592906</v>
      </c>
      <c r="L659">
        <f t="shared" si="74"/>
        <v>2.5800984675126552E-3</v>
      </c>
      <c r="O659">
        <f t="shared" si="75"/>
        <v>78.488244976833244</v>
      </c>
      <c r="P659">
        <f t="shared" si="76"/>
        <v>7.8532695374800617E-4</v>
      </c>
    </row>
    <row r="660" spans="1:16" x14ac:dyDescent="0.25">
      <c r="A660" s="1">
        <v>32.9</v>
      </c>
      <c r="B660" s="2">
        <v>3.8410000000000002</v>
      </c>
      <c r="C660">
        <v>4.0000000000000001E-3</v>
      </c>
      <c r="H660">
        <f t="shared" si="70"/>
        <v>32.9</v>
      </c>
      <c r="I660">
        <f t="shared" si="71"/>
        <v>3.8410000000000002</v>
      </c>
      <c r="J660">
        <f t="shared" si="72"/>
        <v>2.8684279869634569E-3</v>
      </c>
      <c r="K660">
        <f t="shared" si="73"/>
        <v>77.024361000515199</v>
      </c>
      <c r="L660">
        <f t="shared" si="74"/>
        <v>1.9122853246423043E-3</v>
      </c>
      <c r="O660">
        <f t="shared" si="75"/>
        <v>77.184786641755537</v>
      </c>
      <c r="P660">
        <f t="shared" si="76"/>
        <v>1.1751381087765525E-4</v>
      </c>
    </row>
    <row r="661" spans="1:16" x14ac:dyDescent="0.25">
      <c r="A661" s="1">
        <v>32.950000000000003</v>
      </c>
      <c r="B661" s="2">
        <v>3.827</v>
      </c>
      <c r="C661">
        <v>5.0000000000000001E-3</v>
      </c>
      <c r="H661">
        <f t="shared" si="70"/>
        <v>32.950000000000003</v>
      </c>
      <c r="I661">
        <f t="shared" si="71"/>
        <v>3.827</v>
      </c>
      <c r="J661">
        <f t="shared" si="72"/>
        <v>3.86670827265793E-3</v>
      </c>
      <c r="K661">
        <f t="shared" si="73"/>
        <v>76.743616128344613</v>
      </c>
      <c r="L661">
        <f t="shared" si="74"/>
        <v>2.577805515105286E-3</v>
      </c>
      <c r="O661">
        <f t="shared" si="75"/>
        <v>76.90404176958495</v>
      </c>
      <c r="P661">
        <f t="shared" si="76"/>
        <v>7.8303400134063696E-4</v>
      </c>
    </row>
    <row r="662" spans="1:16" x14ac:dyDescent="0.25">
      <c r="A662" s="1">
        <v>33</v>
      </c>
      <c r="B662" s="2">
        <v>3.827</v>
      </c>
      <c r="C662">
        <v>4.0000000000000001E-3</v>
      </c>
      <c r="H662">
        <f t="shared" si="70"/>
        <v>33</v>
      </c>
      <c r="I662">
        <f t="shared" si="71"/>
        <v>3.827</v>
      </c>
      <c r="J662">
        <f t="shared" si="72"/>
        <v>2.864988558352404E-3</v>
      </c>
      <c r="K662">
        <f t="shared" si="73"/>
        <v>76.743616128344613</v>
      </c>
      <c r="L662">
        <f t="shared" si="74"/>
        <v>1.9099923722349355E-3</v>
      </c>
      <c r="O662">
        <f t="shared" si="75"/>
        <v>76.90404176958495</v>
      </c>
      <c r="P662">
        <f t="shared" si="76"/>
        <v>1.1522085847028647E-4</v>
      </c>
    </row>
    <row r="663" spans="1:16" x14ac:dyDescent="0.25">
      <c r="A663" s="1">
        <v>33.049999999999997</v>
      </c>
      <c r="B663" s="2">
        <v>3.827</v>
      </c>
      <c r="C663">
        <v>5.0000000000000001E-3</v>
      </c>
      <c r="H663">
        <f t="shared" si="70"/>
        <v>33.049999999999997</v>
      </c>
      <c r="I663">
        <f t="shared" si="71"/>
        <v>3.827</v>
      </c>
      <c r="J663">
        <f t="shared" si="72"/>
        <v>3.8632688440468771E-3</v>
      </c>
      <c r="K663">
        <f t="shared" si="73"/>
        <v>76.743616128344613</v>
      </c>
      <c r="L663">
        <f t="shared" si="74"/>
        <v>2.5755125626979176E-3</v>
      </c>
      <c r="O663">
        <f t="shared" si="75"/>
        <v>76.90404176958495</v>
      </c>
      <c r="P663">
        <f t="shared" si="76"/>
        <v>7.8074104893326862E-4</v>
      </c>
    </row>
    <row r="664" spans="1:16" x14ac:dyDescent="0.25">
      <c r="A664" s="1">
        <v>33.1</v>
      </c>
      <c r="B664" s="2">
        <v>3.8260000000000001</v>
      </c>
      <c r="C664">
        <v>4.0000000000000001E-3</v>
      </c>
      <c r="H664">
        <f t="shared" si="70"/>
        <v>33.1</v>
      </c>
      <c r="I664">
        <f t="shared" si="71"/>
        <v>3.8260000000000001</v>
      </c>
      <c r="J664">
        <f t="shared" si="72"/>
        <v>2.8615491297413502E-3</v>
      </c>
      <c r="K664">
        <f t="shared" si="73"/>
        <v>76.723562923189562</v>
      </c>
      <c r="L664">
        <f t="shared" si="74"/>
        <v>1.9076994198275663E-3</v>
      </c>
      <c r="O664">
        <f t="shared" si="75"/>
        <v>76.883988564429899</v>
      </c>
      <c r="P664">
        <f t="shared" si="76"/>
        <v>1.1292790606291726E-4</v>
      </c>
    </row>
    <row r="665" spans="1:16" x14ac:dyDescent="0.25">
      <c r="A665" s="1">
        <v>33.15</v>
      </c>
      <c r="B665" s="2">
        <v>3.827</v>
      </c>
      <c r="C665">
        <v>5.0000000000000001E-3</v>
      </c>
      <c r="H665">
        <f t="shared" si="70"/>
        <v>33.15</v>
      </c>
      <c r="I665">
        <f t="shared" si="71"/>
        <v>3.827</v>
      </c>
      <c r="J665">
        <f t="shared" si="72"/>
        <v>3.8598294154358237E-3</v>
      </c>
      <c r="K665">
        <f t="shared" si="73"/>
        <v>76.743616128344613</v>
      </c>
      <c r="L665">
        <f t="shared" si="74"/>
        <v>2.5732196102905484E-3</v>
      </c>
      <c r="O665">
        <f t="shared" si="75"/>
        <v>76.90404176958495</v>
      </c>
      <c r="P665">
        <f t="shared" si="76"/>
        <v>7.7844809652589941E-4</v>
      </c>
    </row>
    <row r="666" spans="1:16" x14ac:dyDescent="0.25">
      <c r="A666" s="1">
        <v>33.200000000000003</v>
      </c>
      <c r="B666" s="2">
        <v>3.8239999999999998</v>
      </c>
      <c r="C666">
        <v>4.0000000000000001E-3</v>
      </c>
      <c r="H666">
        <f t="shared" si="70"/>
        <v>33.200000000000003</v>
      </c>
      <c r="I666">
        <f t="shared" si="71"/>
        <v>3.8239999999999998</v>
      </c>
      <c r="J666">
        <f t="shared" si="72"/>
        <v>2.8581097011302972E-3</v>
      </c>
      <c r="K666">
        <f t="shared" si="73"/>
        <v>76.683456512879474</v>
      </c>
      <c r="L666">
        <f t="shared" si="74"/>
        <v>1.9054064674201977E-3</v>
      </c>
      <c r="O666">
        <f t="shared" si="75"/>
        <v>76.843882154119811</v>
      </c>
      <c r="P666">
        <f t="shared" si="76"/>
        <v>1.1063495365554871E-4</v>
      </c>
    </row>
    <row r="667" spans="1:16" x14ac:dyDescent="0.25">
      <c r="A667" s="1">
        <v>33.25</v>
      </c>
      <c r="B667" s="2">
        <v>3.8220000000000001</v>
      </c>
      <c r="C667">
        <v>5.0000000000000001E-3</v>
      </c>
      <c r="H667">
        <f t="shared" si="70"/>
        <v>33.25</v>
      </c>
      <c r="I667">
        <f t="shared" si="71"/>
        <v>3.8220000000000001</v>
      </c>
      <c r="J667">
        <f t="shared" si="72"/>
        <v>3.8563899868247703E-3</v>
      </c>
      <c r="K667">
        <f t="shared" si="73"/>
        <v>76.6433501025694</v>
      </c>
      <c r="L667">
        <f t="shared" si="74"/>
        <v>2.5709266578831796E-3</v>
      </c>
      <c r="O667">
        <f t="shared" si="75"/>
        <v>76.803775743809737</v>
      </c>
      <c r="P667">
        <f t="shared" si="76"/>
        <v>7.7615514411853064E-4</v>
      </c>
    </row>
    <row r="668" spans="1:16" x14ac:dyDescent="0.25">
      <c r="A668" s="1">
        <v>33.299999999999997</v>
      </c>
      <c r="B668" s="2">
        <v>3.819</v>
      </c>
      <c r="C668">
        <v>4.0000000000000001E-3</v>
      </c>
      <c r="H668">
        <f t="shared" si="70"/>
        <v>33.299999999999997</v>
      </c>
      <c r="I668">
        <f t="shared" si="71"/>
        <v>3.819</v>
      </c>
      <c r="J668">
        <f t="shared" si="72"/>
        <v>2.8546702725192438E-3</v>
      </c>
      <c r="K668">
        <f t="shared" si="73"/>
        <v>76.583190487104275</v>
      </c>
      <c r="L668">
        <f t="shared" si="74"/>
        <v>1.9031135150128287E-3</v>
      </c>
      <c r="O668">
        <f t="shared" si="75"/>
        <v>76.743616128344613</v>
      </c>
      <c r="P668">
        <f t="shared" si="76"/>
        <v>1.0834200124817971E-4</v>
      </c>
    </row>
    <row r="669" spans="1:16" x14ac:dyDescent="0.25">
      <c r="A669" s="1">
        <v>33.35</v>
      </c>
      <c r="B669" s="2">
        <v>3.754</v>
      </c>
      <c r="C669">
        <v>5.0000000000000001E-3</v>
      </c>
      <c r="H669">
        <f t="shared" si="70"/>
        <v>33.35</v>
      </c>
      <c r="I669">
        <f t="shared" si="71"/>
        <v>3.754</v>
      </c>
      <c r="J669">
        <f t="shared" si="72"/>
        <v>3.852950558213717E-3</v>
      </c>
      <c r="K669">
        <f t="shared" si="73"/>
        <v>75.279732152026568</v>
      </c>
      <c r="L669">
        <f t="shared" si="74"/>
        <v>2.5686337054758109E-3</v>
      </c>
      <c r="O669">
        <f t="shared" si="75"/>
        <v>75.440157793266906</v>
      </c>
      <c r="P669">
        <f t="shared" si="76"/>
        <v>7.7386219171116186E-4</v>
      </c>
    </row>
    <row r="670" spans="1:16" x14ac:dyDescent="0.25">
      <c r="A670" s="1">
        <v>33.4</v>
      </c>
      <c r="B670" s="2">
        <v>3.6339999999999999</v>
      </c>
      <c r="C670">
        <v>4.0000000000000001E-3</v>
      </c>
      <c r="H670">
        <f t="shared" si="70"/>
        <v>33.4</v>
      </c>
      <c r="I670">
        <f t="shared" si="71"/>
        <v>3.6339999999999999</v>
      </c>
      <c r="J670">
        <f t="shared" si="72"/>
        <v>2.8512308439081905E-3</v>
      </c>
      <c r="K670">
        <f t="shared" si="73"/>
        <v>72.873347533421551</v>
      </c>
      <c r="L670">
        <f t="shared" si="74"/>
        <v>1.9008205626054599E-3</v>
      </c>
      <c r="O670">
        <f t="shared" si="75"/>
        <v>73.033773174661889</v>
      </c>
      <c r="P670">
        <f t="shared" si="76"/>
        <v>1.0604904884081094E-4</v>
      </c>
    </row>
    <row r="671" spans="1:16" x14ac:dyDescent="0.25">
      <c r="A671" s="1">
        <v>33.450000000000003</v>
      </c>
      <c r="B671" s="2">
        <v>3.5070000000000001</v>
      </c>
      <c r="C671">
        <v>5.0000000000000001E-3</v>
      </c>
      <c r="H671">
        <f t="shared" si="70"/>
        <v>33.450000000000003</v>
      </c>
      <c r="I671">
        <f t="shared" si="71"/>
        <v>3.5070000000000001</v>
      </c>
      <c r="J671">
        <f t="shared" si="72"/>
        <v>3.8495111296026636E-3</v>
      </c>
      <c r="K671">
        <f t="shared" si="73"/>
        <v>70.326590478731262</v>
      </c>
      <c r="L671">
        <f t="shared" si="74"/>
        <v>2.5663407530684417E-3</v>
      </c>
      <c r="O671">
        <f t="shared" si="75"/>
        <v>70.487016119971599</v>
      </c>
      <c r="P671">
        <f t="shared" si="76"/>
        <v>7.7156923930379265E-4</v>
      </c>
    </row>
    <row r="672" spans="1:16" x14ac:dyDescent="0.25">
      <c r="A672" s="1">
        <v>33.5</v>
      </c>
      <c r="B672" s="2">
        <v>3.4239999999999999</v>
      </c>
      <c r="C672">
        <v>4.0000000000000001E-3</v>
      </c>
      <c r="H672">
        <f t="shared" si="70"/>
        <v>33.5</v>
      </c>
      <c r="I672">
        <f t="shared" si="71"/>
        <v>3.4239999999999999</v>
      </c>
      <c r="J672">
        <f t="shared" si="72"/>
        <v>2.8477914152971371E-3</v>
      </c>
      <c r="K672">
        <f t="shared" si="73"/>
        <v>68.662174450862793</v>
      </c>
      <c r="L672">
        <f t="shared" si="74"/>
        <v>1.898527610198091E-3</v>
      </c>
      <c r="O672">
        <f t="shared" si="75"/>
        <v>68.82260009210313</v>
      </c>
      <c r="P672">
        <f t="shared" si="76"/>
        <v>1.0375609643344195E-4</v>
      </c>
    </row>
    <row r="673" spans="1:16" x14ac:dyDescent="0.25">
      <c r="A673" s="1">
        <v>33.549999999999997</v>
      </c>
      <c r="B673" s="2">
        <v>3.3290000000000002</v>
      </c>
      <c r="C673">
        <v>5.0000000000000001E-3</v>
      </c>
      <c r="H673">
        <f t="shared" si="70"/>
        <v>33.549999999999997</v>
      </c>
      <c r="I673">
        <f t="shared" si="71"/>
        <v>3.3290000000000002</v>
      </c>
      <c r="J673">
        <f t="shared" si="72"/>
        <v>3.8460717009916106E-3</v>
      </c>
      <c r="K673">
        <f t="shared" si="73"/>
        <v>66.757119961133839</v>
      </c>
      <c r="L673">
        <f t="shared" si="74"/>
        <v>2.5640478006610733E-3</v>
      </c>
      <c r="O673">
        <f t="shared" si="75"/>
        <v>66.917545602374176</v>
      </c>
      <c r="P673">
        <f t="shared" si="76"/>
        <v>7.6927628689642431E-4</v>
      </c>
    </row>
    <row r="674" spans="1:16" x14ac:dyDescent="0.25">
      <c r="A674" s="1">
        <v>33.6</v>
      </c>
      <c r="B674" s="2">
        <v>3.2890000000000001</v>
      </c>
      <c r="C674">
        <v>4.0000000000000001E-3</v>
      </c>
      <c r="H674">
        <f t="shared" si="70"/>
        <v>33.6</v>
      </c>
      <c r="I674">
        <f t="shared" si="71"/>
        <v>3.2890000000000001</v>
      </c>
      <c r="J674">
        <f t="shared" si="72"/>
        <v>2.8443519866860837E-3</v>
      </c>
      <c r="K674">
        <f t="shared" si="73"/>
        <v>65.95499175493218</v>
      </c>
      <c r="L674">
        <f t="shared" si="74"/>
        <v>1.896234657790722E-3</v>
      </c>
      <c r="O674">
        <f t="shared" si="75"/>
        <v>66.115417396172518</v>
      </c>
      <c r="P674">
        <f t="shared" si="76"/>
        <v>1.0146314402607296E-4</v>
      </c>
    </row>
    <row r="675" spans="1:16" x14ac:dyDescent="0.25">
      <c r="A675" s="1">
        <v>33.65</v>
      </c>
      <c r="B675" s="2">
        <v>3.2890000000000001</v>
      </c>
      <c r="C675">
        <v>5.0000000000000001E-3</v>
      </c>
      <c r="H675">
        <f t="shared" si="70"/>
        <v>33.65</v>
      </c>
      <c r="I675">
        <f t="shared" si="71"/>
        <v>3.2890000000000001</v>
      </c>
      <c r="J675">
        <f t="shared" si="72"/>
        <v>3.8426322723805573E-3</v>
      </c>
      <c r="K675">
        <f t="shared" si="73"/>
        <v>65.95499175493218</v>
      </c>
      <c r="L675">
        <f t="shared" si="74"/>
        <v>2.5617548482537041E-3</v>
      </c>
      <c r="O675">
        <f t="shared" si="75"/>
        <v>66.115417396172518</v>
      </c>
      <c r="P675">
        <f t="shared" si="76"/>
        <v>7.669833344890551E-4</v>
      </c>
    </row>
    <row r="676" spans="1:16" x14ac:dyDescent="0.25">
      <c r="A676" s="1">
        <v>33.700000000000003</v>
      </c>
      <c r="B676" s="2">
        <v>3.2890000000000001</v>
      </c>
      <c r="C676">
        <v>4.0000000000000001E-3</v>
      </c>
      <c r="H676">
        <f t="shared" si="70"/>
        <v>33.700000000000003</v>
      </c>
      <c r="I676">
        <f t="shared" si="71"/>
        <v>3.2890000000000001</v>
      </c>
      <c r="J676">
        <f t="shared" si="72"/>
        <v>2.8409125580750303E-3</v>
      </c>
      <c r="K676">
        <f t="shared" si="73"/>
        <v>65.95499175493218</v>
      </c>
      <c r="L676">
        <f t="shared" si="74"/>
        <v>1.8939417053833532E-3</v>
      </c>
      <c r="O676">
        <f t="shared" si="75"/>
        <v>66.115417396172518</v>
      </c>
      <c r="P676">
        <f t="shared" si="76"/>
        <v>9.9170191618704181E-5</v>
      </c>
    </row>
    <row r="677" spans="1:16" x14ac:dyDescent="0.25">
      <c r="A677" s="1">
        <v>33.75</v>
      </c>
      <c r="B677" s="2">
        <v>3.2890000000000001</v>
      </c>
      <c r="C677">
        <v>5.0000000000000001E-3</v>
      </c>
      <c r="H677">
        <f t="shared" si="70"/>
        <v>33.75</v>
      </c>
      <c r="I677">
        <f t="shared" si="71"/>
        <v>3.2890000000000001</v>
      </c>
      <c r="J677">
        <f t="shared" si="72"/>
        <v>3.8391928437695039E-3</v>
      </c>
      <c r="K677">
        <f t="shared" si="73"/>
        <v>65.95499175493218</v>
      </c>
      <c r="L677">
        <f t="shared" si="74"/>
        <v>2.5594618958463353E-3</v>
      </c>
      <c r="O677">
        <f t="shared" si="75"/>
        <v>66.115417396172518</v>
      </c>
      <c r="P677">
        <f t="shared" si="76"/>
        <v>7.6469038208168633E-4</v>
      </c>
    </row>
    <row r="678" spans="1:16" x14ac:dyDescent="0.25">
      <c r="A678" s="1">
        <v>33.799999999999997</v>
      </c>
      <c r="B678" s="2">
        <v>3.2890000000000001</v>
      </c>
      <c r="C678">
        <v>4.0000000000000001E-3</v>
      </c>
      <c r="H678">
        <f t="shared" si="70"/>
        <v>33.799999999999997</v>
      </c>
      <c r="I678">
        <f t="shared" si="71"/>
        <v>3.2890000000000001</v>
      </c>
      <c r="J678">
        <f t="shared" si="72"/>
        <v>2.8374731294639769E-3</v>
      </c>
      <c r="K678">
        <f t="shared" si="73"/>
        <v>65.95499175493218</v>
      </c>
      <c r="L678">
        <f t="shared" si="74"/>
        <v>1.8916487529759842E-3</v>
      </c>
      <c r="O678">
        <f t="shared" si="75"/>
        <v>66.115417396172518</v>
      </c>
      <c r="P678">
        <f t="shared" si="76"/>
        <v>9.6877239211335189E-5</v>
      </c>
    </row>
    <row r="679" spans="1:16" x14ac:dyDescent="0.25">
      <c r="A679" s="1">
        <v>33.85</v>
      </c>
      <c r="B679" s="2">
        <v>3.2890000000000001</v>
      </c>
      <c r="C679">
        <v>5.0000000000000001E-3</v>
      </c>
      <c r="H679">
        <f t="shared" si="70"/>
        <v>33.85</v>
      </c>
      <c r="I679">
        <f t="shared" si="71"/>
        <v>3.2890000000000001</v>
      </c>
      <c r="J679">
        <f t="shared" si="72"/>
        <v>3.8357534151584505E-3</v>
      </c>
      <c r="K679">
        <f t="shared" si="73"/>
        <v>65.95499175493218</v>
      </c>
      <c r="L679">
        <f t="shared" si="74"/>
        <v>2.5571689434389666E-3</v>
      </c>
      <c r="O679">
        <f t="shared" si="75"/>
        <v>66.115417396172518</v>
      </c>
      <c r="P679">
        <f t="shared" si="76"/>
        <v>7.6239742967431755E-4</v>
      </c>
    </row>
    <row r="680" spans="1:16" x14ac:dyDescent="0.25">
      <c r="A680" s="1">
        <v>33.9</v>
      </c>
      <c r="B680" s="2">
        <v>3.2890000000000001</v>
      </c>
      <c r="C680">
        <v>4.0000000000000001E-3</v>
      </c>
      <c r="H680">
        <f t="shared" si="70"/>
        <v>33.9</v>
      </c>
      <c r="I680">
        <f t="shared" si="71"/>
        <v>3.2890000000000001</v>
      </c>
      <c r="J680">
        <f t="shared" si="72"/>
        <v>2.834033700852924E-3</v>
      </c>
      <c r="K680">
        <f t="shared" si="73"/>
        <v>65.95499175493218</v>
      </c>
      <c r="L680">
        <f t="shared" si="74"/>
        <v>1.8893558005686156E-3</v>
      </c>
      <c r="O680">
        <f t="shared" si="75"/>
        <v>66.115417396172518</v>
      </c>
      <c r="P680">
        <f t="shared" si="76"/>
        <v>9.4584286803966631E-5</v>
      </c>
    </row>
    <row r="681" spans="1:16" x14ac:dyDescent="0.25">
      <c r="A681" s="1">
        <v>33.950000000000003</v>
      </c>
      <c r="B681" s="2">
        <v>3.286</v>
      </c>
      <c r="C681">
        <v>5.0000000000000001E-3</v>
      </c>
      <c r="H681">
        <f t="shared" si="70"/>
        <v>33.950000000000003</v>
      </c>
      <c r="I681">
        <f t="shared" si="71"/>
        <v>3.286</v>
      </c>
      <c r="J681">
        <f t="shared" si="72"/>
        <v>3.8323139865473971E-3</v>
      </c>
      <c r="K681">
        <f t="shared" si="73"/>
        <v>65.894832139467042</v>
      </c>
      <c r="L681">
        <f t="shared" si="74"/>
        <v>2.5548759910315974E-3</v>
      </c>
      <c r="O681">
        <f t="shared" si="75"/>
        <v>66.055257780707379</v>
      </c>
      <c r="P681">
        <f t="shared" si="76"/>
        <v>7.6010447726694835E-4</v>
      </c>
    </row>
    <row r="682" spans="1:16" x14ac:dyDescent="0.25">
      <c r="A682" s="1">
        <v>34</v>
      </c>
      <c r="B682" s="2">
        <v>3.2330000000000001</v>
      </c>
      <c r="C682">
        <v>4.0000000000000001E-3</v>
      </c>
      <c r="H682">
        <f t="shared" si="70"/>
        <v>34</v>
      </c>
      <c r="I682">
        <f t="shared" si="71"/>
        <v>3.2330000000000001</v>
      </c>
      <c r="J682">
        <f t="shared" si="72"/>
        <v>2.8305942722418702E-3</v>
      </c>
      <c r="K682">
        <f t="shared" si="73"/>
        <v>64.832012266249833</v>
      </c>
      <c r="L682">
        <f t="shared" si="74"/>
        <v>1.8870628481612464E-3</v>
      </c>
      <c r="O682">
        <f t="shared" si="75"/>
        <v>64.992437907490171</v>
      </c>
      <c r="P682">
        <f t="shared" si="76"/>
        <v>9.2291334396597422E-5</v>
      </c>
    </row>
    <row r="683" spans="1:16" x14ac:dyDescent="0.25">
      <c r="A683" s="1">
        <v>34.049999999999997</v>
      </c>
      <c r="B683" s="2">
        <v>3.1320000000000001</v>
      </c>
      <c r="C683">
        <v>5.0000000000000001E-3</v>
      </c>
      <c r="H683">
        <f t="shared" si="70"/>
        <v>34.049999999999997</v>
      </c>
      <c r="I683">
        <f t="shared" si="71"/>
        <v>3.1320000000000001</v>
      </c>
      <c r="J683">
        <f t="shared" si="72"/>
        <v>3.8288745579363442E-3</v>
      </c>
      <c r="K683">
        <f t="shared" si="73"/>
        <v>62.806638545590623</v>
      </c>
      <c r="L683">
        <f t="shared" si="74"/>
        <v>2.552583038624229E-3</v>
      </c>
      <c r="O683">
        <f t="shared" si="75"/>
        <v>62.96706418683096</v>
      </c>
      <c r="P683">
        <f t="shared" si="76"/>
        <v>7.5781152485958E-4</v>
      </c>
    </row>
    <row r="684" spans="1:16" x14ac:dyDescent="0.25">
      <c r="A684" s="1">
        <v>34.1</v>
      </c>
      <c r="B684" s="2">
        <v>3.0739999999999998</v>
      </c>
      <c r="C684">
        <v>4.0000000000000001E-3</v>
      </c>
      <c r="H684">
        <f t="shared" si="70"/>
        <v>34.1</v>
      </c>
      <c r="I684">
        <f t="shared" si="71"/>
        <v>3.0739999999999998</v>
      </c>
      <c r="J684">
        <f t="shared" si="72"/>
        <v>2.8271548436308172E-3</v>
      </c>
      <c r="K684">
        <f t="shared" si="73"/>
        <v>61.643552646598202</v>
      </c>
      <c r="L684">
        <f t="shared" si="74"/>
        <v>1.8847698957538777E-3</v>
      </c>
      <c r="O684">
        <f t="shared" si="75"/>
        <v>61.80397828783854</v>
      </c>
      <c r="P684">
        <f t="shared" si="76"/>
        <v>8.9998381989228647E-5</v>
      </c>
    </row>
    <row r="685" spans="1:16" x14ac:dyDescent="0.25">
      <c r="A685" s="1">
        <v>34.15</v>
      </c>
      <c r="B685" s="2">
        <v>3.008</v>
      </c>
      <c r="C685">
        <v>5.0000000000000001E-3</v>
      </c>
      <c r="H685">
        <f t="shared" si="70"/>
        <v>34.15</v>
      </c>
      <c r="I685">
        <f t="shared" si="71"/>
        <v>3.008</v>
      </c>
      <c r="J685">
        <f t="shared" si="72"/>
        <v>3.8254351293252904E-3</v>
      </c>
      <c r="K685">
        <f t="shared" si="73"/>
        <v>60.320041106365451</v>
      </c>
      <c r="L685">
        <f t="shared" si="74"/>
        <v>2.5502900862168598E-3</v>
      </c>
      <c r="O685">
        <f t="shared" si="75"/>
        <v>60.480466747605789</v>
      </c>
      <c r="P685">
        <f t="shared" si="76"/>
        <v>7.555185724522108E-4</v>
      </c>
    </row>
    <row r="686" spans="1:16" x14ac:dyDescent="0.25">
      <c r="A686" s="1">
        <v>34.200000000000003</v>
      </c>
      <c r="B686" s="2">
        <v>2.9660000000000002</v>
      </c>
      <c r="C686">
        <v>4.0000000000000001E-3</v>
      </c>
      <c r="H686">
        <f t="shared" si="70"/>
        <v>34.200000000000003</v>
      </c>
      <c r="I686">
        <f t="shared" si="71"/>
        <v>2.9660000000000002</v>
      </c>
      <c r="J686">
        <f t="shared" si="72"/>
        <v>2.8237154150197634E-3</v>
      </c>
      <c r="K686">
        <f t="shared" si="73"/>
        <v>59.477806489853705</v>
      </c>
      <c r="L686">
        <f t="shared" si="74"/>
        <v>1.8824769433465084E-3</v>
      </c>
      <c r="O686">
        <f t="shared" si="75"/>
        <v>59.638232131094043</v>
      </c>
      <c r="P686">
        <f t="shared" si="76"/>
        <v>8.7705429581859439E-5</v>
      </c>
    </row>
    <row r="687" spans="1:16" x14ac:dyDescent="0.25">
      <c r="A687" s="1">
        <v>34.25</v>
      </c>
      <c r="B687" s="2">
        <v>2.9369999999999998</v>
      </c>
      <c r="C687">
        <v>5.0000000000000001E-3</v>
      </c>
      <c r="H687">
        <f t="shared" si="70"/>
        <v>34.25</v>
      </c>
      <c r="I687">
        <f t="shared" si="71"/>
        <v>2.9369999999999998</v>
      </c>
      <c r="J687">
        <f t="shared" si="72"/>
        <v>3.8219957007142374E-3</v>
      </c>
      <c r="K687">
        <f t="shared" si="73"/>
        <v>58.896263540357488</v>
      </c>
      <c r="L687">
        <f t="shared" si="74"/>
        <v>2.547997133809491E-3</v>
      </c>
      <c r="O687">
        <f t="shared" si="75"/>
        <v>59.056689181597825</v>
      </c>
      <c r="P687">
        <f t="shared" si="76"/>
        <v>7.5322562004484202E-4</v>
      </c>
    </row>
    <row r="688" spans="1:16" x14ac:dyDescent="0.25">
      <c r="A688" s="1">
        <v>34.299999999999997</v>
      </c>
      <c r="B688" s="2">
        <v>2.9340000000000002</v>
      </c>
      <c r="C688">
        <v>4.0000000000000001E-3</v>
      </c>
      <c r="H688">
        <f t="shared" si="70"/>
        <v>34.299999999999997</v>
      </c>
      <c r="I688">
        <f t="shared" si="71"/>
        <v>2.9340000000000002</v>
      </c>
      <c r="J688">
        <f t="shared" si="72"/>
        <v>2.8202759864087105E-3</v>
      </c>
      <c r="K688">
        <f t="shared" si="73"/>
        <v>58.83610392489237</v>
      </c>
      <c r="L688">
        <f t="shared" si="74"/>
        <v>1.8801839909391399E-3</v>
      </c>
      <c r="O688">
        <f t="shared" si="75"/>
        <v>58.996529566132708</v>
      </c>
      <c r="P688">
        <f t="shared" si="76"/>
        <v>8.5412477174490881E-5</v>
      </c>
    </row>
    <row r="689" spans="1:16" x14ac:dyDescent="0.25">
      <c r="A689" s="1">
        <v>34.35</v>
      </c>
      <c r="B689" s="2">
        <v>2.9340000000000002</v>
      </c>
      <c r="C689">
        <v>5.0000000000000001E-3</v>
      </c>
      <c r="H689">
        <f t="shared" si="70"/>
        <v>34.35</v>
      </c>
      <c r="I689">
        <f t="shared" si="71"/>
        <v>2.9340000000000002</v>
      </c>
      <c r="J689">
        <f t="shared" si="72"/>
        <v>3.8185562721031836E-3</v>
      </c>
      <c r="K689">
        <f t="shared" si="73"/>
        <v>58.83610392489237</v>
      </c>
      <c r="L689">
        <f t="shared" si="74"/>
        <v>2.5457041814021218E-3</v>
      </c>
      <c r="O689">
        <f t="shared" si="75"/>
        <v>58.996529566132708</v>
      </c>
      <c r="P689">
        <f t="shared" si="76"/>
        <v>7.5093266763747281E-4</v>
      </c>
    </row>
    <row r="690" spans="1:16" x14ac:dyDescent="0.25">
      <c r="A690" s="1">
        <v>34.4</v>
      </c>
      <c r="B690" s="2">
        <v>2.9340000000000002</v>
      </c>
      <c r="C690">
        <v>4.0000000000000001E-3</v>
      </c>
      <c r="H690">
        <f t="shared" si="70"/>
        <v>34.4</v>
      </c>
      <c r="I690">
        <f t="shared" si="71"/>
        <v>2.9340000000000002</v>
      </c>
      <c r="J690">
        <f t="shared" si="72"/>
        <v>2.8168365577976575E-3</v>
      </c>
      <c r="K690">
        <f t="shared" si="73"/>
        <v>58.83610392489237</v>
      </c>
      <c r="L690">
        <f t="shared" si="74"/>
        <v>1.8778910385317713E-3</v>
      </c>
      <c r="O690">
        <f t="shared" si="75"/>
        <v>58.996529566132708</v>
      </c>
      <c r="P690">
        <f t="shared" si="76"/>
        <v>8.3119524767122322E-5</v>
      </c>
    </row>
    <row r="691" spans="1:16" x14ac:dyDescent="0.25">
      <c r="A691" s="1">
        <v>34.450000000000003</v>
      </c>
      <c r="B691" s="2">
        <v>2.9340000000000002</v>
      </c>
      <c r="C691">
        <v>5.0000000000000001E-3</v>
      </c>
      <c r="H691">
        <f t="shared" si="70"/>
        <v>34.450000000000003</v>
      </c>
      <c r="I691">
        <f t="shared" si="71"/>
        <v>2.9340000000000002</v>
      </c>
      <c r="J691">
        <f t="shared" si="72"/>
        <v>3.8151168434921306E-3</v>
      </c>
      <c r="K691">
        <f t="shared" si="73"/>
        <v>58.83610392489237</v>
      </c>
      <c r="L691">
        <f t="shared" si="74"/>
        <v>2.543411228994753E-3</v>
      </c>
      <c r="O691">
        <f t="shared" si="75"/>
        <v>58.996529566132708</v>
      </c>
      <c r="P691">
        <f t="shared" si="76"/>
        <v>7.4863971523010404E-4</v>
      </c>
    </row>
    <row r="692" spans="1:16" x14ac:dyDescent="0.25">
      <c r="A692" s="1">
        <v>34.5</v>
      </c>
      <c r="B692" s="2">
        <v>2.9340000000000002</v>
      </c>
      <c r="C692">
        <v>4.0000000000000001E-3</v>
      </c>
      <c r="H692">
        <f t="shared" si="70"/>
        <v>34.5</v>
      </c>
      <c r="I692">
        <f t="shared" si="71"/>
        <v>2.9340000000000002</v>
      </c>
      <c r="J692">
        <f t="shared" si="72"/>
        <v>2.8133971291866037E-3</v>
      </c>
      <c r="K692">
        <f t="shared" si="73"/>
        <v>58.83610392489237</v>
      </c>
      <c r="L692">
        <f t="shared" si="74"/>
        <v>1.8755980861244021E-3</v>
      </c>
      <c r="O692">
        <f t="shared" si="75"/>
        <v>58.996529566132708</v>
      </c>
      <c r="P692">
        <f t="shared" si="76"/>
        <v>8.0826572359753114E-5</v>
      </c>
    </row>
    <row r="693" spans="1:16" x14ac:dyDescent="0.25">
      <c r="A693" s="1">
        <v>34.549999999999997</v>
      </c>
      <c r="B693" s="2">
        <v>2.9359999999999999</v>
      </c>
      <c r="C693">
        <v>4.0000000000000001E-3</v>
      </c>
      <c r="H693">
        <f t="shared" si="70"/>
        <v>34.549999999999997</v>
      </c>
      <c r="I693">
        <f t="shared" si="71"/>
        <v>2.9359999999999999</v>
      </c>
      <c r="J693">
        <f t="shared" si="72"/>
        <v>2.8116774148810772E-3</v>
      </c>
      <c r="K693">
        <f t="shared" si="73"/>
        <v>58.876210335202444</v>
      </c>
      <c r="L693">
        <f t="shared" si="74"/>
        <v>1.8744516099207177E-3</v>
      </c>
      <c r="O693">
        <f t="shared" si="75"/>
        <v>59.036635976442781</v>
      </c>
      <c r="P693">
        <f t="shared" si="76"/>
        <v>7.9680096156068726E-5</v>
      </c>
    </row>
    <row r="694" spans="1:16" x14ac:dyDescent="0.25">
      <c r="A694" s="1">
        <v>34.6</v>
      </c>
      <c r="B694" s="2">
        <v>2.9369999999999998</v>
      </c>
      <c r="C694">
        <v>4.0000000000000001E-3</v>
      </c>
      <c r="H694">
        <f t="shared" si="70"/>
        <v>34.6</v>
      </c>
      <c r="I694">
        <f t="shared" si="71"/>
        <v>2.9369999999999998</v>
      </c>
      <c r="J694">
        <f t="shared" si="72"/>
        <v>2.8099577005755508E-3</v>
      </c>
      <c r="K694">
        <f t="shared" si="73"/>
        <v>58.896263540357488</v>
      </c>
      <c r="L694">
        <f t="shared" si="74"/>
        <v>1.8733051337170333E-3</v>
      </c>
      <c r="O694">
        <f t="shared" si="75"/>
        <v>59.056689181597825</v>
      </c>
      <c r="P694">
        <f t="shared" si="76"/>
        <v>7.8533619952384339E-5</v>
      </c>
    </row>
    <row r="695" spans="1:16" x14ac:dyDescent="0.25">
      <c r="A695" s="1">
        <v>34.65</v>
      </c>
      <c r="B695" s="2">
        <v>2.903</v>
      </c>
      <c r="C695">
        <v>5.0000000000000001E-3</v>
      </c>
      <c r="H695">
        <f t="shared" si="70"/>
        <v>34.65</v>
      </c>
      <c r="I695">
        <f t="shared" si="71"/>
        <v>2.903</v>
      </c>
      <c r="J695">
        <f t="shared" si="72"/>
        <v>3.8082379862700239E-3</v>
      </c>
      <c r="K695">
        <f t="shared" si="73"/>
        <v>58.214454565086072</v>
      </c>
      <c r="L695">
        <f t="shared" si="74"/>
        <v>2.5388253241800155E-3</v>
      </c>
      <c r="O695">
        <f t="shared" si="75"/>
        <v>58.374880206326409</v>
      </c>
      <c r="P695">
        <f t="shared" si="76"/>
        <v>7.4405381041536649E-4</v>
      </c>
    </row>
    <row r="696" spans="1:16" x14ac:dyDescent="0.25">
      <c r="A696" s="1">
        <v>34.700000000000003</v>
      </c>
      <c r="B696" s="2">
        <v>2.8149999999999999</v>
      </c>
      <c r="C696">
        <v>4.0000000000000001E-3</v>
      </c>
      <c r="H696">
        <f t="shared" si="70"/>
        <v>34.700000000000003</v>
      </c>
      <c r="I696">
        <f t="shared" si="71"/>
        <v>2.8149999999999999</v>
      </c>
      <c r="J696">
        <f t="shared" si="72"/>
        <v>2.806518271964497E-3</v>
      </c>
      <c r="K696">
        <f t="shared" si="73"/>
        <v>56.449772511442404</v>
      </c>
      <c r="L696">
        <f t="shared" si="74"/>
        <v>1.8710121813096641E-3</v>
      </c>
      <c r="O696">
        <f t="shared" si="75"/>
        <v>56.610198152682742</v>
      </c>
      <c r="P696">
        <f t="shared" si="76"/>
        <v>7.624066754501513E-5</v>
      </c>
    </row>
    <row r="697" spans="1:16" x14ac:dyDescent="0.25">
      <c r="A697" s="1">
        <v>34.75</v>
      </c>
      <c r="B697" s="2">
        <v>2.7189999999999999</v>
      </c>
      <c r="C697">
        <v>5.0000000000000001E-3</v>
      </c>
      <c r="H697">
        <f t="shared" si="70"/>
        <v>34.75</v>
      </c>
      <c r="I697">
        <f t="shared" si="71"/>
        <v>2.7189999999999999</v>
      </c>
      <c r="J697">
        <f t="shared" si="72"/>
        <v>3.8047985576589705E-3</v>
      </c>
      <c r="K697">
        <f t="shared" si="73"/>
        <v>54.524664816558392</v>
      </c>
      <c r="L697">
        <f t="shared" si="74"/>
        <v>2.5365323717726463E-3</v>
      </c>
      <c r="O697">
        <f t="shared" si="75"/>
        <v>54.685090457798729</v>
      </c>
      <c r="P697">
        <f t="shared" si="76"/>
        <v>7.4176085800799728E-4</v>
      </c>
    </row>
    <row r="698" spans="1:16" x14ac:dyDescent="0.25">
      <c r="A698" s="1">
        <v>34.799999999999997</v>
      </c>
      <c r="B698" s="2">
        <v>2.613</v>
      </c>
      <c r="C698">
        <v>4.0000000000000001E-3</v>
      </c>
      <c r="H698">
        <f t="shared" si="70"/>
        <v>34.799999999999997</v>
      </c>
      <c r="I698">
        <f t="shared" si="71"/>
        <v>2.613</v>
      </c>
      <c r="J698">
        <f t="shared" si="72"/>
        <v>2.803078843353444E-3</v>
      </c>
      <c r="K698">
        <f t="shared" si="73"/>
        <v>52.399025070123976</v>
      </c>
      <c r="L698">
        <f t="shared" si="74"/>
        <v>1.8687192289022956E-3</v>
      </c>
      <c r="O698">
        <f t="shared" si="75"/>
        <v>52.559450711364313</v>
      </c>
      <c r="P698">
        <f t="shared" si="76"/>
        <v>7.3947715137646572E-5</v>
      </c>
    </row>
    <row r="699" spans="1:16" x14ac:dyDescent="0.25">
      <c r="A699" s="1">
        <v>34.85</v>
      </c>
      <c r="B699" s="2">
        <v>2.5409999999999999</v>
      </c>
      <c r="C699">
        <v>5.0000000000000001E-3</v>
      </c>
      <c r="H699">
        <f t="shared" si="70"/>
        <v>34.85</v>
      </c>
      <c r="I699">
        <f t="shared" si="71"/>
        <v>2.5409999999999999</v>
      </c>
      <c r="J699">
        <f t="shared" si="72"/>
        <v>3.8013591290479171E-3</v>
      </c>
      <c r="K699">
        <f t="shared" si="73"/>
        <v>50.955194298960976</v>
      </c>
      <c r="L699">
        <f t="shared" si="74"/>
        <v>2.5342394193652775E-3</v>
      </c>
      <c r="O699">
        <f t="shared" si="75"/>
        <v>51.115619940201313</v>
      </c>
      <c r="P699">
        <f t="shared" si="76"/>
        <v>7.394679056006285E-4</v>
      </c>
    </row>
    <row r="700" spans="1:16" x14ac:dyDescent="0.25">
      <c r="A700" s="1">
        <v>34.9</v>
      </c>
      <c r="B700" s="2">
        <v>2.5339999999999998</v>
      </c>
      <c r="C700">
        <v>4.0000000000000001E-3</v>
      </c>
      <c r="H700">
        <f t="shared" si="70"/>
        <v>34.9</v>
      </c>
      <c r="I700">
        <f t="shared" si="71"/>
        <v>2.5339999999999998</v>
      </c>
      <c r="J700">
        <f t="shared" si="72"/>
        <v>2.7996394147423906E-3</v>
      </c>
      <c r="K700">
        <f t="shared" si="73"/>
        <v>50.814821862875682</v>
      </c>
      <c r="L700">
        <f t="shared" si="74"/>
        <v>1.8664262764949266E-3</v>
      </c>
      <c r="O700">
        <f t="shared" si="75"/>
        <v>50.97524750411602</v>
      </c>
      <c r="P700">
        <f t="shared" si="76"/>
        <v>7.165476273027758E-5</v>
      </c>
    </row>
    <row r="701" spans="1:16" x14ac:dyDescent="0.25">
      <c r="A701" s="1">
        <v>34.950000000000003</v>
      </c>
      <c r="B701" s="2">
        <v>2.5339999999999998</v>
      </c>
      <c r="C701">
        <v>4.0000000000000001E-3</v>
      </c>
      <c r="H701">
        <f t="shared" si="70"/>
        <v>34.950000000000003</v>
      </c>
      <c r="I701">
        <f t="shared" si="71"/>
        <v>2.5339999999999998</v>
      </c>
      <c r="J701">
        <f t="shared" si="72"/>
        <v>2.7979197004368637E-3</v>
      </c>
      <c r="K701">
        <f t="shared" si="73"/>
        <v>50.814821862875682</v>
      </c>
      <c r="L701">
        <f t="shared" si="74"/>
        <v>1.865279800291242E-3</v>
      </c>
      <c r="O701">
        <f t="shared" si="75"/>
        <v>50.97524750411602</v>
      </c>
      <c r="P701">
        <f t="shared" si="76"/>
        <v>7.0508286526592976E-5</v>
      </c>
    </row>
    <row r="702" spans="1:16" x14ac:dyDescent="0.25">
      <c r="A702" s="1">
        <v>35</v>
      </c>
      <c r="B702" s="2">
        <v>2.5339999999999998</v>
      </c>
      <c r="C702">
        <v>4.0000000000000001E-3</v>
      </c>
      <c r="H702">
        <f t="shared" si="70"/>
        <v>35</v>
      </c>
      <c r="I702">
        <f t="shared" si="71"/>
        <v>2.5339999999999998</v>
      </c>
      <c r="J702">
        <f t="shared" si="72"/>
        <v>2.7961999861313373E-3</v>
      </c>
      <c r="K702">
        <f t="shared" si="73"/>
        <v>50.814821862875682</v>
      </c>
      <c r="L702">
        <f t="shared" si="74"/>
        <v>1.8641333240875578E-3</v>
      </c>
      <c r="O702">
        <f t="shared" si="75"/>
        <v>50.97524750411602</v>
      </c>
      <c r="P702">
        <f t="shared" si="76"/>
        <v>6.9361810322908805E-5</v>
      </c>
    </row>
    <row r="703" spans="1:16" x14ac:dyDescent="0.25">
      <c r="A703" s="1">
        <v>35.049999999999997</v>
      </c>
      <c r="B703" s="2">
        <v>2.5339999999999998</v>
      </c>
      <c r="C703">
        <v>5.0000000000000001E-3</v>
      </c>
      <c r="H703">
        <f t="shared" si="70"/>
        <v>35.049999999999997</v>
      </c>
      <c r="I703">
        <f t="shared" si="71"/>
        <v>2.5339999999999998</v>
      </c>
      <c r="J703">
        <f t="shared" si="72"/>
        <v>3.7944802718258104E-3</v>
      </c>
      <c r="K703">
        <f t="shared" si="73"/>
        <v>50.814821862875682</v>
      </c>
      <c r="L703">
        <f t="shared" si="74"/>
        <v>2.5296535145505395E-3</v>
      </c>
      <c r="O703">
        <f t="shared" si="75"/>
        <v>50.97524750411602</v>
      </c>
      <c r="P703">
        <f t="shared" si="76"/>
        <v>7.3488200078589052E-4</v>
      </c>
    </row>
    <row r="704" spans="1:16" x14ac:dyDescent="0.25">
      <c r="A704" s="1">
        <v>35.1</v>
      </c>
      <c r="B704" s="2">
        <v>2.5339999999999998</v>
      </c>
      <c r="C704">
        <v>4.0000000000000001E-3</v>
      </c>
      <c r="H704">
        <f t="shared" si="70"/>
        <v>35.1</v>
      </c>
      <c r="I704">
        <f t="shared" si="71"/>
        <v>2.5339999999999998</v>
      </c>
      <c r="J704">
        <f t="shared" si="72"/>
        <v>2.7927605575202839E-3</v>
      </c>
      <c r="K704">
        <f t="shared" si="73"/>
        <v>50.814821862875682</v>
      </c>
      <c r="L704">
        <f t="shared" si="74"/>
        <v>1.8618403716801888E-3</v>
      </c>
      <c r="O704">
        <f t="shared" si="75"/>
        <v>50.97524750411602</v>
      </c>
      <c r="P704">
        <f t="shared" si="76"/>
        <v>6.7068857915539813E-5</v>
      </c>
    </row>
    <row r="705" spans="1:16" x14ac:dyDescent="0.25">
      <c r="A705" s="1">
        <v>35.15</v>
      </c>
      <c r="B705" s="2">
        <v>2.5350000000000001</v>
      </c>
      <c r="C705">
        <v>5.0000000000000001E-3</v>
      </c>
      <c r="H705">
        <f t="shared" si="70"/>
        <v>35.15</v>
      </c>
      <c r="I705">
        <f t="shared" si="71"/>
        <v>2.5350000000000001</v>
      </c>
      <c r="J705">
        <f t="shared" si="72"/>
        <v>3.7910408432147574E-3</v>
      </c>
      <c r="K705">
        <f t="shared" si="73"/>
        <v>50.834875068030726</v>
      </c>
      <c r="L705">
        <f t="shared" si="74"/>
        <v>2.5273605621431712E-3</v>
      </c>
      <c r="O705">
        <f t="shared" si="75"/>
        <v>50.995300709271064</v>
      </c>
      <c r="P705">
        <f t="shared" si="76"/>
        <v>7.3258904837852218E-4</v>
      </c>
    </row>
    <row r="706" spans="1:16" x14ac:dyDescent="0.25">
      <c r="A706" s="1">
        <v>35.200000000000003</v>
      </c>
      <c r="B706" s="2">
        <v>2.5339999999999998</v>
      </c>
      <c r="C706">
        <v>4.0000000000000001E-3</v>
      </c>
      <c r="H706">
        <f t="shared" si="70"/>
        <v>35.200000000000003</v>
      </c>
      <c r="I706">
        <f t="shared" si="71"/>
        <v>2.5339999999999998</v>
      </c>
      <c r="J706">
        <f t="shared" si="72"/>
        <v>2.7893211289092305E-3</v>
      </c>
      <c r="K706">
        <f t="shared" si="73"/>
        <v>50.814821862875682</v>
      </c>
      <c r="L706">
        <f t="shared" si="74"/>
        <v>1.8595474192728198E-3</v>
      </c>
      <c r="O706">
        <f t="shared" si="75"/>
        <v>50.97524750411602</v>
      </c>
      <c r="P706">
        <f t="shared" si="76"/>
        <v>6.4775905508170821E-5</v>
      </c>
    </row>
    <row r="707" spans="1:16" x14ac:dyDescent="0.25">
      <c r="A707" s="1">
        <v>35.25</v>
      </c>
      <c r="B707" s="2">
        <v>2.5049999999999999</v>
      </c>
      <c r="C707">
        <v>5.0000000000000001E-3</v>
      </c>
      <c r="H707">
        <f t="shared" ref="H707:H770" si="77">A707</f>
        <v>35.25</v>
      </c>
      <c r="I707">
        <f t="shared" ref="I707:I770" si="78">B707</f>
        <v>2.5049999999999999</v>
      </c>
      <c r="J707">
        <f t="shared" ref="J707:J770" si="79">C707-E$12*A707</f>
        <v>3.787601414603704E-3</v>
      </c>
      <c r="K707">
        <f t="shared" ref="K707:K770" si="80">F$24*I707</f>
        <v>50.233278913379472</v>
      </c>
      <c r="L707">
        <f t="shared" ref="L707:L770" si="81">F$25*J707</f>
        <v>2.525067609735802E-3</v>
      </c>
      <c r="O707">
        <f t="shared" ref="O707:O770" si="82">K707-N$12</f>
        <v>50.393704554619809</v>
      </c>
      <c r="P707">
        <f t="shared" ref="P707:P770" si="83">L707-N$15</f>
        <v>7.3029609597115297E-4</v>
      </c>
    </row>
    <row r="708" spans="1:16" x14ac:dyDescent="0.25">
      <c r="A708" s="1">
        <v>35.299999999999997</v>
      </c>
      <c r="B708" s="2">
        <v>2.4260000000000002</v>
      </c>
      <c r="C708">
        <v>4.0000000000000001E-3</v>
      </c>
      <c r="H708">
        <f t="shared" si="77"/>
        <v>35.299999999999997</v>
      </c>
      <c r="I708">
        <f t="shared" si="78"/>
        <v>2.4260000000000002</v>
      </c>
      <c r="J708">
        <f t="shared" si="79"/>
        <v>2.7858817002981776E-3</v>
      </c>
      <c r="K708">
        <f t="shared" si="80"/>
        <v>48.649075706131178</v>
      </c>
      <c r="L708">
        <f t="shared" si="81"/>
        <v>1.8572544668654513E-3</v>
      </c>
      <c r="O708">
        <f t="shared" si="82"/>
        <v>48.809501347371516</v>
      </c>
      <c r="P708">
        <f t="shared" si="83"/>
        <v>6.2482953100802263E-5</v>
      </c>
    </row>
    <row r="709" spans="1:16" x14ac:dyDescent="0.25">
      <c r="A709" s="1">
        <v>35.35</v>
      </c>
      <c r="B709" s="2">
        <v>2.363</v>
      </c>
      <c r="C709">
        <v>5.0000000000000001E-3</v>
      </c>
      <c r="H709">
        <f t="shared" si="77"/>
        <v>35.35</v>
      </c>
      <c r="I709">
        <f t="shared" si="78"/>
        <v>2.363</v>
      </c>
      <c r="J709">
        <f t="shared" si="79"/>
        <v>3.7841619859926507E-3</v>
      </c>
      <c r="K709">
        <f t="shared" si="80"/>
        <v>47.385723781363552</v>
      </c>
      <c r="L709">
        <f t="shared" si="81"/>
        <v>2.5227746573284332E-3</v>
      </c>
      <c r="O709">
        <f t="shared" si="82"/>
        <v>47.546149422603889</v>
      </c>
      <c r="P709">
        <f t="shared" si="83"/>
        <v>7.2800314356378419E-4</v>
      </c>
    </row>
    <row r="710" spans="1:16" x14ac:dyDescent="0.25">
      <c r="A710" s="1">
        <v>35.4</v>
      </c>
      <c r="B710" s="2">
        <v>2.306</v>
      </c>
      <c r="C710">
        <v>4.0000000000000001E-3</v>
      </c>
      <c r="H710">
        <f t="shared" si="77"/>
        <v>35.4</v>
      </c>
      <c r="I710">
        <f t="shared" si="78"/>
        <v>2.306</v>
      </c>
      <c r="J710">
        <f t="shared" si="79"/>
        <v>2.7824422716871237E-3</v>
      </c>
      <c r="K710">
        <f t="shared" si="80"/>
        <v>46.242691087526175</v>
      </c>
      <c r="L710">
        <f t="shared" si="81"/>
        <v>1.8549615144580821E-3</v>
      </c>
      <c r="O710">
        <f t="shared" si="82"/>
        <v>46.403116728766513</v>
      </c>
      <c r="P710">
        <f t="shared" si="83"/>
        <v>6.0190000693433054E-5</v>
      </c>
    </row>
    <row r="711" spans="1:16" x14ac:dyDescent="0.25">
      <c r="A711" s="1">
        <v>35.450000000000003</v>
      </c>
      <c r="B711" s="2">
        <v>2.2679999999999998</v>
      </c>
      <c r="C711">
        <v>5.0000000000000001E-3</v>
      </c>
      <c r="H711">
        <f t="shared" si="77"/>
        <v>35.450000000000003</v>
      </c>
      <c r="I711">
        <f t="shared" si="78"/>
        <v>2.2679999999999998</v>
      </c>
      <c r="J711">
        <f t="shared" si="79"/>
        <v>3.7807225573815973E-3</v>
      </c>
      <c r="K711">
        <f t="shared" si="80"/>
        <v>45.480669291634584</v>
      </c>
      <c r="L711">
        <f t="shared" si="81"/>
        <v>2.5204817049210644E-3</v>
      </c>
      <c r="O711">
        <f t="shared" si="82"/>
        <v>45.641094932874921</v>
      </c>
      <c r="P711">
        <f t="shared" si="83"/>
        <v>7.2571019115641542E-4</v>
      </c>
    </row>
    <row r="712" spans="1:16" x14ac:dyDescent="0.25">
      <c r="A712" s="1">
        <v>35.5</v>
      </c>
      <c r="B712" s="2">
        <v>2.2480000000000002</v>
      </c>
      <c r="C712">
        <v>4.0000000000000001E-3</v>
      </c>
      <c r="H712">
        <f t="shared" si="77"/>
        <v>35.5</v>
      </c>
      <c r="I712">
        <f t="shared" si="78"/>
        <v>2.2480000000000002</v>
      </c>
      <c r="J712">
        <f t="shared" si="79"/>
        <v>2.7790028430760708E-3</v>
      </c>
      <c r="K712">
        <f t="shared" si="80"/>
        <v>45.079605188533762</v>
      </c>
      <c r="L712">
        <f t="shared" si="81"/>
        <v>1.8526685620507135E-3</v>
      </c>
      <c r="O712">
        <f t="shared" si="82"/>
        <v>45.240030829774099</v>
      </c>
      <c r="P712">
        <f t="shared" si="83"/>
        <v>5.7897048286064496E-5</v>
      </c>
    </row>
    <row r="713" spans="1:16" x14ac:dyDescent="0.25">
      <c r="A713" s="1">
        <v>35.549999999999997</v>
      </c>
      <c r="B713" s="2">
        <v>2.2410000000000001</v>
      </c>
      <c r="C713">
        <v>4.0000000000000001E-3</v>
      </c>
      <c r="H713">
        <f t="shared" si="77"/>
        <v>35.549999999999997</v>
      </c>
      <c r="I713">
        <f t="shared" si="78"/>
        <v>2.2410000000000001</v>
      </c>
      <c r="J713">
        <f t="shared" si="79"/>
        <v>2.7772831287705439E-3</v>
      </c>
      <c r="K713">
        <f t="shared" si="80"/>
        <v>44.939232752448461</v>
      </c>
      <c r="L713">
        <f t="shared" si="81"/>
        <v>1.8515220858470289E-3</v>
      </c>
      <c r="O713">
        <f t="shared" si="82"/>
        <v>45.099658393688799</v>
      </c>
      <c r="P713">
        <f t="shared" si="83"/>
        <v>5.6750572082379892E-5</v>
      </c>
    </row>
    <row r="714" spans="1:16" x14ac:dyDescent="0.25">
      <c r="A714" s="1">
        <v>35.6</v>
      </c>
      <c r="B714" s="2">
        <v>2.2280000000000002</v>
      </c>
      <c r="C714">
        <v>4.0000000000000001E-3</v>
      </c>
      <c r="H714">
        <f t="shared" si="77"/>
        <v>35.6</v>
      </c>
      <c r="I714">
        <f t="shared" si="78"/>
        <v>2.2280000000000002</v>
      </c>
      <c r="J714">
        <f t="shared" si="79"/>
        <v>2.775563414465017E-3</v>
      </c>
      <c r="K714">
        <f t="shared" si="80"/>
        <v>44.678541085432926</v>
      </c>
      <c r="L714">
        <f t="shared" si="81"/>
        <v>1.8503756096433443E-3</v>
      </c>
      <c r="O714">
        <f t="shared" si="82"/>
        <v>44.838966726673263</v>
      </c>
      <c r="P714">
        <f t="shared" si="83"/>
        <v>5.5604095878695288E-5</v>
      </c>
    </row>
    <row r="715" spans="1:16" x14ac:dyDescent="0.25">
      <c r="A715" s="1">
        <v>35.65</v>
      </c>
      <c r="B715" s="2">
        <v>2.2040000000000002</v>
      </c>
      <c r="C715">
        <v>4.0000000000000001E-3</v>
      </c>
      <c r="H715">
        <f t="shared" si="77"/>
        <v>35.65</v>
      </c>
      <c r="I715">
        <f t="shared" si="78"/>
        <v>2.2040000000000002</v>
      </c>
      <c r="J715">
        <f t="shared" si="79"/>
        <v>2.7738437001594909E-3</v>
      </c>
      <c r="K715">
        <f t="shared" si="80"/>
        <v>44.197264161711921</v>
      </c>
      <c r="L715">
        <f t="shared" si="81"/>
        <v>1.8492291334396601E-3</v>
      </c>
      <c r="O715">
        <f t="shared" si="82"/>
        <v>44.357689802952258</v>
      </c>
      <c r="P715">
        <f t="shared" si="83"/>
        <v>5.4457619675011117E-5</v>
      </c>
    </row>
    <row r="716" spans="1:16" x14ac:dyDescent="0.25">
      <c r="A716" s="1">
        <v>35.700000000000003</v>
      </c>
      <c r="B716" s="2">
        <v>2.17</v>
      </c>
      <c r="C716">
        <v>4.0000000000000001E-3</v>
      </c>
      <c r="H716">
        <f t="shared" si="77"/>
        <v>35.700000000000003</v>
      </c>
      <c r="I716">
        <f t="shared" si="78"/>
        <v>2.17</v>
      </c>
      <c r="J716">
        <f t="shared" si="79"/>
        <v>2.772123985853964E-3</v>
      </c>
      <c r="K716">
        <f t="shared" si="80"/>
        <v>43.515455186440498</v>
      </c>
      <c r="L716">
        <f t="shared" si="81"/>
        <v>1.8480826572359755E-3</v>
      </c>
      <c r="O716">
        <f t="shared" si="82"/>
        <v>43.675880827680835</v>
      </c>
      <c r="P716">
        <f t="shared" si="83"/>
        <v>5.3311143471326513E-5</v>
      </c>
    </row>
    <row r="717" spans="1:16" x14ac:dyDescent="0.25">
      <c r="A717" s="1">
        <v>35.75</v>
      </c>
      <c r="B717" s="2">
        <v>2.1640000000000001</v>
      </c>
      <c r="C717">
        <v>5.0000000000000001E-3</v>
      </c>
      <c r="H717">
        <f t="shared" si="77"/>
        <v>35.75</v>
      </c>
      <c r="I717">
        <f t="shared" si="78"/>
        <v>2.1640000000000001</v>
      </c>
      <c r="J717">
        <f t="shared" si="79"/>
        <v>3.7704042715484372E-3</v>
      </c>
      <c r="K717">
        <f t="shared" si="80"/>
        <v>43.395135955510256</v>
      </c>
      <c r="L717">
        <f t="shared" si="81"/>
        <v>2.5136028476989577E-3</v>
      </c>
      <c r="O717">
        <f t="shared" si="82"/>
        <v>43.555561596750593</v>
      </c>
      <c r="P717">
        <f t="shared" si="83"/>
        <v>7.1883133393430866E-4</v>
      </c>
    </row>
    <row r="718" spans="1:16" x14ac:dyDescent="0.25">
      <c r="A718" s="1">
        <v>35.799999999999997</v>
      </c>
      <c r="B718" s="2">
        <v>2.1640000000000001</v>
      </c>
      <c r="C718">
        <v>4.0000000000000001E-3</v>
      </c>
      <c r="H718">
        <f t="shared" si="77"/>
        <v>35.799999999999997</v>
      </c>
      <c r="I718">
        <f t="shared" si="78"/>
        <v>2.1640000000000001</v>
      </c>
      <c r="J718">
        <f t="shared" si="79"/>
        <v>2.7686845572429107E-3</v>
      </c>
      <c r="K718">
        <f t="shared" si="80"/>
        <v>43.395135955510256</v>
      </c>
      <c r="L718">
        <f t="shared" si="81"/>
        <v>1.8457897048286067E-3</v>
      </c>
      <c r="O718">
        <f t="shared" si="82"/>
        <v>43.555561596750593</v>
      </c>
      <c r="P718">
        <f t="shared" si="83"/>
        <v>5.1018191063957738E-5</v>
      </c>
    </row>
    <row r="719" spans="1:16" x14ac:dyDescent="0.25">
      <c r="A719" s="1">
        <v>35.85</v>
      </c>
      <c r="B719" s="2">
        <v>2.1640000000000001</v>
      </c>
      <c r="C719">
        <v>4.0000000000000001E-3</v>
      </c>
      <c r="H719">
        <f t="shared" si="77"/>
        <v>35.85</v>
      </c>
      <c r="I719">
        <f t="shared" si="78"/>
        <v>2.1640000000000001</v>
      </c>
      <c r="J719">
        <f t="shared" si="79"/>
        <v>2.7669648429373842E-3</v>
      </c>
      <c r="K719">
        <f t="shared" si="80"/>
        <v>43.395135955510256</v>
      </c>
      <c r="L719">
        <f t="shared" si="81"/>
        <v>1.8446432286249224E-3</v>
      </c>
      <c r="O719">
        <f t="shared" si="82"/>
        <v>43.555561596750593</v>
      </c>
      <c r="P719">
        <f t="shared" si="83"/>
        <v>4.987171486027335E-5</v>
      </c>
    </row>
    <row r="720" spans="1:16" x14ac:dyDescent="0.25">
      <c r="A720" s="1">
        <v>35.9</v>
      </c>
      <c r="B720" s="2">
        <v>2.1629999999999998</v>
      </c>
      <c r="C720">
        <v>4.0000000000000001E-3</v>
      </c>
      <c r="H720">
        <f t="shared" si="77"/>
        <v>35.9</v>
      </c>
      <c r="I720">
        <f t="shared" si="78"/>
        <v>2.1629999999999998</v>
      </c>
      <c r="J720">
        <f t="shared" si="79"/>
        <v>2.7652451286318573E-3</v>
      </c>
      <c r="K720">
        <f t="shared" si="80"/>
        <v>43.375082750355205</v>
      </c>
      <c r="L720">
        <f t="shared" si="81"/>
        <v>1.8434967524212378E-3</v>
      </c>
      <c r="O720">
        <f t="shared" si="82"/>
        <v>43.535508391595542</v>
      </c>
      <c r="P720">
        <f t="shared" si="83"/>
        <v>4.8725238656588746E-5</v>
      </c>
    </row>
    <row r="721" spans="1:16" x14ac:dyDescent="0.25">
      <c r="A721" s="1">
        <v>35.950000000000003</v>
      </c>
      <c r="B721" s="2">
        <v>2.1629999999999998</v>
      </c>
      <c r="C721">
        <v>5.0000000000000001E-3</v>
      </c>
      <c r="H721">
        <f t="shared" si="77"/>
        <v>35.950000000000003</v>
      </c>
      <c r="I721">
        <f t="shared" si="78"/>
        <v>2.1629999999999998</v>
      </c>
      <c r="J721">
        <f t="shared" si="79"/>
        <v>3.7635254143263304E-3</v>
      </c>
      <c r="K721">
        <f t="shared" si="80"/>
        <v>43.375082750355205</v>
      </c>
      <c r="L721">
        <f t="shared" si="81"/>
        <v>2.5090169428842197E-3</v>
      </c>
      <c r="O721">
        <f t="shared" si="82"/>
        <v>43.535508391595542</v>
      </c>
      <c r="P721">
        <f t="shared" si="83"/>
        <v>7.1424542911957068E-4</v>
      </c>
    </row>
    <row r="722" spans="1:16" x14ac:dyDescent="0.25">
      <c r="A722" s="1">
        <v>36</v>
      </c>
      <c r="B722" s="2">
        <v>2.1429999999999998</v>
      </c>
      <c r="C722">
        <v>4.0000000000000001E-3</v>
      </c>
      <c r="H722">
        <f t="shared" si="77"/>
        <v>36</v>
      </c>
      <c r="I722">
        <f t="shared" si="78"/>
        <v>2.1429999999999998</v>
      </c>
      <c r="J722">
        <f t="shared" si="79"/>
        <v>2.7618057000208039E-3</v>
      </c>
      <c r="K722">
        <f t="shared" si="80"/>
        <v>42.974018647254368</v>
      </c>
      <c r="L722">
        <f t="shared" si="81"/>
        <v>1.8412038000138688E-3</v>
      </c>
      <c r="O722">
        <f t="shared" si="82"/>
        <v>43.134444288494706</v>
      </c>
      <c r="P722">
        <f t="shared" si="83"/>
        <v>4.6432286249219754E-5</v>
      </c>
    </row>
    <row r="723" spans="1:16" x14ac:dyDescent="0.25">
      <c r="A723" s="1">
        <v>36.049999999999997</v>
      </c>
      <c r="B723" s="2">
        <v>2.0049999999999999</v>
      </c>
      <c r="C723">
        <v>5.0000000000000001E-3</v>
      </c>
      <c r="H723">
        <f t="shared" si="77"/>
        <v>36.049999999999997</v>
      </c>
      <c r="I723">
        <f t="shared" si="78"/>
        <v>2.0049999999999999</v>
      </c>
      <c r="J723">
        <f t="shared" si="79"/>
        <v>3.7600859857152774E-3</v>
      </c>
      <c r="K723">
        <f t="shared" si="80"/>
        <v>40.206676335858617</v>
      </c>
      <c r="L723">
        <f t="shared" si="81"/>
        <v>2.5067239904768509E-3</v>
      </c>
      <c r="O723">
        <f t="shared" si="82"/>
        <v>40.367101977098955</v>
      </c>
      <c r="P723">
        <f t="shared" si="83"/>
        <v>7.119524767122019E-4</v>
      </c>
    </row>
    <row r="724" spans="1:16" x14ac:dyDescent="0.25">
      <c r="A724" s="1">
        <v>36.1</v>
      </c>
      <c r="B724" s="2">
        <v>1.948</v>
      </c>
      <c r="C724">
        <v>4.0000000000000001E-3</v>
      </c>
      <c r="H724">
        <f t="shared" si="77"/>
        <v>36.1</v>
      </c>
      <c r="I724">
        <f t="shared" si="78"/>
        <v>1.948</v>
      </c>
      <c r="J724">
        <f t="shared" si="79"/>
        <v>2.7583662714097505E-3</v>
      </c>
      <c r="K724">
        <f t="shared" si="80"/>
        <v>39.063643642021241</v>
      </c>
      <c r="L724">
        <f t="shared" si="81"/>
        <v>1.8389108476065E-3</v>
      </c>
      <c r="O724">
        <f t="shared" si="82"/>
        <v>39.224069283261578</v>
      </c>
      <c r="P724">
        <f t="shared" si="83"/>
        <v>4.4139333841850979E-5</v>
      </c>
    </row>
    <row r="725" spans="1:16" x14ac:dyDescent="0.25">
      <c r="A725" s="1">
        <v>36.15</v>
      </c>
      <c r="B725" s="2">
        <v>1.8520000000000001</v>
      </c>
      <c r="C725">
        <v>5.0000000000000001E-3</v>
      </c>
      <c r="H725">
        <f t="shared" si="77"/>
        <v>36.15</v>
      </c>
      <c r="I725">
        <f t="shared" si="78"/>
        <v>1.8520000000000001</v>
      </c>
      <c r="J725">
        <f t="shared" si="79"/>
        <v>3.7566465571042241E-3</v>
      </c>
      <c r="K725">
        <f t="shared" si="80"/>
        <v>37.138535947137242</v>
      </c>
      <c r="L725">
        <f t="shared" si="81"/>
        <v>2.5044310380694821E-3</v>
      </c>
      <c r="O725">
        <f t="shared" si="82"/>
        <v>37.29896158837758</v>
      </c>
      <c r="P725">
        <f t="shared" si="83"/>
        <v>7.0965952430483313E-4</v>
      </c>
    </row>
    <row r="726" spans="1:16" x14ac:dyDescent="0.25">
      <c r="A726" s="1">
        <v>36.200000000000003</v>
      </c>
      <c r="B726" s="2">
        <v>1.778</v>
      </c>
      <c r="C726">
        <v>4.0000000000000001E-3</v>
      </c>
      <c r="H726">
        <f t="shared" si="77"/>
        <v>36.200000000000003</v>
      </c>
      <c r="I726">
        <f t="shared" si="78"/>
        <v>1.778</v>
      </c>
      <c r="J726">
        <f t="shared" si="79"/>
        <v>2.7549268427986976E-3</v>
      </c>
      <c r="K726">
        <f t="shared" si="80"/>
        <v>35.654598765664154</v>
      </c>
      <c r="L726">
        <f t="shared" si="81"/>
        <v>1.8366178951991312E-3</v>
      </c>
      <c r="O726">
        <f t="shared" si="82"/>
        <v>35.815024406904492</v>
      </c>
      <c r="P726">
        <f t="shared" si="83"/>
        <v>4.1846381434482204E-5</v>
      </c>
    </row>
    <row r="727" spans="1:16" x14ac:dyDescent="0.25">
      <c r="A727" s="1">
        <v>36.25</v>
      </c>
      <c r="B727" s="2">
        <v>1.76</v>
      </c>
      <c r="C727">
        <v>5.0000000000000001E-3</v>
      </c>
      <c r="H727">
        <f t="shared" si="77"/>
        <v>36.25</v>
      </c>
      <c r="I727">
        <f t="shared" si="78"/>
        <v>1.76</v>
      </c>
      <c r="J727">
        <f t="shared" si="79"/>
        <v>3.7532071284931707E-3</v>
      </c>
      <c r="K727">
        <f t="shared" si="80"/>
        <v>35.293641072873406</v>
      </c>
      <c r="L727">
        <f t="shared" si="81"/>
        <v>2.5021380856621134E-3</v>
      </c>
      <c r="O727">
        <f t="shared" si="82"/>
        <v>35.454066714113743</v>
      </c>
      <c r="P727">
        <f t="shared" si="83"/>
        <v>7.0736657189746435E-4</v>
      </c>
    </row>
    <row r="728" spans="1:16" x14ac:dyDescent="0.25">
      <c r="A728" s="1">
        <v>36.299999999999997</v>
      </c>
      <c r="B728" s="2">
        <v>1.756</v>
      </c>
      <c r="C728">
        <v>4.0000000000000001E-3</v>
      </c>
      <c r="H728">
        <f t="shared" si="77"/>
        <v>36.299999999999997</v>
      </c>
      <c r="I728">
        <f t="shared" si="78"/>
        <v>1.756</v>
      </c>
      <c r="J728">
        <f t="shared" si="79"/>
        <v>2.7514874141876442E-3</v>
      </c>
      <c r="K728">
        <f t="shared" si="80"/>
        <v>35.213428252253237</v>
      </c>
      <c r="L728">
        <f t="shared" si="81"/>
        <v>1.8343249427917624E-3</v>
      </c>
      <c r="O728">
        <f t="shared" si="82"/>
        <v>35.373853893493575</v>
      </c>
      <c r="P728">
        <f t="shared" si="83"/>
        <v>3.9553429027113429E-5</v>
      </c>
    </row>
    <row r="729" spans="1:16" x14ac:dyDescent="0.25">
      <c r="A729" s="1">
        <v>36.35</v>
      </c>
      <c r="B729" s="2">
        <v>1.7569999999999999</v>
      </c>
      <c r="C729">
        <v>5.0000000000000001E-3</v>
      </c>
      <c r="H729">
        <f t="shared" si="77"/>
        <v>36.35</v>
      </c>
      <c r="I729">
        <f t="shared" si="78"/>
        <v>1.7569999999999999</v>
      </c>
      <c r="J729">
        <f t="shared" si="79"/>
        <v>3.7497676998821173E-3</v>
      </c>
      <c r="K729">
        <f t="shared" si="80"/>
        <v>35.233481457408274</v>
      </c>
      <c r="L729">
        <f t="shared" si="81"/>
        <v>2.4998451332547441E-3</v>
      </c>
      <c r="O729">
        <f t="shared" si="82"/>
        <v>35.393907098648612</v>
      </c>
      <c r="P729">
        <f t="shared" si="83"/>
        <v>7.0507361949009514E-4</v>
      </c>
    </row>
    <row r="730" spans="1:16" x14ac:dyDescent="0.25">
      <c r="A730" s="1">
        <v>36.4</v>
      </c>
      <c r="B730" s="2">
        <v>1.7569999999999999</v>
      </c>
      <c r="C730">
        <v>4.0000000000000001E-3</v>
      </c>
      <c r="H730">
        <f t="shared" si="77"/>
        <v>36.4</v>
      </c>
      <c r="I730">
        <f t="shared" si="78"/>
        <v>1.7569999999999999</v>
      </c>
      <c r="J730">
        <f t="shared" si="79"/>
        <v>2.7480479855765908E-3</v>
      </c>
      <c r="K730">
        <f t="shared" si="80"/>
        <v>35.233481457408274</v>
      </c>
      <c r="L730">
        <f t="shared" si="81"/>
        <v>1.8320319903843934E-3</v>
      </c>
      <c r="O730">
        <f t="shared" si="82"/>
        <v>35.393907098648612</v>
      </c>
      <c r="P730">
        <f t="shared" si="83"/>
        <v>3.7260476619744437E-5</v>
      </c>
    </row>
    <row r="731" spans="1:16" x14ac:dyDescent="0.25">
      <c r="A731" s="1">
        <v>36.450000000000003</v>
      </c>
      <c r="B731" s="2">
        <v>1.758</v>
      </c>
      <c r="C731">
        <v>5.0000000000000001E-3</v>
      </c>
      <c r="H731">
        <f t="shared" si="77"/>
        <v>36.450000000000003</v>
      </c>
      <c r="I731">
        <f t="shared" si="78"/>
        <v>1.758</v>
      </c>
      <c r="J731">
        <f t="shared" si="79"/>
        <v>3.7463282712710639E-3</v>
      </c>
      <c r="K731">
        <f t="shared" si="80"/>
        <v>35.253534662563318</v>
      </c>
      <c r="L731">
        <f t="shared" si="81"/>
        <v>2.4975521808473754E-3</v>
      </c>
      <c r="O731">
        <f t="shared" si="82"/>
        <v>35.413960303803655</v>
      </c>
      <c r="P731">
        <f t="shared" si="83"/>
        <v>7.0278066708272637E-4</v>
      </c>
    </row>
    <row r="732" spans="1:16" x14ac:dyDescent="0.25">
      <c r="A732" s="1">
        <v>36.5</v>
      </c>
      <c r="B732" s="2">
        <v>1.758</v>
      </c>
      <c r="C732">
        <v>4.0000000000000001E-3</v>
      </c>
      <c r="H732">
        <f t="shared" si="77"/>
        <v>36.5</v>
      </c>
      <c r="I732">
        <f t="shared" si="78"/>
        <v>1.758</v>
      </c>
      <c r="J732">
        <f t="shared" si="79"/>
        <v>2.7446085569655374E-3</v>
      </c>
      <c r="K732">
        <f t="shared" si="80"/>
        <v>35.253534662563318</v>
      </c>
      <c r="L732">
        <f t="shared" si="81"/>
        <v>1.8297390379770245E-3</v>
      </c>
      <c r="O732">
        <f t="shared" si="82"/>
        <v>35.413960303803655</v>
      </c>
      <c r="P732">
        <f t="shared" si="83"/>
        <v>3.4967524212375445E-5</v>
      </c>
    </row>
    <row r="733" spans="1:16" x14ac:dyDescent="0.25">
      <c r="A733" s="1">
        <v>36.549999999999997</v>
      </c>
      <c r="B733" s="2">
        <v>1.7589999999999999</v>
      </c>
      <c r="C733">
        <v>5.0000000000000001E-3</v>
      </c>
      <c r="H733">
        <f t="shared" si="77"/>
        <v>36.549999999999997</v>
      </c>
      <c r="I733">
        <f t="shared" si="78"/>
        <v>1.7589999999999999</v>
      </c>
      <c r="J733">
        <f t="shared" si="79"/>
        <v>3.742888842660011E-3</v>
      </c>
      <c r="K733">
        <f t="shared" si="80"/>
        <v>35.273587867718362</v>
      </c>
      <c r="L733">
        <f t="shared" si="81"/>
        <v>2.4952592284400066E-3</v>
      </c>
      <c r="O733">
        <f t="shared" si="82"/>
        <v>35.434013508958699</v>
      </c>
      <c r="P733">
        <f t="shared" si="83"/>
        <v>7.0048771467535759E-4</v>
      </c>
    </row>
    <row r="734" spans="1:16" x14ac:dyDescent="0.25">
      <c r="A734" s="1">
        <v>36.6</v>
      </c>
      <c r="B734" s="2">
        <v>1.7589999999999999</v>
      </c>
      <c r="C734">
        <v>4.0000000000000001E-3</v>
      </c>
      <c r="H734">
        <f t="shared" si="77"/>
        <v>36.6</v>
      </c>
      <c r="I734">
        <f t="shared" si="78"/>
        <v>1.7589999999999999</v>
      </c>
      <c r="J734">
        <f t="shared" si="79"/>
        <v>2.7411691283544841E-3</v>
      </c>
      <c r="K734">
        <f t="shared" si="80"/>
        <v>35.273587867718362</v>
      </c>
      <c r="L734">
        <f t="shared" si="81"/>
        <v>1.8274460855696557E-3</v>
      </c>
      <c r="O734">
        <f t="shared" si="82"/>
        <v>35.434013508958699</v>
      </c>
      <c r="P734">
        <f t="shared" si="83"/>
        <v>3.267457180500667E-5</v>
      </c>
    </row>
    <row r="735" spans="1:16" x14ac:dyDescent="0.25">
      <c r="A735" s="1">
        <v>36.65</v>
      </c>
      <c r="B735" s="2">
        <v>1.7549999999999999</v>
      </c>
      <c r="C735">
        <v>4.0000000000000001E-3</v>
      </c>
      <c r="H735">
        <f t="shared" si="77"/>
        <v>36.65</v>
      </c>
      <c r="I735">
        <f t="shared" si="78"/>
        <v>1.7549999999999999</v>
      </c>
      <c r="J735">
        <f t="shared" si="79"/>
        <v>2.7394494140489572E-3</v>
      </c>
      <c r="K735">
        <f t="shared" si="80"/>
        <v>35.193375047098193</v>
      </c>
      <c r="L735">
        <f t="shared" si="81"/>
        <v>1.8262996093659711E-3</v>
      </c>
      <c r="O735">
        <f t="shared" si="82"/>
        <v>35.353800688338531</v>
      </c>
      <c r="P735">
        <f t="shared" si="83"/>
        <v>3.1528095601322066E-5</v>
      </c>
    </row>
    <row r="736" spans="1:16" x14ac:dyDescent="0.25">
      <c r="A736" s="1">
        <v>36.700000000000003</v>
      </c>
      <c r="B736" s="2">
        <v>1.7230000000000001</v>
      </c>
      <c r="C736">
        <v>4.0000000000000001E-3</v>
      </c>
      <c r="H736">
        <f t="shared" si="77"/>
        <v>36.700000000000003</v>
      </c>
      <c r="I736">
        <f t="shared" si="78"/>
        <v>1.7230000000000001</v>
      </c>
      <c r="J736">
        <f t="shared" si="79"/>
        <v>2.7377296997434307E-3</v>
      </c>
      <c r="K736">
        <f t="shared" si="80"/>
        <v>34.551672482136858</v>
      </c>
      <c r="L736">
        <f t="shared" si="81"/>
        <v>1.8251531331622867E-3</v>
      </c>
      <c r="O736">
        <f t="shared" si="82"/>
        <v>34.712098123377196</v>
      </c>
      <c r="P736">
        <f t="shared" si="83"/>
        <v>3.0381619397637678E-5</v>
      </c>
    </row>
    <row r="737" spans="1:16" x14ac:dyDescent="0.25">
      <c r="A737" s="1">
        <v>36.75</v>
      </c>
      <c r="B737" s="2">
        <v>1.696</v>
      </c>
      <c r="C737">
        <v>5.0000000000000001E-3</v>
      </c>
      <c r="H737">
        <f t="shared" si="77"/>
        <v>36.75</v>
      </c>
      <c r="I737">
        <f t="shared" si="78"/>
        <v>1.696</v>
      </c>
      <c r="J737">
        <f t="shared" si="79"/>
        <v>3.7360099854379042E-3</v>
      </c>
      <c r="K737">
        <f t="shared" si="80"/>
        <v>34.010235942950729</v>
      </c>
      <c r="L737">
        <f t="shared" si="81"/>
        <v>2.490673323625269E-3</v>
      </c>
      <c r="O737">
        <f t="shared" si="82"/>
        <v>34.170661584191066</v>
      </c>
      <c r="P737">
        <f t="shared" si="83"/>
        <v>6.9590180986062004E-4</v>
      </c>
    </row>
    <row r="738" spans="1:16" x14ac:dyDescent="0.25">
      <c r="A738" s="1">
        <v>36.799999999999997</v>
      </c>
      <c r="B738" s="2">
        <v>1.657</v>
      </c>
      <c r="C738">
        <v>4.0000000000000001E-3</v>
      </c>
      <c r="H738">
        <f t="shared" si="77"/>
        <v>36.799999999999997</v>
      </c>
      <c r="I738">
        <f t="shared" si="78"/>
        <v>1.657</v>
      </c>
      <c r="J738">
        <f t="shared" si="79"/>
        <v>2.7342902711323773E-3</v>
      </c>
      <c r="K738">
        <f t="shared" si="80"/>
        <v>33.228160941904108</v>
      </c>
      <c r="L738">
        <f t="shared" si="81"/>
        <v>1.8228601807549177E-3</v>
      </c>
      <c r="O738">
        <f t="shared" si="82"/>
        <v>33.388586583144445</v>
      </c>
      <c r="P738">
        <f t="shared" si="83"/>
        <v>2.8088666990268686E-5</v>
      </c>
    </row>
    <row r="739" spans="1:16" x14ac:dyDescent="0.25">
      <c r="A739" s="1">
        <v>36.85</v>
      </c>
      <c r="B739" s="2">
        <v>1.575</v>
      </c>
      <c r="C739">
        <v>5.0000000000000001E-3</v>
      </c>
      <c r="H739">
        <f t="shared" si="77"/>
        <v>36.85</v>
      </c>
      <c r="I739">
        <f t="shared" si="78"/>
        <v>1.575</v>
      </c>
      <c r="J739">
        <f t="shared" si="79"/>
        <v>3.7325705568268508E-3</v>
      </c>
      <c r="K739">
        <f t="shared" si="80"/>
        <v>31.583798119190686</v>
      </c>
      <c r="L739">
        <f t="shared" si="81"/>
        <v>2.4883803712178998E-3</v>
      </c>
      <c r="O739">
        <f t="shared" si="82"/>
        <v>31.744223760431023</v>
      </c>
      <c r="P739">
        <f t="shared" si="83"/>
        <v>6.9360885745325083E-4</v>
      </c>
    </row>
    <row r="740" spans="1:16" x14ac:dyDescent="0.25">
      <c r="A740" s="1">
        <v>36.9</v>
      </c>
      <c r="B740" s="2">
        <v>1.508</v>
      </c>
      <c r="C740">
        <v>4.0000000000000001E-3</v>
      </c>
      <c r="H740">
        <f t="shared" si="77"/>
        <v>36.9</v>
      </c>
      <c r="I740">
        <f t="shared" si="78"/>
        <v>1.508</v>
      </c>
      <c r="J740">
        <f t="shared" si="79"/>
        <v>2.7308508425213244E-3</v>
      </c>
      <c r="K740">
        <f t="shared" si="80"/>
        <v>30.240233373802894</v>
      </c>
      <c r="L740">
        <f t="shared" si="81"/>
        <v>1.8205672283475491E-3</v>
      </c>
      <c r="O740">
        <f t="shared" si="82"/>
        <v>30.400659015043232</v>
      </c>
      <c r="P740">
        <f t="shared" si="83"/>
        <v>2.5795714582900128E-5</v>
      </c>
    </row>
    <row r="741" spans="1:16" x14ac:dyDescent="0.25">
      <c r="A741" s="1">
        <v>36.950000000000003</v>
      </c>
      <c r="B741" s="2">
        <v>1.458</v>
      </c>
      <c r="C741">
        <v>5.0000000000000001E-3</v>
      </c>
      <c r="H741">
        <f t="shared" si="77"/>
        <v>36.950000000000003</v>
      </c>
      <c r="I741">
        <f t="shared" si="78"/>
        <v>1.458</v>
      </c>
      <c r="J741">
        <f t="shared" si="79"/>
        <v>3.7291311282157975E-3</v>
      </c>
      <c r="K741">
        <f t="shared" si="80"/>
        <v>29.237573116050807</v>
      </c>
      <c r="L741">
        <f t="shared" si="81"/>
        <v>2.4860874188105311E-3</v>
      </c>
      <c r="O741">
        <f t="shared" si="82"/>
        <v>29.397998757291145</v>
      </c>
      <c r="P741">
        <f t="shared" si="83"/>
        <v>6.9131590504588206E-4</v>
      </c>
    </row>
    <row r="742" spans="1:16" x14ac:dyDescent="0.25">
      <c r="A742" s="1">
        <v>37</v>
      </c>
      <c r="B742" s="2">
        <v>1.3779999999999999</v>
      </c>
      <c r="C742">
        <v>4.0000000000000001E-3</v>
      </c>
      <c r="H742">
        <f t="shared" si="77"/>
        <v>37</v>
      </c>
      <c r="I742">
        <f t="shared" si="78"/>
        <v>1.3779999999999999</v>
      </c>
      <c r="J742">
        <f t="shared" si="79"/>
        <v>2.7274114139102705E-3</v>
      </c>
      <c r="K742">
        <f t="shared" si="80"/>
        <v>27.63331670364747</v>
      </c>
      <c r="L742">
        <f t="shared" si="81"/>
        <v>1.8182742759401799E-3</v>
      </c>
      <c r="O742">
        <f t="shared" si="82"/>
        <v>27.793742344887807</v>
      </c>
      <c r="P742">
        <f t="shared" si="83"/>
        <v>2.350276217553092E-5</v>
      </c>
    </row>
    <row r="743" spans="1:16" x14ac:dyDescent="0.25">
      <c r="A743" s="1">
        <v>37.049999999999997</v>
      </c>
      <c r="B743" s="2">
        <v>1.3120000000000001</v>
      </c>
      <c r="C743">
        <v>5.0000000000000001E-3</v>
      </c>
      <c r="H743">
        <f t="shared" si="77"/>
        <v>37.049999999999997</v>
      </c>
      <c r="I743">
        <f t="shared" si="78"/>
        <v>1.3120000000000001</v>
      </c>
      <c r="J743">
        <f t="shared" si="79"/>
        <v>3.7256916996047445E-3</v>
      </c>
      <c r="K743">
        <f t="shared" si="80"/>
        <v>26.309805163414719</v>
      </c>
      <c r="L743">
        <f t="shared" si="81"/>
        <v>2.4837944664031623E-3</v>
      </c>
      <c r="O743">
        <f t="shared" si="82"/>
        <v>26.470230804655056</v>
      </c>
      <c r="P743">
        <f t="shared" si="83"/>
        <v>6.8902295263851328E-4</v>
      </c>
    </row>
    <row r="744" spans="1:16" x14ac:dyDescent="0.25">
      <c r="A744" s="1">
        <v>37.1</v>
      </c>
      <c r="B744" s="2">
        <v>1.3069999999999999</v>
      </c>
      <c r="C744">
        <v>4.0000000000000001E-3</v>
      </c>
      <c r="H744">
        <f t="shared" si="77"/>
        <v>37.1</v>
      </c>
      <c r="I744">
        <f t="shared" si="78"/>
        <v>1.3069999999999999</v>
      </c>
      <c r="J744">
        <f t="shared" si="79"/>
        <v>2.7239719852992176E-3</v>
      </c>
      <c r="K744">
        <f t="shared" si="80"/>
        <v>26.20953913763951</v>
      </c>
      <c r="L744">
        <f t="shared" si="81"/>
        <v>1.8159813235328114E-3</v>
      </c>
      <c r="O744">
        <f t="shared" si="82"/>
        <v>26.369964778879847</v>
      </c>
      <c r="P744">
        <f t="shared" si="83"/>
        <v>2.1209809768162361E-5</v>
      </c>
    </row>
    <row r="745" spans="1:16" x14ac:dyDescent="0.25">
      <c r="A745" s="1">
        <v>37.15</v>
      </c>
      <c r="B745" s="2">
        <v>1.3080000000000001</v>
      </c>
      <c r="C745">
        <v>5.0000000000000001E-3</v>
      </c>
      <c r="H745">
        <f t="shared" si="77"/>
        <v>37.15</v>
      </c>
      <c r="I745">
        <f t="shared" si="78"/>
        <v>1.3080000000000001</v>
      </c>
      <c r="J745">
        <f t="shared" si="79"/>
        <v>3.7222522709936907E-3</v>
      </c>
      <c r="K745">
        <f t="shared" si="80"/>
        <v>26.229592342794554</v>
      </c>
      <c r="L745">
        <f t="shared" si="81"/>
        <v>2.4815015139957931E-3</v>
      </c>
      <c r="O745">
        <f t="shared" si="82"/>
        <v>26.390017984034891</v>
      </c>
      <c r="P745">
        <f t="shared" si="83"/>
        <v>6.8673000023114408E-4</v>
      </c>
    </row>
    <row r="746" spans="1:16" x14ac:dyDescent="0.25">
      <c r="A746" s="1">
        <v>37.200000000000003</v>
      </c>
      <c r="B746" s="2">
        <v>1.3069999999999999</v>
      </c>
      <c r="C746">
        <v>4.0000000000000001E-3</v>
      </c>
      <c r="H746">
        <f t="shared" si="77"/>
        <v>37.200000000000003</v>
      </c>
      <c r="I746">
        <f t="shared" si="78"/>
        <v>1.3069999999999999</v>
      </c>
      <c r="J746">
        <f t="shared" si="79"/>
        <v>2.7205325566881638E-3</v>
      </c>
      <c r="K746">
        <f t="shared" si="80"/>
        <v>26.20953913763951</v>
      </c>
      <c r="L746">
        <f t="shared" si="81"/>
        <v>1.8136883711254422E-3</v>
      </c>
      <c r="O746">
        <f t="shared" si="82"/>
        <v>26.369964778879847</v>
      </c>
      <c r="P746">
        <f t="shared" si="83"/>
        <v>1.8916857360793153E-5</v>
      </c>
    </row>
    <row r="747" spans="1:16" x14ac:dyDescent="0.25">
      <c r="A747" s="1">
        <v>37.25</v>
      </c>
      <c r="B747" s="2">
        <v>1.3080000000000001</v>
      </c>
      <c r="C747">
        <v>5.0000000000000001E-3</v>
      </c>
      <c r="H747">
        <f t="shared" si="77"/>
        <v>37.25</v>
      </c>
      <c r="I747">
        <f t="shared" si="78"/>
        <v>1.3080000000000001</v>
      </c>
      <c r="J747">
        <f t="shared" si="79"/>
        <v>3.7188128423826378E-3</v>
      </c>
      <c r="K747">
        <f t="shared" si="80"/>
        <v>26.229592342794554</v>
      </c>
      <c r="L747">
        <f t="shared" si="81"/>
        <v>2.4792085615884247E-3</v>
      </c>
      <c r="O747">
        <f t="shared" si="82"/>
        <v>26.390017984034891</v>
      </c>
      <c r="P747">
        <f t="shared" si="83"/>
        <v>6.8443704782377573E-4</v>
      </c>
    </row>
    <row r="748" spans="1:16" x14ac:dyDescent="0.25">
      <c r="A748" s="1">
        <v>37.299999999999997</v>
      </c>
      <c r="B748" s="2">
        <v>1.3069999999999999</v>
      </c>
      <c r="C748">
        <v>4.0000000000000001E-3</v>
      </c>
      <c r="H748">
        <f t="shared" si="77"/>
        <v>37.299999999999997</v>
      </c>
      <c r="I748">
        <f t="shared" si="78"/>
        <v>1.3069999999999999</v>
      </c>
      <c r="J748">
        <f t="shared" si="79"/>
        <v>2.7170931280771108E-3</v>
      </c>
      <c r="K748">
        <f t="shared" si="80"/>
        <v>26.20953913763951</v>
      </c>
      <c r="L748">
        <f t="shared" si="81"/>
        <v>1.8113954187180734E-3</v>
      </c>
      <c r="O748">
        <f t="shared" si="82"/>
        <v>26.369964778879847</v>
      </c>
      <c r="P748">
        <f t="shared" si="83"/>
        <v>1.6623904953424378E-5</v>
      </c>
    </row>
    <row r="749" spans="1:16" x14ac:dyDescent="0.25">
      <c r="A749" s="1">
        <v>37.35</v>
      </c>
      <c r="B749" s="2">
        <v>1.3089999999999999</v>
      </c>
      <c r="C749">
        <v>4.0000000000000001E-3</v>
      </c>
      <c r="H749">
        <f t="shared" si="77"/>
        <v>37.35</v>
      </c>
      <c r="I749">
        <f t="shared" si="78"/>
        <v>1.3089999999999999</v>
      </c>
      <c r="J749">
        <f t="shared" si="79"/>
        <v>2.7153734137715839E-3</v>
      </c>
      <c r="K749">
        <f t="shared" si="80"/>
        <v>26.249645547949591</v>
      </c>
      <c r="L749">
        <f t="shared" si="81"/>
        <v>1.8102489425143888E-3</v>
      </c>
      <c r="O749">
        <f t="shared" si="82"/>
        <v>26.410071189189928</v>
      </c>
      <c r="P749">
        <f t="shared" si="83"/>
        <v>1.5477428749739773E-5</v>
      </c>
    </row>
    <row r="750" spans="1:16" x14ac:dyDescent="0.25">
      <c r="A750" s="1">
        <v>37.4</v>
      </c>
      <c r="B750" s="2">
        <v>1.2869999999999999</v>
      </c>
      <c r="C750">
        <v>4.0000000000000001E-3</v>
      </c>
      <c r="H750">
        <f t="shared" si="77"/>
        <v>37.4</v>
      </c>
      <c r="I750">
        <f t="shared" si="78"/>
        <v>1.2869999999999999</v>
      </c>
      <c r="J750">
        <f t="shared" si="79"/>
        <v>2.7136536994660575E-3</v>
      </c>
      <c r="K750">
        <f t="shared" si="80"/>
        <v>25.808475034538674</v>
      </c>
      <c r="L750">
        <f t="shared" si="81"/>
        <v>1.8091024663107046E-3</v>
      </c>
      <c r="O750">
        <f t="shared" si="82"/>
        <v>25.968900675779011</v>
      </c>
      <c r="P750">
        <f t="shared" si="83"/>
        <v>1.4330952546055603E-5</v>
      </c>
    </row>
    <row r="751" spans="1:16" x14ac:dyDescent="0.25">
      <c r="A751" s="1">
        <v>37.450000000000003</v>
      </c>
      <c r="B751" s="2">
        <v>1.1539999999999999</v>
      </c>
      <c r="C751">
        <v>5.0000000000000001E-3</v>
      </c>
      <c r="H751">
        <f t="shared" si="77"/>
        <v>37.450000000000003</v>
      </c>
      <c r="I751">
        <f t="shared" si="78"/>
        <v>1.1539999999999999</v>
      </c>
      <c r="J751">
        <f t="shared" si="79"/>
        <v>3.711933985160531E-3</v>
      </c>
      <c r="K751">
        <f t="shared" si="80"/>
        <v>23.141398748918128</v>
      </c>
      <c r="L751">
        <f t="shared" si="81"/>
        <v>2.4746226567736868E-3</v>
      </c>
      <c r="O751">
        <f t="shared" si="82"/>
        <v>23.301824390158465</v>
      </c>
      <c r="P751">
        <f t="shared" si="83"/>
        <v>6.7985114300903775E-4</v>
      </c>
    </row>
    <row r="752" spans="1:16" x14ac:dyDescent="0.25">
      <c r="A752" s="1">
        <v>37.5</v>
      </c>
      <c r="B752" s="2">
        <v>1.05</v>
      </c>
      <c r="C752">
        <v>4.0000000000000001E-3</v>
      </c>
      <c r="H752">
        <f t="shared" si="77"/>
        <v>37.5</v>
      </c>
      <c r="I752">
        <f t="shared" si="78"/>
        <v>1.05</v>
      </c>
      <c r="J752">
        <f t="shared" si="79"/>
        <v>2.7102142708550041E-3</v>
      </c>
      <c r="K752">
        <f t="shared" si="80"/>
        <v>21.055865412793793</v>
      </c>
      <c r="L752">
        <f t="shared" si="81"/>
        <v>1.8068095139033356E-3</v>
      </c>
      <c r="O752">
        <f t="shared" si="82"/>
        <v>21.21629105403413</v>
      </c>
      <c r="P752">
        <f t="shared" si="83"/>
        <v>1.2038000138686611E-5</v>
      </c>
    </row>
    <row r="753" spans="1:16" x14ac:dyDescent="0.25">
      <c r="A753" s="1">
        <v>37.549999999999997</v>
      </c>
      <c r="B753" s="2">
        <v>0.999</v>
      </c>
      <c r="C753">
        <v>5.0000000000000001E-3</v>
      </c>
      <c r="H753">
        <f t="shared" si="77"/>
        <v>37.549999999999997</v>
      </c>
      <c r="I753">
        <f t="shared" si="78"/>
        <v>0.999</v>
      </c>
      <c r="J753">
        <f t="shared" si="79"/>
        <v>3.7084945565494776E-3</v>
      </c>
      <c r="K753">
        <f t="shared" si="80"/>
        <v>20.033151949886665</v>
      </c>
      <c r="L753">
        <f t="shared" si="81"/>
        <v>2.472329704366318E-3</v>
      </c>
      <c r="O753">
        <f t="shared" si="82"/>
        <v>20.193577591127003</v>
      </c>
      <c r="P753">
        <f t="shared" si="83"/>
        <v>6.7755819060166898E-4</v>
      </c>
    </row>
    <row r="754" spans="1:16" x14ac:dyDescent="0.25">
      <c r="A754" s="1">
        <v>37.6</v>
      </c>
      <c r="B754" s="2">
        <v>0.93500000000000005</v>
      </c>
      <c r="C754">
        <v>4.0000000000000001E-3</v>
      </c>
      <c r="H754">
        <f t="shared" si="77"/>
        <v>37.6</v>
      </c>
      <c r="I754">
        <f t="shared" si="78"/>
        <v>0.93500000000000005</v>
      </c>
      <c r="J754">
        <f t="shared" si="79"/>
        <v>2.7067748422439507E-3</v>
      </c>
      <c r="K754">
        <f t="shared" si="80"/>
        <v>18.749746819963995</v>
      </c>
      <c r="L754">
        <f t="shared" si="81"/>
        <v>1.8045165614959666E-3</v>
      </c>
      <c r="O754">
        <f t="shared" si="82"/>
        <v>18.910172461204333</v>
      </c>
      <c r="P754">
        <f t="shared" si="83"/>
        <v>9.745047731317619E-6</v>
      </c>
    </row>
    <row r="755" spans="1:16" x14ac:dyDescent="0.25">
      <c r="A755" s="1">
        <v>37.65</v>
      </c>
      <c r="B755" s="2">
        <v>0.91700000000000004</v>
      </c>
      <c r="C755">
        <v>5.0000000000000001E-3</v>
      </c>
      <c r="H755">
        <f t="shared" si="77"/>
        <v>37.65</v>
      </c>
      <c r="I755">
        <f t="shared" si="78"/>
        <v>0.91700000000000004</v>
      </c>
      <c r="J755">
        <f t="shared" si="79"/>
        <v>3.7050551279384242E-3</v>
      </c>
      <c r="K755">
        <f t="shared" si="80"/>
        <v>18.388789127173244</v>
      </c>
      <c r="L755">
        <f t="shared" si="81"/>
        <v>2.4700367519589488E-3</v>
      </c>
      <c r="O755">
        <f t="shared" si="82"/>
        <v>18.549214768413581</v>
      </c>
      <c r="P755">
        <f t="shared" si="83"/>
        <v>6.7526523819429977E-4</v>
      </c>
    </row>
    <row r="756" spans="1:16" x14ac:dyDescent="0.25">
      <c r="A756" s="1">
        <v>37.700000000000003</v>
      </c>
      <c r="B756" s="2">
        <v>0.88100000000000001</v>
      </c>
      <c r="C756">
        <v>4.0000000000000001E-3</v>
      </c>
      <c r="H756">
        <f t="shared" si="77"/>
        <v>37.700000000000003</v>
      </c>
      <c r="I756">
        <f t="shared" si="78"/>
        <v>0.88100000000000001</v>
      </c>
      <c r="J756">
        <f t="shared" si="79"/>
        <v>2.7033354136328973E-3</v>
      </c>
      <c r="K756">
        <f t="shared" si="80"/>
        <v>17.666873741591743</v>
      </c>
      <c r="L756">
        <f t="shared" si="81"/>
        <v>1.8022236090885979E-3</v>
      </c>
      <c r="O756">
        <f t="shared" si="82"/>
        <v>17.827299382832081</v>
      </c>
      <c r="P756">
        <f t="shared" si="83"/>
        <v>7.452095323948844E-6</v>
      </c>
    </row>
    <row r="757" spans="1:16" x14ac:dyDescent="0.25">
      <c r="A757" s="1">
        <v>37.75</v>
      </c>
      <c r="B757" s="2">
        <v>0.86799999999999999</v>
      </c>
      <c r="C757">
        <v>5.0000000000000001E-3</v>
      </c>
      <c r="H757">
        <f t="shared" si="77"/>
        <v>37.75</v>
      </c>
      <c r="I757">
        <f t="shared" si="78"/>
        <v>0.86799999999999999</v>
      </c>
      <c r="J757">
        <f t="shared" si="79"/>
        <v>3.7016156993273709E-3</v>
      </c>
      <c r="K757">
        <f t="shared" si="80"/>
        <v>17.406182074576201</v>
      </c>
      <c r="L757">
        <f t="shared" si="81"/>
        <v>2.46774379955158E-3</v>
      </c>
      <c r="O757">
        <f t="shared" si="82"/>
        <v>17.566607715816538</v>
      </c>
      <c r="P757">
        <f t="shared" si="83"/>
        <v>6.7297228578693099E-4</v>
      </c>
    </row>
    <row r="758" spans="1:16" x14ac:dyDescent="0.25">
      <c r="A758" s="1">
        <v>37.799999999999997</v>
      </c>
      <c r="B758" s="2">
        <v>0.86799999999999999</v>
      </c>
      <c r="C758">
        <v>4.0000000000000001E-3</v>
      </c>
      <c r="H758">
        <f t="shared" si="77"/>
        <v>37.799999999999997</v>
      </c>
      <c r="I758">
        <f t="shared" si="78"/>
        <v>0.86799999999999999</v>
      </c>
      <c r="J758">
        <f t="shared" si="79"/>
        <v>2.6998959850218444E-3</v>
      </c>
      <c r="K758">
        <f t="shared" si="80"/>
        <v>17.406182074576201</v>
      </c>
      <c r="L758">
        <f t="shared" si="81"/>
        <v>1.7999306566812291E-3</v>
      </c>
      <c r="O758">
        <f t="shared" si="82"/>
        <v>17.566607715816538</v>
      </c>
      <c r="P758">
        <f t="shared" si="83"/>
        <v>5.159142916580069E-6</v>
      </c>
    </row>
    <row r="759" spans="1:16" x14ac:dyDescent="0.25">
      <c r="A759" s="1">
        <v>37.85</v>
      </c>
      <c r="B759" s="2">
        <v>0.86899999999999999</v>
      </c>
      <c r="C759">
        <v>5.0000000000000001E-3</v>
      </c>
      <c r="H759">
        <f t="shared" si="77"/>
        <v>37.85</v>
      </c>
      <c r="I759">
        <f t="shared" si="78"/>
        <v>0.86899999999999999</v>
      </c>
      <c r="J759">
        <f t="shared" si="79"/>
        <v>3.6981762707163175E-3</v>
      </c>
      <c r="K759">
        <f t="shared" si="80"/>
        <v>17.426235279731241</v>
      </c>
      <c r="L759">
        <f t="shared" si="81"/>
        <v>2.4654508471442112E-3</v>
      </c>
      <c r="O759">
        <f t="shared" si="82"/>
        <v>17.586660920971578</v>
      </c>
      <c r="P759">
        <f t="shared" si="83"/>
        <v>6.7067933337956222E-4</v>
      </c>
    </row>
    <row r="760" spans="1:16" x14ac:dyDescent="0.25">
      <c r="A760" s="1">
        <v>37.9</v>
      </c>
      <c r="B760" s="2">
        <v>0.86899999999999999</v>
      </c>
      <c r="C760">
        <v>4.0000000000000001E-3</v>
      </c>
      <c r="H760">
        <f t="shared" si="77"/>
        <v>37.9</v>
      </c>
      <c r="I760">
        <f t="shared" si="78"/>
        <v>0.86899999999999999</v>
      </c>
      <c r="J760">
        <f t="shared" si="79"/>
        <v>2.696456556410791E-3</v>
      </c>
      <c r="K760">
        <f t="shared" si="80"/>
        <v>17.426235279731241</v>
      </c>
      <c r="L760">
        <f t="shared" si="81"/>
        <v>1.7976377042738603E-3</v>
      </c>
      <c r="O760">
        <f t="shared" si="82"/>
        <v>17.586660920971578</v>
      </c>
      <c r="P760">
        <f t="shared" si="83"/>
        <v>2.866190509211294E-6</v>
      </c>
    </row>
    <row r="761" spans="1:16" x14ac:dyDescent="0.25">
      <c r="A761" s="1">
        <v>37.950000000000003</v>
      </c>
      <c r="B761" s="2">
        <v>0.86899999999999999</v>
      </c>
      <c r="C761">
        <v>5.0000000000000001E-3</v>
      </c>
      <c r="H761">
        <f t="shared" si="77"/>
        <v>37.950000000000003</v>
      </c>
      <c r="I761">
        <f t="shared" si="78"/>
        <v>0.86899999999999999</v>
      </c>
      <c r="J761">
        <f t="shared" si="79"/>
        <v>3.6947368421052641E-3</v>
      </c>
      <c r="K761">
        <f t="shared" si="80"/>
        <v>17.426235279731241</v>
      </c>
      <c r="L761">
        <f t="shared" si="81"/>
        <v>2.463157894736842E-3</v>
      </c>
      <c r="O761">
        <f t="shared" si="82"/>
        <v>17.586660920971578</v>
      </c>
      <c r="P761">
        <f t="shared" si="83"/>
        <v>6.6838638097219301E-4</v>
      </c>
    </row>
    <row r="762" spans="1:16" x14ac:dyDescent="0.25">
      <c r="A762" s="1">
        <v>38</v>
      </c>
      <c r="B762" s="2">
        <v>0.872</v>
      </c>
      <c r="C762">
        <v>4.0000000000000001E-3</v>
      </c>
      <c r="H762">
        <f t="shared" si="77"/>
        <v>38</v>
      </c>
      <c r="I762">
        <f t="shared" si="78"/>
        <v>0.872</v>
      </c>
      <c r="J762">
        <f t="shared" si="79"/>
        <v>2.6930171277997376E-3</v>
      </c>
      <c r="K762">
        <f t="shared" si="80"/>
        <v>17.486394895196366</v>
      </c>
      <c r="L762">
        <f t="shared" si="81"/>
        <v>1.7953447518664913E-3</v>
      </c>
      <c r="O762">
        <f t="shared" si="82"/>
        <v>17.646820536436703</v>
      </c>
      <c r="P762">
        <f t="shared" si="83"/>
        <v>5.7323810184230217E-7</v>
      </c>
    </row>
    <row r="763" spans="1:16" x14ac:dyDescent="0.25">
      <c r="A763" s="1">
        <v>38.049999999999997</v>
      </c>
      <c r="B763" s="2">
        <v>0.86099999999999999</v>
      </c>
      <c r="C763">
        <v>5.0000000000000001E-3</v>
      </c>
      <c r="H763">
        <f t="shared" si="77"/>
        <v>38.049999999999997</v>
      </c>
      <c r="I763">
        <f t="shared" si="78"/>
        <v>0.86099999999999999</v>
      </c>
      <c r="J763">
        <f t="shared" si="79"/>
        <v>3.6912974134942107E-3</v>
      </c>
      <c r="K763">
        <f t="shared" si="80"/>
        <v>17.265809638490907</v>
      </c>
      <c r="L763">
        <f t="shared" si="81"/>
        <v>2.4608649423294732E-3</v>
      </c>
      <c r="O763">
        <f t="shared" si="82"/>
        <v>17.426235279731245</v>
      </c>
      <c r="P763">
        <f t="shared" si="83"/>
        <v>6.6609342856482423E-4</v>
      </c>
    </row>
    <row r="764" spans="1:16" x14ac:dyDescent="0.25">
      <c r="A764" s="1">
        <v>38.1</v>
      </c>
      <c r="B764" s="2">
        <v>0.80200000000000005</v>
      </c>
      <c r="C764">
        <v>4.0000000000000001E-3</v>
      </c>
      <c r="H764">
        <f t="shared" si="77"/>
        <v>38.1</v>
      </c>
      <c r="I764">
        <f t="shared" si="78"/>
        <v>0.80200000000000005</v>
      </c>
      <c r="J764">
        <f t="shared" si="79"/>
        <v>2.6895776991886842E-3</v>
      </c>
      <c r="K764">
        <f t="shared" si="80"/>
        <v>16.08267053434345</v>
      </c>
      <c r="L764">
        <f t="shared" si="81"/>
        <v>1.7930517994591223E-3</v>
      </c>
      <c r="O764">
        <f t="shared" si="82"/>
        <v>16.243096175583787</v>
      </c>
      <c r="P764">
        <f t="shared" si="83"/>
        <v>-1.7197143055266897E-6</v>
      </c>
    </row>
    <row r="765" spans="1:16" x14ac:dyDescent="0.25">
      <c r="A765" s="1">
        <v>38.15</v>
      </c>
      <c r="B765" s="2">
        <v>0.73</v>
      </c>
      <c r="C765">
        <v>5.0000000000000001E-3</v>
      </c>
      <c r="H765">
        <f t="shared" si="77"/>
        <v>38.15</v>
      </c>
      <c r="I765">
        <f t="shared" si="78"/>
        <v>0.73</v>
      </c>
      <c r="J765">
        <f t="shared" si="79"/>
        <v>3.6878579848831578E-3</v>
      </c>
      <c r="K765">
        <f t="shared" si="80"/>
        <v>14.638839763180444</v>
      </c>
      <c r="L765">
        <f t="shared" si="81"/>
        <v>2.4585719899221045E-3</v>
      </c>
      <c r="O765">
        <f t="shared" si="82"/>
        <v>14.799265404420781</v>
      </c>
      <c r="P765">
        <f t="shared" si="83"/>
        <v>6.6380047615745546E-4</v>
      </c>
    </row>
    <row r="766" spans="1:16" x14ac:dyDescent="0.25">
      <c r="A766" s="1">
        <v>38.200000000000003</v>
      </c>
      <c r="B766" s="2">
        <v>0.66900000000000004</v>
      </c>
      <c r="C766">
        <v>4.0000000000000001E-3</v>
      </c>
      <c r="H766">
        <f t="shared" si="77"/>
        <v>38.200000000000003</v>
      </c>
      <c r="I766">
        <f t="shared" si="78"/>
        <v>0.66900000000000004</v>
      </c>
      <c r="J766">
        <f t="shared" si="79"/>
        <v>2.6861382705776309E-3</v>
      </c>
      <c r="K766">
        <f t="shared" si="80"/>
        <v>13.415594248722902</v>
      </c>
      <c r="L766">
        <f t="shared" si="81"/>
        <v>1.7907588470517535E-3</v>
      </c>
      <c r="O766">
        <f t="shared" si="82"/>
        <v>13.57601988996324</v>
      </c>
      <c r="P766">
        <f t="shared" si="83"/>
        <v>-4.0126667128954647E-6</v>
      </c>
    </row>
    <row r="767" spans="1:16" x14ac:dyDescent="0.25">
      <c r="A767" s="1">
        <v>38.25</v>
      </c>
      <c r="B767" s="2">
        <v>0.57499999999999996</v>
      </c>
      <c r="C767">
        <v>4.0000000000000001E-3</v>
      </c>
      <c r="H767">
        <f t="shared" si="77"/>
        <v>38.25</v>
      </c>
      <c r="I767">
        <f t="shared" si="78"/>
        <v>0.57499999999999996</v>
      </c>
      <c r="J767">
        <f t="shared" si="79"/>
        <v>2.6844185562721039E-3</v>
      </c>
      <c r="K767">
        <f t="shared" si="80"/>
        <v>11.53059296414898</v>
      </c>
      <c r="L767">
        <f t="shared" si="81"/>
        <v>1.7896123708480689E-3</v>
      </c>
      <c r="O767">
        <f t="shared" si="82"/>
        <v>11.691018605389317</v>
      </c>
      <c r="P767">
        <f t="shared" si="83"/>
        <v>-5.159142916580069E-6</v>
      </c>
    </row>
    <row r="768" spans="1:16" x14ac:dyDescent="0.25">
      <c r="A768" s="1">
        <v>38.299999999999997</v>
      </c>
      <c r="B768" s="2">
        <v>0.55100000000000005</v>
      </c>
      <c r="C768">
        <v>4.0000000000000001E-3</v>
      </c>
      <c r="H768">
        <f t="shared" si="77"/>
        <v>38.299999999999997</v>
      </c>
      <c r="I768">
        <f t="shared" si="78"/>
        <v>0.55100000000000005</v>
      </c>
      <c r="J768">
        <f t="shared" si="79"/>
        <v>2.6826988419665779E-3</v>
      </c>
      <c r="K768">
        <f t="shared" si="80"/>
        <v>11.04931604042798</v>
      </c>
      <c r="L768">
        <f t="shared" si="81"/>
        <v>1.788465894644385E-3</v>
      </c>
      <c r="O768">
        <f t="shared" si="82"/>
        <v>11.209741681668318</v>
      </c>
      <c r="P768">
        <f t="shared" si="83"/>
        <v>-6.3056191202640229E-6</v>
      </c>
    </row>
    <row r="769" spans="1:16" x14ac:dyDescent="0.25">
      <c r="A769" s="1">
        <v>38.35</v>
      </c>
      <c r="B769" s="2">
        <v>0.54900000000000004</v>
      </c>
      <c r="C769">
        <v>4.0000000000000001E-3</v>
      </c>
      <c r="H769">
        <f t="shared" si="77"/>
        <v>38.35</v>
      </c>
      <c r="I769">
        <f t="shared" si="78"/>
        <v>0.54900000000000004</v>
      </c>
      <c r="J769">
        <f t="shared" si="79"/>
        <v>2.680979127661051E-3</v>
      </c>
      <c r="K769">
        <f t="shared" si="80"/>
        <v>11.009209630117898</v>
      </c>
      <c r="L769">
        <f t="shared" si="81"/>
        <v>1.7873194184407004E-3</v>
      </c>
      <c r="O769">
        <f t="shared" si="82"/>
        <v>11.169635271358235</v>
      </c>
      <c r="P769">
        <f t="shared" si="83"/>
        <v>-7.4520953239486272E-6</v>
      </c>
    </row>
    <row r="770" spans="1:16" x14ac:dyDescent="0.25">
      <c r="A770" s="1">
        <v>38.4</v>
      </c>
      <c r="B770" s="2">
        <v>0.54900000000000004</v>
      </c>
      <c r="C770">
        <v>4.0000000000000001E-3</v>
      </c>
      <c r="H770">
        <f t="shared" si="77"/>
        <v>38.4</v>
      </c>
      <c r="I770">
        <f t="shared" si="78"/>
        <v>0.54900000000000004</v>
      </c>
      <c r="J770">
        <f t="shared" si="79"/>
        <v>2.6792594133555241E-3</v>
      </c>
      <c r="K770">
        <f t="shared" si="80"/>
        <v>11.009209630117898</v>
      </c>
      <c r="L770">
        <f t="shared" si="81"/>
        <v>1.7861729422370158E-3</v>
      </c>
      <c r="O770">
        <f t="shared" si="82"/>
        <v>11.169635271358235</v>
      </c>
      <c r="P770">
        <f t="shared" si="83"/>
        <v>-8.5985715276332315E-6</v>
      </c>
    </row>
    <row r="771" spans="1:16" x14ac:dyDescent="0.25">
      <c r="A771" s="1">
        <v>38.450000000000003</v>
      </c>
      <c r="B771" s="2">
        <v>0.54900000000000004</v>
      </c>
      <c r="C771">
        <v>4.0000000000000001E-3</v>
      </c>
      <c r="H771">
        <f t="shared" ref="H771:H834" si="84">A771</f>
        <v>38.450000000000003</v>
      </c>
      <c r="I771">
        <f t="shared" ref="I771:I834" si="85">B771</f>
        <v>0.54900000000000004</v>
      </c>
      <c r="J771">
        <f t="shared" ref="J771:J834" si="86">C771-E$12*A771</f>
        <v>2.6775396990499972E-3</v>
      </c>
      <c r="K771">
        <f t="shared" ref="K771:K834" si="87">F$24*I771</f>
        <v>11.009209630117898</v>
      </c>
      <c r="L771">
        <f t="shared" ref="L771:L834" si="88">F$25*J771</f>
        <v>1.7850264660333312E-3</v>
      </c>
      <c r="O771">
        <f t="shared" ref="O771:O834" si="89">K771-N$12</f>
        <v>11.169635271358235</v>
      </c>
      <c r="P771">
        <f t="shared" ref="P771:P834" si="90">L771-N$15</f>
        <v>-9.7450477313178359E-6</v>
      </c>
    </row>
    <row r="772" spans="1:16" x14ac:dyDescent="0.25">
      <c r="A772" s="1">
        <v>38.5</v>
      </c>
      <c r="B772" s="2">
        <v>0.54900000000000004</v>
      </c>
      <c r="C772">
        <v>4.0000000000000001E-3</v>
      </c>
      <c r="H772">
        <f t="shared" si="84"/>
        <v>38.5</v>
      </c>
      <c r="I772">
        <f t="shared" si="85"/>
        <v>0.54900000000000004</v>
      </c>
      <c r="J772">
        <f t="shared" si="86"/>
        <v>2.6758199847444711E-3</v>
      </c>
      <c r="K772">
        <f t="shared" si="87"/>
        <v>11.009209630117898</v>
      </c>
      <c r="L772">
        <f t="shared" si="88"/>
        <v>1.783879989829647E-3</v>
      </c>
      <c r="O772">
        <f t="shared" si="89"/>
        <v>11.169635271358235</v>
      </c>
      <c r="P772">
        <f t="shared" si="90"/>
        <v>-1.0891523935002007E-5</v>
      </c>
    </row>
    <row r="773" spans="1:16" x14ac:dyDescent="0.25">
      <c r="A773" s="1">
        <v>38.549999999999997</v>
      </c>
      <c r="B773" s="2">
        <v>0.54900000000000004</v>
      </c>
      <c r="C773">
        <v>5.0000000000000001E-3</v>
      </c>
      <c r="H773">
        <f t="shared" si="84"/>
        <v>38.549999999999997</v>
      </c>
      <c r="I773">
        <f t="shared" si="85"/>
        <v>0.54900000000000004</v>
      </c>
      <c r="J773">
        <f t="shared" si="86"/>
        <v>3.6741002704389443E-3</v>
      </c>
      <c r="K773">
        <f t="shared" si="87"/>
        <v>11.009209630117898</v>
      </c>
      <c r="L773">
        <f t="shared" si="88"/>
        <v>2.4494001802926289E-3</v>
      </c>
      <c r="O773">
        <f t="shared" si="89"/>
        <v>11.169635271358235</v>
      </c>
      <c r="P773">
        <f t="shared" si="90"/>
        <v>6.5462866652797993E-4</v>
      </c>
    </row>
    <row r="774" spans="1:16" x14ac:dyDescent="0.25">
      <c r="A774" s="1">
        <v>38.6</v>
      </c>
      <c r="B774" s="2">
        <v>0.54900000000000004</v>
      </c>
      <c r="C774">
        <v>4.0000000000000001E-3</v>
      </c>
      <c r="H774">
        <f t="shared" si="84"/>
        <v>38.6</v>
      </c>
      <c r="I774">
        <f t="shared" si="85"/>
        <v>0.54900000000000004</v>
      </c>
      <c r="J774">
        <f t="shared" si="86"/>
        <v>2.6723805561334173E-3</v>
      </c>
      <c r="K774">
        <f t="shared" si="87"/>
        <v>11.009209630117898</v>
      </c>
      <c r="L774">
        <f t="shared" si="88"/>
        <v>1.7815870374222778E-3</v>
      </c>
      <c r="O774">
        <f t="shared" si="89"/>
        <v>11.169635271358235</v>
      </c>
      <c r="P774">
        <f t="shared" si="90"/>
        <v>-1.3184476342371215E-5</v>
      </c>
    </row>
    <row r="775" spans="1:16" x14ac:dyDescent="0.25">
      <c r="A775" s="1">
        <v>38.65</v>
      </c>
      <c r="B775" s="2">
        <v>0.54500000000000004</v>
      </c>
      <c r="C775">
        <v>5.0000000000000001E-3</v>
      </c>
      <c r="H775">
        <f t="shared" si="84"/>
        <v>38.65</v>
      </c>
      <c r="I775">
        <f t="shared" si="85"/>
        <v>0.54500000000000004</v>
      </c>
      <c r="J775">
        <f t="shared" si="86"/>
        <v>3.6706608418278913E-3</v>
      </c>
      <c r="K775">
        <f t="shared" si="87"/>
        <v>10.928996809497731</v>
      </c>
      <c r="L775">
        <f t="shared" si="88"/>
        <v>2.4471072278852602E-3</v>
      </c>
      <c r="O775">
        <f t="shared" si="89"/>
        <v>11.089422450738068</v>
      </c>
      <c r="P775">
        <f t="shared" si="90"/>
        <v>6.5233571412061115E-4</v>
      </c>
    </row>
    <row r="776" spans="1:16" x14ac:dyDescent="0.25">
      <c r="A776" s="1">
        <v>38.700000000000003</v>
      </c>
      <c r="B776" s="2">
        <v>0.51600000000000001</v>
      </c>
      <c r="C776">
        <v>4.0000000000000001E-3</v>
      </c>
      <c r="H776">
        <f t="shared" si="84"/>
        <v>38.700000000000003</v>
      </c>
      <c r="I776">
        <f t="shared" si="85"/>
        <v>0.51600000000000001</v>
      </c>
      <c r="J776">
        <f t="shared" si="86"/>
        <v>2.6689411275223644E-3</v>
      </c>
      <c r="K776">
        <f t="shared" si="87"/>
        <v>10.34745386000152</v>
      </c>
      <c r="L776">
        <f t="shared" si="88"/>
        <v>1.7792940850149092E-3</v>
      </c>
      <c r="O776">
        <f t="shared" si="89"/>
        <v>10.507879501241858</v>
      </c>
      <c r="P776">
        <f t="shared" si="90"/>
        <v>-1.5477428749739773E-5</v>
      </c>
    </row>
    <row r="777" spans="1:16" x14ac:dyDescent="0.25">
      <c r="A777" s="1">
        <v>38.75</v>
      </c>
      <c r="B777" s="2">
        <v>0.45600000000000002</v>
      </c>
      <c r="C777">
        <v>4.0000000000000001E-3</v>
      </c>
      <c r="H777">
        <f t="shared" si="84"/>
        <v>38.75</v>
      </c>
      <c r="I777">
        <f t="shared" si="85"/>
        <v>0.45600000000000002</v>
      </c>
      <c r="J777">
        <f t="shared" si="86"/>
        <v>2.6672214132168375E-3</v>
      </c>
      <c r="K777">
        <f t="shared" si="87"/>
        <v>9.144261550699019</v>
      </c>
      <c r="L777">
        <f t="shared" si="88"/>
        <v>1.7781476088112246E-3</v>
      </c>
      <c r="O777">
        <f t="shared" si="89"/>
        <v>9.3046871919393563</v>
      </c>
      <c r="P777">
        <f t="shared" si="90"/>
        <v>-1.6623904953424378E-5</v>
      </c>
    </row>
    <row r="778" spans="1:16" x14ac:dyDescent="0.25">
      <c r="A778" s="1">
        <v>38.799999999999997</v>
      </c>
      <c r="B778" s="2">
        <v>0.434</v>
      </c>
      <c r="C778">
        <v>4.0000000000000001E-3</v>
      </c>
      <c r="H778">
        <f t="shared" si="84"/>
        <v>38.799999999999997</v>
      </c>
      <c r="I778">
        <f t="shared" si="85"/>
        <v>0.434</v>
      </c>
      <c r="J778">
        <f t="shared" si="86"/>
        <v>2.665501698911311E-3</v>
      </c>
      <c r="K778">
        <f t="shared" si="87"/>
        <v>8.7030910372881003</v>
      </c>
      <c r="L778">
        <f t="shared" si="88"/>
        <v>1.7770011326075402E-3</v>
      </c>
      <c r="O778">
        <f t="shared" si="89"/>
        <v>8.8635166785284376</v>
      </c>
      <c r="P778">
        <f t="shared" si="90"/>
        <v>-1.7770381157108765E-5</v>
      </c>
    </row>
    <row r="779" spans="1:16" x14ac:dyDescent="0.25">
      <c r="A779" s="1">
        <v>38.85</v>
      </c>
      <c r="B779" s="2">
        <v>0.39800000000000002</v>
      </c>
      <c r="C779">
        <v>4.0000000000000001E-3</v>
      </c>
      <c r="H779">
        <f t="shared" si="84"/>
        <v>38.85</v>
      </c>
      <c r="I779">
        <f t="shared" si="85"/>
        <v>0.39800000000000002</v>
      </c>
      <c r="J779">
        <f t="shared" si="86"/>
        <v>2.6637819846057845E-3</v>
      </c>
      <c r="K779">
        <f t="shared" si="87"/>
        <v>7.9811756517065993</v>
      </c>
      <c r="L779">
        <f t="shared" si="88"/>
        <v>1.7758546564038561E-3</v>
      </c>
      <c r="O779">
        <f t="shared" si="89"/>
        <v>8.1416012929469375</v>
      </c>
      <c r="P779">
        <f t="shared" si="90"/>
        <v>-1.8916857360792936E-5</v>
      </c>
    </row>
    <row r="780" spans="1:16" x14ac:dyDescent="0.25">
      <c r="A780" s="1">
        <v>38.9</v>
      </c>
      <c r="B780" s="2">
        <v>0.33100000000000002</v>
      </c>
      <c r="C780">
        <v>4.0000000000000001E-3</v>
      </c>
      <c r="H780">
        <f t="shared" si="84"/>
        <v>38.9</v>
      </c>
      <c r="I780">
        <f t="shared" si="85"/>
        <v>0.33100000000000002</v>
      </c>
      <c r="J780">
        <f t="shared" si="86"/>
        <v>2.6620622703002576E-3</v>
      </c>
      <c r="K780">
        <f t="shared" si="87"/>
        <v>6.6376109063188053</v>
      </c>
      <c r="L780">
        <f t="shared" si="88"/>
        <v>1.7747081802001715E-3</v>
      </c>
      <c r="O780">
        <f t="shared" si="89"/>
        <v>6.7980365475591427</v>
      </c>
      <c r="P780">
        <f t="shared" si="90"/>
        <v>-2.006333356447754E-5</v>
      </c>
    </row>
    <row r="781" spans="1:16" x14ac:dyDescent="0.25">
      <c r="A781" s="1">
        <v>38.950000000000003</v>
      </c>
      <c r="B781" s="2">
        <v>0.30399999999999999</v>
      </c>
      <c r="C781">
        <v>4.0000000000000001E-3</v>
      </c>
      <c r="H781">
        <f t="shared" si="84"/>
        <v>38.950000000000003</v>
      </c>
      <c r="I781">
        <f t="shared" si="85"/>
        <v>0.30399999999999999</v>
      </c>
      <c r="J781">
        <f t="shared" si="86"/>
        <v>2.6603425559947307E-3</v>
      </c>
      <c r="K781">
        <f t="shared" si="87"/>
        <v>6.0961743671326785</v>
      </c>
      <c r="L781">
        <f t="shared" si="88"/>
        <v>1.7735617039964869E-3</v>
      </c>
      <c r="O781">
        <f t="shared" si="89"/>
        <v>6.2566000083730158</v>
      </c>
      <c r="P781">
        <f t="shared" si="90"/>
        <v>-2.1209809768162145E-5</v>
      </c>
    </row>
    <row r="782" spans="1:16" x14ac:dyDescent="0.25">
      <c r="A782" s="1">
        <v>39</v>
      </c>
      <c r="B782" s="2">
        <v>0.29099999999999998</v>
      </c>
      <c r="C782">
        <v>4.0000000000000001E-3</v>
      </c>
      <c r="H782">
        <f t="shared" si="84"/>
        <v>39</v>
      </c>
      <c r="I782">
        <f t="shared" si="85"/>
        <v>0.29099999999999998</v>
      </c>
      <c r="J782">
        <f t="shared" si="86"/>
        <v>2.6586228416892043E-3</v>
      </c>
      <c r="K782">
        <f t="shared" si="87"/>
        <v>5.8354827001171357</v>
      </c>
      <c r="L782">
        <f t="shared" si="88"/>
        <v>1.7724152277928025E-3</v>
      </c>
      <c r="O782">
        <f t="shared" si="89"/>
        <v>5.995908341357473</v>
      </c>
      <c r="P782">
        <f t="shared" si="90"/>
        <v>-2.2356285971846532E-5</v>
      </c>
    </row>
    <row r="783" spans="1:16" x14ac:dyDescent="0.25">
      <c r="A783" s="1">
        <v>39.049999999999997</v>
      </c>
      <c r="B783" s="2">
        <v>0.28999999999999998</v>
      </c>
      <c r="C783">
        <v>5.0000000000000001E-3</v>
      </c>
      <c r="H783">
        <f t="shared" si="84"/>
        <v>39.049999999999997</v>
      </c>
      <c r="I783">
        <f t="shared" si="85"/>
        <v>0.28999999999999998</v>
      </c>
      <c r="J783">
        <f t="shared" si="86"/>
        <v>3.6569031273836778E-3</v>
      </c>
      <c r="K783">
        <f t="shared" si="87"/>
        <v>5.8154294949620944</v>
      </c>
      <c r="L783">
        <f t="shared" si="88"/>
        <v>2.4379354182557846E-3</v>
      </c>
      <c r="O783">
        <f t="shared" si="89"/>
        <v>5.9758551362024317</v>
      </c>
      <c r="P783">
        <f t="shared" si="90"/>
        <v>6.4316390449113562E-4</v>
      </c>
    </row>
    <row r="784" spans="1:16" x14ac:dyDescent="0.25">
      <c r="A784" s="1">
        <v>39.1</v>
      </c>
      <c r="B784" s="2">
        <v>0.28999999999999998</v>
      </c>
      <c r="C784">
        <v>4.0000000000000001E-3</v>
      </c>
      <c r="H784">
        <f t="shared" si="84"/>
        <v>39.1</v>
      </c>
      <c r="I784">
        <f t="shared" si="85"/>
        <v>0.28999999999999998</v>
      </c>
      <c r="J784">
        <f t="shared" si="86"/>
        <v>2.6551834130781509E-3</v>
      </c>
      <c r="K784">
        <f t="shared" si="87"/>
        <v>5.8154294949620944</v>
      </c>
      <c r="L784">
        <f t="shared" si="88"/>
        <v>1.7701222753854335E-3</v>
      </c>
      <c r="O784">
        <f t="shared" si="89"/>
        <v>5.9758551362024317</v>
      </c>
      <c r="P784">
        <f t="shared" si="90"/>
        <v>-2.4649238379215524E-5</v>
      </c>
    </row>
    <row r="785" spans="1:16" x14ac:dyDescent="0.25">
      <c r="A785" s="1">
        <v>39.15</v>
      </c>
      <c r="B785" s="2">
        <v>0.28999999999999998</v>
      </c>
      <c r="C785">
        <v>5.0000000000000001E-3</v>
      </c>
      <c r="H785">
        <f t="shared" si="84"/>
        <v>39.15</v>
      </c>
      <c r="I785">
        <f t="shared" si="85"/>
        <v>0.28999999999999998</v>
      </c>
      <c r="J785">
        <f t="shared" si="86"/>
        <v>3.6534636987726244E-3</v>
      </c>
      <c r="K785">
        <f t="shared" si="87"/>
        <v>5.8154294949620944</v>
      </c>
      <c r="L785">
        <f t="shared" si="88"/>
        <v>2.4356424658484158E-3</v>
      </c>
      <c r="O785">
        <f t="shared" si="89"/>
        <v>5.9758551362024317</v>
      </c>
      <c r="P785">
        <f t="shared" si="90"/>
        <v>6.4087095208376684E-4</v>
      </c>
    </row>
    <row r="786" spans="1:16" x14ac:dyDescent="0.25">
      <c r="A786" s="1">
        <v>39.200000000000003</v>
      </c>
      <c r="B786" s="2">
        <v>0.28999999999999998</v>
      </c>
      <c r="C786">
        <v>4.0000000000000001E-3</v>
      </c>
      <c r="H786">
        <f t="shared" si="84"/>
        <v>39.200000000000003</v>
      </c>
      <c r="I786">
        <f t="shared" si="85"/>
        <v>0.28999999999999998</v>
      </c>
      <c r="J786">
        <f t="shared" si="86"/>
        <v>2.6517439844670975E-3</v>
      </c>
      <c r="K786">
        <f t="shared" si="87"/>
        <v>5.8154294949620944</v>
      </c>
      <c r="L786">
        <f t="shared" si="88"/>
        <v>1.7678293229780647E-3</v>
      </c>
      <c r="O786">
        <f t="shared" si="89"/>
        <v>5.9758551362024317</v>
      </c>
      <c r="P786">
        <f t="shared" si="90"/>
        <v>-2.6942190786584299E-5</v>
      </c>
    </row>
    <row r="787" spans="1:16" x14ac:dyDescent="0.25">
      <c r="A787" s="1">
        <v>39.25</v>
      </c>
      <c r="B787" s="2">
        <v>0.29099999999999998</v>
      </c>
      <c r="C787">
        <v>4.0000000000000001E-3</v>
      </c>
      <c r="H787">
        <f t="shared" si="84"/>
        <v>39.25</v>
      </c>
      <c r="I787">
        <f t="shared" si="85"/>
        <v>0.29099999999999998</v>
      </c>
      <c r="J787">
        <f t="shared" si="86"/>
        <v>2.650024270161571E-3</v>
      </c>
      <c r="K787">
        <f t="shared" si="87"/>
        <v>5.8354827001171357</v>
      </c>
      <c r="L787">
        <f t="shared" si="88"/>
        <v>1.7666828467743803E-3</v>
      </c>
      <c r="O787">
        <f t="shared" si="89"/>
        <v>5.995908341357473</v>
      </c>
      <c r="P787">
        <f t="shared" si="90"/>
        <v>-2.8088666990268686E-5</v>
      </c>
    </row>
    <row r="788" spans="1:16" x14ac:dyDescent="0.25">
      <c r="A788" s="1">
        <v>39.299999999999997</v>
      </c>
      <c r="B788" s="2">
        <v>0.29399999999999998</v>
      </c>
      <c r="C788">
        <v>4.0000000000000001E-3</v>
      </c>
      <c r="H788">
        <f t="shared" si="84"/>
        <v>39.299999999999997</v>
      </c>
      <c r="I788">
        <f t="shared" si="85"/>
        <v>0.29399999999999998</v>
      </c>
      <c r="J788">
        <f t="shared" si="86"/>
        <v>2.6483045558560445E-3</v>
      </c>
      <c r="K788">
        <f t="shared" si="87"/>
        <v>5.8956423155822613</v>
      </c>
      <c r="L788">
        <f t="shared" si="88"/>
        <v>1.7655363705706959E-3</v>
      </c>
      <c r="O788">
        <f t="shared" si="89"/>
        <v>6.0560679568225986</v>
      </c>
      <c r="P788">
        <f t="shared" si="90"/>
        <v>-2.9235143193953074E-5</v>
      </c>
    </row>
    <row r="789" spans="1:16" x14ac:dyDescent="0.25">
      <c r="A789" s="1">
        <v>39.35</v>
      </c>
      <c r="B789" s="2">
        <v>0.27900000000000003</v>
      </c>
      <c r="C789">
        <v>4.0000000000000001E-3</v>
      </c>
      <c r="H789">
        <f t="shared" si="84"/>
        <v>39.35</v>
      </c>
      <c r="I789">
        <f t="shared" si="85"/>
        <v>0.27900000000000003</v>
      </c>
      <c r="J789">
        <f t="shared" si="86"/>
        <v>2.6465848415505176E-3</v>
      </c>
      <c r="K789">
        <f t="shared" si="87"/>
        <v>5.5948442382566368</v>
      </c>
      <c r="L789">
        <f t="shared" si="88"/>
        <v>1.7643898943670113E-3</v>
      </c>
      <c r="O789">
        <f t="shared" si="89"/>
        <v>5.7552698794969741</v>
      </c>
      <c r="P789">
        <f t="shared" si="90"/>
        <v>-3.0381619397637678E-5</v>
      </c>
    </row>
    <row r="790" spans="1:16" x14ac:dyDescent="0.25">
      <c r="A790" s="1">
        <v>39.4</v>
      </c>
      <c r="B790" s="2">
        <v>0.22</v>
      </c>
      <c r="C790">
        <v>4.0000000000000001E-3</v>
      </c>
      <c r="H790">
        <f t="shared" si="84"/>
        <v>39.4</v>
      </c>
      <c r="I790">
        <f t="shared" si="85"/>
        <v>0.22</v>
      </c>
      <c r="J790">
        <f t="shared" si="86"/>
        <v>2.6448651272449912E-3</v>
      </c>
      <c r="K790">
        <f t="shared" si="87"/>
        <v>4.4117051341091758</v>
      </c>
      <c r="L790">
        <f t="shared" si="88"/>
        <v>1.7632434181633272E-3</v>
      </c>
      <c r="O790">
        <f t="shared" si="89"/>
        <v>4.5721307753495131</v>
      </c>
      <c r="P790">
        <f t="shared" si="90"/>
        <v>-3.1528095601321849E-5</v>
      </c>
    </row>
    <row r="791" spans="1:16" x14ac:dyDescent="0.25">
      <c r="A791" s="1">
        <v>39.450000000000003</v>
      </c>
      <c r="B791" s="2">
        <v>0.155</v>
      </c>
      <c r="C791">
        <v>5.0000000000000001E-3</v>
      </c>
      <c r="H791">
        <f t="shared" si="84"/>
        <v>39.450000000000003</v>
      </c>
      <c r="I791">
        <f t="shared" si="85"/>
        <v>0.155</v>
      </c>
      <c r="J791">
        <f t="shared" si="86"/>
        <v>3.6431454129394643E-3</v>
      </c>
      <c r="K791">
        <f t="shared" si="87"/>
        <v>3.1082467990314644</v>
      </c>
      <c r="L791">
        <f t="shared" si="88"/>
        <v>2.4287636086263091E-3</v>
      </c>
      <c r="O791">
        <f t="shared" si="89"/>
        <v>3.2686724402718017</v>
      </c>
      <c r="P791">
        <f t="shared" si="90"/>
        <v>6.3399209486166008E-4</v>
      </c>
    </row>
    <row r="792" spans="1:16" x14ac:dyDescent="0.25">
      <c r="A792" s="1">
        <v>39.5</v>
      </c>
      <c r="B792" s="2">
        <v>0.104</v>
      </c>
      <c r="C792">
        <v>4.0000000000000001E-3</v>
      </c>
      <c r="H792">
        <f t="shared" si="84"/>
        <v>39.5</v>
      </c>
      <c r="I792">
        <f t="shared" si="85"/>
        <v>0.104</v>
      </c>
      <c r="J792">
        <f t="shared" si="86"/>
        <v>2.6414256986339378E-3</v>
      </c>
      <c r="K792">
        <f t="shared" si="87"/>
        <v>2.0855333361243371</v>
      </c>
      <c r="L792">
        <f t="shared" si="88"/>
        <v>1.7609504657559582E-3</v>
      </c>
      <c r="O792">
        <f t="shared" si="89"/>
        <v>2.2459589773646744</v>
      </c>
      <c r="P792">
        <f t="shared" si="90"/>
        <v>-3.3821048008690841E-5</v>
      </c>
    </row>
    <row r="793" spans="1:16" x14ac:dyDescent="0.25">
      <c r="A793" s="1">
        <v>39.549999999999997</v>
      </c>
      <c r="B793" s="2">
        <v>0.08</v>
      </c>
      <c r="C793">
        <v>4.0000000000000001E-3</v>
      </c>
      <c r="H793">
        <f t="shared" si="84"/>
        <v>39.549999999999997</v>
      </c>
      <c r="I793">
        <f t="shared" si="85"/>
        <v>0.08</v>
      </c>
      <c r="J793">
        <f t="shared" si="86"/>
        <v>2.6397059843284113E-3</v>
      </c>
      <c r="K793">
        <f t="shared" si="87"/>
        <v>1.6042564124033365</v>
      </c>
      <c r="L793">
        <f t="shared" si="88"/>
        <v>1.7598039895522738E-3</v>
      </c>
      <c r="O793">
        <f t="shared" si="89"/>
        <v>1.7646820536436738</v>
      </c>
      <c r="P793">
        <f t="shared" si="90"/>
        <v>-3.4967524212375228E-5</v>
      </c>
    </row>
    <row r="794" spans="1:16" x14ac:dyDescent="0.25">
      <c r="A794" s="1">
        <v>39.6</v>
      </c>
      <c r="B794" s="2">
        <v>5.2999999999999999E-2</v>
      </c>
      <c r="C794">
        <v>4.0000000000000001E-3</v>
      </c>
      <c r="H794">
        <f t="shared" si="84"/>
        <v>39.6</v>
      </c>
      <c r="I794">
        <f t="shared" si="85"/>
        <v>5.2999999999999999E-2</v>
      </c>
      <c r="J794">
        <f t="shared" si="86"/>
        <v>2.6379862700228844E-3</v>
      </c>
      <c r="K794">
        <f t="shared" si="87"/>
        <v>1.0628198732172103</v>
      </c>
      <c r="L794">
        <f t="shared" si="88"/>
        <v>1.7586575133485892E-3</v>
      </c>
      <c r="O794">
        <f t="shared" si="89"/>
        <v>1.2232455144575476</v>
      </c>
      <c r="P794">
        <f t="shared" si="90"/>
        <v>-3.6114000416059833E-5</v>
      </c>
    </row>
    <row r="795" spans="1:16" x14ac:dyDescent="0.25">
      <c r="A795" s="1">
        <v>39.65</v>
      </c>
      <c r="B795" s="2">
        <v>1.4999999999999999E-2</v>
      </c>
      <c r="C795">
        <v>5.0000000000000001E-3</v>
      </c>
      <c r="H795">
        <f t="shared" si="84"/>
        <v>39.65</v>
      </c>
      <c r="I795">
        <f t="shared" si="85"/>
        <v>1.4999999999999999E-2</v>
      </c>
      <c r="J795">
        <f t="shared" si="86"/>
        <v>3.6362665557173575E-3</v>
      </c>
      <c r="K795">
        <f t="shared" si="87"/>
        <v>0.30079807732562558</v>
      </c>
      <c r="L795">
        <f t="shared" si="88"/>
        <v>2.4241777038115711E-3</v>
      </c>
      <c r="O795">
        <f t="shared" si="89"/>
        <v>0.46122371856596289</v>
      </c>
      <c r="P795">
        <f t="shared" si="90"/>
        <v>6.294061900469221E-4</v>
      </c>
    </row>
    <row r="796" spans="1:16" x14ac:dyDescent="0.25">
      <c r="A796" s="1">
        <v>39.700000000000003</v>
      </c>
      <c r="B796" s="2">
        <v>5.0000000000000001E-3</v>
      </c>
      <c r="C796">
        <v>4.0000000000000001E-3</v>
      </c>
      <c r="H796">
        <f t="shared" si="84"/>
        <v>39.700000000000003</v>
      </c>
      <c r="I796">
        <f t="shared" si="85"/>
        <v>5.0000000000000001E-3</v>
      </c>
      <c r="J796">
        <f t="shared" si="86"/>
        <v>2.634546841411831E-3</v>
      </c>
      <c r="K796">
        <f t="shared" si="87"/>
        <v>0.10026602577520853</v>
      </c>
      <c r="L796">
        <f t="shared" si="88"/>
        <v>1.7563645609412204E-3</v>
      </c>
      <c r="O796">
        <f t="shared" si="89"/>
        <v>0.26069166701554586</v>
      </c>
      <c r="P796">
        <f t="shared" si="90"/>
        <v>-3.8406952823428608E-5</v>
      </c>
    </row>
    <row r="797" spans="1:16" x14ac:dyDescent="0.25">
      <c r="A797" s="1">
        <v>39.75</v>
      </c>
      <c r="B797" s="2">
        <v>4.0000000000000001E-3</v>
      </c>
      <c r="C797">
        <v>4.0000000000000001E-3</v>
      </c>
      <c r="H797">
        <f t="shared" si="84"/>
        <v>39.75</v>
      </c>
      <c r="I797">
        <f t="shared" si="85"/>
        <v>4.0000000000000001E-3</v>
      </c>
      <c r="J797">
        <f t="shared" si="86"/>
        <v>2.6328271271063046E-3</v>
      </c>
      <c r="K797">
        <f t="shared" si="87"/>
        <v>8.0212820620166825E-2</v>
      </c>
      <c r="L797">
        <f t="shared" si="88"/>
        <v>1.755218084737536E-3</v>
      </c>
      <c r="O797">
        <f t="shared" si="89"/>
        <v>0.24063846186050414</v>
      </c>
      <c r="P797">
        <f t="shared" si="90"/>
        <v>-3.9553429027112995E-5</v>
      </c>
    </row>
    <row r="798" spans="1:16" x14ac:dyDescent="0.25">
      <c r="A798" s="1">
        <v>39.799999999999997</v>
      </c>
      <c r="B798" s="2">
        <v>3.0000000000000001E-3</v>
      </c>
      <c r="C798">
        <v>4.0000000000000001E-3</v>
      </c>
      <c r="H798">
        <f t="shared" si="84"/>
        <v>39.799999999999997</v>
      </c>
      <c r="I798">
        <f t="shared" si="85"/>
        <v>3.0000000000000001E-3</v>
      </c>
      <c r="J798">
        <f t="shared" si="86"/>
        <v>2.6311074128007777E-3</v>
      </c>
      <c r="K798">
        <f t="shared" si="87"/>
        <v>6.0159615465125119E-2</v>
      </c>
      <c r="L798">
        <f t="shared" si="88"/>
        <v>1.7540716085338514E-3</v>
      </c>
      <c r="O798">
        <f t="shared" si="89"/>
        <v>0.22058525670546242</v>
      </c>
      <c r="P798">
        <f t="shared" si="90"/>
        <v>-4.06999052307976E-5</v>
      </c>
    </row>
    <row r="799" spans="1:16" x14ac:dyDescent="0.25">
      <c r="A799" s="1">
        <v>39.85</v>
      </c>
      <c r="B799" s="2">
        <v>3.0000000000000001E-3</v>
      </c>
      <c r="C799">
        <v>5.0000000000000001E-3</v>
      </c>
      <c r="H799">
        <f t="shared" si="84"/>
        <v>39.85</v>
      </c>
      <c r="I799">
        <f t="shared" si="85"/>
        <v>3.0000000000000001E-3</v>
      </c>
      <c r="J799">
        <f t="shared" si="86"/>
        <v>3.6293876984952508E-3</v>
      </c>
      <c r="K799">
        <f t="shared" si="87"/>
        <v>6.0159615465125119E-2</v>
      </c>
      <c r="L799">
        <f t="shared" si="88"/>
        <v>2.4195917989968331E-3</v>
      </c>
      <c r="O799">
        <f t="shared" si="89"/>
        <v>0.22058525670546242</v>
      </c>
      <c r="P799">
        <f t="shared" si="90"/>
        <v>6.2482028523218412E-4</v>
      </c>
    </row>
    <row r="800" spans="1:16" x14ac:dyDescent="0.25">
      <c r="A800" s="1">
        <v>39.9</v>
      </c>
      <c r="B800" s="2">
        <v>3.0000000000000001E-3</v>
      </c>
      <c r="C800">
        <v>4.0000000000000001E-3</v>
      </c>
      <c r="H800">
        <f t="shared" si="84"/>
        <v>39.9</v>
      </c>
      <c r="I800">
        <f t="shared" si="85"/>
        <v>3.0000000000000001E-3</v>
      </c>
      <c r="J800">
        <f t="shared" si="86"/>
        <v>2.6276679841897247E-3</v>
      </c>
      <c r="K800">
        <f t="shared" si="87"/>
        <v>6.0159615465125119E-2</v>
      </c>
      <c r="L800">
        <f t="shared" si="88"/>
        <v>1.7517786561264828E-3</v>
      </c>
      <c r="O800">
        <f t="shared" si="89"/>
        <v>0.22058525670546242</v>
      </c>
      <c r="P800">
        <f t="shared" si="90"/>
        <v>-4.2992857638166158E-5</v>
      </c>
    </row>
    <row r="801" spans="1:16" x14ac:dyDescent="0.25">
      <c r="A801" s="1">
        <v>39.950000000000003</v>
      </c>
      <c r="B801" s="2">
        <v>3.0000000000000001E-3</v>
      </c>
      <c r="C801">
        <v>4.0000000000000001E-3</v>
      </c>
      <c r="H801">
        <f t="shared" si="84"/>
        <v>39.950000000000003</v>
      </c>
      <c r="I801">
        <f t="shared" si="85"/>
        <v>3.0000000000000001E-3</v>
      </c>
      <c r="J801">
        <f t="shared" si="86"/>
        <v>2.6259482698841978E-3</v>
      </c>
      <c r="K801">
        <f t="shared" si="87"/>
        <v>6.0159615465125119E-2</v>
      </c>
      <c r="L801">
        <f t="shared" si="88"/>
        <v>1.7506321799227982E-3</v>
      </c>
      <c r="O801">
        <f t="shared" si="89"/>
        <v>0.22058525670546242</v>
      </c>
      <c r="P801">
        <f t="shared" si="90"/>
        <v>-4.4139333841850762E-5</v>
      </c>
    </row>
    <row r="802" spans="1:16" x14ac:dyDescent="0.25">
      <c r="A802" s="1">
        <v>40</v>
      </c>
      <c r="B802" s="2">
        <v>3.0000000000000001E-3</v>
      </c>
      <c r="C802">
        <v>4.0000000000000001E-3</v>
      </c>
      <c r="H802">
        <f t="shared" si="84"/>
        <v>40</v>
      </c>
      <c r="I802">
        <f t="shared" si="85"/>
        <v>3.0000000000000001E-3</v>
      </c>
      <c r="J802">
        <f t="shared" si="86"/>
        <v>2.6242285555786709E-3</v>
      </c>
      <c r="K802">
        <f t="shared" si="87"/>
        <v>6.0159615465125119E-2</v>
      </c>
      <c r="L802">
        <f t="shared" si="88"/>
        <v>1.7494857037191136E-3</v>
      </c>
      <c r="O802">
        <f t="shared" si="89"/>
        <v>0.22058525670546242</v>
      </c>
      <c r="P802">
        <f t="shared" si="90"/>
        <v>-4.5285810045535366E-5</v>
      </c>
    </row>
    <row r="803" spans="1:16" x14ac:dyDescent="0.25">
      <c r="A803" s="1">
        <v>40.049999999999997</v>
      </c>
      <c r="B803" s="2">
        <v>3.0000000000000001E-3</v>
      </c>
      <c r="C803">
        <v>5.0000000000000001E-3</v>
      </c>
      <c r="H803">
        <f t="shared" si="84"/>
        <v>40.049999999999997</v>
      </c>
      <c r="I803">
        <f t="shared" si="85"/>
        <v>3.0000000000000001E-3</v>
      </c>
      <c r="J803">
        <f t="shared" si="86"/>
        <v>3.6225088412731449E-3</v>
      </c>
      <c r="K803">
        <f t="shared" si="87"/>
        <v>6.0159615465125119E-2</v>
      </c>
      <c r="L803">
        <f t="shared" si="88"/>
        <v>2.415005894182096E-3</v>
      </c>
      <c r="O803">
        <f t="shared" si="89"/>
        <v>0.22058525670546242</v>
      </c>
      <c r="P803">
        <f t="shared" si="90"/>
        <v>6.20234380417447E-4</v>
      </c>
    </row>
    <row r="804" spans="1:16" x14ac:dyDescent="0.25">
      <c r="A804" s="1">
        <v>40.1</v>
      </c>
      <c r="B804" s="2">
        <v>3.0000000000000001E-3</v>
      </c>
      <c r="C804">
        <v>4.0000000000000001E-3</v>
      </c>
      <c r="H804">
        <f t="shared" si="84"/>
        <v>40.1</v>
      </c>
      <c r="I804">
        <f t="shared" si="85"/>
        <v>3.0000000000000001E-3</v>
      </c>
      <c r="J804">
        <f t="shared" si="86"/>
        <v>2.6207891269676179E-3</v>
      </c>
      <c r="K804">
        <f t="shared" si="87"/>
        <v>6.0159615465125119E-2</v>
      </c>
      <c r="L804">
        <f t="shared" si="88"/>
        <v>1.7471927513117449E-3</v>
      </c>
      <c r="O804">
        <f t="shared" si="89"/>
        <v>0.22058525670546242</v>
      </c>
      <c r="P804">
        <f t="shared" si="90"/>
        <v>-4.7578762452904141E-5</v>
      </c>
    </row>
    <row r="805" spans="1:16" x14ac:dyDescent="0.25">
      <c r="A805" s="1">
        <v>40.15</v>
      </c>
      <c r="B805" s="2">
        <v>2E-3</v>
      </c>
      <c r="C805">
        <v>5.0000000000000001E-3</v>
      </c>
      <c r="H805">
        <f t="shared" si="84"/>
        <v>40.15</v>
      </c>
      <c r="I805">
        <f t="shared" si="85"/>
        <v>2E-3</v>
      </c>
      <c r="J805">
        <f t="shared" si="86"/>
        <v>3.6190694126620911E-3</v>
      </c>
      <c r="K805">
        <f t="shared" si="87"/>
        <v>4.0106410310083412E-2</v>
      </c>
      <c r="L805">
        <f t="shared" si="88"/>
        <v>2.4127129417747268E-3</v>
      </c>
      <c r="O805">
        <f t="shared" si="89"/>
        <v>0.20053205155042073</v>
      </c>
      <c r="P805">
        <f t="shared" si="90"/>
        <v>6.1794142801007779E-4</v>
      </c>
    </row>
    <row r="806" spans="1:16" x14ac:dyDescent="0.25">
      <c r="A806" s="1">
        <v>40.200000000000003</v>
      </c>
      <c r="B806" s="2">
        <v>1E-3</v>
      </c>
      <c r="C806">
        <v>4.0000000000000001E-3</v>
      </c>
      <c r="H806">
        <f t="shared" si="84"/>
        <v>40.200000000000003</v>
      </c>
      <c r="I806">
        <f t="shared" si="85"/>
        <v>1E-3</v>
      </c>
      <c r="J806">
        <f t="shared" si="86"/>
        <v>2.6173496983565641E-3</v>
      </c>
      <c r="K806">
        <f t="shared" si="87"/>
        <v>2.0053205155041706E-2</v>
      </c>
      <c r="L806">
        <f t="shared" si="88"/>
        <v>1.7448997989043757E-3</v>
      </c>
      <c r="O806">
        <f t="shared" si="89"/>
        <v>0.18047884639537903</v>
      </c>
      <c r="P806">
        <f t="shared" si="90"/>
        <v>-4.987171486027335E-5</v>
      </c>
    </row>
    <row r="807" spans="1:16" x14ac:dyDescent="0.25">
      <c r="A807" s="1">
        <v>40.25</v>
      </c>
      <c r="B807" s="2">
        <v>0</v>
      </c>
      <c r="C807">
        <v>5.0000000000000001E-3</v>
      </c>
      <c r="H807">
        <f t="shared" si="84"/>
        <v>40.25</v>
      </c>
      <c r="I807">
        <f t="shared" si="85"/>
        <v>0</v>
      </c>
      <c r="J807">
        <f t="shared" si="86"/>
        <v>3.6156299840510381E-3</v>
      </c>
      <c r="K807">
        <f t="shared" si="87"/>
        <v>0</v>
      </c>
      <c r="L807">
        <f t="shared" si="88"/>
        <v>2.410419989367358E-3</v>
      </c>
      <c r="O807">
        <f t="shared" si="89"/>
        <v>0.16042564124033731</v>
      </c>
      <c r="P807">
        <f t="shared" si="90"/>
        <v>6.1564847560270902E-4</v>
      </c>
    </row>
    <row r="808" spans="1:16" x14ac:dyDescent="0.25">
      <c r="A808" s="1">
        <v>40.299999999999997</v>
      </c>
      <c r="B808" s="2">
        <v>-1E-3</v>
      </c>
      <c r="C808">
        <v>4.0000000000000001E-3</v>
      </c>
      <c r="H808">
        <f t="shared" si="84"/>
        <v>40.299999999999997</v>
      </c>
      <c r="I808">
        <f t="shared" si="85"/>
        <v>-1E-3</v>
      </c>
      <c r="J808">
        <f t="shared" si="86"/>
        <v>2.6139102697455112E-3</v>
      </c>
      <c r="K808">
        <f t="shared" si="87"/>
        <v>-2.0053205155041706E-2</v>
      </c>
      <c r="L808">
        <f t="shared" si="88"/>
        <v>1.7426068464970071E-3</v>
      </c>
      <c r="O808">
        <f t="shared" si="89"/>
        <v>0.14037243608529559</v>
      </c>
      <c r="P808">
        <f t="shared" si="90"/>
        <v>-5.2164667267641908E-5</v>
      </c>
    </row>
    <row r="809" spans="1:16" x14ac:dyDescent="0.25">
      <c r="A809" s="1">
        <v>40.35</v>
      </c>
      <c r="B809" s="2">
        <v>-1E-3</v>
      </c>
      <c r="C809">
        <v>5.0000000000000001E-3</v>
      </c>
      <c r="H809">
        <f t="shared" si="84"/>
        <v>40.35</v>
      </c>
      <c r="I809">
        <f t="shared" si="85"/>
        <v>-1E-3</v>
      </c>
      <c r="J809">
        <f t="shared" si="86"/>
        <v>3.6121905554399843E-3</v>
      </c>
      <c r="K809">
        <f t="shared" si="87"/>
        <v>-2.0053205155041706E-2</v>
      </c>
      <c r="L809">
        <f t="shared" si="88"/>
        <v>2.4081270369599888E-3</v>
      </c>
      <c r="O809">
        <f t="shared" si="89"/>
        <v>0.14037243608529559</v>
      </c>
      <c r="P809">
        <f t="shared" si="90"/>
        <v>6.1335552319533981E-4</v>
      </c>
    </row>
    <row r="810" spans="1:16" x14ac:dyDescent="0.25">
      <c r="A810" s="1">
        <v>40.4</v>
      </c>
      <c r="B810" s="2">
        <v>0</v>
      </c>
      <c r="C810">
        <v>4.0000000000000001E-3</v>
      </c>
      <c r="H810">
        <f t="shared" si="84"/>
        <v>40.4</v>
      </c>
      <c r="I810">
        <f t="shared" si="85"/>
        <v>0</v>
      </c>
      <c r="J810">
        <f t="shared" si="86"/>
        <v>2.6104708411344578E-3</v>
      </c>
      <c r="K810">
        <f t="shared" si="87"/>
        <v>0</v>
      </c>
      <c r="L810">
        <f t="shared" si="88"/>
        <v>1.7403138940896381E-3</v>
      </c>
      <c r="O810">
        <f t="shared" si="89"/>
        <v>0.16042564124033731</v>
      </c>
      <c r="P810">
        <f t="shared" si="90"/>
        <v>-5.44576196750109E-5</v>
      </c>
    </row>
    <row r="811" spans="1:16" x14ac:dyDescent="0.25">
      <c r="A811" s="1">
        <v>40.450000000000003</v>
      </c>
      <c r="B811" s="2">
        <v>4.0000000000000001E-3</v>
      </c>
      <c r="C811">
        <v>5.0000000000000001E-3</v>
      </c>
      <c r="H811">
        <f t="shared" si="84"/>
        <v>40.450000000000003</v>
      </c>
      <c r="I811">
        <f t="shared" si="85"/>
        <v>4.0000000000000001E-3</v>
      </c>
      <c r="J811">
        <f t="shared" si="86"/>
        <v>3.6087511268289314E-3</v>
      </c>
      <c r="K811">
        <f t="shared" si="87"/>
        <v>8.0212820620166825E-2</v>
      </c>
      <c r="L811">
        <f t="shared" si="88"/>
        <v>2.4058340845526205E-3</v>
      </c>
      <c r="O811">
        <f t="shared" si="89"/>
        <v>0.24063846186050414</v>
      </c>
      <c r="P811">
        <f t="shared" si="90"/>
        <v>6.1106257078797147E-4</v>
      </c>
    </row>
    <row r="812" spans="1:16" x14ac:dyDescent="0.25">
      <c r="A812" s="1">
        <v>40.5</v>
      </c>
      <c r="B812" s="2">
        <v>4.0000000000000001E-3</v>
      </c>
      <c r="C812">
        <v>4.0000000000000001E-3</v>
      </c>
      <c r="H812">
        <f t="shared" si="84"/>
        <v>40.5</v>
      </c>
      <c r="I812">
        <f t="shared" si="85"/>
        <v>4.0000000000000001E-3</v>
      </c>
      <c r="J812">
        <f t="shared" si="86"/>
        <v>2.6070314125234044E-3</v>
      </c>
      <c r="K812">
        <f t="shared" si="87"/>
        <v>8.0212820620166825E-2</v>
      </c>
      <c r="L812">
        <f t="shared" si="88"/>
        <v>1.7380209416822693E-3</v>
      </c>
      <c r="O812">
        <f t="shared" si="89"/>
        <v>0.24063846186050414</v>
      </c>
      <c r="P812">
        <f t="shared" si="90"/>
        <v>-5.6750572082379675E-5</v>
      </c>
    </row>
    <row r="813" spans="1:16" x14ac:dyDescent="0.25">
      <c r="A813" s="1">
        <v>40.549999999999997</v>
      </c>
      <c r="B813" s="2">
        <v>4.0000000000000001E-3</v>
      </c>
      <c r="C813">
        <v>4.0000000000000001E-3</v>
      </c>
      <c r="H813">
        <f t="shared" si="84"/>
        <v>40.549999999999997</v>
      </c>
      <c r="I813">
        <f t="shared" si="85"/>
        <v>4.0000000000000001E-3</v>
      </c>
      <c r="J813">
        <f t="shared" si="86"/>
        <v>2.605311698217878E-3</v>
      </c>
      <c r="K813">
        <f t="shared" si="87"/>
        <v>8.0212820620166825E-2</v>
      </c>
      <c r="L813">
        <f t="shared" si="88"/>
        <v>1.7368744654785849E-3</v>
      </c>
      <c r="O813">
        <f t="shared" si="89"/>
        <v>0.24063846186050414</v>
      </c>
      <c r="P813">
        <f t="shared" si="90"/>
        <v>-5.7897048286064063E-5</v>
      </c>
    </row>
    <row r="814" spans="1:16" x14ac:dyDescent="0.25">
      <c r="A814" s="1">
        <v>40.6</v>
      </c>
      <c r="B814" s="2">
        <v>4.0000000000000001E-3</v>
      </c>
      <c r="C814">
        <v>4.0000000000000001E-3</v>
      </c>
      <c r="H814">
        <f t="shared" si="84"/>
        <v>40.6</v>
      </c>
      <c r="I814">
        <f t="shared" si="85"/>
        <v>4.0000000000000001E-3</v>
      </c>
      <c r="J814">
        <f t="shared" si="86"/>
        <v>2.6035919839123511E-3</v>
      </c>
      <c r="K814">
        <f t="shared" si="87"/>
        <v>8.0212820620166825E-2</v>
      </c>
      <c r="L814">
        <f t="shared" si="88"/>
        <v>1.7357279892749003E-3</v>
      </c>
      <c r="O814">
        <f t="shared" si="89"/>
        <v>0.24063846186050414</v>
      </c>
      <c r="P814">
        <f t="shared" si="90"/>
        <v>-5.9043524489748667E-5</v>
      </c>
    </row>
    <row r="815" spans="1:16" x14ac:dyDescent="0.25">
      <c r="A815" s="1">
        <v>40.65</v>
      </c>
      <c r="B815" s="2">
        <v>2E-3</v>
      </c>
      <c r="C815">
        <v>4.0000000000000001E-3</v>
      </c>
      <c r="H815">
        <f t="shared" si="84"/>
        <v>40.65</v>
      </c>
      <c r="I815">
        <f t="shared" si="85"/>
        <v>2E-3</v>
      </c>
      <c r="J815">
        <f t="shared" si="86"/>
        <v>2.6018722696068246E-3</v>
      </c>
      <c r="K815">
        <f t="shared" si="87"/>
        <v>4.0106410310083412E-2</v>
      </c>
      <c r="L815">
        <f t="shared" si="88"/>
        <v>1.734581513071216E-3</v>
      </c>
      <c r="O815">
        <f t="shared" si="89"/>
        <v>0.20053205155042073</v>
      </c>
      <c r="P815">
        <f t="shared" si="90"/>
        <v>-6.0190000693433054E-5</v>
      </c>
    </row>
    <row r="816" spans="1:16" x14ac:dyDescent="0.25">
      <c r="A816" s="1">
        <v>40.700000000000003</v>
      </c>
      <c r="B816" s="2">
        <v>-1.7999999999999999E-2</v>
      </c>
      <c r="C816">
        <v>4.0000000000000001E-3</v>
      </c>
      <c r="H816">
        <f t="shared" si="84"/>
        <v>40.700000000000003</v>
      </c>
      <c r="I816">
        <f t="shared" si="85"/>
        <v>-1.7999999999999999E-2</v>
      </c>
      <c r="J816">
        <f t="shared" si="86"/>
        <v>2.6001525553012977E-3</v>
      </c>
      <c r="K816">
        <f t="shared" si="87"/>
        <v>-0.36095769279075068</v>
      </c>
      <c r="L816">
        <f t="shared" si="88"/>
        <v>1.7334350368675313E-3</v>
      </c>
      <c r="O816">
        <f t="shared" si="89"/>
        <v>-0.20053205155041337</v>
      </c>
      <c r="P816">
        <f t="shared" si="90"/>
        <v>-6.1336476897117659E-5</v>
      </c>
    </row>
    <row r="817" spans="1:16" x14ac:dyDescent="0.25">
      <c r="A817" s="1">
        <v>40.75</v>
      </c>
      <c r="B817" s="2">
        <v>-3.6999999999999998E-2</v>
      </c>
      <c r="C817">
        <v>5.0000000000000001E-3</v>
      </c>
      <c r="H817">
        <f t="shared" si="84"/>
        <v>40.75</v>
      </c>
      <c r="I817">
        <f t="shared" si="85"/>
        <v>-3.6999999999999998E-2</v>
      </c>
      <c r="J817">
        <f t="shared" si="86"/>
        <v>3.5984328409957712E-3</v>
      </c>
      <c r="K817">
        <f t="shared" si="87"/>
        <v>-0.74196859073654309</v>
      </c>
      <c r="L817">
        <f t="shared" si="88"/>
        <v>2.3989552273305137E-3</v>
      </c>
      <c r="O817">
        <f t="shared" si="89"/>
        <v>-0.58154294949620577</v>
      </c>
      <c r="P817">
        <f t="shared" si="90"/>
        <v>6.0418371356586471E-4</v>
      </c>
    </row>
    <row r="818" spans="1:16" x14ac:dyDescent="0.25">
      <c r="A818" s="1">
        <v>40.799999999999997</v>
      </c>
      <c r="B818" s="2">
        <v>-6.8000000000000005E-2</v>
      </c>
      <c r="C818">
        <v>4.0000000000000001E-3</v>
      </c>
      <c r="H818">
        <f t="shared" si="84"/>
        <v>40.799999999999997</v>
      </c>
      <c r="I818">
        <f t="shared" si="85"/>
        <v>-6.8000000000000005E-2</v>
      </c>
      <c r="J818">
        <f t="shared" si="86"/>
        <v>2.5967131266902447E-3</v>
      </c>
      <c r="K818">
        <f t="shared" si="87"/>
        <v>-1.3636179505428361</v>
      </c>
      <c r="L818">
        <f t="shared" si="88"/>
        <v>1.7311420844601628E-3</v>
      </c>
      <c r="O818">
        <f t="shared" si="89"/>
        <v>-1.2031923093024988</v>
      </c>
      <c r="P818">
        <f t="shared" si="90"/>
        <v>-6.3629429304486217E-5</v>
      </c>
    </row>
    <row r="819" spans="1:16" x14ac:dyDescent="0.25">
      <c r="A819" s="1">
        <v>40.85</v>
      </c>
      <c r="B819" s="2">
        <v>-0.105</v>
      </c>
      <c r="C819">
        <v>5.0000000000000001E-3</v>
      </c>
      <c r="H819">
        <f t="shared" si="84"/>
        <v>40.85</v>
      </c>
      <c r="I819">
        <f t="shared" si="85"/>
        <v>-0.105</v>
      </c>
      <c r="J819">
        <f t="shared" si="86"/>
        <v>3.5949934123847178E-3</v>
      </c>
      <c r="K819">
        <f t="shared" si="87"/>
        <v>-2.1055865412793788</v>
      </c>
      <c r="L819">
        <f t="shared" si="88"/>
        <v>2.3966622749231445E-3</v>
      </c>
      <c r="O819">
        <f t="shared" si="89"/>
        <v>-1.9451609000390415</v>
      </c>
      <c r="P819">
        <f t="shared" si="90"/>
        <v>6.018907611584955E-4</v>
      </c>
    </row>
    <row r="820" spans="1:16" x14ac:dyDescent="0.25">
      <c r="A820" s="1">
        <v>40.9</v>
      </c>
      <c r="B820" s="2">
        <v>-0.11</v>
      </c>
      <c r="C820">
        <v>4.0000000000000001E-3</v>
      </c>
      <c r="H820">
        <f t="shared" si="84"/>
        <v>40.9</v>
      </c>
      <c r="I820">
        <f t="shared" si="85"/>
        <v>-0.11</v>
      </c>
      <c r="J820">
        <f t="shared" si="86"/>
        <v>2.5932736980791913E-3</v>
      </c>
      <c r="K820">
        <f t="shared" si="87"/>
        <v>-2.2058525670545879</v>
      </c>
      <c r="L820">
        <f t="shared" si="88"/>
        <v>1.7288491320527938E-3</v>
      </c>
      <c r="O820">
        <f t="shared" si="89"/>
        <v>-2.0454269258142506</v>
      </c>
      <c r="P820">
        <f t="shared" si="90"/>
        <v>-6.5922381711855209E-5</v>
      </c>
    </row>
    <row r="821" spans="1:16" x14ac:dyDescent="0.25">
      <c r="A821" s="1">
        <v>40.950000000000003</v>
      </c>
      <c r="B821" s="2">
        <v>-0.14099999999999999</v>
      </c>
      <c r="C821">
        <v>5.0000000000000001E-3</v>
      </c>
      <c r="H821">
        <f t="shared" si="84"/>
        <v>40.950000000000003</v>
      </c>
      <c r="I821">
        <f t="shared" si="85"/>
        <v>-0.14099999999999999</v>
      </c>
      <c r="J821">
        <f t="shared" si="86"/>
        <v>3.5915539837736645E-3</v>
      </c>
      <c r="K821">
        <f t="shared" si="87"/>
        <v>-2.8275019268608803</v>
      </c>
      <c r="L821">
        <f t="shared" si="88"/>
        <v>2.3943693225157757E-3</v>
      </c>
      <c r="O821">
        <f t="shared" si="89"/>
        <v>-2.667076285620543</v>
      </c>
      <c r="P821">
        <f t="shared" si="90"/>
        <v>5.9959780875112672E-4</v>
      </c>
    </row>
    <row r="822" spans="1:16" x14ac:dyDescent="0.25">
      <c r="A822" s="1">
        <v>41</v>
      </c>
      <c r="B822" s="2">
        <v>-0.182</v>
      </c>
      <c r="C822">
        <v>4.0000000000000001E-3</v>
      </c>
      <c r="H822">
        <f t="shared" si="84"/>
        <v>41</v>
      </c>
      <c r="I822">
        <f t="shared" si="85"/>
        <v>-0.182</v>
      </c>
      <c r="J822">
        <f t="shared" si="86"/>
        <v>2.589834269468138E-3</v>
      </c>
      <c r="K822">
        <f t="shared" si="87"/>
        <v>-3.6496833382175904</v>
      </c>
      <c r="L822">
        <f t="shared" si="88"/>
        <v>1.726556179645425E-3</v>
      </c>
      <c r="O822">
        <f t="shared" si="89"/>
        <v>-3.4892576969772531</v>
      </c>
      <c r="P822">
        <f t="shared" si="90"/>
        <v>-6.8215334119223984E-5</v>
      </c>
    </row>
    <row r="823" spans="1:16" x14ac:dyDescent="0.25">
      <c r="A823" s="1">
        <v>41.05</v>
      </c>
      <c r="B823" s="2">
        <v>-0.247</v>
      </c>
      <c r="C823">
        <v>5.0000000000000001E-3</v>
      </c>
      <c r="H823">
        <f t="shared" si="84"/>
        <v>41.05</v>
      </c>
      <c r="I823">
        <f t="shared" si="85"/>
        <v>-0.247</v>
      </c>
      <c r="J823">
        <f t="shared" si="86"/>
        <v>3.5881145551626111E-3</v>
      </c>
      <c r="K823">
        <f t="shared" si="87"/>
        <v>-4.9531416732953009</v>
      </c>
      <c r="L823">
        <f t="shared" si="88"/>
        <v>2.392076370108407E-3</v>
      </c>
      <c r="O823">
        <f t="shared" si="89"/>
        <v>-4.7927160320549635</v>
      </c>
      <c r="P823">
        <f t="shared" si="90"/>
        <v>5.9730485634375795E-4</v>
      </c>
    </row>
    <row r="824" spans="1:16" x14ac:dyDescent="0.25">
      <c r="A824" s="1">
        <v>41.1</v>
      </c>
      <c r="B824" s="2">
        <v>-0.307</v>
      </c>
      <c r="C824">
        <v>4.0000000000000001E-3</v>
      </c>
      <c r="H824">
        <f t="shared" si="84"/>
        <v>41.1</v>
      </c>
      <c r="I824">
        <f t="shared" si="85"/>
        <v>-0.307</v>
      </c>
      <c r="J824">
        <f t="shared" si="86"/>
        <v>2.5863948408570846E-3</v>
      </c>
      <c r="K824">
        <f t="shared" si="87"/>
        <v>-6.1563339825978032</v>
      </c>
      <c r="L824">
        <f t="shared" si="88"/>
        <v>1.724263227238056E-3</v>
      </c>
      <c r="O824">
        <f t="shared" si="89"/>
        <v>-5.9959083413574659</v>
      </c>
      <c r="P824">
        <f t="shared" si="90"/>
        <v>-7.0508286526592976E-5</v>
      </c>
    </row>
    <row r="825" spans="1:16" x14ac:dyDescent="0.25">
      <c r="A825" s="1">
        <v>41.15</v>
      </c>
      <c r="B825" s="2">
        <v>-0.34799999999999998</v>
      </c>
      <c r="C825">
        <v>5.0000000000000001E-3</v>
      </c>
      <c r="H825">
        <f t="shared" si="84"/>
        <v>41.15</v>
      </c>
      <c r="I825">
        <f t="shared" si="85"/>
        <v>-0.34799999999999998</v>
      </c>
      <c r="J825">
        <f t="shared" si="86"/>
        <v>3.5846751265515581E-3</v>
      </c>
      <c r="K825">
        <f t="shared" si="87"/>
        <v>-6.9785153939545133</v>
      </c>
      <c r="L825">
        <f t="shared" si="88"/>
        <v>2.3897834177010382E-3</v>
      </c>
      <c r="O825">
        <f t="shared" si="89"/>
        <v>-6.8180897527141759</v>
      </c>
      <c r="P825">
        <f t="shared" si="90"/>
        <v>5.9501190393638917E-4</v>
      </c>
    </row>
    <row r="826" spans="1:16" x14ac:dyDescent="0.25">
      <c r="A826" s="1">
        <v>41.2</v>
      </c>
      <c r="B826" s="2">
        <v>-0.41899999999999998</v>
      </c>
      <c r="C826">
        <v>4.0000000000000001E-3</v>
      </c>
      <c r="H826">
        <f t="shared" si="84"/>
        <v>41.2</v>
      </c>
      <c r="I826">
        <f t="shared" si="85"/>
        <v>-0.41899999999999998</v>
      </c>
      <c r="J826">
        <f t="shared" si="86"/>
        <v>2.5829554122460312E-3</v>
      </c>
      <c r="K826">
        <f t="shared" si="87"/>
        <v>-8.4022929599624749</v>
      </c>
      <c r="L826">
        <f t="shared" si="88"/>
        <v>1.721970274830687E-3</v>
      </c>
      <c r="O826">
        <f t="shared" si="89"/>
        <v>-8.2418673187221376</v>
      </c>
      <c r="P826">
        <f t="shared" si="90"/>
        <v>-7.2801238933961968E-5</v>
      </c>
    </row>
    <row r="827" spans="1:16" x14ac:dyDescent="0.25">
      <c r="A827" s="1">
        <v>41.25</v>
      </c>
      <c r="B827" s="2">
        <v>-0.46</v>
      </c>
      <c r="C827">
        <v>5.0000000000000001E-3</v>
      </c>
      <c r="H827">
        <f t="shared" si="84"/>
        <v>41.25</v>
      </c>
      <c r="I827">
        <f t="shared" si="85"/>
        <v>-0.46</v>
      </c>
      <c r="J827">
        <f t="shared" si="86"/>
        <v>3.5812356979405043E-3</v>
      </c>
      <c r="K827">
        <f t="shared" si="87"/>
        <v>-9.2244743713191859</v>
      </c>
      <c r="L827">
        <f t="shared" si="88"/>
        <v>2.387490465293669E-3</v>
      </c>
      <c r="O827">
        <f t="shared" si="89"/>
        <v>-9.0640487300788486</v>
      </c>
      <c r="P827">
        <f t="shared" si="90"/>
        <v>5.9271895152901996E-4</v>
      </c>
    </row>
    <row r="828" spans="1:16" x14ac:dyDescent="0.25">
      <c r="A828" s="1">
        <v>41.3</v>
      </c>
      <c r="B828" s="2">
        <v>-0.47399999999999998</v>
      </c>
      <c r="C828">
        <v>4.0000000000000001E-3</v>
      </c>
      <c r="H828">
        <f t="shared" si="84"/>
        <v>41.3</v>
      </c>
      <c r="I828">
        <f t="shared" si="85"/>
        <v>-0.47399999999999998</v>
      </c>
      <c r="J828">
        <f t="shared" si="86"/>
        <v>2.5795159836349783E-3</v>
      </c>
      <c r="K828">
        <f t="shared" si="87"/>
        <v>-9.5052192434897673</v>
      </c>
      <c r="L828">
        <f t="shared" si="88"/>
        <v>1.7196773224233185E-3</v>
      </c>
      <c r="O828">
        <f t="shared" si="89"/>
        <v>-9.34479360224943</v>
      </c>
      <c r="P828">
        <f t="shared" si="90"/>
        <v>-7.5094191341330526E-5</v>
      </c>
    </row>
    <row r="829" spans="1:16" x14ac:dyDescent="0.25">
      <c r="A829" s="1">
        <v>41.35</v>
      </c>
      <c r="B829" s="2">
        <v>-0.47399999999999998</v>
      </c>
      <c r="C829">
        <v>5.0000000000000001E-3</v>
      </c>
      <c r="H829">
        <f t="shared" si="84"/>
        <v>41.35</v>
      </c>
      <c r="I829">
        <f t="shared" si="85"/>
        <v>-0.47399999999999998</v>
      </c>
      <c r="J829">
        <f t="shared" si="86"/>
        <v>3.5777962693294514E-3</v>
      </c>
      <c r="K829">
        <f t="shared" si="87"/>
        <v>-9.5052192434897673</v>
      </c>
      <c r="L829">
        <f t="shared" si="88"/>
        <v>2.3851975128863002E-3</v>
      </c>
      <c r="O829">
        <f t="shared" si="89"/>
        <v>-9.34479360224943</v>
      </c>
      <c r="P829">
        <f t="shared" si="90"/>
        <v>5.9042599912165119E-4</v>
      </c>
    </row>
    <row r="830" spans="1:16" x14ac:dyDescent="0.25">
      <c r="A830" s="1">
        <v>41.4</v>
      </c>
      <c r="B830" s="2">
        <v>-0.47399999999999998</v>
      </c>
      <c r="C830">
        <v>4.0000000000000001E-3</v>
      </c>
      <c r="H830">
        <f t="shared" si="84"/>
        <v>41.4</v>
      </c>
      <c r="I830">
        <f t="shared" si="85"/>
        <v>-0.47399999999999998</v>
      </c>
      <c r="J830">
        <f t="shared" si="86"/>
        <v>2.5760765550239244E-3</v>
      </c>
      <c r="K830">
        <f t="shared" si="87"/>
        <v>-9.5052192434897673</v>
      </c>
      <c r="L830">
        <f t="shared" si="88"/>
        <v>1.7173843700159493E-3</v>
      </c>
      <c r="O830">
        <f t="shared" si="89"/>
        <v>-9.34479360224943</v>
      </c>
      <c r="P830">
        <f t="shared" si="90"/>
        <v>-7.7387143748699734E-5</v>
      </c>
    </row>
    <row r="831" spans="1:16" x14ac:dyDescent="0.25">
      <c r="A831" s="1">
        <v>41.45</v>
      </c>
      <c r="B831" s="2">
        <v>-0.47399999999999998</v>
      </c>
      <c r="C831">
        <v>5.0000000000000001E-3</v>
      </c>
      <c r="H831">
        <f t="shared" si="84"/>
        <v>41.45</v>
      </c>
      <c r="I831">
        <f t="shared" si="85"/>
        <v>-0.47399999999999998</v>
      </c>
      <c r="J831">
        <f t="shared" si="86"/>
        <v>3.5743568407183976E-3</v>
      </c>
      <c r="K831">
        <f t="shared" si="87"/>
        <v>-9.5052192434897673</v>
      </c>
      <c r="L831">
        <f t="shared" si="88"/>
        <v>2.382904560478931E-3</v>
      </c>
      <c r="O831">
        <f t="shared" si="89"/>
        <v>-9.34479360224943</v>
      </c>
      <c r="P831">
        <f t="shared" si="90"/>
        <v>5.8813304671428198E-4</v>
      </c>
    </row>
    <row r="832" spans="1:16" x14ac:dyDescent="0.25">
      <c r="A832" s="1">
        <v>41.5</v>
      </c>
      <c r="B832" s="2">
        <v>-0.47399999999999998</v>
      </c>
      <c r="C832">
        <v>4.0000000000000001E-3</v>
      </c>
      <c r="H832">
        <f t="shared" si="84"/>
        <v>41.5</v>
      </c>
      <c r="I832">
        <f t="shared" si="85"/>
        <v>-0.47399999999999998</v>
      </c>
      <c r="J832">
        <f t="shared" si="86"/>
        <v>2.5726371264128715E-3</v>
      </c>
      <c r="K832">
        <f t="shared" si="87"/>
        <v>-9.5052192434897673</v>
      </c>
      <c r="L832">
        <f t="shared" si="88"/>
        <v>1.7150914176085807E-3</v>
      </c>
      <c r="O832">
        <f t="shared" si="89"/>
        <v>-9.34479360224943</v>
      </c>
      <c r="P832">
        <f t="shared" si="90"/>
        <v>-7.9680096156068293E-5</v>
      </c>
    </row>
    <row r="833" spans="1:16" x14ac:dyDescent="0.25">
      <c r="A833" s="1">
        <v>41.55</v>
      </c>
      <c r="B833" s="2">
        <v>-0.47399999999999998</v>
      </c>
      <c r="C833">
        <v>5.0000000000000001E-3</v>
      </c>
      <c r="H833">
        <f t="shared" si="84"/>
        <v>41.55</v>
      </c>
      <c r="I833">
        <f t="shared" si="85"/>
        <v>-0.47399999999999998</v>
      </c>
      <c r="J833">
        <f t="shared" si="86"/>
        <v>3.5709174121073446E-3</v>
      </c>
      <c r="K833">
        <f t="shared" si="87"/>
        <v>-9.5052192434897673</v>
      </c>
      <c r="L833">
        <f t="shared" si="88"/>
        <v>2.3806116080715626E-3</v>
      </c>
      <c r="O833">
        <f t="shared" si="89"/>
        <v>-9.34479360224943</v>
      </c>
      <c r="P833">
        <f t="shared" si="90"/>
        <v>5.8584009430691364E-4</v>
      </c>
    </row>
    <row r="834" spans="1:16" x14ac:dyDescent="0.25">
      <c r="A834" s="1">
        <v>41.6</v>
      </c>
      <c r="B834" s="2">
        <v>-0.47399999999999998</v>
      </c>
      <c r="C834">
        <v>4.0000000000000001E-3</v>
      </c>
      <c r="H834">
        <f t="shared" si="84"/>
        <v>41.6</v>
      </c>
      <c r="I834">
        <f t="shared" si="85"/>
        <v>-0.47399999999999998</v>
      </c>
      <c r="J834">
        <f t="shared" si="86"/>
        <v>2.5691976978018177E-3</v>
      </c>
      <c r="K834">
        <f t="shared" si="87"/>
        <v>-9.5052192434897673</v>
      </c>
      <c r="L834">
        <f t="shared" si="88"/>
        <v>1.7127984652012115E-3</v>
      </c>
      <c r="O834">
        <f t="shared" si="89"/>
        <v>-9.34479360224943</v>
      </c>
      <c r="P834">
        <f t="shared" si="90"/>
        <v>-8.1973048563437501E-5</v>
      </c>
    </row>
    <row r="835" spans="1:16" x14ac:dyDescent="0.25">
      <c r="A835" s="1">
        <v>41.65</v>
      </c>
      <c r="B835" s="2">
        <v>-0.48</v>
      </c>
      <c r="C835">
        <v>5.0000000000000001E-3</v>
      </c>
      <c r="H835">
        <f t="shared" ref="H835:H898" si="91">A835</f>
        <v>41.65</v>
      </c>
      <c r="I835">
        <f t="shared" ref="I835:I898" si="92">B835</f>
        <v>-0.48</v>
      </c>
      <c r="J835">
        <f t="shared" ref="J835:J898" si="93">C835-E$12*A835</f>
        <v>3.5674779834962917E-3</v>
      </c>
      <c r="K835">
        <f t="shared" ref="K835:K898" si="94">F$24*I835</f>
        <v>-9.6255384744200185</v>
      </c>
      <c r="L835">
        <f t="shared" ref="L835:L898" si="95">F$25*J835</f>
        <v>2.3783186556641939E-3</v>
      </c>
      <c r="O835">
        <f t="shared" ref="O835:O898" si="96">K835-N$12</f>
        <v>-9.4651128331796812</v>
      </c>
      <c r="P835">
        <f t="shared" ref="P835:P898" si="97">L835-N$15</f>
        <v>5.8354714189954486E-4</v>
      </c>
    </row>
    <row r="836" spans="1:16" x14ac:dyDescent="0.25">
      <c r="A836" s="1">
        <v>41.7</v>
      </c>
      <c r="B836" s="2">
        <v>-0.51</v>
      </c>
      <c r="C836">
        <v>4.0000000000000001E-3</v>
      </c>
      <c r="H836">
        <f t="shared" si="91"/>
        <v>41.7</v>
      </c>
      <c r="I836">
        <f t="shared" si="92"/>
        <v>-0.51</v>
      </c>
      <c r="J836">
        <f t="shared" si="93"/>
        <v>2.5657582691907647E-3</v>
      </c>
      <c r="K836">
        <f t="shared" si="94"/>
        <v>-10.227134629071271</v>
      </c>
      <c r="L836">
        <f t="shared" si="95"/>
        <v>1.7105055127938427E-3</v>
      </c>
      <c r="O836">
        <f t="shared" si="96"/>
        <v>-10.066708987830934</v>
      </c>
      <c r="P836">
        <f t="shared" si="97"/>
        <v>-8.4266000970806276E-5</v>
      </c>
    </row>
    <row r="837" spans="1:16" x14ac:dyDescent="0.25">
      <c r="A837" s="1">
        <v>41.75</v>
      </c>
      <c r="B837" s="2">
        <v>-0.55900000000000005</v>
      </c>
      <c r="C837">
        <v>5.0000000000000001E-3</v>
      </c>
      <c r="H837">
        <f t="shared" si="91"/>
        <v>41.75</v>
      </c>
      <c r="I837">
        <f t="shared" si="92"/>
        <v>-0.55900000000000005</v>
      </c>
      <c r="J837">
        <f t="shared" si="93"/>
        <v>3.5640385548852379E-3</v>
      </c>
      <c r="K837">
        <f t="shared" si="94"/>
        <v>-11.209741681668314</v>
      </c>
      <c r="L837">
        <f t="shared" si="95"/>
        <v>2.3760257032568247E-3</v>
      </c>
      <c r="O837">
        <f t="shared" si="96"/>
        <v>-11.049316040427977</v>
      </c>
      <c r="P837">
        <f t="shared" si="97"/>
        <v>5.8125418949217566E-4</v>
      </c>
    </row>
    <row r="838" spans="1:16" x14ac:dyDescent="0.25">
      <c r="A838" s="1">
        <v>41.8</v>
      </c>
      <c r="B838" s="2">
        <v>-0.58399999999999996</v>
      </c>
      <c r="C838">
        <v>4.0000000000000001E-3</v>
      </c>
      <c r="H838">
        <f t="shared" si="91"/>
        <v>41.8</v>
      </c>
      <c r="I838">
        <f t="shared" si="92"/>
        <v>-0.58399999999999996</v>
      </c>
      <c r="J838">
        <f t="shared" si="93"/>
        <v>2.5623188405797114E-3</v>
      </c>
      <c r="K838">
        <f t="shared" si="94"/>
        <v>-11.711071810544356</v>
      </c>
      <c r="L838">
        <f t="shared" si="95"/>
        <v>1.708212560386474E-3</v>
      </c>
      <c r="O838">
        <f t="shared" si="96"/>
        <v>-11.550646169304018</v>
      </c>
      <c r="P838">
        <f t="shared" si="97"/>
        <v>-8.6558953378175051E-5</v>
      </c>
    </row>
    <row r="839" spans="1:16" x14ac:dyDescent="0.25">
      <c r="A839" s="1">
        <v>41.85</v>
      </c>
      <c r="B839" s="2">
        <v>-0.63200000000000001</v>
      </c>
      <c r="C839">
        <v>5.0000000000000001E-3</v>
      </c>
      <c r="H839">
        <f t="shared" si="91"/>
        <v>41.85</v>
      </c>
      <c r="I839">
        <f t="shared" si="92"/>
        <v>-0.63200000000000001</v>
      </c>
      <c r="J839">
        <f t="shared" si="93"/>
        <v>3.5605991262741849E-3</v>
      </c>
      <c r="K839">
        <f t="shared" si="94"/>
        <v>-12.673625657986358</v>
      </c>
      <c r="L839">
        <f t="shared" si="95"/>
        <v>2.3737327508494559E-3</v>
      </c>
      <c r="O839">
        <f t="shared" si="96"/>
        <v>-12.513200016746021</v>
      </c>
      <c r="P839">
        <f t="shared" si="97"/>
        <v>5.7896123708480688E-4</v>
      </c>
    </row>
    <row r="840" spans="1:16" x14ac:dyDescent="0.25">
      <c r="A840" s="1">
        <v>41.9</v>
      </c>
      <c r="B840" s="2">
        <v>-0.70299999999999996</v>
      </c>
      <c r="C840">
        <v>4.0000000000000001E-3</v>
      </c>
      <c r="H840">
        <f t="shared" si="91"/>
        <v>41.9</v>
      </c>
      <c r="I840">
        <f t="shared" si="92"/>
        <v>-0.70299999999999996</v>
      </c>
      <c r="J840">
        <f t="shared" si="93"/>
        <v>2.558879411968658E-3</v>
      </c>
      <c r="K840">
        <f t="shared" si="94"/>
        <v>-14.097403223994318</v>
      </c>
      <c r="L840">
        <f t="shared" si="95"/>
        <v>1.705919607979105E-3</v>
      </c>
      <c r="O840">
        <f t="shared" si="96"/>
        <v>-13.936977582753981</v>
      </c>
      <c r="P840">
        <f t="shared" si="97"/>
        <v>-8.8851905785544043E-5</v>
      </c>
    </row>
    <row r="841" spans="1:16" x14ac:dyDescent="0.25">
      <c r="A841" s="1">
        <v>41.95</v>
      </c>
      <c r="B841" s="2">
        <v>-0.81</v>
      </c>
      <c r="C841">
        <v>5.0000000000000001E-3</v>
      </c>
      <c r="H841">
        <f t="shared" si="91"/>
        <v>41.95</v>
      </c>
      <c r="I841">
        <f t="shared" si="92"/>
        <v>-0.81</v>
      </c>
      <c r="J841">
        <f t="shared" si="93"/>
        <v>3.5571596976631311E-3</v>
      </c>
      <c r="K841">
        <f t="shared" si="94"/>
        <v>-16.243096175583783</v>
      </c>
      <c r="L841">
        <f t="shared" si="95"/>
        <v>2.3714397984420867E-3</v>
      </c>
      <c r="O841">
        <f t="shared" si="96"/>
        <v>-16.082670534343446</v>
      </c>
      <c r="P841">
        <f t="shared" si="97"/>
        <v>5.7666828467743767E-4</v>
      </c>
    </row>
    <row r="842" spans="1:16" x14ac:dyDescent="0.25">
      <c r="A842" s="1">
        <v>42</v>
      </c>
      <c r="B842" s="2">
        <v>-0.88200000000000001</v>
      </c>
      <c r="C842">
        <v>3.0000000000000001E-3</v>
      </c>
      <c r="H842">
        <f t="shared" si="91"/>
        <v>42</v>
      </c>
      <c r="I842">
        <f t="shared" si="92"/>
        <v>-0.88200000000000001</v>
      </c>
      <c r="J842">
        <f t="shared" si="93"/>
        <v>1.5554399833576046E-3</v>
      </c>
      <c r="K842">
        <f t="shared" si="94"/>
        <v>-17.686926946746784</v>
      </c>
      <c r="L842">
        <f t="shared" si="95"/>
        <v>1.0369599889050694E-3</v>
      </c>
      <c r="O842">
        <f t="shared" si="96"/>
        <v>-17.526501305506446</v>
      </c>
      <c r="P842">
        <f t="shared" si="97"/>
        <v>-7.5781152485957957E-4</v>
      </c>
    </row>
    <row r="843" spans="1:16" x14ac:dyDescent="0.25">
      <c r="A843" s="1">
        <v>42.05</v>
      </c>
      <c r="B843" s="2">
        <v>-0.88200000000000001</v>
      </c>
      <c r="C843">
        <v>5.0000000000000001E-3</v>
      </c>
      <c r="H843">
        <f t="shared" si="91"/>
        <v>42.05</v>
      </c>
      <c r="I843">
        <f t="shared" si="92"/>
        <v>-0.88200000000000001</v>
      </c>
      <c r="J843">
        <f t="shared" si="93"/>
        <v>3.5537202690520782E-3</v>
      </c>
      <c r="K843">
        <f t="shared" si="94"/>
        <v>-17.686926946746784</v>
      </c>
      <c r="L843">
        <f t="shared" si="95"/>
        <v>2.3691468460347183E-3</v>
      </c>
      <c r="O843">
        <f t="shared" si="96"/>
        <v>-17.526501305506446</v>
      </c>
      <c r="P843">
        <f t="shared" si="97"/>
        <v>5.7437533227006933E-4</v>
      </c>
    </row>
    <row r="844" spans="1:16" x14ac:dyDescent="0.25">
      <c r="A844" s="1">
        <v>42.1</v>
      </c>
      <c r="B844" s="2">
        <v>-0.88200000000000001</v>
      </c>
      <c r="C844">
        <v>4.0000000000000001E-3</v>
      </c>
      <c r="H844">
        <f t="shared" si="91"/>
        <v>42.1</v>
      </c>
      <c r="I844">
        <f t="shared" si="92"/>
        <v>-0.88200000000000001</v>
      </c>
      <c r="J844">
        <f t="shared" si="93"/>
        <v>2.5520005547465512E-3</v>
      </c>
      <c r="K844">
        <f t="shared" si="94"/>
        <v>-17.686926946746784</v>
      </c>
      <c r="L844">
        <f t="shared" si="95"/>
        <v>1.7013337031643672E-3</v>
      </c>
      <c r="O844">
        <f t="shared" si="96"/>
        <v>-17.526501305506446</v>
      </c>
      <c r="P844">
        <f t="shared" si="97"/>
        <v>-9.343781060028181E-5</v>
      </c>
    </row>
    <row r="845" spans="1:16" x14ac:dyDescent="0.25">
      <c r="A845" s="1">
        <v>42.15</v>
      </c>
      <c r="B845" s="2">
        <v>-0.88200000000000001</v>
      </c>
      <c r="C845">
        <v>5.0000000000000001E-3</v>
      </c>
      <c r="H845">
        <f t="shared" si="91"/>
        <v>42.15</v>
      </c>
      <c r="I845">
        <f t="shared" si="92"/>
        <v>-0.88200000000000001</v>
      </c>
      <c r="J845">
        <f t="shared" si="93"/>
        <v>3.5502808404410248E-3</v>
      </c>
      <c r="K845">
        <f t="shared" si="94"/>
        <v>-17.686926946746784</v>
      </c>
      <c r="L845">
        <f t="shared" si="95"/>
        <v>2.3668538936273491E-3</v>
      </c>
      <c r="O845">
        <f t="shared" si="96"/>
        <v>-17.526501305506446</v>
      </c>
      <c r="P845">
        <f t="shared" si="97"/>
        <v>5.7208237986270012E-4</v>
      </c>
    </row>
    <row r="846" spans="1:16" x14ac:dyDescent="0.25">
      <c r="A846" s="1">
        <v>42.2</v>
      </c>
      <c r="B846" s="2">
        <v>-0.88200000000000001</v>
      </c>
      <c r="C846">
        <v>4.0000000000000001E-3</v>
      </c>
      <c r="H846">
        <f t="shared" si="91"/>
        <v>42.2</v>
      </c>
      <c r="I846">
        <f t="shared" si="92"/>
        <v>-0.88200000000000001</v>
      </c>
      <c r="J846">
        <f t="shared" si="93"/>
        <v>2.5485611261354978E-3</v>
      </c>
      <c r="K846">
        <f t="shared" si="94"/>
        <v>-17.686926946746784</v>
      </c>
      <c r="L846">
        <f t="shared" si="95"/>
        <v>1.6990407507569982E-3</v>
      </c>
      <c r="O846">
        <f t="shared" si="96"/>
        <v>-17.526501305506446</v>
      </c>
      <c r="P846">
        <f t="shared" si="97"/>
        <v>-9.5730763007650802E-5</v>
      </c>
    </row>
    <row r="847" spans="1:16" x14ac:dyDescent="0.25">
      <c r="A847" s="1">
        <v>42.25</v>
      </c>
      <c r="B847" s="2">
        <v>-0.88300000000000001</v>
      </c>
      <c r="C847">
        <v>5.0000000000000001E-3</v>
      </c>
      <c r="H847">
        <f t="shared" si="91"/>
        <v>42.25</v>
      </c>
      <c r="I847">
        <f t="shared" si="92"/>
        <v>-0.88300000000000001</v>
      </c>
      <c r="J847">
        <f t="shared" si="93"/>
        <v>3.5468414118299714E-3</v>
      </c>
      <c r="K847">
        <f t="shared" si="94"/>
        <v>-17.706980151901828</v>
      </c>
      <c r="L847">
        <f t="shared" si="95"/>
        <v>2.3645609412199804E-3</v>
      </c>
      <c r="O847">
        <f t="shared" si="96"/>
        <v>-17.54655451066149</v>
      </c>
      <c r="P847">
        <f t="shared" si="97"/>
        <v>5.6978942745533135E-4</v>
      </c>
    </row>
    <row r="848" spans="1:16" x14ac:dyDescent="0.25">
      <c r="A848" s="1">
        <v>42.3</v>
      </c>
      <c r="B848" s="2">
        <v>-0.88200000000000001</v>
      </c>
      <c r="C848">
        <v>4.0000000000000001E-3</v>
      </c>
      <c r="H848">
        <f t="shared" si="91"/>
        <v>42.3</v>
      </c>
      <c r="I848">
        <f t="shared" si="92"/>
        <v>-0.88200000000000001</v>
      </c>
      <c r="J848">
        <f t="shared" si="93"/>
        <v>2.5451216975244445E-3</v>
      </c>
      <c r="K848">
        <f t="shared" si="94"/>
        <v>-17.686926946746784</v>
      </c>
      <c r="L848">
        <f t="shared" si="95"/>
        <v>1.6967477983496292E-3</v>
      </c>
      <c r="O848">
        <f t="shared" si="96"/>
        <v>-17.526501305506446</v>
      </c>
      <c r="P848">
        <f t="shared" si="97"/>
        <v>-9.8023715415019794E-5</v>
      </c>
    </row>
    <row r="849" spans="1:16" x14ac:dyDescent="0.25">
      <c r="A849" s="1">
        <v>42.35</v>
      </c>
      <c r="B849" s="2">
        <v>-0.88200000000000001</v>
      </c>
      <c r="C849">
        <v>5.0000000000000001E-3</v>
      </c>
      <c r="H849">
        <f t="shared" si="91"/>
        <v>42.35</v>
      </c>
      <c r="I849">
        <f t="shared" si="92"/>
        <v>-0.88200000000000001</v>
      </c>
      <c r="J849">
        <f t="shared" si="93"/>
        <v>3.543401983218918E-3</v>
      </c>
      <c r="K849">
        <f t="shared" si="94"/>
        <v>-17.686926946746784</v>
      </c>
      <c r="L849">
        <f t="shared" si="95"/>
        <v>2.3622679888126116E-3</v>
      </c>
      <c r="O849">
        <f t="shared" si="96"/>
        <v>-17.526501305506446</v>
      </c>
      <c r="P849">
        <f t="shared" si="97"/>
        <v>5.6749647504796257E-4</v>
      </c>
    </row>
    <row r="850" spans="1:16" x14ac:dyDescent="0.25">
      <c r="A850" s="1">
        <v>42.4</v>
      </c>
      <c r="B850" s="2">
        <v>-0.88900000000000001</v>
      </c>
      <c r="C850">
        <v>4.0000000000000001E-3</v>
      </c>
      <c r="H850">
        <f t="shared" si="91"/>
        <v>42.4</v>
      </c>
      <c r="I850">
        <f t="shared" si="92"/>
        <v>-0.88900000000000001</v>
      </c>
      <c r="J850">
        <f t="shared" si="93"/>
        <v>2.5416822689133915E-3</v>
      </c>
      <c r="K850">
        <f t="shared" si="94"/>
        <v>-17.827299382832077</v>
      </c>
      <c r="L850">
        <f t="shared" si="95"/>
        <v>1.6944548459422607E-3</v>
      </c>
      <c r="O850">
        <f t="shared" si="96"/>
        <v>-17.66687374159174</v>
      </c>
      <c r="P850">
        <f t="shared" si="97"/>
        <v>-1.0031666782238835E-4</v>
      </c>
    </row>
    <row r="851" spans="1:16" x14ac:dyDescent="0.25">
      <c r="A851" s="1">
        <v>42.45</v>
      </c>
      <c r="B851" s="2">
        <v>-0.92100000000000004</v>
      </c>
      <c r="C851">
        <v>5.0000000000000001E-3</v>
      </c>
      <c r="H851">
        <f t="shared" si="91"/>
        <v>42.45</v>
      </c>
      <c r="I851">
        <f t="shared" si="92"/>
        <v>-0.92100000000000004</v>
      </c>
      <c r="J851">
        <f t="shared" si="93"/>
        <v>3.5399625546078646E-3</v>
      </c>
      <c r="K851">
        <f t="shared" si="94"/>
        <v>-18.469001947793412</v>
      </c>
      <c r="L851">
        <f t="shared" si="95"/>
        <v>2.3599750364052424E-3</v>
      </c>
      <c r="O851">
        <f t="shared" si="96"/>
        <v>-18.308576306553075</v>
      </c>
      <c r="P851">
        <f t="shared" si="97"/>
        <v>5.6520352264059336E-4</v>
      </c>
    </row>
    <row r="852" spans="1:16" x14ac:dyDescent="0.25">
      <c r="A852" s="1">
        <v>42.5</v>
      </c>
      <c r="B852" s="2">
        <v>-0.95899999999999996</v>
      </c>
      <c r="C852">
        <v>4.0000000000000001E-3</v>
      </c>
      <c r="H852">
        <f t="shared" si="91"/>
        <v>42.5</v>
      </c>
      <c r="I852">
        <f t="shared" si="92"/>
        <v>-0.95899999999999996</v>
      </c>
      <c r="J852">
        <f t="shared" si="93"/>
        <v>2.5382428403023381E-3</v>
      </c>
      <c r="K852">
        <f t="shared" si="94"/>
        <v>-19.231023743684997</v>
      </c>
      <c r="L852">
        <f t="shared" si="95"/>
        <v>1.6921618935348917E-3</v>
      </c>
      <c r="O852">
        <f t="shared" si="96"/>
        <v>-19.070598102444659</v>
      </c>
      <c r="P852">
        <f t="shared" si="97"/>
        <v>-1.0260962022975734E-4</v>
      </c>
    </row>
    <row r="853" spans="1:16" x14ac:dyDescent="0.25">
      <c r="A853" s="1">
        <v>42.55</v>
      </c>
      <c r="B853" s="2">
        <v>-0.98799999999999999</v>
      </c>
      <c r="C853">
        <v>5.0000000000000001E-3</v>
      </c>
      <c r="H853">
        <f t="shared" si="91"/>
        <v>42.55</v>
      </c>
      <c r="I853">
        <f t="shared" si="92"/>
        <v>-0.98799999999999999</v>
      </c>
      <c r="J853">
        <f t="shared" si="93"/>
        <v>3.5365231259968117E-3</v>
      </c>
      <c r="K853">
        <f t="shared" si="94"/>
        <v>-19.812566693181203</v>
      </c>
      <c r="L853">
        <f t="shared" si="95"/>
        <v>2.357682083997874E-3</v>
      </c>
      <c r="O853">
        <f t="shared" si="96"/>
        <v>-19.652141051940866</v>
      </c>
      <c r="P853">
        <f t="shared" si="97"/>
        <v>5.6291057023322502E-4</v>
      </c>
    </row>
    <row r="854" spans="1:16" x14ac:dyDescent="0.25">
      <c r="A854" s="1">
        <v>42.6</v>
      </c>
      <c r="B854" s="2">
        <v>-1.01</v>
      </c>
      <c r="C854">
        <v>4.0000000000000001E-3</v>
      </c>
      <c r="H854">
        <f t="shared" si="91"/>
        <v>42.6</v>
      </c>
      <c r="I854">
        <f t="shared" si="92"/>
        <v>-1.01</v>
      </c>
      <c r="J854">
        <f t="shared" si="93"/>
        <v>2.5348034116912848E-3</v>
      </c>
      <c r="K854">
        <f t="shared" si="94"/>
        <v>-20.253737206592124</v>
      </c>
      <c r="L854">
        <f t="shared" si="95"/>
        <v>1.6898689411275229E-3</v>
      </c>
      <c r="O854">
        <f t="shared" si="96"/>
        <v>-20.093311565351787</v>
      </c>
      <c r="P854">
        <f t="shared" si="97"/>
        <v>-1.0490257263712612E-4</v>
      </c>
    </row>
    <row r="855" spans="1:16" x14ac:dyDescent="0.25">
      <c r="A855" s="1">
        <v>42.65</v>
      </c>
      <c r="B855" s="2">
        <v>-1.0569999999999999</v>
      </c>
      <c r="C855">
        <v>5.0000000000000001E-3</v>
      </c>
      <c r="H855">
        <f t="shared" si="91"/>
        <v>42.65</v>
      </c>
      <c r="I855">
        <f t="shared" si="92"/>
        <v>-1.0569999999999999</v>
      </c>
      <c r="J855">
        <f t="shared" si="93"/>
        <v>3.5330836973857579E-3</v>
      </c>
      <c r="K855">
        <f t="shared" si="94"/>
        <v>-21.196237848879083</v>
      </c>
      <c r="L855">
        <f t="shared" si="95"/>
        <v>2.3553891315905048E-3</v>
      </c>
      <c r="O855">
        <f t="shared" si="96"/>
        <v>-21.035812207638745</v>
      </c>
      <c r="P855">
        <f t="shared" si="97"/>
        <v>5.6061761782585581E-4</v>
      </c>
    </row>
    <row r="856" spans="1:16" x14ac:dyDescent="0.25">
      <c r="A856" s="1">
        <v>42.7</v>
      </c>
      <c r="B856" s="2">
        <v>-1.101</v>
      </c>
      <c r="C856">
        <v>4.0000000000000001E-3</v>
      </c>
      <c r="H856">
        <f t="shared" si="91"/>
        <v>42.7</v>
      </c>
      <c r="I856">
        <f t="shared" si="92"/>
        <v>-1.101</v>
      </c>
      <c r="J856">
        <f t="shared" si="93"/>
        <v>2.5313639830802314E-3</v>
      </c>
      <c r="K856">
        <f t="shared" si="94"/>
        <v>-22.078578875700916</v>
      </c>
      <c r="L856">
        <f t="shared" si="95"/>
        <v>1.6875759887201539E-3</v>
      </c>
      <c r="O856">
        <f t="shared" si="96"/>
        <v>-21.918153234460579</v>
      </c>
      <c r="P856">
        <f t="shared" si="97"/>
        <v>-1.0719552504449511E-4</v>
      </c>
    </row>
    <row r="857" spans="1:16" x14ac:dyDescent="0.25">
      <c r="A857" s="1">
        <v>42.75</v>
      </c>
      <c r="B857" s="2">
        <v>-1.2290000000000001</v>
      </c>
      <c r="C857">
        <v>4.0000000000000001E-3</v>
      </c>
      <c r="H857">
        <f t="shared" si="91"/>
        <v>42.75</v>
      </c>
      <c r="I857">
        <f t="shared" si="92"/>
        <v>-1.2290000000000001</v>
      </c>
      <c r="J857">
        <f t="shared" si="93"/>
        <v>2.5296442687747049E-3</v>
      </c>
      <c r="K857">
        <f t="shared" si="94"/>
        <v>-24.645389135546257</v>
      </c>
      <c r="L857">
        <f t="shared" si="95"/>
        <v>1.6864295125164695E-3</v>
      </c>
      <c r="O857">
        <f t="shared" si="96"/>
        <v>-24.484963494305919</v>
      </c>
      <c r="P857">
        <f t="shared" si="97"/>
        <v>-1.083420012481795E-4</v>
      </c>
    </row>
    <row r="858" spans="1:16" x14ac:dyDescent="0.25">
      <c r="A858" s="1">
        <v>42.8</v>
      </c>
      <c r="B858" s="2">
        <v>-1.266</v>
      </c>
      <c r="C858">
        <v>4.0000000000000001E-3</v>
      </c>
      <c r="H858">
        <f t="shared" si="91"/>
        <v>42.8</v>
      </c>
      <c r="I858">
        <f t="shared" si="92"/>
        <v>-1.266</v>
      </c>
      <c r="J858">
        <f t="shared" si="93"/>
        <v>2.527924554469178E-3</v>
      </c>
      <c r="K858">
        <f t="shared" si="94"/>
        <v>-25.387357726282801</v>
      </c>
      <c r="L858">
        <f t="shared" si="95"/>
        <v>1.6852830363127849E-3</v>
      </c>
      <c r="O858">
        <f t="shared" si="96"/>
        <v>-25.226932085042463</v>
      </c>
      <c r="P858">
        <f t="shared" si="97"/>
        <v>-1.094884774518641E-4</v>
      </c>
    </row>
    <row r="859" spans="1:16" x14ac:dyDescent="0.25">
      <c r="A859" s="1">
        <v>42.85</v>
      </c>
      <c r="B859" s="2">
        <v>-1.256</v>
      </c>
      <c r="C859">
        <v>4.0000000000000001E-3</v>
      </c>
      <c r="H859">
        <f t="shared" si="91"/>
        <v>42.85</v>
      </c>
      <c r="I859">
        <f t="shared" si="92"/>
        <v>-1.256</v>
      </c>
      <c r="J859">
        <f t="shared" si="93"/>
        <v>2.5262048401636511E-3</v>
      </c>
      <c r="K859">
        <f t="shared" si="94"/>
        <v>-25.186825674732383</v>
      </c>
      <c r="L859">
        <f t="shared" si="95"/>
        <v>1.6841365601091003E-3</v>
      </c>
      <c r="O859">
        <f t="shared" si="96"/>
        <v>-25.026400033492045</v>
      </c>
      <c r="P859">
        <f t="shared" si="97"/>
        <v>-1.1063495365554871E-4</v>
      </c>
    </row>
    <row r="860" spans="1:16" x14ac:dyDescent="0.25">
      <c r="A860" s="1">
        <v>42.9</v>
      </c>
      <c r="B860" s="2">
        <v>-1.2729999999999999</v>
      </c>
      <c r="C860">
        <v>4.0000000000000001E-3</v>
      </c>
      <c r="H860">
        <f t="shared" si="91"/>
        <v>42.9</v>
      </c>
      <c r="I860">
        <f t="shared" si="92"/>
        <v>-1.2729999999999999</v>
      </c>
      <c r="J860">
        <f t="shared" si="93"/>
        <v>2.5244851258581251E-3</v>
      </c>
      <c r="K860">
        <f t="shared" si="94"/>
        <v>-25.527730162368091</v>
      </c>
      <c r="L860">
        <f t="shared" si="95"/>
        <v>1.6829900839054163E-3</v>
      </c>
      <c r="O860">
        <f t="shared" si="96"/>
        <v>-25.367304521127753</v>
      </c>
      <c r="P860">
        <f t="shared" si="97"/>
        <v>-1.1178142985923266E-4</v>
      </c>
    </row>
    <row r="861" spans="1:16" x14ac:dyDescent="0.25">
      <c r="A861" s="1">
        <v>42.95</v>
      </c>
      <c r="B861" s="2">
        <v>-1.2689999999999999</v>
      </c>
      <c r="C861">
        <v>4.0000000000000001E-3</v>
      </c>
      <c r="H861">
        <f t="shared" si="91"/>
        <v>42.95</v>
      </c>
      <c r="I861">
        <f t="shared" si="92"/>
        <v>-1.2689999999999999</v>
      </c>
      <c r="J861">
        <f t="shared" si="93"/>
        <v>2.5227654115525982E-3</v>
      </c>
      <c r="K861">
        <f t="shared" si="94"/>
        <v>-25.447517341747922</v>
      </c>
      <c r="L861">
        <f t="shared" si="95"/>
        <v>1.6818436077017317E-3</v>
      </c>
      <c r="O861">
        <f t="shared" si="96"/>
        <v>-25.287091700507585</v>
      </c>
      <c r="P861">
        <f t="shared" si="97"/>
        <v>-1.1292790606291726E-4</v>
      </c>
    </row>
    <row r="862" spans="1:16" x14ac:dyDescent="0.25">
      <c r="A862" s="1">
        <v>43</v>
      </c>
      <c r="B862" s="2">
        <v>-1.2649999999999999</v>
      </c>
      <c r="C862">
        <v>4.0000000000000001E-3</v>
      </c>
      <c r="H862">
        <f t="shared" si="91"/>
        <v>43</v>
      </c>
      <c r="I862">
        <f t="shared" si="92"/>
        <v>-1.2649999999999999</v>
      </c>
      <c r="J862">
        <f t="shared" si="93"/>
        <v>2.5210456972470712E-3</v>
      </c>
      <c r="K862">
        <f t="shared" si="94"/>
        <v>-25.367304521127757</v>
      </c>
      <c r="L862">
        <f t="shared" si="95"/>
        <v>1.6806971314980471E-3</v>
      </c>
      <c r="O862">
        <f t="shared" si="96"/>
        <v>-25.206878879887419</v>
      </c>
      <c r="P862">
        <f t="shared" si="97"/>
        <v>-1.1407438226660187E-4</v>
      </c>
    </row>
    <row r="863" spans="1:16" x14ac:dyDescent="0.25">
      <c r="A863" s="1">
        <v>43.05</v>
      </c>
      <c r="B863" s="2">
        <v>-1.268</v>
      </c>
      <c r="C863">
        <v>5.0000000000000001E-3</v>
      </c>
      <c r="H863">
        <f t="shared" si="91"/>
        <v>43.05</v>
      </c>
      <c r="I863">
        <f t="shared" si="92"/>
        <v>-1.268</v>
      </c>
      <c r="J863">
        <f t="shared" si="93"/>
        <v>3.5193259829415448E-3</v>
      </c>
      <c r="K863">
        <f t="shared" si="94"/>
        <v>-25.427464136592885</v>
      </c>
      <c r="L863">
        <f t="shared" si="95"/>
        <v>2.3462173219610293E-3</v>
      </c>
      <c r="O863">
        <f t="shared" si="96"/>
        <v>-25.267038495352548</v>
      </c>
      <c r="P863">
        <f t="shared" si="97"/>
        <v>5.5144580819638028E-4</v>
      </c>
    </row>
    <row r="864" spans="1:16" x14ac:dyDescent="0.25">
      <c r="A864" s="1">
        <v>43.1</v>
      </c>
      <c r="B864" s="2">
        <v>-1.27</v>
      </c>
      <c r="C864">
        <v>4.0000000000000001E-3</v>
      </c>
      <c r="H864">
        <f t="shared" si="91"/>
        <v>43.1</v>
      </c>
      <c r="I864">
        <f t="shared" si="92"/>
        <v>-1.27</v>
      </c>
      <c r="J864">
        <f t="shared" si="93"/>
        <v>2.5176062686360183E-3</v>
      </c>
      <c r="K864">
        <f t="shared" si="94"/>
        <v>-25.467570546902966</v>
      </c>
      <c r="L864">
        <f t="shared" si="95"/>
        <v>1.6784041790906786E-3</v>
      </c>
      <c r="O864">
        <f t="shared" si="96"/>
        <v>-25.307144905662629</v>
      </c>
      <c r="P864">
        <f t="shared" si="97"/>
        <v>-1.1636733467397043E-4</v>
      </c>
    </row>
    <row r="865" spans="1:16" x14ac:dyDescent="0.25">
      <c r="A865" s="1">
        <v>43.15</v>
      </c>
      <c r="B865" s="2">
        <v>-1.2649999999999999</v>
      </c>
      <c r="C865">
        <v>5.0000000000000001E-3</v>
      </c>
      <c r="H865">
        <f t="shared" si="91"/>
        <v>43.15</v>
      </c>
      <c r="I865">
        <f t="shared" si="92"/>
        <v>-1.2649999999999999</v>
      </c>
      <c r="J865">
        <f t="shared" si="93"/>
        <v>3.5158865543304914E-3</v>
      </c>
      <c r="K865">
        <f t="shared" si="94"/>
        <v>-25.367304521127757</v>
      </c>
      <c r="L865">
        <f t="shared" si="95"/>
        <v>2.3439243695536605E-3</v>
      </c>
      <c r="O865">
        <f t="shared" si="96"/>
        <v>-25.206878879887419</v>
      </c>
      <c r="P865">
        <f t="shared" si="97"/>
        <v>5.491528557890115E-4</v>
      </c>
    </row>
    <row r="866" spans="1:16" x14ac:dyDescent="0.25">
      <c r="A866" s="1">
        <v>43.2</v>
      </c>
      <c r="B866" s="2">
        <v>-1.2549999999999999</v>
      </c>
      <c r="C866">
        <v>4.0000000000000001E-3</v>
      </c>
      <c r="H866">
        <f t="shared" si="91"/>
        <v>43.2</v>
      </c>
      <c r="I866">
        <f t="shared" si="92"/>
        <v>-1.2549999999999999</v>
      </c>
      <c r="J866">
        <f t="shared" si="93"/>
        <v>2.5141668400249645E-3</v>
      </c>
      <c r="K866">
        <f t="shared" si="94"/>
        <v>-25.166772469577339</v>
      </c>
      <c r="L866">
        <f t="shared" si="95"/>
        <v>1.6761112266833094E-3</v>
      </c>
      <c r="O866">
        <f t="shared" si="96"/>
        <v>-25.006346828337001</v>
      </c>
      <c r="P866">
        <f t="shared" si="97"/>
        <v>-1.1866028708133964E-4</v>
      </c>
    </row>
    <row r="867" spans="1:16" x14ac:dyDescent="0.25">
      <c r="A867" s="1">
        <v>43.25</v>
      </c>
      <c r="B867" s="2">
        <v>-1.3120000000000001</v>
      </c>
      <c r="C867">
        <v>5.0000000000000001E-3</v>
      </c>
      <c r="H867">
        <f t="shared" si="91"/>
        <v>43.25</v>
      </c>
      <c r="I867">
        <f t="shared" si="92"/>
        <v>-1.3120000000000001</v>
      </c>
      <c r="J867">
        <f t="shared" si="93"/>
        <v>3.5124471257194385E-3</v>
      </c>
      <c r="K867">
        <f t="shared" si="94"/>
        <v>-26.309805163414719</v>
      </c>
      <c r="L867">
        <f t="shared" si="95"/>
        <v>2.3416314171462917E-3</v>
      </c>
      <c r="O867">
        <f t="shared" si="96"/>
        <v>-26.149379522174382</v>
      </c>
      <c r="P867">
        <f t="shared" si="97"/>
        <v>5.4685990338164273E-4</v>
      </c>
    </row>
    <row r="868" spans="1:16" x14ac:dyDescent="0.25">
      <c r="A868" s="1">
        <v>43.3</v>
      </c>
      <c r="B868" s="2">
        <v>-1.427</v>
      </c>
      <c r="C868">
        <v>4.0000000000000001E-3</v>
      </c>
      <c r="H868">
        <f t="shared" si="91"/>
        <v>43.3</v>
      </c>
      <c r="I868">
        <f t="shared" si="92"/>
        <v>-1.427</v>
      </c>
      <c r="J868">
        <f t="shared" si="93"/>
        <v>2.5107274114139115E-3</v>
      </c>
      <c r="K868">
        <f t="shared" si="94"/>
        <v>-28.615923756244516</v>
      </c>
      <c r="L868">
        <f t="shared" si="95"/>
        <v>1.6738182742759406E-3</v>
      </c>
      <c r="O868">
        <f t="shared" si="96"/>
        <v>-28.455498115004179</v>
      </c>
      <c r="P868">
        <f t="shared" si="97"/>
        <v>-1.2095323948870841E-4</v>
      </c>
    </row>
    <row r="869" spans="1:16" x14ac:dyDescent="0.25">
      <c r="A869" s="1">
        <v>43.35</v>
      </c>
      <c r="B869" s="2">
        <v>-1.494</v>
      </c>
      <c r="C869">
        <v>4.0000000000000001E-3</v>
      </c>
      <c r="H869">
        <f t="shared" si="91"/>
        <v>43.35</v>
      </c>
      <c r="I869">
        <f t="shared" si="92"/>
        <v>-1.494</v>
      </c>
      <c r="J869">
        <f t="shared" si="93"/>
        <v>2.5090076971083846E-3</v>
      </c>
      <c r="K869">
        <f t="shared" si="94"/>
        <v>-29.959488501632308</v>
      </c>
      <c r="L869">
        <f t="shared" si="95"/>
        <v>1.672671798072256E-3</v>
      </c>
      <c r="O869">
        <f t="shared" si="96"/>
        <v>-29.79906286039197</v>
      </c>
      <c r="P869">
        <f t="shared" si="97"/>
        <v>-1.2209971569239302E-4</v>
      </c>
    </row>
    <row r="870" spans="1:16" x14ac:dyDescent="0.25">
      <c r="A870" s="1">
        <v>43.4</v>
      </c>
      <c r="B870" s="2">
        <v>-1.5209999999999999</v>
      </c>
      <c r="C870">
        <v>4.0000000000000001E-3</v>
      </c>
      <c r="H870">
        <f t="shared" si="91"/>
        <v>43.4</v>
      </c>
      <c r="I870">
        <f t="shared" si="92"/>
        <v>-1.5209999999999999</v>
      </c>
      <c r="J870">
        <f t="shared" si="93"/>
        <v>2.5072879828028582E-3</v>
      </c>
      <c r="K870">
        <f t="shared" si="94"/>
        <v>-30.500925040818434</v>
      </c>
      <c r="L870">
        <f t="shared" si="95"/>
        <v>1.6715253218685718E-3</v>
      </c>
      <c r="O870">
        <f t="shared" si="96"/>
        <v>-30.340499399578096</v>
      </c>
      <c r="P870">
        <f t="shared" si="97"/>
        <v>-1.2324619189607719E-4</v>
      </c>
    </row>
    <row r="871" spans="1:16" x14ac:dyDescent="0.25">
      <c r="A871" s="1">
        <v>43.45</v>
      </c>
      <c r="B871" s="2">
        <v>-1.5649999999999999</v>
      </c>
      <c r="C871">
        <v>4.0000000000000001E-3</v>
      </c>
      <c r="H871">
        <f t="shared" si="91"/>
        <v>43.45</v>
      </c>
      <c r="I871">
        <f t="shared" si="92"/>
        <v>-1.5649999999999999</v>
      </c>
      <c r="J871">
        <f t="shared" si="93"/>
        <v>2.5055682684973317E-3</v>
      </c>
      <c r="K871">
        <f t="shared" si="94"/>
        <v>-31.383266067640267</v>
      </c>
      <c r="L871">
        <f t="shared" si="95"/>
        <v>1.6703788456648874E-3</v>
      </c>
      <c r="O871">
        <f t="shared" si="96"/>
        <v>-31.22284042639993</v>
      </c>
      <c r="P871">
        <f t="shared" si="97"/>
        <v>-1.2439266809976157E-4</v>
      </c>
    </row>
    <row r="872" spans="1:16" x14ac:dyDescent="0.25">
      <c r="A872" s="1">
        <v>43.5</v>
      </c>
      <c r="B872" s="2">
        <v>-1.579</v>
      </c>
      <c r="C872">
        <v>4.0000000000000001E-3</v>
      </c>
      <c r="H872">
        <f t="shared" si="91"/>
        <v>43.5</v>
      </c>
      <c r="I872">
        <f t="shared" si="92"/>
        <v>-1.579</v>
      </c>
      <c r="J872">
        <f t="shared" si="93"/>
        <v>2.5038485541918048E-3</v>
      </c>
      <c r="K872">
        <f t="shared" si="94"/>
        <v>-31.664010939810854</v>
      </c>
      <c r="L872">
        <f t="shared" si="95"/>
        <v>1.6692323694612028E-3</v>
      </c>
      <c r="O872">
        <f t="shared" si="96"/>
        <v>-31.503585298570517</v>
      </c>
      <c r="P872">
        <f t="shared" si="97"/>
        <v>-1.2553914430344618E-4</v>
      </c>
    </row>
    <row r="873" spans="1:16" x14ac:dyDescent="0.25">
      <c r="A873" s="1">
        <v>43.55</v>
      </c>
      <c r="B873" s="2">
        <v>-1.62</v>
      </c>
      <c r="C873">
        <v>5.0000000000000001E-3</v>
      </c>
      <c r="H873">
        <f t="shared" si="91"/>
        <v>43.55</v>
      </c>
      <c r="I873">
        <f t="shared" si="92"/>
        <v>-1.62</v>
      </c>
      <c r="J873">
        <f t="shared" si="93"/>
        <v>3.5021288398862783E-3</v>
      </c>
      <c r="K873">
        <f t="shared" si="94"/>
        <v>-32.486192351167567</v>
      </c>
      <c r="L873">
        <f t="shared" si="95"/>
        <v>2.334752559924185E-3</v>
      </c>
      <c r="O873">
        <f t="shared" si="96"/>
        <v>-32.32576670992723</v>
      </c>
      <c r="P873">
        <f t="shared" si="97"/>
        <v>5.3998104615953597E-4</v>
      </c>
    </row>
    <row r="874" spans="1:16" x14ac:dyDescent="0.25">
      <c r="A874" s="1">
        <v>43.6</v>
      </c>
      <c r="B874" s="2">
        <v>-1.6359999999999999</v>
      </c>
      <c r="C874">
        <v>4.0000000000000001E-3</v>
      </c>
      <c r="H874">
        <f t="shared" si="91"/>
        <v>43.6</v>
      </c>
      <c r="I874">
        <f t="shared" si="92"/>
        <v>-1.6359999999999999</v>
      </c>
      <c r="J874">
        <f t="shared" si="93"/>
        <v>2.5004091255807514E-3</v>
      </c>
      <c r="K874">
        <f t="shared" si="94"/>
        <v>-32.807043633648227</v>
      </c>
      <c r="L874">
        <f t="shared" si="95"/>
        <v>1.6669394170538338E-3</v>
      </c>
      <c r="O874">
        <f t="shared" si="96"/>
        <v>-32.64661799240789</v>
      </c>
      <c r="P874">
        <f t="shared" si="97"/>
        <v>-1.2783209671081517E-4</v>
      </c>
    </row>
    <row r="875" spans="1:16" x14ac:dyDescent="0.25">
      <c r="A875" s="1">
        <v>43.65</v>
      </c>
      <c r="B875" s="2">
        <v>-1.6339999999999999</v>
      </c>
      <c r="C875">
        <v>4.0000000000000001E-3</v>
      </c>
      <c r="H875">
        <f t="shared" si="91"/>
        <v>43.65</v>
      </c>
      <c r="I875">
        <f t="shared" si="92"/>
        <v>-1.6339999999999999</v>
      </c>
      <c r="J875">
        <f t="shared" si="93"/>
        <v>2.4986894112752249E-3</v>
      </c>
      <c r="K875">
        <f t="shared" si="94"/>
        <v>-32.766937223338147</v>
      </c>
      <c r="L875">
        <f t="shared" si="95"/>
        <v>1.6657929408501497E-3</v>
      </c>
      <c r="O875">
        <f t="shared" si="96"/>
        <v>-32.606511582097809</v>
      </c>
      <c r="P875">
        <f t="shared" si="97"/>
        <v>-1.2897857291449934E-4</v>
      </c>
    </row>
    <row r="876" spans="1:16" x14ac:dyDescent="0.25">
      <c r="A876" s="1">
        <v>43.7</v>
      </c>
      <c r="B876" s="2">
        <v>-1.6279999999999999</v>
      </c>
      <c r="C876">
        <v>4.0000000000000001E-3</v>
      </c>
      <c r="H876">
        <f t="shared" si="91"/>
        <v>43.7</v>
      </c>
      <c r="I876">
        <f t="shared" si="92"/>
        <v>-1.6279999999999999</v>
      </c>
      <c r="J876">
        <f t="shared" si="93"/>
        <v>2.496969696969698E-3</v>
      </c>
      <c r="K876">
        <f t="shared" si="94"/>
        <v>-32.646617992407897</v>
      </c>
      <c r="L876">
        <f t="shared" si="95"/>
        <v>1.6646464646464651E-3</v>
      </c>
      <c r="O876">
        <f t="shared" si="96"/>
        <v>-32.48619235116756</v>
      </c>
      <c r="P876">
        <f t="shared" si="97"/>
        <v>-1.3012504911818394E-4</v>
      </c>
    </row>
    <row r="877" spans="1:16" x14ac:dyDescent="0.25">
      <c r="A877" s="1">
        <v>43.75</v>
      </c>
      <c r="B877" s="2">
        <v>-1.627</v>
      </c>
      <c r="C877">
        <v>5.0000000000000001E-3</v>
      </c>
      <c r="H877">
        <f t="shared" si="91"/>
        <v>43.75</v>
      </c>
      <c r="I877">
        <f t="shared" si="92"/>
        <v>-1.627</v>
      </c>
      <c r="J877">
        <f t="shared" si="93"/>
        <v>3.4952499826641716E-3</v>
      </c>
      <c r="K877">
        <f t="shared" si="94"/>
        <v>-32.626564787252853</v>
      </c>
      <c r="L877">
        <f t="shared" si="95"/>
        <v>2.330166655109447E-3</v>
      </c>
      <c r="O877">
        <f t="shared" si="96"/>
        <v>-32.466139146012516</v>
      </c>
      <c r="P877">
        <f t="shared" si="97"/>
        <v>5.3539514134479799E-4</v>
      </c>
    </row>
    <row r="878" spans="1:16" x14ac:dyDescent="0.25">
      <c r="A878" s="1">
        <v>43.8</v>
      </c>
      <c r="B878" s="2">
        <v>-1.627</v>
      </c>
      <c r="C878">
        <v>4.0000000000000001E-3</v>
      </c>
      <c r="H878">
        <f t="shared" si="91"/>
        <v>43.8</v>
      </c>
      <c r="I878">
        <f t="shared" si="92"/>
        <v>-1.627</v>
      </c>
      <c r="J878">
        <f t="shared" si="93"/>
        <v>2.4935302683586451E-3</v>
      </c>
      <c r="K878">
        <f t="shared" si="94"/>
        <v>-32.626564787252853</v>
      </c>
      <c r="L878">
        <f t="shared" si="95"/>
        <v>1.6623535122390963E-3</v>
      </c>
      <c r="O878">
        <f t="shared" si="96"/>
        <v>-32.466139146012516</v>
      </c>
      <c r="P878">
        <f t="shared" si="97"/>
        <v>-1.3241800152555272E-4</v>
      </c>
    </row>
    <row r="879" spans="1:16" x14ac:dyDescent="0.25">
      <c r="A879" s="1">
        <v>43.85</v>
      </c>
      <c r="B879" s="2">
        <v>-1.625</v>
      </c>
      <c r="C879">
        <v>4.0000000000000001E-3</v>
      </c>
      <c r="H879">
        <f t="shared" si="91"/>
        <v>43.85</v>
      </c>
      <c r="I879">
        <f t="shared" si="92"/>
        <v>-1.625</v>
      </c>
      <c r="J879">
        <f t="shared" si="93"/>
        <v>2.4918105540531182E-3</v>
      </c>
      <c r="K879">
        <f t="shared" si="94"/>
        <v>-32.586458376942772</v>
      </c>
      <c r="L879">
        <f t="shared" si="95"/>
        <v>1.6612070360354117E-3</v>
      </c>
      <c r="O879">
        <f t="shared" si="96"/>
        <v>-32.426032735702435</v>
      </c>
      <c r="P879">
        <f t="shared" si="97"/>
        <v>-1.3356447772923732E-4</v>
      </c>
    </row>
    <row r="880" spans="1:16" x14ac:dyDescent="0.25">
      <c r="A880" s="1">
        <v>43.9</v>
      </c>
      <c r="B880" s="2">
        <v>-1.6439999999999999</v>
      </c>
      <c r="C880">
        <v>4.0000000000000001E-3</v>
      </c>
      <c r="H880">
        <f t="shared" si="91"/>
        <v>43.9</v>
      </c>
      <c r="I880">
        <f t="shared" si="92"/>
        <v>-1.6439999999999999</v>
      </c>
      <c r="J880">
        <f t="shared" si="93"/>
        <v>2.4900908397475913E-3</v>
      </c>
      <c r="K880">
        <f t="shared" si="94"/>
        <v>-32.967469274888565</v>
      </c>
      <c r="L880">
        <f t="shared" si="95"/>
        <v>1.6600605598317271E-3</v>
      </c>
      <c r="O880">
        <f t="shared" si="96"/>
        <v>-32.807043633648227</v>
      </c>
      <c r="P880">
        <f t="shared" si="97"/>
        <v>-1.3471095393292193E-4</v>
      </c>
    </row>
    <row r="881" spans="1:16" x14ac:dyDescent="0.25">
      <c r="A881" s="1">
        <v>43.95</v>
      </c>
      <c r="B881" s="2">
        <v>-1.655</v>
      </c>
      <c r="C881">
        <v>5.0000000000000001E-3</v>
      </c>
      <c r="H881">
        <f t="shared" si="91"/>
        <v>43.95</v>
      </c>
      <c r="I881">
        <f t="shared" si="92"/>
        <v>-1.655</v>
      </c>
      <c r="J881">
        <f t="shared" si="93"/>
        <v>3.4883711254420648E-3</v>
      </c>
      <c r="K881">
        <f t="shared" si="94"/>
        <v>-33.188054531594027</v>
      </c>
      <c r="L881">
        <f t="shared" si="95"/>
        <v>2.3255807502947094E-3</v>
      </c>
      <c r="O881">
        <f t="shared" si="96"/>
        <v>-33.027628890353689</v>
      </c>
      <c r="P881">
        <f t="shared" si="97"/>
        <v>5.3080923653006044E-4</v>
      </c>
    </row>
    <row r="882" spans="1:16" x14ac:dyDescent="0.25">
      <c r="A882" s="1">
        <v>44</v>
      </c>
      <c r="B882" s="2">
        <v>-1.7370000000000001</v>
      </c>
      <c r="C882">
        <v>4.0000000000000001E-3</v>
      </c>
      <c r="H882">
        <f t="shared" si="91"/>
        <v>44</v>
      </c>
      <c r="I882">
        <f t="shared" si="92"/>
        <v>-1.7370000000000001</v>
      </c>
      <c r="J882">
        <f t="shared" si="93"/>
        <v>2.4866514111365383E-3</v>
      </c>
      <c r="K882">
        <f t="shared" si="94"/>
        <v>-34.832417354307445</v>
      </c>
      <c r="L882">
        <f t="shared" si="95"/>
        <v>1.6577676074243585E-3</v>
      </c>
      <c r="O882">
        <f t="shared" si="96"/>
        <v>-34.671991713067108</v>
      </c>
      <c r="P882">
        <f t="shared" si="97"/>
        <v>-1.3700390634029049E-4</v>
      </c>
    </row>
    <row r="883" spans="1:16" x14ac:dyDescent="0.25">
      <c r="A883" s="1">
        <v>44.05</v>
      </c>
      <c r="B883" s="2">
        <v>-1.8260000000000001</v>
      </c>
      <c r="C883">
        <v>5.0000000000000001E-3</v>
      </c>
      <c r="H883">
        <f t="shared" si="91"/>
        <v>44.05</v>
      </c>
      <c r="I883">
        <f t="shared" si="92"/>
        <v>-1.8260000000000001</v>
      </c>
      <c r="J883">
        <f t="shared" si="93"/>
        <v>3.4849316968310114E-3</v>
      </c>
      <c r="K883">
        <f t="shared" si="94"/>
        <v>-36.617152613106157</v>
      </c>
      <c r="L883">
        <f t="shared" si="95"/>
        <v>2.3232877978873402E-3</v>
      </c>
      <c r="O883">
        <f t="shared" si="96"/>
        <v>-36.45672697186582</v>
      </c>
      <c r="P883">
        <f t="shared" si="97"/>
        <v>5.2851628412269123E-4</v>
      </c>
    </row>
    <row r="884" spans="1:16" x14ac:dyDescent="0.25">
      <c r="A884" s="1">
        <v>44.1</v>
      </c>
      <c r="B884" s="2">
        <v>-1.871</v>
      </c>
      <c r="C884">
        <v>4.0000000000000001E-3</v>
      </c>
      <c r="H884">
        <f t="shared" si="91"/>
        <v>44.1</v>
      </c>
      <c r="I884">
        <f t="shared" si="92"/>
        <v>-1.871</v>
      </c>
      <c r="J884">
        <f t="shared" si="93"/>
        <v>2.4832119825254849E-3</v>
      </c>
      <c r="K884">
        <f t="shared" si="94"/>
        <v>-37.519546845083035</v>
      </c>
      <c r="L884">
        <f t="shared" si="95"/>
        <v>1.6554746550169895E-3</v>
      </c>
      <c r="O884">
        <f t="shared" si="96"/>
        <v>-37.359121203842697</v>
      </c>
      <c r="P884">
        <f t="shared" si="97"/>
        <v>-1.3929685874765948E-4</v>
      </c>
    </row>
    <row r="885" spans="1:16" x14ac:dyDescent="0.25">
      <c r="A885" s="1">
        <v>44.15</v>
      </c>
      <c r="B885" s="2">
        <v>-1.9179999999999999</v>
      </c>
      <c r="C885">
        <v>4.0000000000000001E-3</v>
      </c>
      <c r="H885">
        <f t="shared" si="91"/>
        <v>44.15</v>
      </c>
      <c r="I885">
        <f t="shared" si="92"/>
        <v>-1.9179999999999999</v>
      </c>
      <c r="J885">
        <f t="shared" si="93"/>
        <v>2.4814922682199585E-3</v>
      </c>
      <c r="K885">
        <f t="shared" si="94"/>
        <v>-38.462047487369993</v>
      </c>
      <c r="L885">
        <f t="shared" si="95"/>
        <v>1.6543281788133054E-3</v>
      </c>
      <c r="O885">
        <f t="shared" si="96"/>
        <v>-38.301621846129656</v>
      </c>
      <c r="P885">
        <f t="shared" si="97"/>
        <v>-1.4044333495134365E-4</v>
      </c>
    </row>
    <row r="886" spans="1:16" x14ac:dyDescent="0.25">
      <c r="A886" s="1">
        <v>44.2</v>
      </c>
      <c r="B886" s="2">
        <v>-1.9490000000000001</v>
      </c>
      <c r="C886">
        <v>4.0000000000000001E-3</v>
      </c>
      <c r="H886">
        <f t="shared" si="91"/>
        <v>44.2</v>
      </c>
      <c r="I886">
        <f t="shared" si="92"/>
        <v>-1.9490000000000001</v>
      </c>
      <c r="J886">
        <f t="shared" si="93"/>
        <v>2.4797725539144316E-3</v>
      </c>
      <c r="K886">
        <f t="shared" si="94"/>
        <v>-39.083696847176284</v>
      </c>
      <c r="L886">
        <f t="shared" si="95"/>
        <v>1.6531817026096208E-3</v>
      </c>
      <c r="O886">
        <f t="shared" si="96"/>
        <v>-38.923271205935947</v>
      </c>
      <c r="P886">
        <f t="shared" si="97"/>
        <v>-1.4158981115502825E-4</v>
      </c>
    </row>
    <row r="887" spans="1:16" x14ac:dyDescent="0.25">
      <c r="A887" s="1">
        <v>44.25</v>
      </c>
      <c r="B887" s="2">
        <v>-1.9630000000000001</v>
      </c>
      <c r="C887">
        <v>5.0000000000000001E-3</v>
      </c>
      <c r="H887">
        <f t="shared" si="91"/>
        <v>44.25</v>
      </c>
      <c r="I887">
        <f t="shared" si="92"/>
        <v>-1.9630000000000001</v>
      </c>
      <c r="J887">
        <f t="shared" si="93"/>
        <v>3.4780528396089047E-3</v>
      </c>
      <c r="K887">
        <f t="shared" si="94"/>
        <v>-39.364441719346871</v>
      </c>
      <c r="L887">
        <f t="shared" si="95"/>
        <v>2.3187018930726027E-3</v>
      </c>
      <c r="O887">
        <f t="shared" si="96"/>
        <v>-39.204016078106534</v>
      </c>
      <c r="P887">
        <f t="shared" si="97"/>
        <v>5.2393037930795368E-4</v>
      </c>
    </row>
    <row r="888" spans="1:16" x14ac:dyDescent="0.25">
      <c r="A888" s="1">
        <v>44.3</v>
      </c>
      <c r="B888" s="2">
        <v>-1.964</v>
      </c>
      <c r="C888">
        <v>4.0000000000000001E-3</v>
      </c>
      <c r="H888">
        <f t="shared" si="91"/>
        <v>44.3</v>
      </c>
      <c r="I888">
        <f t="shared" si="92"/>
        <v>-1.964</v>
      </c>
      <c r="J888">
        <f t="shared" si="93"/>
        <v>2.4763331253033786E-3</v>
      </c>
      <c r="K888">
        <f t="shared" si="94"/>
        <v>-39.384494924501908</v>
      </c>
      <c r="L888">
        <f t="shared" si="95"/>
        <v>1.650888750202252E-3</v>
      </c>
      <c r="O888">
        <f t="shared" si="96"/>
        <v>-39.224069283261571</v>
      </c>
      <c r="P888">
        <f t="shared" si="97"/>
        <v>-1.4388276356239703E-4</v>
      </c>
    </row>
    <row r="889" spans="1:16" x14ac:dyDescent="0.25">
      <c r="A889" s="1">
        <v>44.35</v>
      </c>
      <c r="B889" s="2">
        <v>-1.964</v>
      </c>
      <c r="C889">
        <v>5.0000000000000001E-3</v>
      </c>
      <c r="H889">
        <f t="shared" si="91"/>
        <v>44.35</v>
      </c>
      <c r="I889">
        <f t="shared" si="92"/>
        <v>-1.964</v>
      </c>
      <c r="J889">
        <f t="shared" si="93"/>
        <v>3.4746134109978517E-3</v>
      </c>
      <c r="K889">
        <f t="shared" si="94"/>
        <v>-39.384494924501908</v>
      </c>
      <c r="L889">
        <f t="shared" si="95"/>
        <v>2.3164089406652339E-3</v>
      </c>
      <c r="O889">
        <f t="shared" si="96"/>
        <v>-39.224069283261571</v>
      </c>
      <c r="P889">
        <f t="shared" si="97"/>
        <v>5.216374269005849E-4</v>
      </c>
    </row>
    <row r="890" spans="1:16" x14ac:dyDescent="0.25">
      <c r="A890" s="1">
        <v>44.4</v>
      </c>
      <c r="B890" s="2">
        <v>-1.964</v>
      </c>
      <c r="C890">
        <v>4.0000000000000001E-3</v>
      </c>
      <c r="H890">
        <f t="shared" si="91"/>
        <v>44.4</v>
      </c>
      <c r="I890">
        <f t="shared" si="92"/>
        <v>-1.964</v>
      </c>
      <c r="J890">
        <f t="shared" si="93"/>
        <v>2.4728936966923248E-3</v>
      </c>
      <c r="K890">
        <f t="shared" si="94"/>
        <v>-39.384494924501908</v>
      </c>
      <c r="L890">
        <f t="shared" si="95"/>
        <v>1.6485957977948828E-3</v>
      </c>
      <c r="O890">
        <f t="shared" si="96"/>
        <v>-39.224069283261571</v>
      </c>
      <c r="P890">
        <f t="shared" si="97"/>
        <v>-1.4617571596976624E-4</v>
      </c>
    </row>
    <row r="891" spans="1:16" x14ac:dyDescent="0.25">
      <c r="A891" s="1">
        <v>44.45</v>
      </c>
      <c r="B891" s="2">
        <v>-1.964</v>
      </c>
      <c r="C891">
        <v>4.0000000000000001E-3</v>
      </c>
      <c r="H891">
        <f t="shared" si="91"/>
        <v>44.45</v>
      </c>
      <c r="I891">
        <f t="shared" si="92"/>
        <v>-1.964</v>
      </c>
      <c r="J891">
        <f t="shared" si="93"/>
        <v>2.4711739823867979E-3</v>
      </c>
      <c r="K891">
        <f t="shared" si="94"/>
        <v>-39.384494924501908</v>
      </c>
      <c r="L891">
        <f t="shared" si="95"/>
        <v>1.6474493215911982E-3</v>
      </c>
      <c r="O891">
        <f t="shared" si="96"/>
        <v>-39.224069283261571</v>
      </c>
      <c r="P891">
        <f t="shared" si="97"/>
        <v>-1.4732219217345084E-4</v>
      </c>
    </row>
    <row r="892" spans="1:16" x14ac:dyDescent="0.25">
      <c r="A892" s="1">
        <v>44.5</v>
      </c>
      <c r="B892" s="2">
        <v>-1.964</v>
      </c>
      <c r="C892">
        <v>4.0000000000000001E-3</v>
      </c>
      <c r="H892">
        <f t="shared" si="91"/>
        <v>44.5</v>
      </c>
      <c r="I892">
        <f t="shared" si="92"/>
        <v>-1.964</v>
      </c>
      <c r="J892">
        <f t="shared" si="93"/>
        <v>2.4694542680812719E-3</v>
      </c>
      <c r="K892">
        <f t="shared" si="94"/>
        <v>-39.384494924501908</v>
      </c>
      <c r="L892">
        <f t="shared" si="95"/>
        <v>1.6463028453875142E-3</v>
      </c>
      <c r="O892">
        <f t="shared" si="96"/>
        <v>-39.224069283261571</v>
      </c>
      <c r="P892">
        <f t="shared" si="97"/>
        <v>-1.484686683771348E-4</v>
      </c>
    </row>
    <row r="893" spans="1:16" x14ac:dyDescent="0.25">
      <c r="A893" s="1">
        <v>44.55</v>
      </c>
      <c r="B893" s="2">
        <v>-1.976</v>
      </c>
      <c r="C893">
        <v>5.0000000000000001E-3</v>
      </c>
      <c r="H893">
        <f t="shared" si="91"/>
        <v>44.55</v>
      </c>
      <c r="I893">
        <f t="shared" si="92"/>
        <v>-1.976</v>
      </c>
      <c r="J893">
        <f t="shared" si="93"/>
        <v>3.467734553775745E-3</v>
      </c>
      <c r="K893">
        <f t="shared" si="94"/>
        <v>-39.625133386362407</v>
      </c>
      <c r="L893">
        <f t="shared" si="95"/>
        <v>2.3118230358504959E-3</v>
      </c>
      <c r="O893">
        <f t="shared" si="96"/>
        <v>-39.46470774512207</v>
      </c>
      <c r="P893">
        <f t="shared" si="97"/>
        <v>5.1705152208584692E-4</v>
      </c>
    </row>
    <row r="894" spans="1:16" x14ac:dyDescent="0.25">
      <c r="A894" s="1">
        <v>44.6</v>
      </c>
      <c r="B894" s="2">
        <v>-2.048</v>
      </c>
      <c r="C894">
        <v>4.0000000000000001E-3</v>
      </c>
      <c r="H894">
        <f t="shared" si="91"/>
        <v>44.6</v>
      </c>
      <c r="I894">
        <f t="shared" si="92"/>
        <v>-2.048</v>
      </c>
      <c r="J894">
        <f t="shared" si="93"/>
        <v>2.466014839470218E-3</v>
      </c>
      <c r="K894">
        <f t="shared" si="94"/>
        <v>-41.068964157525414</v>
      </c>
      <c r="L894">
        <f t="shared" si="95"/>
        <v>1.644009892980145E-3</v>
      </c>
      <c r="O894">
        <f t="shared" si="96"/>
        <v>-40.908538516285077</v>
      </c>
      <c r="P894">
        <f t="shared" si="97"/>
        <v>-1.50761620784504E-4</v>
      </c>
    </row>
    <row r="895" spans="1:16" x14ac:dyDescent="0.25">
      <c r="A895" s="1">
        <v>44.65</v>
      </c>
      <c r="B895" s="2">
        <v>-2.0630000000000002</v>
      </c>
      <c r="C895">
        <v>4.0000000000000001E-3</v>
      </c>
      <c r="H895">
        <f t="shared" si="91"/>
        <v>44.65</v>
      </c>
      <c r="I895">
        <f t="shared" si="92"/>
        <v>-2.0630000000000002</v>
      </c>
      <c r="J895">
        <f t="shared" si="93"/>
        <v>2.4642951251646916E-3</v>
      </c>
      <c r="K895">
        <f t="shared" si="94"/>
        <v>-41.369762234851045</v>
      </c>
      <c r="L895">
        <f t="shared" si="95"/>
        <v>1.6428634167764606E-3</v>
      </c>
      <c r="O895">
        <f t="shared" si="96"/>
        <v>-41.209336593610708</v>
      </c>
      <c r="P895">
        <f t="shared" si="97"/>
        <v>-1.5190809698818839E-4</v>
      </c>
    </row>
    <row r="896" spans="1:16" x14ac:dyDescent="0.25">
      <c r="A896" s="1">
        <v>44.7</v>
      </c>
      <c r="B896" s="2">
        <v>-2.11</v>
      </c>
      <c r="C896">
        <v>4.0000000000000001E-3</v>
      </c>
      <c r="H896">
        <f t="shared" si="91"/>
        <v>44.7</v>
      </c>
      <c r="I896">
        <f t="shared" si="92"/>
        <v>-2.11</v>
      </c>
      <c r="J896">
        <f t="shared" si="93"/>
        <v>2.4625754108591651E-3</v>
      </c>
      <c r="K896">
        <f t="shared" si="94"/>
        <v>-42.312262877137996</v>
      </c>
      <c r="L896">
        <f t="shared" si="95"/>
        <v>1.6417169405727764E-3</v>
      </c>
      <c r="O896">
        <f t="shared" si="96"/>
        <v>-42.151837235897659</v>
      </c>
      <c r="P896">
        <f t="shared" si="97"/>
        <v>-1.5305457319187256E-4</v>
      </c>
    </row>
    <row r="897" spans="1:16" x14ac:dyDescent="0.25">
      <c r="A897" s="1">
        <v>44.75</v>
      </c>
      <c r="B897" s="2">
        <v>-2.1960000000000002</v>
      </c>
      <c r="C897">
        <v>4.0000000000000001E-3</v>
      </c>
      <c r="H897">
        <f t="shared" si="91"/>
        <v>44.75</v>
      </c>
      <c r="I897">
        <f t="shared" si="92"/>
        <v>-2.1960000000000002</v>
      </c>
      <c r="J897">
        <f t="shared" si="93"/>
        <v>2.4608556965536382E-3</v>
      </c>
      <c r="K897">
        <f t="shared" si="94"/>
        <v>-44.036838520471591</v>
      </c>
      <c r="L897">
        <f t="shared" si="95"/>
        <v>1.6405704643690918E-3</v>
      </c>
      <c r="O897">
        <f t="shared" si="96"/>
        <v>-43.876412879231253</v>
      </c>
      <c r="P897">
        <f t="shared" si="97"/>
        <v>-1.5420104939555717E-4</v>
      </c>
    </row>
    <row r="898" spans="1:16" x14ac:dyDescent="0.25">
      <c r="A898" s="1">
        <v>44.8</v>
      </c>
      <c r="B898" s="2">
        <v>-2.25</v>
      </c>
      <c r="C898">
        <v>4.0000000000000001E-3</v>
      </c>
      <c r="H898">
        <f t="shared" si="91"/>
        <v>44.8</v>
      </c>
      <c r="I898">
        <f t="shared" si="92"/>
        <v>-2.25</v>
      </c>
      <c r="J898">
        <f t="shared" si="93"/>
        <v>2.4591359822481117E-3</v>
      </c>
      <c r="K898">
        <f t="shared" si="94"/>
        <v>-45.119711598843836</v>
      </c>
      <c r="L898">
        <f t="shared" si="95"/>
        <v>1.6394239881654075E-3</v>
      </c>
      <c r="O898">
        <f t="shared" si="96"/>
        <v>-44.959285957603498</v>
      </c>
      <c r="P898">
        <f t="shared" si="97"/>
        <v>-1.5534752559924155E-4</v>
      </c>
    </row>
    <row r="899" spans="1:16" x14ac:dyDescent="0.25">
      <c r="A899" s="1">
        <v>44.85</v>
      </c>
      <c r="B899" s="2">
        <v>-2.3199999999999998</v>
      </c>
      <c r="C899">
        <v>5.0000000000000001E-3</v>
      </c>
      <c r="H899">
        <f t="shared" ref="H899:H962" si="98">A899</f>
        <v>44.85</v>
      </c>
      <c r="I899">
        <f t="shared" ref="I899:I962" si="99">B899</f>
        <v>-2.3199999999999998</v>
      </c>
      <c r="J899">
        <f t="shared" ref="J899:J962" si="100">C899-E$12*A899</f>
        <v>3.4574162679425853E-3</v>
      </c>
      <c r="K899">
        <f t="shared" ref="K899:K962" si="101">F$24*I899</f>
        <v>-46.523435959696755</v>
      </c>
      <c r="L899">
        <f t="shared" ref="L899:L962" si="102">F$25*J899</f>
        <v>2.3049441786283896E-3</v>
      </c>
      <c r="O899">
        <f t="shared" ref="O899:O962" si="103">K899-N$12</f>
        <v>-46.363010318456418</v>
      </c>
      <c r="P899">
        <f t="shared" ref="P899:P962" si="104">L899-N$15</f>
        <v>5.1017266486374059E-4</v>
      </c>
    </row>
    <row r="900" spans="1:16" x14ac:dyDescent="0.25">
      <c r="A900" s="1">
        <v>44.9</v>
      </c>
      <c r="B900" s="2">
        <v>-2.41</v>
      </c>
      <c r="C900">
        <v>4.0000000000000001E-3</v>
      </c>
      <c r="H900">
        <f t="shared" si="98"/>
        <v>44.9</v>
      </c>
      <c r="I900">
        <f t="shared" si="99"/>
        <v>-2.41</v>
      </c>
      <c r="J900">
        <f t="shared" si="100"/>
        <v>2.4556965536370583E-3</v>
      </c>
      <c r="K900">
        <f t="shared" si="101"/>
        <v>-48.328224423650511</v>
      </c>
      <c r="L900">
        <f t="shared" si="102"/>
        <v>1.6371310357580385E-3</v>
      </c>
      <c r="O900">
        <f t="shared" si="103"/>
        <v>-48.167798782410173</v>
      </c>
      <c r="P900">
        <f t="shared" si="104"/>
        <v>-1.5764047800661055E-4</v>
      </c>
    </row>
    <row r="901" spans="1:16" x14ac:dyDescent="0.25">
      <c r="A901" s="1">
        <v>44.95</v>
      </c>
      <c r="B901" s="2">
        <v>-2.4809999999999999</v>
      </c>
      <c r="C901">
        <v>4.0000000000000001E-3</v>
      </c>
      <c r="H901">
        <f t="shared" si="98"/>
        <v>44.95</v>
      </c>
      <c r="I901">
        <f t="shared" si="99"/>
        <v>-2.4809999999999999</v>
      </c>
      <c r="J901">
        <f t="shared" si="100"/>
        <v>2.4539768393315314E-3</v>
      </c>
      <c r="K901">
        <f t="shared" si="101"/>
        <v>-49.752001989658467</v>
      </c>
      <c r="L901">
        <f t="shared" si="102"/>
        <v>1.6359845595543539E-3</v>
      </c>
      <c r="O901">
        <f t="shared" si="103"/>
        <v>-49.59157634841813</v>
      </c>
      <c r="P901">
        <f t="shared" si="104"/>
        <v>-1.5878695421029515E-4</v>
      </c>
    </row>
    <row r="902" spans="1:16" x14ac:dyDescent="0.25">
      <c r="A902" s="1">
        <v>45</v>
      </c>
      <c r="B902" s="2">
        <v>-2.4820000000000002</v>
      </c>
      <c r="C902">
        <v>4.0000000000000001E-3</v>
      </c>
      <c r="H902">
        <f t="shared" si="98"/>
        <v>45</v>
      </c>
      <c r="I902">
        <f t="shared" si="99"/>
        <v>-2.4820000000000002</v>
      </c>
      <c r="J902">
        <f t="shared" si="100"/>
        <v>2.452257125026005E-3</v>
      </c>
      <c r="K902">
        <f t="shared" si="101"/>
        <v>-49.772055194813518</v>
      </c>
      <c r="L902">
        <f t="shared" si="102"/>
        <v>1.6348380833506697E-3</v>
      </c>
      <c r="O902">
        <f t="shared" si="103"/>
        <v>-49.611629553573181</v>
      </c>
      <c r="P902">
        <f t="shared" si="104"/>
        <v>-1.5993343041397932E-4</v>
      </c>
    </row>
    <row r="903" spans="1:16" x14ac:dyDescent="0.25">
      <c r="A903" s="1">
        <v>45.05</v>
      </c>
      <c r="B903" s="2">
        <v>-2.4820000000000002</v>
      </c>
      <c r="C903">
        <v>4.0000000000000001E-3</v>
      </c>
      <c r="H903">
        <f t="shared" si="98"/>
        <v>45.05</v>
      </c>
      <c r="I903">
        <f t="shared" si="99"/>
        <v>-2.4820000000000002</v>
      </c>
      <c r="J903">
        <f t="shared" si="100"/>
        <v>2.4505374107204785E-3</v>
      </c>
      <c r="K903">
        <f t="shared" si="101"/>
        <v>-49.772055194813518</v>
      </c>
      <c r="L903">
        <f t="shared" si="102"/>
        <v>1.6336916071469853E-3</v>
      </c>
      <c r="O903">
        <f t="shared" si="103"/>
        <v>-49.611629553573181</v>
      </c>
      <c r="P903">
        <f t="shared" si="104"/>
        <v>-1.6107990661766371E-4</v>
      </c>
    </row>
    <row r="904" spans="1:16" x14ac:dyDescent="0.25">
      <c r="A904" s="1">
        <v>45.1</v>
      </c>
      <c r="B904" s="2">
        <v>-2.4820000000000002</v>
      </c>
      <c r="C904">
        <v>4.0000000000000001E-3</v>
      </c>
      <c r="H904">
        <f t="shared" si="98"/>
        <v>45.1</v>
      </c>
      <c r="I904">
        <f t="shared" si="99"/>
        <v>-2.4820000000000002</v>
      </c>
      <c r="J904">
        <f t="shared" si="100"/>
        <v>2.4488176964149516E-3</v>
      </c>
      <c r="K904">
        <f t="shared" si="101"/>
        <v>-49.772055194813518</v>
      </c>
      <c r="L904">
        <f t="shared" si="102"/>
        <v>1.6325451309433007E-3</v>
      </c>
      <c r="O904">
        <f t="shared" si="103"/>
        <v>-49.611629553573181</v>
      </c>
      <c r="P904">
        <f t="shared" si="104"/>
        <v>-1.6222638282134831E-4</v>
      </c>
    </row>
    <row r="905" spans="1:16" x14ac:dyDescent="0.25">
      <c r="A905" s="1">
        <v>45.15</v>
      </c>
      <c r="B905" s="2">
        <v>-2.4820000000000002</v>
      </c>
      <c r="C905">
        <v>4.0000000000000001E-3</v>
      </c>
      <c r="H905">
        <f t="shared" si="98"/>
        <v>45.15</v>
      </c>
      <c r="I905">
        <f t="shared" si="99"/>
        <v>-2.4820000000000002</v>
      </c>
      <c r="J905">
        <f t="shared" si="100"/>
        <v>2.4470979821094251E-3</v>
      </c>
      <c r="K905">
        <f t="shared" si="101"/>
        <v>-49.772055194813518</v>
      </c>
      <c r="L905">
        <f t="shared" si="102"/>
        <v>1.6313986547396163E-3</v>
      </c>
      <c r="O905">
        <f t="shared" si="103"/>
        <v>-49.611629553573181</v>
      </c>
      <c r="P905">
        <f t="shared" si="104"/>
        <v>-1.633728590250327E-4</v>
      </c>
    </row>
    <row r="906" spans="1:16" x14ac:dyDescent="0.25">
      <c r="A906" s="1">
        <v>45.2</v>
      </c>
      <c r="B906" s="2">
        <v>-2.4820000000000002</v>
      </c>
      <c r="C906">
        <v>4.0000000000000001E-3</v>
      </c>
      <c r="H906">
        <f t="shared" si="98"/>
        <v>45.2</v>
      </c>
      <c r="I906">
        <f t="shared" si="99"/>
        <v>-2.4820000000000002</v>
      </c>
      <c r="J906">
        <f t="shared" si="100"/>
        <v>2.4453782678038982E-3</v>
      </c>
      <c r="K906">
        <f t="shared" si="101"/>
        <v>-49.772055194813518</v>
      </c>
      <c r="L906">
        <f t="shared" si="102"/>
        <v>1.6302521785359317E-3</v>
      </c>
      <c r="O906">
        <f t="shared" si="103"/>
        <v>-49.611629553573181</v>
      </c>
      <c r="P906">
        <f t="shared" si="104"/>
        <v>-1.645193352287173E-4</v>
      </c>
    </row>
    <row r="907" spans="1:16" x14ac:dyDescent="0.25">
      <c r="A907" s="1">
        <v>45.25</v>
      </c>
      <c r="B907" s="2">
        <v>-2.48</v>
      </c>
      <c r="C907">
        <v>4.0000000000000001E-3</v>
      </c>
      <c r="H907">
        <f t="shared" si="98"/>
        <v>45.25</v>
      </c>
      <c r="I907">
        <f t="shared" si="99"/>
        <v>-2.48</v>
      </c>
      <c r="J907">
        <f t="shared" si="100"/>
        <v>2.4436585534983717E-3</v>
      </c>
      <c r="K907">
        <f t="shared" si="101"/>
        <v>-49.73194878450343</v>
      </c>
      <c r="L907">
        <f t="shared" si="102"/>
        <v>1.6291057023322475E-3</v>
      </c>
      <c r="O907">
        <f t="shared" si="103"/>
        <v>-49.571523143263093</v>
      </c>
      <c r="P907">
        <f t="shared" si="104"/>
        <v>-1.6566581143240148E-4</v>
      </c>
    </row>
    <row r="908" spans="1:16" x14ac:dyDescent="0.25">
      <c r="A908" s="1">
        <v>45.3</v>
      </c>
      <c r="B908" s="2">
        <v>-2.4809999999999999</v>
      </c>
      <c r="C908">
        <v>4.0000000000000001E-3</v>
      </c>
      <c r="H908">
        <f t="shared" si="98"/>
        <v>45.3</v>
      </c>
      <c r="I908">
        <f t="shared" si="99"/>
        <v>-2.4809999999999999</v>
      </c>
      <c r="J908">
        <f t="shared" si="100"/>
        <v>2.4419388391928448E-3</v>
      </c>
      <c r="K908">
        <f t="shared" si="101"/>
        <v>-49.752001989658467</v>
      </c>
      <c r="L908">
        <f t="shared" si="102"/>
        <v>1.6279592261285629E-3</v>
      </c>
      <c r="O908">
        <f t="shared" si="103"/>
        <v>-49.59157634841813</v>
      </c>
      <c r="P908">
        <f t="shared" si="104"/>
        <v>-1.6681228763608608E-4</v>
      </c>
    </row>
    <row r="909" spans="1:16" x14ac:dyDescent="0.25">
      <c r="A909" s="1">
        <v>45.35</v>
      </c>
      <c r="B909" s="2">
        <v>-2.5259999999999998</v>
      </c>
      <c r="C909">
        <v>5.0000000000000001E-3</v>
      </c>
      <c r="H909">
        <f t="shared" si="98"/>
        <v>45.35</v>
      </c>
      <c r="I909">
        <f t="shared" si="99"/>
        <v>-2.5259999999999998</v>
      </c>
      <c r="J909">
        <f t="shared" si="100"/>
        <v>3.4402191248873184E-3</v>
      </c>
      <c r="K909">
        <f t="shared" si="101"/>
        <v>-50.654396221635345</v>
      </c>
      <c r="L909">
        <f t="shared" si="102"/>
        <v>2.2934794165915449E-3</v>
      </c>
      <c r="O909">
        <f t="shared" si="103"/>
        <v>-50.493970580395008</v>
      </c>
      <c r="P909">
        <f t="shared" si="104"/>
        <v>4.9870790282689585E-4</v>
      </c>
    </row>
    <row r="910" spans="1:16" x14ac:dyDescent="0.25">
      <c r="A910" s="1">
        <v>45.4</v>
      </c>
      <c r="B910" s="2">
        <v>-2.5680000000000001</v>
      </c>
      <c r="C910">
        <v>4.0000000000000001E-3</v>
      </c>
      <c r="H910">
        <f t="shared" si="98"/>
        <v>45.4</v>
      </c>
      <c r="I910">
        <f t="shared" si="99"/>
        <v>-2.5680000000000001</v>
      </c>
      <c r="J910">
        <f t="shared" si="100"/>
        <v>2.4384994105817919E-3</v>
      </c>
      <c r="K910">
        <f t="shared" si="101"/>
        <v>-51.496630838147105</v>
      </c>
      <c r="L910">
        <f t="shared" si="102"/>
        <v>1.6256662737211942E-3</v>
      </c>
      <c r="O910">
        <f t="shared" si="103"/>
        <v>-51.336205196906768</v>
      </c>
      <c r="P910">
        <f t="shared" si="104"/>
        <v>-1.6910524004345485E-4</v>
      </c>
    </row>
    <row r="911" spans="1:16" x14ac:dyDescent="0.25">
      <c r="A911" s="1">
        <v>45.45</v>
      </c>
      <c r="B911" s="2">
        <v>-2.633</v>
      </c>
      <c r="C911">
        <v>5.0000000000000001E-3</v>
      </c>
      <c r="H911">
        <f t="shared" si="98"/>
        <v>45.45</v>
      </c>
      <c r="I911">
        <f t="shared" si="99"/>
        <v>-2.633</v>
      </c>
      <c r="J911">
        <f t="shared" si="100"/>
        <v>3.436779696276265E-3</v>
      </c>
      <c r="K911">
        <f t="shared" si="101"/>
        <v>-52.800089173224812</v>
      </c>
      <c r="L911">
        <f t="shared" si="102"/>
        <v>2.2911864641841761E-3</v>
      </c>
      <c r="O911">
        <f t="shared" si="103"/>
        <v>-52.639663531984475</v>
      </c>
      <c r="P911">
        <f t="shared" si="104"/>
        <v>4.9641495041952708E-4</v>
      </c>
    </row>
    <row r="912" spans="1:16" x14ac:dyDescent="0.25">
      <c r="A912" s="1">
        <v>45.5</v>
      </c>
      <c r="B912" s="2">
        <v>-2.677</v>
      </c>
      <c r="C912">
        <v>4.0000000000000001E-3</v>
      </c>
      <c r="H912">
        <f t="shared" si="98"/>
        <v>45.5</v>
      </c>
      <c r="I912">
        <f t="shared" si="99"/>
        <v>-2.677</v>
      </c>
      <c r="J912">
        <f t="shared" si="100"/>
        <v>2.4350599819707381E-3</v>
      </c>
      <c r="K912">
        <f t="shared" si="101"/>
        <v>-53.682430200046646</v>
      </c>
      <c r="L912">
        <f t="shared" si="102"/>
        <v>1.6233733213138249E-3</v>
      </c>
      <c r="O912">
        <f t="shared" si="103"/>
        <v>-53.522004558806309</v>
      </c>
      <c r="P912">
        <f t="shared" si="104"/>
        <v>-1.7139819245082406E-4</v>
      </c>
    </row>
    <row r="913" spans="1:16" x14ac:dyDescent="0.25">
      <c r="A913" s="1">
        <v>45.55</v>
      </c>
      <c r="B913" s="2">
        <v>-2.77</v>
      </c>
      <c r="C913">
        <v>4.0000000000000001E-3</v>
      </c>
      <c r="H913">
        <f t="shared" si="98"/>
        <v>45.55</v>
      </c>
      <c r="I913">
        <f t="shared" si="99"/>
        <v>-2.77</v>
      </c>
      <c r="J913">
        <f t="shared" si="100"/>
        <v>2.433340267665212E-3</v>
      </c>
      <c r="K913">
        <f t="shared" si="101"/>
        <v>-55.547378279465526</v>
      </c>
      <c r="L913">
        <f t="shared" si="102"/>
        <v>1.622226845110141E-3</v>
      </c>
      <c r="O913">
        <f t="shared" si="103"/>
        <v>-55.386952638225189</v>
      </c>
      <c r="P913">
        <f t="shared" si="104"/>
        <v>-1.7254466865450802E-4</v>
      </c>
    </row>
    <row r="914" spans="1:16" x14ac:dyDescent="0.25">
      <c r="A914" s="1">
        <v>45.6</v>
      </c>
      <c r="B914" s="2">
        <v>-2.8490000000000002</v>
      </c>
      <c r="C914">
        <v>3.0000000000000001E-3</v>
      </c>
      <c r="H914">
        <f t="shared" si="98"/>
        <v>45.6</v>
      </c>
      <c r="I914">
        <f t="shared" si="99"/>
        <v>-2.8490000000000002</v>
      </c>
      <c r="J914">
        <f t="shared" si="100"/>
        <v>1.4316205533596849E-3</v>
      </c>
      <c r="K914">
        <f t="shared" si="101"/>
        <v>-57.131581486713827</v>
      </c>
      <c r="L914">
        <f t="shared" si="102"/>
        <v>9.5441370223978974E-4</v>
      </c>
      <c r="O914">
        <f t="shared" si="103"/>
        <v>-56.97115584547349</v>
      </c>
      <c r="P914">
        <f t="shared" si="104"/>
        <v>-8.4035781152485927E-4</v>
      </c>
    </row>
    <row r="915" spans="1:16" x14ac:dyDescent="0.25">
      <c r="A915" s="1">
        <v>45.65</v>
      </c>
      <c r="B915" s="2">
        <v>-2.8490000000000002</v>
      </c>
      <c r="C915">
        <v>4.0000000000000001E-3</v>
      </c>
      <c r="H915">
        <f t="shared" si="98"/>
        <v>45.65</v>
      </c>
      <c r="I915">
        <f t="shared" si="99"/>
        <v>-2.8490000000000002</v>
      </c>
      <c r="J915">
        <f t="shared" si="100"/>
        <v>2.4299008390541582E-3</v>
      </c>
      <c r="K915">
        <f t="shared" si="101"/>
        <v>-57.131581486713827</v>
      </c>
      <c r="L915">
        <f t="shared" si="102"/>
        <v>1.6199338927027718E-3</v>
      </c>
      <c r="O915">
        <f t="shared" si="103"/>
        <v>-56.97115584547349</v>
      </c>
      <c r="P915">
        <f t="shared" si="104"/>
        <v>-1.7483762106187723E-4</v>
      </c>
    </row>
    <row r="916" spans="1:16" x14ac:dyDescent="0.25">
      <c r="A916" s="1">
        <v>45.7</v>
      </c>
      <c r="B916" s="2">
        <v>-2.8490000000000002</v>
      </c>
      <c r="C916">
        <v>4.0000000000000001E-3</v>
      </c>
      <c r="H916">
        <f t="shared" si="98"/>
        <v>45.7</v>
      </c>
      <c r="I916">
        <f t="shared" si="99"/>
        <v>-2.8490000000000002</v>
      </c>
      <c r="J916">
        <f t="shared" si="100"/>
        <v>2.4281811247486317E-3</v>
      </c>
      <c r="K916">
        <f t="shared" si="101"/>
        <v>-57.131581486713827</v>
      </c>
      <c r="L916">
        <f t="shared" si="102"/>
        <v>1.6187874164990874E-3</v>
      </c>
      <c r="O916">
        <f t="shared" si="103"/>
        <v>-56.97115584547349</v>
      </c>
      <c r="P916">
        <f t="shared" si="104"/>
        <v>-1.7598409726556161E-4</v>
      </c>
    </row>
    <row r="917" spans="1:16" x14ac:dyDescent="0.25">
      <c r="A917" s="1">
        <v>45.75</v>
      </c>
      <c r="B917" s="2">
        <v>-2.8490000000000002</v>
      </c>
      <c r="C917">
        <v>5.0000000000000001E-3</v>
      </c>
      <c r="H917">
        <f t="shared" si="98"/>
        <v>45.75</v>
      </c>
      <c r="I917">
        <f t="shared" si="99"/>
        <v>-2.8490000000000002</v>
      </c>
      <c r="J917">
        <f t="shared" si="100"/>
        <v>3.4264614104431053E-3</v>
      </c>
      <c r="K917">
        <f t="shared" si="101"/>
        <v>-57.131581486713827</v>
      </c>
      <c r="L917">
        <f t="shared" si="102"/>
        <v>2.2843076069620698E-3</v>
      </c>
      <c r="O917">
        <f t="shared" si="103"/>
        <v>-56.97115584547349</v>
      </c>
      <c r="P917">
        <f t="shared" si="104"/>
        <v>4.8953609319742075E-4</v>
      </c>
    </row>
    <row r="918" spans="1:16" x14ac:dyDescent="0.25">
      <c r="A918" s="1">
        <v>45.8</v>
      </c>
      <c r="B918" s="2">
        <v>-2.8490000000000002</v>
      </c>
      <c r="C918">
        <v>4.0000000000000001E-3</v>
      </c>
      <c r="H918">
        <f t="shared" si="98"/>
        <v>45.8</v>
      </c>
      <c r="I918">
        <f t="shared" si="99"/>
        <v>-2.8490000000000002</v>
      </c>
      <c r="J918">
        <f t="shared" si="100"/>
        <v>2.4247416961375784E-3</v>
      </c>
      <c r="K918">
        <f t="shared" si="101"/>
        <v>-57.131581486713827</v>
      </c>
      <c r="L918">
        <f t="shared" si="102"/>
        <v>1.6164944640917186E-3</v>
      </c>
      <c r="O918">
        <f t="shared" si="103"/>
        <v>-56.97115584547349</v>
      </c>
      <c r="P918">
        <f t="shared" si="104"/>
        <v>-1.7827704967293039E-4</v>
      </c>
    </row>
    <row r="919" spans="1:16" x14ac:dyDescent="0.25">
      <c r="A919" s="1">
        <v>45.85</v>
      </c>
      <c r="B919" s="2">
        <v>-2.8490000000000002</v>
      </c>
      <c r="C919">
        <v>4.0000000000000001E-3</v>
      </c>
      <c r="H919">
        <f t="shared" si="98"/>
        <v>45.85</v>
      </c>
      <c r="I919">
        <f t="shared" si="99"/>
        <v>-2.8490000000000002</v>
      </c>
      <c r="J919">
        <f t="shared" si="100"/>
        <v>2.4230219818320515E-3</v>
      </c>
      <c r="K919">
        <f t="shared" si="101"/>
        <v>-57.131581486713827</v>
      </c>
      <c r="L919">
        <f t="shared" si="102"/>
        <v>1.615347987888034E-3</v>
      </c>
      <c r="O919">
        <f t="shared" si="103"/>
        <v>-56.97115584547349</v>
      </c>
      <c r="P919">
        <f t="shared" si="104"/>
        <v>-1.7942352587661499E-4</v>
      </c>
    </row>
    <row r="920" spans="1:16" x14ac:dyDescent="0.25">
      <c r="A920" s="1">
        <v>45.9</v>
      </c>
      <c r="B920" s="2">
        <v>-2.8490000000000002</v>
      </c>
      <c r="C920">
        <v>4.0000000000000001E-3</v>
      </c>
      <c r="H920">
        <f t="shared" si="98"/>
        <v>45.9</v>
      </c>
      <c r="I920">
        <f t="shared" si="99"/>
        <v>-2.8490000000000002</v>
      </c>
      <c r="J920">
        <f t="shared" si="100"/>
        <v>2.4213022675265254E-3</v>
      </c>
      <c r="K920">
        <f t="shared" si="101"/>
        <v>-57.131581486713827</v>
      </c>
      <c r="L920">
        <f t="shared" si="102"/>
        <v>1.6142015116843498E-3</v>
      </c>
      <c r="O920">
        <f t="shared" si="103"/>
        <v>-56.97115584547349</v>
      </c>
      <c r="P920">
        <f t="shared" si="104"/>
        <v>-1.8057000208029916E-4</v>
      </c>
    </row>
    <row r="921" spans="1:16" x14ac:dyDescent="0.25">
      <c r="A921" s="1">
        <v>45.95</v>
      </c>
      <c r="B921" s="2">
        <v>-2.8490000000000002</v>
      </c>
      <c r="C921">
        <v>5.0000000000000001E-3</v>
      </c>
      <c r="H921">
        <f t="shared" si="98"/>
        <v>45.95</v>
      </c>
      <c r="I921">
        <f t="shared" si="99"/>
        <v>-2.8490000000000002</v>
      </c>
      <c r="J921">
        <f t="shared" si="100"/>
        <v>3.4195825532209985E-3</v>
      </c>
      <c r="K921">
        <f t="shared" si="101"/>
        <v>-57.131581486713827</v>
      </c>
      <c r="L921">
        <f t="shared" si="102"/>
        <v>2.2797217021473318E-3</v>
      </c>
      <c r="O921">
        <f t="shared" si="103"/>
        <v>-56.97115584547349</v>
      </c>
      <c r="P921">
        <f t="shared" si="104"/>
        <v>4.8495018838268277E-4</v>
      </c>
    </row>
    <row r="922" spans="1:16" x14ac:dyDescent="0.25">
      <c r="A922" s="1">
        <v>46</v>
      </c>
      <c r="B922" s="2">
        <v>-2.87</v>
      </c>
      <c r="C922">
        <v>4.0000000000000001E-3</v>
      </c>
      <c r="H922">
        <f t="shared" si="98"/>
        <v>46</v>
      </c>
      <c r="I922">
        <f t="shared" si="99"/>
        <v>-2.87</v>
      </c>
      <c r="J922">
        <f t="shared" si="100"/>
        <v>2.4178628389154716E-3</v>
      </c>
      <c r="K922">
        <f t="shared" si="101"/>
        <v>-57.5526987949697</v>
      </c>
      <c r="L922">
        <f t="shared" si="102"/>
        <v>1.6119085592769806E-3</v>
      </c>
      <c r="O922">
        <f t="shared" si="103"/>
        <v>-57.392273153729363</v>
      </c>
      <c r="P922">
        <f t="shared" si="104"/>
        <v>-1.8286295448766837E-4</v>
      </c>
    </row>
    <row r="923" spans="1:16" x14ac:dyDescent="0.25">
      <c r="A923" s="1">
        <v>46.05</v>
      </c>
      <c r="B923" s="2">
        <v>-2.9470000000000001</v>
      </c>
      <c r="C923">
        <v>4.0000000000000001E-3</v>
      </c>
      <c r="H923">
        <f t="shared" si="98"/>
        <v>46.05</v>
      </c>
      <c r="I923">
        <f t="shared" si="99"/>
        <v>-2.9470000000000001</v>
      </c>
      <c r="J923">
        <f t="shared" si="100"/>
        <v>2.4161431246099451E-3</v>
      </c>
      <c r="K923">
        <f t="shared" si="101"/>
        <v>-59.096795591907906</v>
      </c>
      <c r="L923">
        <f t="shared" si="102"/>
        <v>1.6107620830732965E-3</v>
      </c>
      <c r="O923">
        <f t="shared" si="103"/>
        <v>-58.936369950667569</v>
      </c>
      <c r="P923">
        <f t="shared" si="104"/>
        <v>-1.8400943069135254E-4</v>
      </c>
    </row>
    <row r="924" spans="1:16" x14ac:dyDescent="0.25">
      <c r="A924" s="1">
        <v>46.1</v>
      </c>
      <c r="B924" s="2">
        <v>-2.9929999999999999</v>
      </c>
      <c r="C924">
        <v>4.0000000000000001E-3</v>
      </c>
      <c r="H924">
        <f t="shared" si="98"/>
        <v>46.1</v>
      </c>
      <c r="I924">
        <f t="shared" si="99"/>
        <v>-2.9929999999999999</v>
      </c>
      <c r="J924">
        <f t="shared" si="100"/>
        <v>2.4144234103044187E-3</v>
      </c>
      <c r="K924">
        <f t="shared" si="101"/>
        <v>-60.019243029039821</v>
      </c>
      <c r="L924">
        <f t="shared" si="102"/>
        <v>1.6096156068696121E-3</v>
      </c>
      <c r="O924">
        <f t="shared" si="103"/>
        <v>-59.858817387799483</v>
      </c>
      <c r="P924">
        <f t="shared" si="104"/>
        <v>-1.8515590689503693E-4</v>
      </c>
    </row>
    <row r="925" spans="1:16" x14ac:dyDescent="0.25">
      <c r="A925" s="1">
        <v>46.15</v>
      </c>
      <c r="B925" s="2">
        <v>-3.0310000000000001</v>
      </c>
      <c r="C925">
        <v>5.0000000000000001E-3</v>
      </c>
      <c r="H925">
        <f t="shared" si="98"/>
        <v>46.15</v>
      </c>
      <c r="I925">
        <f t="shared" si="99"/>
        <v>-3.0310000000000001</v>
      </c>
      <c r="J925">
        <f t="shared" si="100"/>
        <v>3.4127036959988918E-3</v>
      </c>
      <c r="K925">
        <f t="shared" si="101"/>
        <v>-60.781264824931412</v>
      </c>
      <c r="L925">
        <f t="shared" si="102"/>
        <v>2.2751357973325942E-3</v>
      </c>
      <c r="O925">
        <f t="shared" si="103"/>
        <v>-60.620839183691075</v>
      </c>
      <c r="P925">
        <f t="shared" si="104"/>
        <v>4.8036428356794522E-4</v>
      </c>
    </row>
    <row r="926" spans="1:16" x14ac:dyDescent="0.25">
      <c r="A926" s="1">
        <v>46.2</v>
      </c>
      <c r="B926" s="2">
        <v>-3.0350000000000001</v>
      </c>
      <c r="C926">
        <v>4.0000000000000001E-3</v>
      </c>
      <c r="H926">
        <f t="shared" si="98"/>
        <v>46.2</v>
      </c>
      <c r="I926">
        <f t="shared" si="99"/>
        <v>-3.0350000000000001</v>
      </c>
      <c r="J926">
        <f t="shared" si="100"/>
        <v>2.4109839816933648E-3</v>
      </c>
      <c r="K926">
        <f t="shared" si="101"/>
        <v>-60.861477645551581</v>
      </c>
      <c r="L926">
        <f t="shared" si="102"/>
        <v>1.6073226544622429E-3</v>
      </c>
      <c r="O926">
        <f t="shared" si="103"/>
        <v>-60.701052004311244</v>
      </c>
      <c r="P926">
        <f t="shared" si="104"/>
        <v>-1.8744885930240614E-4</v>
      </c>
    </row>
    <row r="927" spans="1:16" x14ac:dyDescent="0.25">
      <c r="A927" s="1">
        <v>46.25</v>
      </c>
      <c r="B927" s="2">
        <v>-3.04</v>
      </c>
      <c r="C927">
        <v>4.0000000000000001E-3</v>
      </c>
      <c r="H927">
        <f t="shared" si="98"/>
        <v>46.25</v>
      </c>
      <c r="I927">
        <f t="shared" si="99"/>
        <v>-3.04</v>
      </c>
      <c r="J927">
        <f t="shared" si="100"/>
        <v>2.4092642673878384E-3</v>
      </c>
      <c r="K927">
        <f t="shared" si="101"/>
        <v>-60.961743671326786</v>
      </c>
      <c r="L927">
        <f t="shared" si="102"/>
        <v>1.6061761782585585E-3</v>
      </c>
      <c r="O927">
        <f t="shared" si="103"/>
        <v>-60.801318030086449</v>
      </c>
      <c r="P927">
        <f t="shared" si="104"/>
        <v>-1.8859533550609053E-4</v>
      </c>
    </row>
    <row r="928" spans="1:16" x14ac:dyDescent="0.25">
      <c r="A928" s="1">
        <v>46.3</v>
      </c>
      <c r="B928" s="2">
        <v>-3.0409999999999999</v>
      </c>
      <c r="C928">
        <v>3.0000000000000001E-3</v>
      </c>
      <c r="H928">
        <f t="shared" si="98"/>
        <v>46.3</v>
      </c>
      <c r="I928">
        <f t="shared" si="99"/>
        <v>-3.0409999999999999</v>
      </c>
      <c r="J928">
        <f t="shared" si="100"/>
        <v>1.4075445530823119E-3</v>
      </c>
      <c r="K928">
        <f t="shared" si="101"/>
        <v>-60.981796876481823</v>
      </c>
      <c r="L928">
        <f t="shared" si="102"/>
        <v>9.3836303538820766E-4</v>
      </c>
      <c r="O928">
        <f t="shared" si="103"/>
        <v>-60.821371235241486</v>
      </c>
      <c r="P928">
        <f t="shared" si="104"/>
        <v>-8.5640847837644134E-4</v>
      </c>
    </row>
    <row r="929" spans="1:16" x14ac:dyDescent="0.25">
      <c r="A929" s="1">
        <v>46.35</v>
      </c>
      <c r="B929" s="2">
        <v>-3.0409999999999999</v>
      </c>
      <c r="C929">
        <v>4.0000000000000001E-3</v>
      </c>
      <c r="H929">
        <f t="shared" si="98"/>
        <v>46.35</v>
      </c>
      <c r="I929">
        <f t="shared" si="99"/>
        <v>-3.0409999999999999</v>
      </c>
      <c r="J929">
        <f t="shared" si="100"/>
        <v>2.405824838776785E-3</v>
      </c>
      <c r="K929">
        <f t="shared" si="101"/>
        <v>-60.981796876481823</v>
      </c>
      <c r="L929">
        <f t="shared" si="102"/>
        <v>1.6038832258511897E-3</v>
      </c>
      <c r="O929">
        <f t="shared" si="103"/>
        <v>-60.821371235241486</v>
      </c>
      <c r="P929">
        <f t="shared" si="104"/>
        <v>-1.908882879134593E-4</v>
      </c>
    </row>
    <row r="930" spans="1:16" x14ac:dyDescent="0.25">
      <c r="A930" s="1">
        <v>46.4</v>
      </c>
      <c r="B930" s="2">
        <v>-3.0409999999999999</v>
      </c>
      <c r="C930">
        <v>4.0000000000000001E-3</v>
      </c>
      <c r="H930">
        <f t="shared" si="98"/>
        <v>46.4</v>
      </c>
      <c r="I930">
        <f t="shared" si="99"/>
        <v>-3.0409999999999999</v>
      </c>
      <c r="J930">
        <f t="shared" si="100"/>
        <v>2.4041051244712585E-3</v>
      </c>
      <c r="K930">
        <f t="shared" si="101"/>
        <v>-60.981796876481823</v>
      </c>
      <c r="L930">
        <f t="shared" si="102"/>
        <v>1.6027367496475053E-3</v>
      </c>
      <c r="O930">
        <f t="shared" si="103"/>
        <v>-60.821371235241486</v>
      </c>
      <c r="P930">
        <f t="shared" si="104"/>
        <v>-1.9203476411714369E-4</v>
      </c>
    </row>
    <row r="931" spans="1:16" x14ac:dyDescent="0.25">
      <c r="A931" s="1">
        <v>46.45</v>
      </c>
      <c r="B931" s="2">
        <v>-3.0409999999999999</v>
      </c>
      <c r="C931">
        <v>4.0000000000000001E-3</v>
      </c>
      <c r="H931">
        <f t="shared" si="98"/>
        <v>46.45</v>
      </c>
      <c r="I931">
        <f t="shared" si="99"/>
        <v>-3.0409999999999999</v>
      </c>
      <c r="J931">
        <f t="shared" si="100"/>
        <v>2.4023854101657316E-3</v>
      </c>
      <c r="K931">
        <f t="shared" si="101"/>
        <v>-60.981796876481823</v>
      </c>
      <c r="L931">
        <f t="shared" si="102"/>
        <v>1.6015902734438207E-3</v>
      </c>
      <c r="O931">
        <f t="shared" si="103"/>
        <v>-60.821371235241486</v>
      </c>
      <c r="P931">
        <f t="shared" si="104"/>
        <v>-1.9318124032082829E-4</v>
      </c>
    </row>
    <row r="932" spans="1:16" x14ac:dyDescent="0.25">
      <c r="A932" s="1">
        <v>46.5</v>
      </c>
      <c r="B932" s="2">
        <v>-3.0409999999999999</v>
      </c>
      <c r="C932">
        <v>4.0000000000000001E-3</v>
      </c>
      <c r="H932">
        <f t="shared" si="98"/>
        <v>46.5</v>
      </c>
      <c r="I932">
        <f t="shared" si="99"/>
        <v>-3.0409999999999999</v>
      </c>
      <c r="J932">
        <f t="shared" si="100"/>
        <v>2.4006656958602051E-3</v>
      </c>
      <c r="K932">
        <f t="shared" si="101"/>
        <v>-60.981796876481823</v>
      </c>
      <c r="L932">
        <f t="shared" si="102"/>
        <v>1.6004437972401363E-3</v>
      </c>
      <c r="O932">
        <f t="shared" si="103"/>
        <v>-60.821371235241486</v>
      </c>
      <c r="P932">
        <f t="shared" si="104"/>
        <v>-1.9432771652451268E-4</v>
      </c>
    </row>
    <row r="933" spans="1:16" x14ac:dyDescent="0.25">
      <c r="A933" s="1">
        <v>46.55</v>
      </c>
      <c r="B933" s="2">
        <v>-3.0409999999999999</v>
      </c>
      <c r="C933">
        <v>4.0000000000000001E-3</v>
      </c>
      <c r="H933">
        <f t="shared" si="98"/>
        <v>46.55</v>
      </c>
      <c r="I933">
        <f t="shared" si="99"/>
        <v>-3.0409999999999999</v>
      </c>
      <c r="J933">
        <f t="shared" si="100"/>
        <v>2.3989459815546787E-3</v>
      </c>
      <c r="K933">
        <f t="shared" si="101"/>
        <v>-60.981796876481823</v>
      </c>
      <c r="L933">
        <f t="shared" si="102"/>
        <v>1.5992973210364522E-3</v>
      </c>
      <c r="O933">
        <f t="shared" si="103"/>
        <v>-60.821371235241486</v>
      </c>
      <c r="P933">
        <f t="shared" si="104"/>
        <v>-1.9547419272819685E-4</v>
      </c>
    </row>
    <row r="934" spans="1:16" x14ac:dyDescent="0.25">
      <c r="A934" s="1">
        <v>46.6</v>
      </c>
      <c r="B934" s="2">
        <v>-3.0459999999999998</v>
      </c>
      <c r="C934">
        <v>4.0000000000000001E-3</v>
      </c>
      <c r="H934">
        <f t="shared" si="98"/>
        <v>46.6</v>
      </c>
      <c r="I934">
        <f t="shared" si="99"/>
        <v>-3.0459999999999998</v>
      </c>
      <c r="J934">
        <f t="shared" si="100"/>
        <v>2.3972262672491518E-3</v>
      </c>
      <c r="K934">
        <f t="shared" si="101"/>
        <v>-61.082062902257036</v>
      </c>
      <c r="L934">
        <f t="shared" si="102"/>
        <v>1.5981508448327676E-3</v>
      </c>
      <c r="O934">
        <f t="shared" si="103"/>
        <v>-60.921637261016699</v>
      </c>
      <c r="P934">
        <f t="shared" si="104"/>
        <v>-1.9662066893188146E-4</v>
      </c>
    </row>
    <row r="935" spans="1:16" x14ac:dyDescent="0.25">
      <c r="A935" s="1">
        <v>46.65</v>
      </c>
      <c r="B935" s="2">
        <v>-3.0950000000000002</v>
      </c>
      <c r="C935">
        <v>5.0000000000000001E-3</v>
      </c>
      <c r="H935">
        <f t="shared" si="98"/>
        <v>46.65</v>
      </c>
      <c r="I935">
        <f t="shared" si="99"/>
        <v>-3.0950000000000002</v>
      </c>
      <c r="J935">
        <f t="shared" si="100"/>
        <v>3.3955065529436253E-3</v>
      </c>
      <c r="K935">
        <f t="shared" si="101"/>
        <v>-62.064669954854082</v>
      </c>
      <c r="L935">
        <f t="shared" si="102"/>
        <v>2.2636710352957499E-3</v>
      </c>
      <c r="O935">
        <f t="shared" si="103"/>
        <v>-61.904244313613745</v>
      </c>
      <c r="P935">
        <f t="shared" si="104"/>
        <v>4.6889952153110091E-4</v>
      </c>
    </row>
    <row r="936" spans="1:16" x14ac:dyDescent="0.25">
      <c r="A936" s="1">
        <v>46.7</v>
      </c>
      <c r="B936" s="2">
        <v>-3.1269999999999998</v>
      </c>
      <c r="C936">
        <v>4.0000000000000001E-3</v>
      </c>
      <c r="H936">
        <f t="shared" si="98"/>
        <v>46.7</v>
      </c>
      <c r="I936">
        <f t="shared" si="99"/>
        <v>-3.1269999999999998</v>
      </c>
      <c r="J936">
        <f t="shared" si="100"/>
        <v>2.3937868386380984E-3</v>
      </c>
      <c r="K936">
        <f t="shared" si="101"/>
        <v>-62.70637251981541</v>
      </c>
      <c r="L936">
        <f t="shared" si="102"/>
        <v>1.5958578924253986E-3</v>
      </c>
      <c r="O936">
        <f t="shared" si="103"/>
        <v>-62.545946878575073</v>
      </c>
      <c r="P936">
        <f t="shared" si="104"/>
        <v>-1.9891362133925045E-4</v>
      </c>
    </row>
    <row r="937" spans="1:16" x14ac:dyDescent="0.25">
      <c r="A937" s="1">
        <v>46.75</v>
      </c>
      <c r="B937" s="2">
        <v>-3.1589999999999998</v>
      </c>
      <c r="C937">
        <v>4.0000000000000001E-3</v>
      </c>
      <c r="H937">
        <f t="shared" si="98"/>
        <v>46.75</v>
      </c>
      <c r="I937">
        <f t="shared" si="99"/>
        <v>-3.1589999999999998</v>
      </c>
      <c r="J937">
        <f t="shared" si="100"/>
        <v>2.3920671243325719E-3</v>
      </c>
      <c r="K937">
        <f t="shared" si="101"/>
        <v>-63.348075084776745</v>
      </c>
      <c r="L937">
        <f t="shared" si="102"/>
        <v>1.5947114162217142E-3</v>
      </c>
      <c r="O937">
        <f t="shared" si="103"/>
        <v>-63.187649443536408</v>
      </c>
      <c r="P937">
        <f t="shared" si="104"/>
        <v>-2.0006009754293484E-4</v>
      </c>
    </row>
    <row r="938" spans="1:16" x14ac:dyDescent="0.25">
      <c r="A938" s="1">
        <v>46.8</v>
      </c>
      <c r="B938" s="2">
        <v>-3.238</v>
      </c>
      <c r="C938">
        <v>4.0000000000000001E-3</v>
      </c>
      <c r="H938">
        <f t="shared" si="98"/>
        <v>46.8</v>
      </c>
      <c r="I938">
        <f t="shared" si="99"/>
        <v>-3.238</v>
      </c>
      <c r="J938">
        <f t="shared" si="100"/>
        <v>2.3903474100270454E-3</v>
      </c>
      <c r="K938">
        <f t="shared" si="101"/>
        <v>-64.932278292025046</v>
      </c>
      <c r="L938">
        <f t="shared" si="102"/>
        <v>1.59356494001803E-3</v>
      </c>
      <c r="O938">
        <f t="shared" si="103"/>
        <v>-64.771852650784709</v>
      </c>
      <c r="P938">
        <f t="shared" si="104"/>
        <v>-2.0120657374661901E-4</v>
      </c>
    </row>
    <row r="939" spans="1:16" x14ac:dyDescent="0.25">
      <c r="A939" s="1">
        <v>46.85</v>
      </c>
      <c r="B939" s="2">
        <v>-3.3759999999999999</v>
      </c>
      <c r="C939">
        <v>4.0000000000000001E-3</v>
      </c>
      <c r="H939">
        <f t="shared" si="98"/>
        <v>46.85</v>
      </c>
      <c r="I939">
        <f t="shared" si="99"/>
        <v>-3.3759999999999999</v>
      </c>
      <c r="J939">
        <f t="shared" si="100"/>
        <v>2.3886276957215185E-3</v>
      </c>
      <c r="K939">
        <f t="shared" si="101"/>
        <v>-67.699620603420797</v>
      </c>
      <c r="L939">
        <f t="shared" si="102"/>
        <v>1.5924184638143454E-3</v>
      </c>
      <c r="O939">
        <f t="shared" si="103"/>
        <v>-67.53919496218046</v>
      </c>
      <c r="P939">
        <f t="shared" si="104"/>
        <v>-2.0235304995030361E-4</v>
      </c>
    </row>
    <row r="940" spans="1:16" x14ac:dyDescent="0.25">
      <c r="A940" s="1">
        <v>46.9</v>
      </c>
      <c r="B940" s="2">
        <v>-3.4279999999999999</v>
      </c>
      <c r="C940">
        <v>4.0000000000000001E-3</v>
      </c>
      <c r="H940">
        <f t="shared" si="98"/>
        <v>46.9</v>
      </c>
      <c r="I940">
        <f t="shared" si="99"/>
        <v>-3.4279999999999999</v>
      </c>
      <c r="J940">
        <f t="shared" si="100"/>
        <v>2.3869079814159916E-3</v>
      </c>
      <c r="K940">
        <f t="shared" si="101"/>
        <v>-68.742387271482968</v>
      </c>
      <c r="L940">
        <f t="shared" si="102"/>
        <v>1.5912719876106608E-3</v>
      </c>
      <c r="O940">
        <f t="shared" si="103"/>
        <v>-68.581961630242631</v>
      </c>
      <c r="P940">
        <f t="shared" si="104"/>
        <v>-2.0349952615398821E-4</v>
      </c>
    </row>
    <row r="941" spans="1:16" x14ac:dyDescent="0.25">
      <c r="A941" s="1">
        <v>46.95</v>
      </c>
      <c r="B941" s="2">
        <v>-3.4319999999999999</v>
      </c>
      <c r="C941">
        <v>4.0000000000000001E-3</v>
      </c>
      <c r="H941">
        <f t="shared" si="98"/>
        <v>46.95</v>
      </c>
      <c r="I941">
        <f t="shared" si="99"/>
        <v>-3.4319999999999999</v>
      </c>
      <c r="J941">
        <f t="shared" si="100"/>
        <v>2.3851882671104651E-3</v>
      </c>
      <c r="K941">
        <f t="shared" si="101"/>
        <v>-68.82260009210313</v>
      </c>
      <c r="L941">
        <f t="shared" si="102"/>
        <v>1.5901255114069764E-3</v>
      </c>
      <c r="O941">
        <f t="shared" si="103"/>
        <v>-68.662174450862793</v>
      </c>
      <c r="P941">
        <f t="shared" si="104"/>
        <v>-2.046460023576726E-4</v>
      </c>
    </row>
    <row r="942" spans="1:16" x14ac:dyDescent="0.25">
      <c r="A942" s="1">
        <v>47</v>
      </c>
      <c r="B942" s="2">
        <v>-3.4340000000000002</v>
      </c>
      <c r="C942">
        <v>4.0000000000000001E-3</v>
      </c>
      <c r="H942">
        <f t="shared" si="98"/>
        <v>47</v>
      </c>
      <c r="I942">
        <f t="shared" si="99"/>
        <v>-3.4340000000000002</v>
      </c>
      <c r="J942">
        <f t="shared" si="100"/>
        <v>2.3834685528049387E-3</v>
      </c>
      <c r="K942">
        <f t="shared" si="101"/>
        <v>-68.862706502413218</v>
      </c>
      <c r="L942">
        <f t="shared" si="102"/>
        <v>1.588979035203292E-3</v>
      </c>
      <c r="O942">
        <f t="shared" si="103"/>
        <v>-68.702280861172881</v>
      </c>
      <c r="P942">
        <f t="shared" si="104"/>
        <v>-2.0579247856135699E-4</v>
      </c>
    </row>
    <row r="943" spans="1:16" x14ac:dyDescent="0.25">
      <c r="A943" s="1">
        <v>47.05</v>
      </c>
      <c r="B943" s="2">
        <v>-3.4340000000000002</v>
      </c>
      <c r="C943">
        <v>4.0000000000000001E-3</v>
      </c>
      <c r="H943">
        <f t="shared" si="98"/>
        <v>47.05</v>
      </c>
      <c r="I943">
        <f t="shared" si="99"/>
        <v>-3.4340000000000002</v>
      </c>
      <c r="J943">
        <f t="shared" si="100"/>
        <v>2.3817488384994118E-3</v>
      </c>
      <c r="K943">
        <f t="shared" si="101"/>
        <v>-68.862706502413218</v>
      </c>
      <c r="L943">
        <f t="shared" si="102"/>
        <v>1.5878325589996074E-3</v>
      </c>
      <c r="O943">
        <f t="shared" si="103"/>
        <v>-68.702280861172881</v>
      </c>
      <c r="P943">
        <f t="shared" si="104"/>
        <v>-2.0693895476504159E-4</v>
      </c>
    </row>
    <row r="944" spans="1:16" x14ac:dyDescent="0.25">
      <c r="A944" s="1">
        <v>47.1</v>
      </c>
      <c r="B944" s="2">
        <v>-3.4340000000000002</v>
      </c>
      <c r="C944">
        <v>4.0000000000000001E-3</v>
      </c>
      <c r="H944">
        <f t="shared" si="98"/>
        <v>47.1</v>
      </c>
      <c r="I944">
        <f t="shared" si="99"/>
        <v>-3.4340000000000002</v>
      </c>
      <c r="J944">
        <f t="shared" si="100"/>
        <v>2.3800291241938849E-3</v>
      </c>
      <c r="K944">
        <f t="shared" si="101"/>
        <v>-68.862706502413218</v>
      </c>
      <c r="L944">
        <f t="shared" si="102"/>
        <v>1.5866860827959228E-3</v>
      </c>
      <c r="O944">
        <f t="shared" si="103"/>
        <v>-68.702280861172881</v>
      </c>
      <c r="P944">
        <f t="shared" si="104"/>
        <v>-2.080854309687262E-4</v>
      </c>
    </row>
    <row r="945" spans="1:16" x14ac:dyDescent="0.25">
      <c r="A945" s="1">
        <v>47.15</v>
      </c>
      <c r="B945" s="2">
        <v>-3.4340000000000002</v>
      </c>
      <c r="C945">
        <v>4.0000000000000001E-3</v>
      </c>
      <c r="H945">
        <f t="shared" si="98"/>
        <v>47.15</v>
      </c>
      <c r="I945">
        <f t="shared" si="99"/>
        <v>-3.4340000000000002</v>
      </c>
      <c r="J945">
        <f t="shared" si="100"/>
        <v>2.3783094098883588E-3</v>
      </c>
      <c r="K945">
        <f t="shared" si="101"/>
        <v>-68.862706502413218</v>
      </c>
      <c r="L945">
        <f t="shared" si="102"/>
        <v>1.5855396065922389E-3</v>
      </c>
      <c r="O945">
        <f t="shared" si="103"/>
        <v>-68.702280861172881</v>
      </c>
      <c r="P945">
        <f t="shared" si="104"/>
        <v>-2.0923190717241015E-4</v>
      </c>
    </row>
    <row r="946" spans="1:16" x14ac:dyDescent="0.25">
      <c r="A946" s="1">
        <v>47.2</v>
      </c>
      <c r="B946" s="2">
        <v>-3.4340000000000002</v>
      </c>
      <c r="C946">
        <v>4.0000000000000001E-3</v>
      </c>
      <c r="H946">
        <f t="shared" si="98"/>
        <v>47.2</v>
      </c>
      <c r="I946">
        <f t="shared" si="99"/>
        <v>-3.4340000000000002</v>
      </c>
      <c r="J946">
        <f t="shared" si="100"/>
        <v>2.3765896955828319E-3</v>
      </c>
      <c r="K946">
        <f t="shared" si="101"/>
        <v>-68.862706502413218</v>
      </c>
      <c r="L946">
        <f t="shared" si="102"/>
        <v>1.5843931303885542E-3</v>
      </c>
      <c r="O946">
        <f t="shared" si="103"/>
        <v>-68.702280861172881</v>
      </c>
      <c r="P946">
        <f t="shared" si="104"/>
        <v>-2.1037838337609476E-4</v>
      </c>
    </row>
    <row r="947" spans="1:16" x14ac:dyDescent="0.25">
      <c r="A947" s="1">
        <v>47.25</v>
      </c>
      <c r="B947" s="2">
        <v>-3.4380000000000002</v>
      </c>
      <c r="C947">
        <v>4.0000000000000001E-3</v>
      </c>
      <c r="H947">
        <f t="shared" si="98"/>
        <v>47.25</v>
      </c>
      <c r="I947">
        <f t="shared" si="99"/>
        <v>-3.4380000000000002</v>
      </c>
      <c r="J947">
        <f t="shared" si="100"/>
        <v>2.374869981277305E-3</v>
      </c>
      <c r="K947">
        <f t="shared" si="101"/>
        <v>-68.942919323033394</v>
      </c>
      <c r="L947">
        <f t="shared" si="102"/>
        <v>1.5832466541848696E-3</v>
      </c>
      <c r="O947">
        <f t="shared" si="103"/>
        <v>-68.782493681793056</v>
      </c>
      <c r="P947">
        <f t="shared" si="104"/>
        <v>-2.1152485957977936E-4</v>
      </c>
    </row>
    <row r="948" spans="1:16" x14ac:dyDescent="0.25">
      <c r="A948" s="1">
        <v>47.3</v>
      </c>
      <c r="B948" s="2">
        <v>-3.4460000000000002</v>
      </c>
      <c r="C948">
        <v>4.0000000000000001E-3</v>
      </c>
      <c r="H948">
        <f t="shared" si="98"/>
        <v>47.3</v>
      </c>
      <c r="I948">
        <f t="shared" si="99"/>
        <v>-3.4460000000000002</v>
      </c>
      <c r="J948">
        <f t="shared" si="100"/>
        <v>2.373150266971779E-3</v>
      </c>
      <c r="K948">
        <f t="shared" si="101"/>
        <v>-69.103344964273717</v>
      </c>
      <c r="L948">
        <f t="shared" si="102"/>
        <v>1.5821001779811857E-3</v>
      </c>
      <c r="O948">
        <f t="shared" si="103"/>
        <v>-68.942919323033379</v>
      </c>
      <c r="P948">
        <f t="shared" si="104"/>
        <v>-2.1267133578346331E-4</v>
      </c>
    </row>
    <row r="949" spans="1:16" x14ac:dyDescent="0.25">
      <c r="A949" s="1">
        <v>47.35</v>
      </c>
      <c r="B949" s="2">
        <v>-3.4580000000000002</v>
      </c>
      <c r="C949">
        <v>5.0000000000000001E-3</v>
      </c>
      <c r="H949">
        <f t="shared" si="98"/>
        <v>47.35</v>
      </c>
      <c r="I949">
        <f t="shared" si="99"/>
        <v>-3.4580000000000002</v>
      </c>
      <c r="J949">
        <f t="shared" si="100"/>
        <v>3.3714305526662521E-3</v>
      </c>
      <c r="K949">
        <f t="shared" si="101"/>
        <v>-69.343983426134216</v>
      </c>
      <c r="L949">
        <f t="shared" si="102"/>
        <v>2.2476203684441676E-3</v>
      </c>
      <c r="O949">
        <f t="shared" si="103"/>
        <v>-69.183557784893878</v>
      </c>
      <c r="P949">
        <f t="shared" si="104"/>
        <v>4.5284885467951862E-4</v>
      </c>
    </row>
    <row r="950" spans="1:16" x14ac:dyDescent="0.25">
      <c r="A950" s="1">
        <v>47.4</v>
      </c>
      <c r="B950" s="2">
        <v>-3.47</v>
      </c>
      <c r="C950">
        <v>4.0000000000000001E-3</v>
      </c>
      <c r="H950">
        <f t="shared" si="98"/>
        <v>47.4</v>
      </c>
      <c r="I950">
        <f t="shared" si="99"/>
        <v>-3.47</v>
      </c>
      <c r="J950">
        <f t="shared" si="100"/>
        <v>2.3697108383607252E-3</v>
      </c>
      <c r="K950">
        <f t="shared" si="101"/>
        <v>-69.584621887994729</v>
      </c>
      <c r="L950">
        <f t="shared" si="102"/>
        <v>1.5798072255738165E-3</v>
      </c>
      <c r="O950">
        <f t="shared" si="103"/>
        <v>-69.424196246754391</v>
      </c>
      <c r="P950">
        <f t="shared" si="104"/>
        <v>-2.1496428819083252E-4</v>
      </c>
    </row>
    <row r="951" spans="1:16" x14ac:dyDescent="0.25">
      <c r="A951" s="1">
        <v>47.45</v>
      </c>
      <c r="B951" s="2">
        <v>-3.4980000000000002</v>
      </c>
      <c r="C951">
        <v>5.0000000000000001E-3</v>
      </c>
      <c r="H951">
        <f t="shared" si="98"/>
        <v>47.45</v>
      </c>
      <c r="I951">
        <f t="shared" si="99"/>
        <v>-3.4980000000000002</v>
      </c>
      <c r="J951">
        <f t="shared" si="100"/>
        <v>3.3679911240551983E-3</v>
      </c>
      <c r="K951">
        <f t="shared" si="101"/>
        <v>-70.146111632335888</v>
      </c>
      <c r="L951">
        <f t="shared" si="102"/>
        <v>2.2453274160367984E-3</v>
      </c>
      <c r="O951">
        <f t="shared" si="103"/>
        <v>-69.985685991095551</v>
      </c>
      <c r="P951">
        <f t="shared" si="104"/>
        <v>4.5055590227214941E-4</v>
      </c>
    </row>
    <row r="952" spans="1:16" x14ac:dyDescent="0.25">
      <c r="A952" s="1">
        <v>47.5</v>
      </c>
      <c r="B952" s="2">
        <v>-3.5950000000000002</v>
      </c>
      <c r="C952">
        <v>4.0000000000000001E-3</v>
      </c>
      <c r="H952">
        <f t="shared" si="98"/>
        <v>47.5</v>
      </c>
      <c r="I952">
        <f t="shared" si="99"/>
        <v>-3.5950000000000002</v>
      </c>
      <c r="J952">
        <f t="shared" si="100"/>
        <v>2.3662714097496722E-3</v>
      </c>
      <c r="K952">
        <f t="shared" si="101"/>
        <v>-72.09127253237493</v>
      </c>
      <c r="L952">
        <f t="shared" si="102"/>
        <v>1.5775142731664477E-3</v>
      </c>
      <c r="O952">
        <f t="shared" si="103"/>
        <v>-71.930846891134593</v>
      </c>
      <c r="P952">
        <f t="shared" si="104"/>
        <v>-2.172572405982013E-4</v>
      </c>
    </row>
    <row r="953" spans="1:16" x14ac:dyDescent="0.25">
      <c r="A953" s="1">
        <v>47.55</v>
      </c>
      <c r="B953" s="2">
        <v>-3.637</v>
      </c>
      <c r="C953">
        <v>4.0000000000000001E-3</v>
      </c>
      <c r="H953">
        <f t="shared" si="98"/>
        <v>47.55</v>
      </c>
      <c r="I953">
        <f t="shared" si="99"/>
        <v>-3.637</v>
      </c>
      <c r="J953">
        <f t="shared" si="100"/>
        <v>2.3645516954441453E-3</v>
      </c>
      <c r="K953">
        <f t="shared" si="101"/>
        <v>-72.93350714888669</v>
      </c>
      <c r="L953">
        <f t="shared" si="102"/>
        <v>1.5763677969627631E-3</v>
      </c>
      <c r="O953">
        <f t="shared" si="103"/>
        <v>-72.773081507646353</v>
      </c>
      <c r="P953">
        <f t="shared" si="104"/>
        <v>-2.184037168018859E-4</v>
      </c>
    </row>
    <row r="954" spans="1:16" x14ac:dyDescent="0.25">
      <c r="A954" s="1">
        <v>47.6</v>
      </c>
      <c r="B954" s="2">
        <v>-3.7149999999999999</v>
      </c>
      <c r="C954">
        <v>3.0000000000000001E-3</v>
      </c>
      <c r="H954">
        <f t="shared" si="98"/>
        <v>47.6</v>
      </c>
      <c r="I954">
        <f t="shared" si="99"/>
        <v>-3.7149999999999999</v>
      </c>
      <c r="J954">
        <f t="shared" si="100"/>
        <v>1.3628319811386186E-3</v>
      </c>
      <c r="K954">
        <f t="shared" si="101"/>
        <v>-74.497657150979933</v>
      </c>
      <c r="L954">
        <f t="shared" si="102"/>
        <v>9.0855465409241218E-4</v>
      </c>
      <c r="O954">
        <f t="shared" si="103"/>
        <v>-74.337231509739595</v>
      </c>
      <c r="P954">
        <f t="shared" si="104"/>
        <v>-8.8621685967223683E-4</v>
      </c>
    </row>
    <row r="955" spans="1:16" x14ac:dyDescent="0.25">
      <c r="A955" s="1">
        <v>47.65</v>
      </c>
      <c r="B955" s="2">
        <v>-3.7490000000000001</v>
      </c>
      <c r="C955">
        <v>5.0000000000000001E-3</v>
      </c>
      <c r="H955">
        <f t="shared" si="98"/>
        <v>47.65</v>
      </c>
      <c r="I955">
        <f t="shared" si="99"/>
        <v>-3.7490000000000001</v>
      </c>
      <c r="J955">
        <f t="shared" si="100"/>
        <v>3.3611122668330919E-3</v>
      </c>
      <c r="K955">
        <f t="shared" si="101"/>
        <v>-75.179466126251356</v>
      </c>
      <c r="L955">
        <f t="shared" si="102"/>
        <v>2.2407415112220609E-3</v>
      </c>
      <c r="O955">
        <f t="shared" si="103"/>
        <v>-75.019040485011018</v>
      </c>
      <c r="P955">
        <f t="shared" si="104"/>
        <v>4.4596999745741186E-4</v>
      </c>
    </row>
    <row r="956" spans="1:16" x14ac:dyDescent="0.25">
      <c r="A956" s="1">
        <v>47.7</v>
      </c>
      <c r="B956" s="2">
        <v>-3.7850000000000001</v>
      </c>
      <c r="C956">
        <v>4.0000000000000001E-3</v>
      </c>
      <c r="H956">
        <f t="shared" si="98"/>
        <v>47.7</v>
      </c>
      <c r="I956">
        <f t="shared" si="99"/>
        <v>-3.7850000000000001</v>
      </c>
      <c r="J956">
        <f t="shared" si="100"/>
        <v>2.3593925525275655E-3</v>
      </c>
      <c r="K956">
        <f t="shared" si="101"/>
        <v>-75.901381511832867</v>
      </c>
      <c r="L956">
        <f t="shared" si="102"/>
        <v>1.5729283683517099E-3</v>
      </c>
      <c r="O956">
        <f t="shared" si="103"/>
        <v>-75.740955870592529</v>
      </c>
      <c r="P956">
        <f t="shared" si="104"/>
        <v>-2.2184314541293907E-4</v>
      </c>
    </row>
    <row r="957" spans="1:16" x14ac:dyDescent="0.25">
      <c r="A957" s="1">
        <v>47.75</v>
      </c>
      <c r="B957" s="2">
        <v>-3.7890000000000001</v>
      </c>
      <c r="C957">
        <v>4.0000000000000001E-3</v>
      </c>
      <c r="H957">
        <f t="shared" si="98"/>
        <v>47.75</v>
      </c>
      <c r="I957">
        <f t="shared" si="99"/>
        <v>-3.7890000000000001</v>
      </c>
      <c r="J957">
        <f t="shared" si="100"/>
        <v>2.3576728382220385E-3</v>
      </c>
      <c r="K957">
        <f t="shared" si="101"/>
        <v>-75.981594332453028</v>
      </c>
      <c r="L957">
        <f t="shared" si="102"/>
        <v>1.5717818921480253E-3</v>
      </c>
      <c r="O957">
        <f t="shared" si="103"/>
        <v>-75.821168691212691</v>
      </c>
      <c r="P957">
        <f t="shared" si="104"/>
        <v>-2.2298962161662367E-4</v>
      </c>
    </row>
    <row r="958" spans="1:16" x14ac:dyDescent="0.25">
      <c r="A958" s="1">
        <v>47.8</v>
      </c>
      <c r="B958" s="2">
        <v>-3.7879999999999998</v>
      </c>
      <c r="C958">
        <v>4.0000000000000001E-3</v>
      </c>
      <c r="H958">
        <f t="shared" si="98"/>
        <v>47.8</v>
      </c>
      <c r="I958">
        <f t="shared" si="99"/>
        <v>-3.7879999999999998</v>
      </c>
      <c r="J958">
        <f t="shared" si="100"/>
        <v>2.3559531239165121E-3</v>
      </c>
      <c r="K958">
        <f t="shared" si="101"/>
        <v>-75.961541127297977</v>
      </c>
      <c r="L958">
        <f t="shared" si="102"/>
        <v>1.5706354159443409E-3</v>
      </c>
      <c r="O958">
        <f t="shared" si="103"/>
        <v>-75.80111548605764</v>
      </c>
      <c r="P958">
        <f t="shared" si="104"/>
        <v>-2.2413609782030806E-4</v>
      </c>
    </row>
    <row r="959" spans="1:16" x14ac:dyDescent="0.25">
      <c r="A959" s="1">
        <v>47.85</v>
      </c>
      <c r="B959" s="2">
        <v>-3.7890000000000001</v>
      </c>
      <c r="C959">
        <v>4.0000000000000001E-3</v>
      </c>
      <c r="H959">
        <f t="shared" si="98"/>
        <v>47.85</v>
      </c>
      <c r="I959">
        <f t="shared" si="99"/>
        <v>-3.7890000000000001</v>
      </c>
      <c r="J959">
        <f t="shared" si="100"/>
        <v>2.3542334096109852E-3</v>
      </c>
      <c r="K959">
        <f t="shared" si="101"/>
        <v>-75.981594332453028</v>
      </c>
      <c r="L959">
        <f t="shared" si="102"/>
        <v>1.5694889397406563E-3</v>
      </c>
      <c r="O959">
        <f t="shared" si="103"/>
        <v>-75.821168691212691</v>
      </c>
      <c r="P959">
        <f t="shared" si="104"/>
        <v>-2.2528257402399266E-4</v>
      </c>
    </row>
    <row r="960" spans="1:16" x14ac:dyDescent="0.25">
      <c r="A960" s="1">
        <v>47.9</v>
      </c>
      <c r="B960" s="2">
        <v>-3.7890000000000001</v>
      </c>
      <c r="C960">
        <v>4.0000000000000001E-3</v>
      </c>
      <c r="H960">
        <f t="shared" si="98"/>
        <v>47.9</v>
      </c>
      <c r="I960">
        <f t="shared" si="99"/>
        <v>-3.7890000000000001</v>
      </c>
      <c r="J960">
        <f t="shared" si="100"/>
        <v>2.3525136953054587E-3</v>
      </c>
      <c r="K960">
        <f t="shared" si="101"/>
        <v>-75.981594332453028</v>
      </c>
      <c r="L960">
        <f t="shared" si="102"/>
        <v>1.5683424635369722E-3</v>
      </c>
      <c r="O960">
        <f t="shared" si="103"/>
        <v>-75.821168691212691</v>
      </c>
      <c r="P960">
        <f t="shared" si="104"/>
        <v>-2.2642905022767683E-4</v>
      </c>
    </row>
    <row r="961" spans="1:16" x14ac:dyDescent="0.25">
      <c r="A961" s="1">
        <v>47.95</v>
      </c>
      <c r="B961" s="2">
        <v>-3.7890000000000001</v>
      </c>
      <c r="C961">
        <v>4.0000000000000001E-3</v>
      </c>
      <c r="H961">
        <f t="shared" si="98"/>
        <v>47.95</v>
      </c>
      <c r="I961">
        <f t="shared" si="99"/>
        <v>-3.7890000000000001</v>
      </c>
      <c r="J961">
        <f t="shared" si="100"/>
        <v>2.3507939809999318E-3</v>
      </c>
      <c r="K961">
        <f t="shared" si="101"/>
        <v>-75.981594332453028</v>
      </c>
      <c r="L961">
        <f t="shared" si="102"/>
        <v>1.5671959873332876E-3</v>
      </c>
      <c r="O961">
        <f t="shared" si="103"/>
        <v>-75.821168691212691</v>
      </c>
      <c r="P961">
        <f t="shared" si="104"/>
        <v>-2.2757552643136144E-4</v>
      </c>
    </row>
    <row r="962" spans="1:16" x14ac:dyDescent="0.25">
      <c r="A962" s="1">
        <v>48</v>
      </c>
      <c r="B962" s="2">
        <v>-3.82</v>
      </c>
      <c r="C962">
        <v>4.0000000000000001E-3</v>
      </c>
      <c r="H962">
        <f t="shared" si="98"/>
        <v>48</v>
      </c>
      <c r="I962">
        <f t="shared" si="99"/>
        <v>-3.82</v>
      </c>
      <c r="J962">
        <f t="shared" si="100"/>
        <v>2.3490742666944053E-3</v>
      </c>
      <c r="K962">
        <f t="shared" si="101"/>
        <v>-76.603243692259312</v>
      </c>
      <c r="L962">
        <f t="shared" si="102"/>
        <v>1.5660495111296032E-3</v>
      </c>
      <c r="O962">
        <f t="shared" si="103"/>
        <v>-76.442818051018975</v>
      </c>
      <c r="P962">
        <f t="shared" si="104"/>
        <v>-2.2872200263504582E-4</v>
      </c>
    </row>
    <row r="963" spans="1:16" x14ac:dyDescent="0.25">
      <c r="A963" s="1">
        <v>48.05</v>
      </c>
      <c r="B963" s="2">
        <v>-3.8969999999999998</v>
      </c>
      <c r="C963">
        <v>5.0000000000000001E-3</v>
      </c>
      <c r="H963">
        <f t="shared" ref="H963:H1026" si="105">A963</f>
        <v>48.05</v>
      </c>
      <c r="I963">
        <f t="shared" ref="I963:I1026" si="106">B963</f>
        <v>-3.8969999999999998</v>
      </c>
      <c r="J963">
        <f t="shared" ref="J963:J1026" si="107">C963-E$12*A963</f>
        <v>3.3473545523888789E-3</v>
      </c>
      <c r="K963">
        <f t="shared" ref="K963:K1026" si="108">F$24*I963</f>
        <v>-78.147340489197518</v>
      </c>
      <c r="L963">
        <f t="shared" ref="L963:L1026" si="109">F$25*J963</f>
        <v>2.2315697015925853E-3</v>
      </c>
      <c r="O963">
        <f t="shared" ref="O963:O1026" si="110">K963-N$12</f>
        <v>-77.986914847957181</v>
      </c>
      <c r="P963">
        <f t="shared" ref="P963:P1026" si="111">L963-N$15</f>
        <v>4.3679818782793632E-4</v>
      </c>
    </row>
    <row r="964" spans="1:16" x14ac:dyDescent="0.25">
      <c r="A964" s="1">
        <v>48.1</v>
      </c>
      <c r="B964" s="2">
        <v>-3.9409999999999998</v>
      </c>
      <c r="C964">
        <v>4.0000000000000001E-3</v>
      </c>
      <c r="H964">
        <f t="shared" si="105"/>
        <v>48.1</v>
      </c>
      <c r="I964">
        <f t="shared" si="106"/>
        <v>-3.9409999999999998</v>
      </c>
      <c r="J964">
        <f t="shared" si="107"/>
        <v>2.3456348380833519E-3</v>
      </c>
      <c r="K964">
        <f t="shared" si="108"/>
        <v>-79.029681516019366</v>
      </c>
      <c r="L964">
        <f t="shared" si="109"/>
        <v>1.5637565587222342E-3</v>
      </c>
      <c r="O964">
        <f t="shared" si="110"/>
        <v>-78.869255874779029</v>
      </c>
      <c r="P964">
        <f t="shared" si="111"/>
        <v>-2.3101495504241482E-4</v>
      </c>
    </row>
    <row r="965" spans="1:16" x14ac:dyDescent="0.25">
      <c r="A965" s="1">
        <v>48.15</v>
      </c>
      <c r="B965" s="2">
        <v>-3.9630000000000001</v>
      </c>
      <c r="C965">
        <v>4.0000000000000001E-3</v>
      </c>
      <c r="H965">
        <f t="shared" si="105"/>
        <v>48.15</v>
      </c>
      <c r="I965">
        <f t="shared" si="106"/>
        <v>-3.9630000000000001</v>
      </c>
      <c r="J965">
        <f t="shared" si="107"/>
        <v>2.3439151237778255E-3</v>
      </c>
      <c r="K965">
        <f t="shared" si="108"/>
        <v>-79.470852029430276</v>
      </c>
      <c r="L965">
        <f t="shared" si="109"/>
        <v>1.56261008251855E-3</v>
      </c>
      <c r="O965">
        <f t="shared" si="110"/>
        <v>-79.310426388189939</v>
      </c>
      <c r="P965">
        <f t="shared" si="111"/>
        <v>-2.3216143124609899E-4</v>
      </c>
    </row>
    <row r="966" spans="1:16" x14ac:dyDescent="0.25">
      <c r="A966" s="1">
        <v>48.2</v>
      </c>
      <c r="B966" s="2">
        <v>-3.9820000000000002</v>
      </c>
      <c r="C966">
        <v>4.0000000000000001E-3</v>
      </c>
      <c r="H966">
        <f t="shared" si="105"/>
        <v>48.2</v>
      </c>
      <c r="I966">
        <f t="shared" si="106"/>
        <v>-3.9820000000000002</v>
      </c>
      <c r="J966">
        <f t="shared" si="107"/>
        <v>2.3421954094722986E-3</v>
      </c>
      <c r="K966">
        <f t="shared" si="108"/>
        <v>-79.851862927376075</v>
      </c>
      <c r="L966">
        <f t="shared" si="109"/>
        <v>1.5614636063148654E-3</v>
      </c>
      <c r="O966">
        <f t="shared" si="110"/>
        <v>-79.691437286135738</v>
      </c>
      <c r="P966">
        <f t="shared" si="111"/>
        <v>-2.3330790744978359E-4</v>
      </c>
    </row>
    <row r="967" spans="1:16" x14ac:dyDescent="0.25">
      <c r="A967" s="1">
        <v>48.25</v>
      </c>
      <c r="B967" s="2">
        <v>-4.0309999999999997</v>
      </c>
      <c r="C967">
        <v>5.0000000000000001E-3</v>
      </c>
      <c r="H967">
        <f t="shared" si="105"/>
        <v>48.25</v>
      </c>
      <c r="I967">
        <f t="shared" si="106"/>
        <v>-4.0309999999999997</v>
      </c>
      <c r="J967">
        <f t="shared" si="107"/>
        <v>3.3404756951667721E-3</v>
      </c>
      <c r="K967">
        <f t="shared" si="108"/>
        <v>-80.834469979973107</v>
      </c>
      <c r="L967">
        <f t="shared" si="109"/>
        <v>2.2269837967778478E-3</v>
      </c>
      <c r="O967">
        <f t="shared" si="110"/>
        <v>-80.67404433873277</v>
      </c>
      <c r="P967">
        <f t="shared" si="111"/>
        <v>4.3221228301319877E-4</v>
      </c>
    </row>
    <row r="968" spans="1:16" x14ac:dyDescent="0.25">
      <c r="A968" s="1">
        <v>48.3</v>
      </c>
      <c r="B968" s="2">
        <v>-4.0519999999999996</v>
      </c>
      <c r="C968">
        <v>4.0000000000000001E-3</v>
      </c>
      <c r="H968">
        <f t="shared" si="105"/>
        <v>48.3</v>
      </c>
      <c r="I968">
        <f t="shared" si="106"/>
        <v>-4.0519999999999996</v>
      </c>
      <c r="J968">
        <f t="shared" si="107"/>
        <v>2.3387559808612452E-3</v>
      </c>
      <c r="K968">
        <f t="shared" si="108"/>
        <v>-81.25558728822898</v>
      </c>
      <c r="L968">
        <f t="shared" si="109"/>
        <v>1.5591706539074964E-3</v>
      </c>
      <c r="O968">
        <f t="shared" si="110"/>
        <v>-81.095161646988643</v>
      </c>
      <c r="P968">
        <f t="shared" si="111"/>
        <v>-2.3560085985715258E-4</v>
      </c>
    </row>
    <row r="969" spans="1:16" x14ac:dyDescent="0.25">
      <c r="A969" s="1">
        <v>48.35</v>
      </c>
      <c r="B969" s="2">
        <v>-4.07</v>
      </c>
      <c r="C969">
        <v>4.0000000000000001E-3</v>
      </c>
      <c r="H969">
        <f t="shared" si="105"/>
        <v>48.35</v>
      </c>
      <c r="I969">
        <f t="shared" si="106"/>
        <v>-4.07</v>
      </c>
      <c r="J969">
        <f t="shared" si="107"/>
        <v>2.3370362665557187E-3</v>
      </c>
      <c r="K969">
        <f t="shared" si="108"/>
        <v>-81.616544981019743</v>
      </c>
      <c r="L969">
        <f t="shared" si="109"/>
        <v>1.558024177703812E-3</v>
      </c>
      <c r="O969">
        <f t="shared" si="110"/>
        <v>-81.456119339779406</v>
      </c>
      <c r="P969">
        <f t="shared" si="111"/>
        <v>-2.3674733606083697E-4</v>
      </c>
    </row>
    <row r="970" spans="1:16" x14ac:dyDescent="0.25">
      <c r="A970" s="1">
        <v>48.4</v>
      </c>
      <c r="B970" s="2">
        <v>-4.1269999999999998</v>
      </c>
      <c r="C970">
        <v>4.0000000000000001E-3</v>
      </c>
      <c r="H970">
        <f t="shared" si="105"/>
        <v>48.4</v>
      </c>
      <c r="I970">
        <f t="shared" si="106"/>
        <v>-4.1269999999999998</v>
      </c>
      <c r="J970">
        <f t="shared" si="107"/>
        <v>2.3353165522501922E-3</v>
      </c>
      <c r="K970">
        <f t="shared" si="108"/>
        <v>-82.759577674857113</v>
      </c>
      <c r="L970">
        <f t="shared" si="109"/>
        <v>1.5568777015001279E-3</v>
      </c>
      <c r="O970">
        <f t="shared" si="110"/>
        <v>-82.599152033616775</v>
      </c>
      <c r="P970">
        <f t="shared" si="111"/>
        <v>-2.3789381226452114E-4</v>
      </c>
    </row>
    <row r="971" spans="1:16" x14ac:dyDescent="0.25">
      <c r="A971" s="1">
        <v>48.45</v>
      </c>
      <c r="B971" s="2">
        <v>-4.1399999999999997</v>
      </c>
      <c r="C971">
        <v>4.0000000000000001E-3</v>
      </c>
      <c r="H971">
        <f t="shared" si="105"/>
        <v>48.45</v>
      </c>
      <c r="I971">
        <f t="shared" si="106"/>
        <v>-4.1399999999999997</v>
      </c>
      <c r="J971">
        <f t="shared" si="107"/>
        <v>2.3335968379446653E-3</v>
      </c>
      <c r="K971">
        <f t="shared" si="108"/>
        <v>-83.020269341872662</v>
      </c>
      <c r="L971">
        <f t="shared" si="109"/>
        <v>1.5557312252964433E-3</v>
      </c>
      <c r="O971">
        <f t="shared" si="110"/>
        <v>-82.859843700632325</v>
      </c>
      <c r="P971">
        <f t="shared" si="111"/>
        <v>-2.3904028846820575E-4</v>
      </c>
    </row>
    <row r="972" spans="1:16" x14ac:dyDescent="0.25">
      <c r="A972" s="1">
        <v>48.5</v>
      </c>
      <c r="B972" s="2">
        <v>-4.1399999999999997</v>
      </c>
      <c r="C972">
        <v>4.0000000000000001E-3</v>
      </c>
      <c r="H972">
        <f t="shared" si="105"/>
        <v>48.5</v>
      </c>
      <c r="I972">
        <f t="shared" si="106"/>
        <v>-4.1399999999999997</v>
      </c>
      <c r="J972">
        <f t="shared" si="107"/>
        <v>2.3318771236391384E-3</v>
      </c>
      <c r="K972">
        <f t="shared" si="108"/>
        <v>-83.020269341872662</v>
      </c>
      <c r="L972">
        <f t="shared" si="109"/>
        <v>1.5545847490927587E-3</v>
      </c>
      <c r="O972">
        <f t="shared" si="110"/>
        <v>-82.859843700632325</v>
      </c>
      <c r="P972">
        <f t="shared" si="111"/>
        <v>-2.4018676467189035E-4</v>
      </c>
    </row>
    <row r="973" spans="1:16" x14ac:dyDescent="0.25">
      <c r="A973" s="1">
        <v>48.55</v>
      </c>
      <c r="B973" s="2">
        <v>-4.1399999999999997</v>
      </c>
      <c r="C973">
        <v>4.0000000000000001E-3</v>
      </c>
      <c r="H973">
        <f t="shared" si="105"/>
        <v>48.55</v>
      </c>
      <c r="I973">
        <f t="shared" si="106"/>
        <v>-4.1399999999999997</v>
      </c>
      <c r="J973">
        <f t="shared" si="107"/>
        <v>2.3301574093336124E-3</v>
      </c>
      <c r="K973">
        <f t="shared" si="108"/>
        <v>-83.020269341872662</v>
      </c>
      <c r="L973">
        <f t="shared" si="109"/>
        <v>1.5534382728890745E-3</v>
      </c>
      <c r="O973">
        <f t="shared" si="110"/>
        <v>-82.859843700632325</v>
      </c>
      <c r="P973">
        <f t="shared" si="111"/>
        <v>-2.4133324087557452E-4</v>
      </c>
    </row>
    <row r="974" spans="1:16" x14ac:dyDescent="0.25">
      <c r="A974" s="1">
        <v>48.6</v>
      </c>
      <c r="B974" s="2">
        <v>-4.1399999999999997</v>
      </c>
      <c r="C974">
        <v>4.0000000000000001E-3</v>
      </c>
      <c r="H974">
        <f t="shared" si="105"/>
        <v>48.6</v>
      </c>
      <c r="I974">
        <f t="shared" si="106"/>
        <v>-4.1399999999999997</v>
      </c>
      <c r="J974">
        <f t="shared" si="107"/>
        <v>2.3284376950280855E-3</v>
      </c>
      <c r="K974">
        <f t="shared" si="108"/>
        <v>-83.020269341872662</v>
      </c>
      <c r="L974">
        <f t="shared" si="109"/>
        <v>1.5522917966853899E-3</v>
      </c>
      <c r="O974">
        <f t="shared" si="110"/>
        <v>-82.859843700632325</v>
      </c>
      <c r="P974">
        <f t="shared" si="111"/>
        <v>-2.4247971707925912E-4</v>
      </c>
    </row>
    <row r="975" spans="1:16" x14ac:dyDescent="0.25">
      <c r="A975" s="1">
        <v>48.65</v>
      </c>
      <c r="B975" s="2">
        <v>-4.1390000000000002</v>
      </c>
      <c r="C975">
        <v>4.0000000000000001E-3</v>
      </c>
      <c r="H975">
        <f t="shared" si="105"/>
        <v>48.65</v>
      </c>
      <c r="I975">
        <f t="shared" si="106"/>
        <v>-4.1390000000000002</v>
      </c>
      <c r="J975">
        <f t="shared" si="107"/>
        <v>2.3267179807225586E-3</v>
      </c>
      <c r="K975">
        <f t="shared" si="108"/>
        <v>-83.000216136717626</v>
      </c>
      <c r="L975">
        <f t="shared" si="109"/>
        <v>1.5511453204817053E-3</v>
      </c>
      <c r="O975">
        <f t="shared" si="110"/>
        <v>-82.839790495477288</v>
      </c>
      <c r="P975">
        <f t="shared" si="111"/>
        <v>-2.4362619328294373E-4</v>
      </c>
    </row>
    <row r="976" spans="1:16" x14ac:dyDescent="0.25">
      <c r="A976" s="1">
        <v>48.7</v>
      </c>
      <c r="B976" s="2">
        <v>-4.1319999999999997</v>
      </c>
      <c r="C976">
        <v>4.0000000000000001E-3</v>
      </c>
      <c r="H976">
        <f t="shared" si="105"/>
        <v>48.7</v>
      </c>
      <c r="I976">
        <f t="shared" si="106"/>
        <v>-4.1319999999999997</v>
      </c>
      <c r="J976">
        <f t="shared" si="107"/>
        <v>2.3249982664170317E-3</v>
      </c>
      <c r="K976">
        <f t="shared" si="108"/>
        <v>-82.859843700632325</v>
      </c>
      <c r="L976">
        <f t="shared" si="109"/>
        <v>1.5499988442780207E-3</v>
      </c>
      <c r="O976">
        <f t="shared" si="110"/>
        <v>-82.699418059391988</v>
      </c>
      <c r="P976">
        <f t="shared" si="111"/>
        <v>-2.4477266948662833E-4</v>
      </c>
    </row>
    <row r="977" spans="1:16" x14ac:dyDescent="0.25">
      <c r="A977" s="1">
        <v>48.75</v>
      </c>
      <c r="B977" s="2">
        <v>-4.1390000000000002</v>
      </c>
      <c r="C977">
        <v>4.0000000000000001E-3</v>
      </c>
      <c r="H977">
        <f t="shared" si="105"/>
        <v>48.75</v>
      </c>
      <c r="I977">
        <f t="shared" si="106"/>
        <v>-4.1390000000000002</v>
      </c>
      <c r="J977">
        <f t="shared" si="107"/>
        <v>2.3232785521115056E-3</v>
      </c>
      <c r="K977">
        <f t="shared" si="108"/>
        <v>-83.000216136717626</v>
      </c>
      <c r="L977">
        <f t="shared" si="109"/>
        <v>1.5488523680743367E-3</v>
      </c>
      <c r="O977">
        <f t="shared" si="110"/>
        <v>-82.839790495477288</v>
      </c>
      <c r="P977">
        <f t="shared" si="111"/>
        <v>-2.4591914569031229E-4</v>
      </c>
    </row>
    <row r="978" spans="1:16" x14ac:dyDescent="0.25">
      <c r="A978" s="1">
        <v>48.8</v>
      </c>
      <c r="B978" s="2">
        <v>-4.1849999999999996</v>
      </c>
      <c r="C978">
        <v>4.0000000000000001E-3</v>
      </c>
      <c r="H978">
        <f t="shared" si="105"/>
        <v>48.8</v>
      </c>
      <c r="I978">
        <f t="shared" si="106"/>
        <v>-4.1849999999999996</v>
      </c>
      <c r="J978">
        <f t="shared" si="107"/>
        <v>2.3215588378059787E-3</v>
      </c>
      <c r="K978">
        <f t="shared" si="108"/>
        <v>-83.922663573849533</v>
      </c>
      <c r="L978">
        <f t="shared" si="109"/>
        <v>1.5477058918706521E-3</v>
      </c>
      <c r="O978">
        <f t="shared" si="110"/>
        <v>-83.762237932609196</v>
      </c>
      <c r="P978">
        <f t="shared" si="111"/>
        <v>-2.4706562189399689E-4</v>
      </c>
    </row>
    <row r="979" spans="1:16" x14ac:dyDescent="0.25">
      <c r="A979" s="1">
        <v>48.85</v>
      </c>
      <c r="B979" s="2">
        <v>-4.2679999999999998</v>
      </c>
      <c r="C979">
        <v>4.0000000000000001E-3</v>
      </c>
      <c r="H979">
        <f t="shared" si="105"/>
        <v>48.85</v>
      </c>
      <c r="I979">
        <f t="shared" si="106"/>
        <v>-4.2679999999999998</v>
      </c>
      <c r="J979">
        <f t="shared" si="107"/>
        <v>2.3198391235004518E-3</v>
      </c>
      <c r="K979">
        <f t="shared" si="108"/>
        <v>-85.587079601718003</v>
      </c>
      <c r="L979">
        <f t="shared" si="109"/>
        <v>1.5465594156669675E-3</v>
      </c>
      <c r="O979">
        <f t="shared" si="110"/>
        <v>-85.426653960477665</v>
      </c>
      <c r="P979">
        <f t="shared" si="111"/>
        <v>-2.482120980976815E-4</v>
      </c>
    </row>
    <row r="980" spans="1:16" x14ac:dyDescent="0.25">
      <c r="A980" s="1">
        <v>48.9</v>
      </c>
      <c r="B980" s="2">
        <v>-4.3449999999999998</v>
      </c>
      <c r="C980">
        <v>4.0000000000000001E-3</v>
      </c>
      <c r="H980">
        <f t="shared" si="105"/>
        <v>48.9</v>
      </c>
      <c r="I980">
        <f t="shared" si="106"/>
        <v>-4.3449999999999998</v>
      </c>
      <c r="J980">
        <f t="shared" si="107"/>
        <v>2.3181194091949258E-3</v>
      </c>
      <c r="K980">
        <f t="shared" si="108"/>
        <v>-87.131176398656208</v>
      </c>
      <c r="L980">
        <f t="shared" si="109"/>
        <v>1.5454129394632836E-3</v>
      </c>
      <c r="O980">
        <f t="shared" si="110"/>
        <v>-86.970750757415871</v>
      </c>
      <c r="P980">
        <f t="shared" si="111"/>
        <v>-2.4935857430136545E-4</v>
      </c>
    </row>
    <row r="981" spans="1:16" x14ac:dyDescent="0.25">
      <c r="A981" s="1">
        <v>48.95</v>
      </c>
      <c r="B981" s="2">
        <v>-4.3940000000000001</v>
      </c>
      <c r="C981">
        <v>4.0000000000000001E-3</v>
      </c>
      <c r="H981">
        <f t="shared" si="105"/>
        <v>48.95</v>
      </c>
      <c r="I981">
        <f t="shared" si="106"/>
        <v>-4.3940000000000001</v>
      </c>
      <c r="J981">
        <f t="shared" si="107"/>
        <v>2.3163996948893989E-3</v>
      </c>
      <c r="K981">
        <f t="shared" si="108"/>
        <v>-88.113783451253255</v>
      </c>
      <c r="L981">
        <f t="shared" si="109"/>
        <v>1.544266463259599E-3</v>
      </c>
      <c r="O981">
        <f t="shared" si="110"/>
        <v>-87.953357810012918</v>
      </c>
      <c r="P981">
        <f t="shared" si="111"/>
        <v>-2.5050505050505005E-4</v>
      </c>
    </row>
    <row r="982" spans="1:16" x14ac:dyDescent="0.25">
      <c r="A982" s="1">
        <v>49</v>
      </c>
      <c r="B982" s="2">
        <v>-4.4089999999999998</v>
      </c>
      <c r="C982">
        <v>4.0000000000000001E-3</v>
      </c>
      <c r="H982">
        <f t="shared" si="105"/>
        <v>49</v>
      </c>
      <c r="I982">
        <f t="shared" si="106"/>
        <v>-4.4089999999999998</v>
      </c>
      <c r="J982">
        <f t="shared" si="107"/>
        <v>2.314679980583872E-3</v>
      </c>
      <c r="K982">
        <f t="shared" si="108"/>
        <v>-88.414581528578879</v>
      </c>
      <c r="L982">
        <f t="shared" si="109"/>
        <v>1.5431199870559143E-3</v>
      </c>
      <c r="O982">
        <f t="shared" si="110"/>
        <v>-88.254155887338541</v>
      </c>
      <c r="P982">
        <f t="shared" si="111"/>
        <v>-2.5165152670873466E-4</v>
      </c>
    </row>
    <row r="983" spans="1:16" x14ac:dyDescent="0.25">
      <c r="A983" s="1">
        <v>49.05</v>
      </c>
      <c r="B983" s="2">
        <v>-4.4119999999999999</v>
      </c>
      <c r="C983">
        <v>4.0000000000000001E-3</v>
      </c>
      <c r="H983">
        <f t="shared" si="105"/>
        <v>49.05</v>
      </c>
      <c r="I983">
        <f t="shared" si="106"/>
        <v>-4.4119999999999999</v>
      </c>
      <c r="J983">
        <f t="shared" si="107"/>
        <v>2.3129602662783455E-3</v>
      </c>
      <c r="K983">
        <f t="shared" si="108"/>
        <v>-88.474741144044003</v>
      </c>
      <c r="L983">
        <f t="shared" si="109"/>
        <v>1.54197351085223E-3</v>
      </c>
      <c r="O983">
        <f t="shared" si="110"/>
        <v>-88.314315502803666</v>
      </c>
      <c r="P983">
        <f t="shared" si="111"/>
        <v>-2.5279800291241905E-4</v>
      </c>
    </row>
    <row r="984" spans="1:16" x14ac:dyDescent="0.25">
      <c r="A984" s="1">
        <v>49.1</v>
      </c>
      <c r="B984" s="2">
        <v>-4.41</v>
      </c>
      <c r="C984">
        <v>4.0000000000000001E-3</v>
      </c>
      <c r="H984">
        <f t="shared" si="105"/>
        <v>49.1</v>
      </c>
      <c r="I984">
        <f t="shared" si="106"/>
        <v>-4.41</v>
      </c>
      <c r="J984">
        <f t="shared" si="107"/>
        <v>2.311240551972819E-3</v>
      </c>
      <c r="K984">
        <f t="shared" si="108"/>
        <v>-88.43463473373393</v>
      </c>
      <c r="L984">
        <f t="shared" si="109"/>
        <v>1.5408270346485456E-3</v>
      </c>
      <c r="O984">
        <f t="shared" si="110"/>
        <v>-88.274209092493592</v>
      </c>
      <c r="P984">
        <f t="shared" si="111"/>
        <v>-2.5394447911610343E-4</v>
      </c>
    </row>
    <row r="985" spans="1:16" x14ac:dyDescent="0.25">
      <c r="A985" s="1">
        <v>49.15</v>
      </c>
      <c r="B985" s="2">
        <v>-4.41</v>
      </c>
      <c r="C985">
        <v>4.0000000000000001E-3</v>
      </c>
      <c r="H985">
        <f t="shared" si="105"/>
        <v>49.15</v>
      </c>
      <c r="I985">
        <f t="shared" si="106"/>
        <v>-4.41</v>
      </c>
      <c r="J985">
        <f t="shared" si="107"/>
        <v>2.3095208376672921E-3</v>
      </c>
      <c r="K985">
        <f t="shared" si="108"/>
        <v>-88.43463473373393</v>
      </c>
      <c r="L985">
        <f t="shared" si="109"/>
        <v>1.539680558444861E-3</v>
      </c>
      <c r="O985">
        <f t="shared" si="110"/>
        <v>-88.274209092493592</v>
      </c>
      <c r="P985">
        <f t="shared" si="111"/>
        <v>-2.5509095531978804E-4</v>
      </c>
    </row>
    <row r="986" spans="1:16" x14ac:dyDescent="0.25">
      <c r="A986" s="1">
        <v>49.2</v>
      </c>
      <c r="B986" s="2">
        <v>-4.41</v>
      </c>
      <c r="C986">
        <v>4.0000000000000001E-3</v>
      </c>
      <c r="H986">
        <f t="shared" si="105"/>
        <v>49.2</v>
      </c>
      <c r="I986">
        <f t="shared" si="106"/>
        <v>-4.41</v>
      </c>
      <c r="J986">
        <f t="shared" si="107"/>
        <v>2.3078011233617652E-3</v>
      </c>
      <c r="K986">
        <f t="shared" si="108"/>
        <v>-88.43463473373393</v>
      </c>
      <c r="L986">
        <f t="shared" si="109"/>
        <v>1.5385340822411764E-3</v>
      </c>
      <c r="O986">
        <f t="shared" si="110"/>
        <v>-88.274209092493592</v>
      </c>
      <c r="P986">
        <f t="shared" si="111"/>
        <v>-2.5623743152347264E-4</v>
      </c>
    </row>
    <row r="987" spans="1:16" x14ac:dyDescent="0.25">
      <c r="A987" s="1">
        <v>49.25</v>
      </c>
      <c r="B987" s="2">
        <v>-4.4109999999999996</v>
      </c>
      <c r="C987">
        <v>4.0000000000000001E-3</v>
      </c>
      <c r="H987">
        <f t="shared" si="105"/>
        <v>49.25</v>
      </c>
      <c r="I987">
        <f t="shared" si="106"/>
        <v>-4.4109999999999996</v>
      </c>
      <c r="J987">
        <f t="shared" si="107"/>
        <v>2.3060814090562387E-3</v>
      </c>
      <c r="K987">
        <f t="shared" si="108"/>
        <v>-88.454687938888952</v>
      </c>
      <c r="L987">
        <f t="shared" si="109"/>
        <v>1.5373876060374922E-3</v>
      </c>
      <c r="O987">
        <f t="shared" si="110"/>
        <v>-88.294262297648615</v>
      </c>
      <c r="P987">
        <f t="shared" si="111"/>
        <v>-2.5738390772715681E-4</v>
      </c>
    </row>
    <row r="988" spans="1:16" x14ac:dyDescent="0.25">
      <c r="A988" s="1">
        <v>49.3</v>
      </c>
      <c r="B988" s="2">
        <v>-4.4109999999999996</v>
      </c>
      <c r="C988">
        <v>4.0000000000000001E-3</v>
      </c>
      <c r="H988">
        <f t="shared" si="105"/>
        <v>49.3</v>
      </c>
      <c r="I988">
        <f t="shared" si="106"/>
        <v>-4.4109999999999996</v>
      </c>
      <c r="J988">
        <f t="shared" si="107"/>
        <v>2.3043616947507123E-3</v>
      </c>
      <c r="K988">
        <f t="shared" si="108"/>
        <v>-88.454687938888952</v>
      </c>
      <c r="L988">
        <f t="shared" si="109"/>
        <v>1.5362411298338078E-3</v>
      </c>
      <c r="O988">
        <f t="shared" si="110"/>
        <v>-88.294262297648615</v>
      </c>
      <c r="P988">
        <f t="shared" si="111"/>
        <v>-2.585303839308412E-4</v>
      </c>
    </row>
    <row r="989" spans="1:16" x14ac:dyDescent="0.25">
      <c r="A989" s="1">
        <v>49.35</v>
      </c>
      <c r="B989" s="2">
        <v>-4.4109999999999996</v>
      </c>
      <c r="C989">
        <v>4.0000000000000001E-3</v>
      </c>
      <c r="H989">
        <f t="shared" si="105"/>
        <v>49.35</v>
      </c>
      <c r="I989">
        <f t="shared" si="106"/>
        <v>-4.4109999999999996</v>
      </c>
      <c r="J989">
        <f t="shared" si="107"/>
        <v>2.3026419804451853E-3</v>
      </c>
      <c r="K989">
        <f t="shared" si="108"/>
        <v>-88.454687938888952</v>
      </c>
      <c r="L989">
        <f t="shared" si="109"/>
        <v>1.5350946536301232E-3</v>
      </c>
      <c r="O989">
        <f t="shared" si="110"/>
        <v>-88.294262297648615</v>
      </c>
      <c r="P989">
        <f t="shared" si="111"/>
        <v>-2.596768601345258E-4</v>
      </c>
    </row>
    <row r="990" spans="1:16" x14ac:dyDescent="0.25">
      <c r="A990" s="1">
        <v>49.4</v>
      </c>
      <c r="B990" s="2">
        <v>-4.42</v>
      </c>
      <c r="C990">
        <v>4.0000000000000001E-3</v>
      </c>
      <c r="H990">
        <f t="shared" si="105"/>
        <v>49.4</v>
      </c>
      <c r="I990">
        <f t="shared" si="106"/>
        <v>-4.42</v>
      </c>
      <c r="J990">
        <f t="shared" si="107"/>
        <v>2.3009222661396589E-3</v>
      </c>
      <c r="K990">
        <f t="shared" si="108"/>
        <v>-88.635166785284341</v>
      </c>
      <c r="L990">
        <f t="shared" si="109"/>
        <v>1.5339481774264388E-3</v>
      </c>
      <c r="O990">
        <f t="shared" si="110"/>
        <v>-88.474741144044003</v>
      </c>
      <c r="P990">
        <f t="shared" si="111"/>
        <v>-2.6082333633821019E-4</v>
      </c>
    </row>
    <row r="991" spans="1:16" x14ac:dyDescent="0.25">
      <c r="A991" s="1">
        <v>49.45</v>
      </c>
      <c r="B991" s="2">
        <v>-4.4390000000000001</v>
      </c>
      <c r="C991">
        <v>4.0000000000000001E-3</v>
      </c>
      <c r="H991">
        <f t="shared" si="105"/>
        <v>49.45</v>
      </c>
      <c r="I991">
        <f t="shared" si="106"/>
        <v>-4.4390000000000001</v>
      </c>
      <c r="J991">
        <f t="shared" si="107"/>
        <v>2.299202551834132E-3</v>
      </c>
      <c r="K991">
        <f t="shared" si="108"/>
        <v>-89.01617768323014</v>
      </c>
      <c r="L991">
        <f t="shared" si="109"/>
        <v>1.5328017012227542E-3</v>
      </c>
      <c r="O991">
        <f t="shared" si="110"/>
        <v>-88.855752041989803</v>
      </c>
      <c r="P991">
        <f t="shared" si="111"/>
        <v>-2.619698125418948E-4</v>
      </c>
    </row>
    <row r="992" spans="1:16" x14ac:dyDescent="0.25">
      <c r="A992" s="1">
        <v>49.5</v>
      </c>
      <c r="B992" s="2">
        <v>-4.4669999999999996</v>
      </c>
      <c r="C992">
        <v>4.0000000000000001E-3</v>
      </c>
      <c r="H992">
        <f t="shared" si="105"/>
        <v>49.5</v>
      </c>
      <c r="I992">
        <f t="shared" si="106"/>
        <v>-4.4669999999999996</v>
      </c>
      <c r="J992">
        <f t="shared" si="107"/>
        <v>2.2974828375286055E-3</v>
      </c>
      <c r="K992">
        <f t="shared" si="108"/>
        <v>-89.577667427571299</v>
      </c>
      <c r="L992">
        <f t="shared" si="109"/>
        <v>1.53165522501907E-3</v>
      </c>
      <c r="O992">
        <f t="shared" si="110"/>
        <v>-89.417241786330962</v>
      </c>
      <c r="P992">
        <f t="shared" si="111"/>
        <v>-2.6311628874557897E-4</v>
      </c>
    </row>
    <row r="993" spans="1:16" x14ac:dyDescent="0.25">
      <c r="A993" s="1">
        <v>49.55</v>
      </c>
      <c r="B993" s="2">
        <v>-4.4930000000000003</v>
      </c>
      <c r="C993">
        <v>4.0000000000000001E-3</v>
      </c>
      <c r="H993">
        <f t="shared" si="105"/>
        <v>49.55</v>
      </c>
      <c r="I993">
        <f t="shared" si="106"/>
        <v>-4.4930000000000003</v>
      </c>
      <c r="J993">
        <f t="shared" si="107"/>
        <v>2.295763123223079E-3</v>
      </c>
      <c r="K993">
        <f t="shared" si="108"/>
        <v>-90.099050761602385</v>
      </c>
      <c r="L993">
        <f t="shared" si="109"/>
        <v>1.5305087488153857E-3</v>
      </c>
      <c r="O993">
        <f t="shared" si="110"/>
        <v>-89.938625120362047</v>
      </c>
      <c r="P993">
        <f t="shared" si="111"/>
        <v>-2.6426276494926335E-4</v>
      </c>
    </row>
    <row r="994" spans="1:16" x14ac:dyDescent="0.25">
      <c r="A994" s="1">
        <v>49.6</v>
      </c>
      <c r="B994" s="2">
        <v>-4.5389999999999997</v>
      </c>
      <c r="C994">
        <v>4.0000000000000001E-3</v>
      </c>
      <c r="H994">
        <f t="shared" si="105"/>
        <v>49.6</v>
      </c>
      <c r="I994">
        <f t="shared" si="106"/>
        <v>-4.5389999999999997</v>
      </c>
      <c r="J994">
        <f t="shared" si="107"/>
        <v>2.2940434089175521E-3</v>
      </c>
      <c r="K994">
        <f t="shared" si="108"/>
        <v>-91.021498198734292</v>
      </c>
      <c r="L994">
        <f t="shared" si="109"/>
        <v>1.529362272611701E-3</v>
      </c>
      <c r="O994">
        <f t="shared" si="110"/>
        <v>-90.861072557493955</v>
      </c>
      <c r="P994">
        <f t="shared" si="111"/>
        <v>-2.6540924115294796E-4</v>
      </c>
    </row>
    <row r="995" spans="1:16" x14ac:dyDescent="0.25">
      <c r="A995" s="1">
        <v>49.65</v>
      </c>
      <c r="B995" s="2">
        <v>-4.6130000000000004</v>
      </c>
      <c r="C995">
        <v>4.0000000000000001E-3</v>
      </c>
      <c r="H995">
        <f t="shared" si="105"/>
        <v>49.65</v>
      </c>
      <c r="I995">
        <f t="shared" si="106"/>
        <v>-4.6130000000000004</v>
      </c>
      <c r="J995">
        <f t="shared" si="107"/>
        <v>2.2923236946120256E-3</v>
      </c>
      <c r="K995">
        <f t="shared" si="108"/>
        <v>-92.505435380207402</v>
      </c>
      <c r="L995">
        <f t="shared" si="109"/>
        <v>1.5282157964080167E-3</v>
      </c>
      <c r="O995">
        <f t="shared" si="110"/>
        <v>-92.345009738967065</v>
      </c>
      <c r="P995">
        <f t="shared" si="111"/>
        <v>-2.6655571735663235E-4</v>
      </c>
    </row>
    <row r="996" spans="1:16" x14ac:dyDescent="0.25">
      <c r="A996" s="1">
        <v>49.7</v>
      </c>
      <c r="B996" s="2">
        <v>-4.6289999999999996</v>
      </c>
      <c r="C996">
        <v>4.0000000000000001E-3</v>
      </c>
      <c r="H996">
        <f t="shared" si="105"/>
        <v>49.7</v>
      </c>
      <c r="I996">
        <f t="shared" si="106"/>
        <v>-4.6289999999999996</v>
      </c>
      <c r="J996">
        <f t="shared" si="107"/>
        <v>2.2906039803064987E-3</v>
      </c>
      <c r="K996">
        <f t="shared" si="108"/>
        <v>-92.826286662688048</v>
      </c>
      <c r="L996">
        <f t="shared" si="109"/>
        <v>1.5270693202043321E-3</v>
      </c>
      <c r="O996">
        <f t="shared" si="110"/>
        <v>-92.665861021447711</v>
      </c>
      <c r="P996">
        <f t="shared" si="111"/>
        <v>-2.6770219356031695E-4</v>
      </c>
    </row>
    <row r="997" spans="1:16" x14ac:dyDescent="0.25">
      <c r="A997" s="1">
        <v>49.75</v>
      </c>
      <c r="B997" s="2">
        <v>-4.6710000000000003</v>
      </c>
      <c r="C997">
        <v>4.0000000000000001E-3</v>
      </c>
      <c r="H997">
        <f t="shared" si="105"/>
        <v>49.75</v>
      </c>
      <c r="I997">
        <f t="shared" si="106"/>
        <v>-4.6710000000000003</v>
      </c>
      <c r="J997">
        <f t="shared" si="107"/>
        <v>2.2888842660009723E-3</v>
      </c>
      <c r="K997">
        <f t="shared" si="108"/>
        <v>-93.668521279199808</v>
      </c>
      <c r="L997">
        <f t="shared" si="109"/>
        <v>1.5259228440006479E-3</v>
      </c>
      <c r="O997">
        <f t="shared" si="110"/>
        <v>-93.508095637959471</v>
      </c>
      <c r="P997">
        <f t="shared" si="111"/>
        <v>-2.6884866976400112E-4</v>
      </c>
    </row>
    <row r="998" spans="1:16" x14ac:dyDescent="0.25">
      <c r="A998" s="1">
        <v>49.8</v>
      </c>
      <c r="B998" s="2">
        <v>-4.6829999999999998</v>
      </c>
      <c r="C998">
        <v>4.0000000000000001E-3</v>
      </c>
      <c r="H998">
        <f t="shared" si="105"/>
        <v>49.8</v>
      </c>
      <c r="I998">
        <f t="shared" si="106"/>
        <v>-4.6829999999999998</v>
      </c>
      <c r="J998">
        <f t="shared" si="107"/>
        <v>2.2871645516954458E-3</v>
      </c>
      <c r="K998">
        <f t="shared" si="108"/>
        <v>-93.909159741060307</v>
      </c>
      <c r="L998">
        <f t="shared" si="109"/>
        <v>1.5247763677969635E-3</v>
      </c>
      <c r="O998">
        <f t="shared" si="110"/>
        <v>-93.74873409981997</v>
      </c>
      <c r="P998">
        <f t="shared" si="111"/>
        <v>-2.6999514596768551E-4</v>
      </c>
    </row>
    <row r="999" spans="1:16" x14ac:dyDescent="0.25">
      <c r="A999" s="1">
        <v>49.85</v>
      </c>
      <c r="B999" s="2">
        <v>-4.6829999999999998</v>
      </c>
      <c r="C999">
        <v>5.0000000000000001E-3</v>
      </c>
      <c r="H999">
        <f t="shared" si="105"/>
        <v>49.85</v>
      </c>
      <c r="I999">
        <f t="shared" si="106"/>
        <v>-4.6829999999999998</v>
      </c>
      <c r="J999">
        <f t="shared" si="107"/>
        <v>3.2854448373899189E-3</v>
      </c>
      <c r="K999">
        <f t="shared" si="108"/>
        <v>-93.909159741060307</v>
      </c>
      <c r="L999">
        <f t="shared" si="109"/>
        <v>2.1902965582599456E-3</v>
      </c>
      <c r="O999">
        <f t="shared" si="110"/>
        <v>-93.74873409981997</v>
      </c>
      <c r="P999">
        <f t="shared" si="111"/>
        <v>3.9552504449529664E-4</v>
      </c>
    </row>
    <row r="1000" spans="1:16" x14ac:dyDescent="0.25">
      <c r="A1000" s="1">
        <v>49.9</v>
      </c>
      <c r="B1000" s="2">
        <v>-4.6829999999999998</v>
      </c>
      <c r="C1000">
        <v>4.0000000000000001E-3</v>
      </c>
      <c r="H1000">
        <f t="shared" si="105"/>
        <v>49.9</v>
      </c>
      <c r="I1000">
        <f t="shared" si="106"/>
        <v>-4.6829999999999998</v>
      </c>
      <c r="J1000">
        <f t="shared" si="107"/>
        <v>2.283725123084392E-3</v>
      </c>
      <c r="K1000">
        <f t="shared" si="108"/>
        <v>-93.909159741060307</v>
      </c>
      <c r="L1000">
        <f t="shared" si="109"/>
        <v>1.5224834153895943E-3</v>
      </c>
      <c r="O1000">
        <f t="shared" si="110"/>
        <v>-93.74873409981997</v>
      </c>
      <c r="P1000">
        <f t="shared" si="111"/>
        <v>-2.7228809837505472E-4</v>
      </c>
    </row>
    <row r="1001" spans="1:16" x14ac:dyDescent="0.25">
      <c r="A1001" s="1">
        <v>49.95</v>
      </c>
      <c r="B1001" s="2">
        <v>-4.6829999999999998</v>
      </c>
      <c r="C1001">
        <v>4.0000000000000001E-3</v>
      </c>
      <c r="H1001">
        <f t="shared" si="105"/>
        <v>49.95</v>
      </c>
      <c r="I1001">
        <f t="shared" si="106"/>
        <v>-4.6829999999999998</v>
      </c>
      <c r="J1001">
        <f t="shared" si="107"/>
        <v>2.2820054087788655E-3</v>
      </c>
      <c r="K1001">
        <f t="shared" si="108"/>
        <v>-93.909159741060307</v>
      </c>
      <c r="L1001">
        <f t="shared" si="109"/>
        <v>1.5213369391859099E-3</v>
      </c>
      <c r="O1001">
        <f t="shared" si="110"/>
        <v>-93.74873409981997</v>
      </c>
      <c r="P1001">
        <f t="shared" si="111"/>
        <v>-2.734345745787391E-4</v>
      </c>
    </row>
    <row r="1002" spans="1:16" x14ac:dyDescent="0.25">
      <c r="A1002" s="1">
        <v>50</v>
      </c>
      <c r="B1002" s="2">
        <v>-4.6749999999999998</v>
      </c>
      <c r="C1002">
        <v>4.0000000000000001E-3</v>
      </c>
      <c r="H1002">
        <f t="shared" si="105"/>
        <v>50</v>
      </c>
      <c r="I1002">
        <f t="shared" si="106"/>
        <v>-4.6749999999999998</v>
      </c>
      <c r="J1002">
        <f t="shared" si="107"/>
        <v>2.280285694473339E-3</v>
      </c>
      <c r="K1002">
        <f t="shared" si="108"/>
        <v>-93.74873409981997</v>
      </c>
      <c r="L1002">
        <f t="shared" si="109"/>
        <v>1.5201904629822257E-3</v>
      </c>
      <c r="O1002">
        <f t="shared" si="110"/>
        <v>-93.588308458579633</v>
      </c>
      <c r="P1002">
        <f t="shared" si="111"/>
        <v>-2.7458105078242328E-4</v>
      </c>
    </row>
    <row r="1003" spans="1:16" x14ac:dyDescent="0.25">
      <c r="A1003" s="1">
        <v>50.05</v>
      </c>
      <c r="B1003" s="2">
        <v>-4.6950000000000003</v>
      </c>
      <c r="C1003">
        <v>4.0000000000000001E-3</v>
      </c>
      <c r="H1003">
        <f t="shared" si="105"/>
        <v>50.05</v>
      </c>
      <c r="I1003">
        <f t="shared" si="106"/>
        <v>-4.6950000000000003</v>
      </c>
      <c r="J1003">
        <f t="shared" si="107"/>
        <v>2.2785659801678121E-3</v>
      </c>
      <c r="K1003">
        <f t="shared" si="108"/>
        <v>-94.14979820292082</v>
      </c>
      <c r="L1003">
        <f t="shared" si="109"/>
        <v>1.5190439867785411E-3</v>
      </c>
      <c r="O1003">
        <f t="shared" si="110"/>
        <v>-93.989372561680483</v>
      </c>
      <c r="P1003">
        <f t="shared" si="111"/>
        <v>-2.7572752698610788E-4</v>
      </c>
    </row>
    <row r="1004" spans="1:16" x14ac:dyDescent="0.25">
      <c r="A1004" s="1">
        <v>50.1</v>
      </c>
      <c r="B1004" s="2">
        <v>-4.7640000000000002</v>
      </c>
      <c r="C1004">
        <v>4.0000000000000001E-3</v>
      </c>
      <c r="H1004">
        <f t="shared" si="105"/>
        <v>50.1</v>
      </c>
      <c r="I1004">
        <f t="shared" si="106"/>
        <v>-4.7640000000000002</v>
      </c>
      <c r="J1004">
        <f t="shared" si="107"/>
        <v>2.2768462658622852E-3</v>
      </c>
      <c r="K1004">
        <f t="shared" si="108"/>
        <v>-95.533469358618689</v>
      </c>
      <c r="L1004">
        <f t="shared" si="109"/>
        <v>1.5178975105748565E-3</v>
      </c>
      <c r="O1004">
        <f t="shared" si="110"/>
        <v>-95.373043717378351</v>
      </c>
      <c r="P1004">
        <f t="shared" si="111"/>
        <v>-2.7687400318979248E-4</v>
      </c>
    </row>
    <row r="1005" spans="1:16" x14ac:dyDescent="0.25">
      <c r="A1005" s="1">
        <v>50.15</v>
      </c>
      <c r="B1005" s="2">
        <v>-4.8609999999999998</v>
      </c>
      <c r="C1005">
        <v>4.0000000000000001E-3</v>
      </c>
      <c r="H1005">
        <f t="shared" si="105"/>
        <v>50.15</v>
      </c>
      <c r="I1005">
        <f t="shared" si="106"/>
        <v>-4.8609999999999998</v>
      </c>
      <c r="J1005">
        <f t="shared" si="107"/>
        <v>2.2751265515567592E-3</v>
      </c>
      <c r="K1005">
        <f t="shared" si="108"/>
        <v>-97.478630258657731</v>
      </c>
      <c r="L1005">
        <f t="shared" si="109"/>
        <v>1.5167510343711724E-3</v>
      </c>
      <c r="O1005">
        <f t="shared" si="110"/>
        <v>-97.318204617417393</v>
      </c>
      <c r="P1005">
        <f t="shared" si="111"/>
        <v>-2.7802047939347665E-4</v>
      </c>
    </row>
    <row r="1006" spans="1:16" x14ac:dyDescent="0.25">
      <c r="A1006" s="1">
        <v>50.2</v>
      </c>
      <c r="B1006" s="2">
        <v>-4.8899999999999997</v>
      </c>
      <c r="C1006">
        <v>4.0000000000000001E-3</v>
      </c>
      <c r="H1006">
        <f t="shared" si="105"/>
        <v>50.2</v>
      </c>
      <c r="I1006">
        <f t="shared" si="106"/>
        <v>-4.8899999999999997</v>
      </c>
      <c r="J1006">
        <f t="shared" si="107"/>
        <v>2.2734068372512323E-3</v>
      </c>
      <c r="K1006">
        <f t="shared" si="108"/>
        <v>-98.060173208153941</v>
      </c>
      <c r="L1006">
        <f t="shared" si="109"/>
        <v>1.5156045581674877E-3</v>
      </c>
      <c r="O1006">
        <f t="shared" si="110"/>
        <v>-97.899747566913604</v>
      </c>
      <c r="P1006">
        <f t="shared" si="111"/>
        <v>-2.7916695559716126E-4</v>
      </c>
    </row>
    <row r="1007" spans="1:16" x14ac:dyDescent="0.25">
      <c r="A1007" s="1">
        <v>50.25</v>
      </c>
      <c r="B1007" s="2">
        <v>-4.8949999999999996</v>
      </c>
      <c r="C1007">
        <v>4.0000000000000001E-3</v>
      </c>
      <c r="H1007">
        <f t="shared" si="105"/>
        <v>50.25</v>
      </c>
      <c r="I1007">
        <f t="shared" si="106"/>
        <v>-4.8949999999999996</v>
      </c>
      <c r="J1007">
        <f t="shared" si="107"/>
        <v>2.2716871229457054E-3</v>
      </c>
      <c r="K1007">
        <f t="shared" si="108"/>
        <v>-98.160439233929139</v>
      </c>
      <c r="L1007">
        <f t="shared" si="109"/>
        <v>1.5144580819638031E-3</v>
      </c>
      <c r="O1007">
        <f t="shared" si="110"/>
        <v>-98.000013592688802</v>
      </c>
      <c r="P1007">
        <f t="shared" si="111"/>
        <v>-2.8031343180084586E-4</v>
      </c>
    </row>
    <row r="1008" spans="1:16" x14ac:dyDescent="0.25">
      <c r="A1008" s="1">
        <v>50.3</v>
      </c>
      <c r="B1008" s="2">
        <v>-4.9059999999999997</v>
      </c>
      <c r="C1008">
        <v>4.0000000000000001E-3</v>
      </c>
      <c r="H1008">
        <f t="shared" si="105"/>
        <v>50.3</v>
      </c>
      <c r="I1008">
        <f t="shared" si="106"/>
        <v>-4.9059999999999997</v>
      </c>
      <c r="J1008">
        <f t="shared" si="107"/>
        <v>2.2699674086401789E-3</v>
      </c>
      <c r="K1008">
        <f t="shared" si="108"/>
        <v>-98.381024490634601</v>
      </c>
      <c r="L1008">
        <f t="shared" si="109"/>
        <v>1.513311605760119E-3</v>
      </c>
      <c r="O1008">
        <f t="shared" si="110"/>
        <v>-98.220598849394264</v>
      </c>
      <c r="P1008">
        <f t="shared" si="111"/>
        <v>-2.8145990800453003E-4</v>
      </c>
    </row>
    <row r="1009" spans="1:16" x14ac:dyDescent="0.25">
      <c r="A1009" s="1">
        <v>50.35</v>
      </c>
      <c r="B1009" s="2">
        <v>-4.9260000000000002</v>
      </c>
      <c r="C1009">
        <v>4.0000000000000001E-3</v>
      </c>
      <c r="H1009">
        <f t="shared" si="105"/>
        <v>50.35</v>
      </c>
      <c r="I1009">
        <f t="shared" si="106"/>
        <v>-4.9260000000000002</v>
      </c>
      <c r="J1009">
        <f t="shared" si="107"/>
        <v>2.2682476943346524E-3</v>
      </c>
      <c r="K1009">
        <f t="shared" si="108"/>
        <v>-98.782088593735452</v>
      </c>
      <c r="L1009">
        <f t="shared" si="109"/>
        <v>1.5121651295564346E-3</v>
      </c>
      <c r="O1009">
        <f t="shared" si="110"/>
        <v>-98.621662952495114</v>
      </c>
      <c r="P1009">
        <f t="shared" si="111"/>
        <v>-2.8260638420821442E-4</v>
      </c>
    </row>
    <row r="1010" spans="1:16" x14ac:dyDescent="0.25">
      <c r="A1010" s="1">
        <v>50.4</v>
      </c>
      <c r="B1010" s="2">
        <v>-4.9509999999999996</v>
      </c>
      <c r="C1010">
        <v>4.0000000000000001E-3</v>
      </c>
      <c r="H1010">
        <f t="shared" si="105"/>
        <v>50.4</v>
      </c>
      <c r="I1010">
        <f t="shared" si="106"/>
        <v>-4.9509999999999996</v>
      </c>
      <c r="J1010">
        <f t="shared" si="107"/>
        <v>2.2665279800291255E-3</v>
      </c>
      <c r="K1010">
        <f t="shared" si="108"/>
        <v>-99.283418722611472</v>
      </c>
      <c r="L1010">
        <f t="shared" si="109"/>
        <v>1.51101865335275E-3</v>
      </c>
      <c r="O1010">
        <f t="shared" si="110"/>
        <v>-99.122993081371135</v>
      </c>
      <c r="P1010">
        <f t="shared" si="111"/>
        <v>-2.8375286041189903E-4</v>
      </c>
    </row>
    <row r="1011" spans="1:16" x14ac:dyDescent="0.25">
      <c r="A1011" s="1">
        <v>50.45</v>
      </c>
      <c r="B1011" s="2">
        <v>-4.9530000000000003</v>
      </c>
      <c r="C1011">
        <v>4.0000000000000001E-3</v>
      </c>
      <c r="H1011">
        <f t="shared" si="105"/>
        <v>50.45</v>
      </c>
      <c r="I1011">
        <f t="shared" si="106"/>
        <v>-4.9530000000000003</v>
      </c>
      <c r="J1011">
        <f t="shared" si="107"/>
        <v>2.2648082657235986E-3</v>
      </c>
      <c r="K1011">
        <f t="shared" si="108"/>
        <v>-99.323525132921574</v>
      </c>
      <c r="L1011">
        <f t="shared" si="109"/>
        <v>1.5098721771490654E-3</v>
      </c>
      <c r="O1011">
        <f t="shared" si="110"/>
        <v>-99.163099491681237</v>
      </c>
      <c r="P1011">
        <f t="shared" si="111"/>
        <v>-2.8489933661558363E-4</v>
      </c>
    </row>
    <row r="1012" spans="1:16" x14ac:dyDescent="0.25">
      <c r="A1012" s="1">
        <v>50.5</v>
      </c>
      <c r="B1012" s="2">
        <v>-4.9530000000000003</v>
      </c>
      <c r="C1012">
        <v>4.0000000000000001E-3</v>
      </c>
      <c r="H1012">
        <f t="shared" si="105"/>
        <v>50.5</v>
      </c>
      <c r="I1012">
        <f t="shared" si="106"/>
        <v>-4.9530000000000003</v>
      </c>
      <c r="J1012">
        <f t="shared" si="107"/>
        <v>2.2630885514180726E-3</v>
      </c>
      <c r="K1012">
        <f t="shared" si="108"/>
        <v>-99.323525132921574</v>
      </c>
      <c r="L1012">
        <f t="shared" si="109"/>
        <v>1.5087257009453814E-3</v>
      </c>
      <c r="O1012">
        <f t="shared" si="110"/>
        <v>-99.163099491681237</v>
      </c>
      <c r="P1012">
        <f t="shared" si="111"/>
        <v>-2.8604581281926758E-4</v>
      </c>
    </row>
    <row r="1013" spans="1:16" x14ac:dyDescent="0.25">
      <c r="A1013" s="1">
        <v>50.55</v>
      </c>
      <c r="B1013" s="2">
        <v>-4.9530000000000003</v>
      </c>
      <c r="C1013">
        <v>4.0000000000000001E-3</v>
      </c>
      <c r="H1013">
        <f t="shared" si="105"/>
        <v>50.55</v>
      </c>
      <c r="I1013">
        <f t="shared" si="106"/>
        <v>-4.9530000000000003</v>
      </c>
      <c r="J1013">
        <f t="shared" si="107"/>
        <v>2.2613688371125457E-3</v>
      </c>
      <c r="K1013">
        <f t="shared" si="108"/>
        <v>-99.323525132921574</v>
      </c>
      <c r="L1013">
        <f t="shared" si="109"/>
        <v>1.5075792247416968E-3</v>
      </c>
      <c r="O1013">
        <f t="shared" si="110"/>
        <v>-99.163099491681237</v>
      </c>
      <c r="P1013">
        <f t="shared" si="111"/>
        <v>-2.8719228902295219E-4</v>
      </c>
    </row>
    <row r="1014" spans="1:16" x14ac:dyDescent="0.25">
      <c r="A1014" s="1">
        <v>50.6</v>
      </c>
      <c r="B1014" s="2">
        <v>-4.9530000000000003</v>
      </c>
      <c r="C1014">
        <v>4.0000000000000001E-3</v>
      </c>
      <c r="H1014">
        <f t="shared" si="105"/>
        <v>50.6</v>
      </c>
      <c r="I1014">
        <f t="shared" si="106"/>
        <v>-4.9530000000000003</v>
      </c>
      <c r="J1014">
        <f t="shared" si="107"/>
        <v>2.2596491228070188E-3</v>
      </c>
      <c r="K1014">
        <f t="shared" si="108"/>
        <v>-99.323525132921574</v>
      </c>
      <c r="L1014">
        <f t="shared" si="109"/>
        <v>1.5064327485380122E-3</v>
      </c>
      <c r="O1014">
        <f t="shared" si="110"/>
        <v>-99.163099491681237</v>
      </c>
      <c r="P1014">
        <f t="shared" si="111"/>
        <v>-2.8833876522663679E-4</v>
      </c>
    </row>
    <row r="1015" spans="1:16" x14ac:dyDescent="0.25">
      <c r="A1015" s="1">
        <v>50.65</v>
      </c>
      <c r="B1015" s="2">
        <v>-4.9530000000000003</v>
      </c>
      <c r="C1015">
        <v>4.0000000000000001E-3</v>
      </c>
      <c r="H1015">
        <f t="shared" si="105"/>
        <v>50.65</v>
      </c>
      <c r="I1015">
        <f t="shared" si="106"/>
        <v>-4.9530000000000003</v>
      </c>
      <c r="J1015">
        <f t="shared" si="107"/>
        <v>2.2579294085014923E-3</v>
      </c>
      <c r="K1015">
        <f t="shared" si="108"/>
        <v>-99.323525132921574</v>
      </c>
      <c r="L1015">
        <f t="shared" si="109"/>
        <v>1.5052862723343278E-3</v>
      </c>
      <c r="O1015">
        <f t="shared" si="110"/>
        <v>-99.163099491681237</v>
      </c>
      <c r="P1015">
        <f t="shared" si="111"/>
        <v>-2.8948524143032118E-4</v>
      </c>
    </row>
    <row r="1016" spans="1:16" x14ac:dyDescent="0.25">
      <c r="A1016" s="1">
        <v>50.7</v>
      </c>
      <c r="B1016" s="2">
        <v>-4.9530000000000003</v>
      </c>
      <c r="C1016">
        <v>4.0000000000000001E-3</v>
      </c>
      <c r="H1016">
        <f t="shared" si="105"/>
        <v>50.7</v>
      </c>
      <c r="I1016">
        <f t="shared" si="106"/>
        <v>-4.9530000000000003</v>
      </c>
      <c r="J1016">
        <f t="shared" si="107"/>
        <v>2.2562096941959658E-3</v>
      </c>
      <c r="K1016">
        <f t="shared" si="108"/>
        <v>-99.323525132921574</v>
      </c>
      <c r="L1016">
        <f t="shared" si="109"/>
        <v>1.5041397961306434E-3</v>
      </c>
      <c r="O1016">
        <f t="shared" si="110"/>
        <v>-99.163099491681237</v>
      </c>
      <c r="P1016">
        <f t="shared" si="111"/>
        <v>-2.9063171763400557E-4</v>
      </c>
    </row>
    <row r="1017" spans="1:16" x14ac:dyDescent="0.25">
      <c r="A1017" s="1">
        <v>50.75</v>
      </c>
      <c r="B1017" s="2">
        <v>-4.9530000000000003</v>
      </c>
      <c r="C1017">
        <v>4.0000000000000001E-3</v>
      </c>
      <c r="H1017">
        <f t="shared" si="105"/>
        <v>50.75</v>
      </c>
      <c r="I1017">
        <f t="shared" si="106"/>
        <v>-4.9530000000000003</v>
      </c>
      <c r="J1017">
        <f t="shared" si="107"/>
        <v>2.2544899798904389E-3</v>
      </c>
      <c r="K1017">
        <f t="shared" si="108"/>
        <v>-99.323525132921574</v>
      </c>
      <c r="L1017">
        <f t="shared" si="109"/>
        <v>1.5029933199269588E-3</v>
      </c>
      <c r="O1017">
        <f t="shared" si="110"/>
        <v>-99.163099491681237</v>
      </c>
      <c r="P1017">
        <f t="shared" si="111"/>
        <v>-2.9177819383769017E-4</v>
      </c>
    </row>
    <row r="1018" spans="1:16" x14ac:dyDescent="0.25">
      <c r="A1018" s="1">
        <v>50.8</v>
      </c>
      <c r="B1018" s="2">
        <v>-4.96</v>
      </c>
      <c r="C1018">
        <v>4.0000000000000001E-3</v>
      </c>
      <c r="H1018">
        <f t="shared" si="105"/>
        <v>50.8</v>
      </c>
      <c r="I1018">
        <f t="shared" si="106"/>
        <v>-4.96</v>
      </c>
      <c r="J1018">
        <f t="shared" si="107"/>
        <v>2.2527702655849124E-3</v>
      </c>
      <c r="K1018">
        <f t="shared" si="108"/>
        <v>-99.463897569006861</v>
      </c>
      <c r="L1018">
        <f t="shared" si="109"/>
        <v>1.5018468437232747E-3</v>
      </c>
      <c r="O1018">
        <f t="shared" si="110"/>
        <v>-99.303471927766523</v>
      </c>
      <c r="P1018">
        <f t="shared" si="111"/>
        <v>-2.9292467004137434E-4</v>
      </c>
    </row>
    <row r="1019" spans="1:16" x14ac:dyDescent="0.25">
      <c r="A1019" s="1">
        <v>50.85</v>
      </c>
      <c r="B1019" s="2">
        <v>-4.9729999999999999</v>
      </c>
      <c r="C1019">
        <v>4.0000000000000001E-3</v>
      </c>
      <c r="H1019">
        <f t="shared" si="105"/>
        <v>50.85</v>
      </c>
      <c r="I1019">
        <f t="shared" si="106"/>
        <v>-4.9729999999999999</v>
      </c>
      <c r="J1019">
        <f t="shared" si="107"/>
        <v>2.2510505512793855E-3</v>
      </c>
      <c r="K1019">
        <f t="shared" si="108"/>
        <v>-99.724589236022396</v>
      </c>
      <c r="L1019">
        <f t="shared" si="109"/>
        <v>1.5007003675195901E-3</v>
      </c>
      <c r="O1019">
        <f t="shared" si="110"/>
        <v>-99.564163594782059</v>
      </c>
      <c r="P1019">
        <f t="shared" si="111"/>
        <v>-2.9407114624505895E-4</v>
      </c>
    </row>
    <row r="1020" spans="1:16" x14ac:dyDescent="0.25">
      <c r="A1020" s="1">
        <v>50.9</v>
      </c>
      <c r="B1020" s="2">
        <v>-4.9909999999999997</v>
      </c>
      <c r="C1020">
        <v>4.0000000000000001E-3</v>
      </c>
      <c r="H1020">
        <f t="shared" si="105"/>
        <v>50.9</v>
      </c>
      <c r="I1020">
        <f t="shared" si="106"/>
        <v>-4.9909999999999997</v>
      </c>
      <c r="J1020">
        <f t="shared" si="107"/>
        <v>2.249330836973859E-3</v>
      </c>
      <c r="K1020">
        <f t="shared" si="108"/>
        <v>-100.08554692881314</v>
      </c>
      <c r="L1020">
        <f t="shared" si="109"/>
        <v>1.4995538913159057E-3</v>
      </c>
      <c r="O1020">
        <f t="shared" si="110"/>
        <v>-99.925121287572807</v>
      </c>
      <c r="P1020">
        <f t="shared" si="111"/>
        <v>-2.9521762244874333E-4</v>
      </c>
    </row>
    <row r="1021" spans="1:16" x14ac:dyDescent="0.25">
      <c r="A1021" s="1">
        <v>50.95</v>
      </c>
      <c r="B1021" s="2">
        <v>-5.0030000000000001</v>
      </c>
      <c r="C1021">
        <v>4.0000000000000001E-3</v>
      </c>
      <c r="H1021">
        <f t="shared" si="105"/>
        <v>50.95</v>
      </c>
      <c r="I1021">
        <f t="shared" si="106"/>
        <v>-5.0030000000000001</v>
      </c>
      <c r="J1021">
        <f t="shared" si="107"/>
        <v>2.2476111226683321E-3</v>
      </c>
      <c r="K1021">
        <f t="shared" si="108"/>
        <v>-100.32618539067366</v>
      </c>
      <c r="L1021">
        <f t="shared" si="109"/>
        <v>1.4984074151122211E-3</v>
      </c>
      <c r="O1021">
        <f t="shared" si="110"/>
        <v>-100.16575974943332</v>
      </c>
      <c r="P1021">
        <f t="shared" si="111"/>
        <v>-2.9636409865242794E-4</v>
      </c>
    </row>
    <row r="1022" spans="1:16" x14ac:dyDescent="0.25">
      <c r="A1022" s="1">
        <v>51</v>
      </c>
      <c r="B1022" s="2">
        <v>-5.0030000000000001</v>
      </c>
      <c r="C1022">
        <v>4.0000000000000001E-3</v>
      </c>
      <c r="H1022">
        <f t="shared" si="105"/>
        <v>51</v>
      </c>
      <c r="I1022">
        <f t="shared" si="106"/>
        <v>-5.0030000000000001</v>
      </c>
      <c r="J1022">
        <f t="shared" si="107"/>
        <v>2.2458914083628057E-3</v>
      </c>
      <c r="K1022">
        <f t="shared" si="108"/>
        <v>-100.32618539067366</v>
      </c>
      <c r="L1022">
        <f t="shared" si="109"/>
        <v>1.4972609389085367E-3</v>
      </c>
      <c r="O1022">
        <f t="shared" si="110"/>
        <v>-100.16575974943332</v>
      </c>
      <c r="P1022">
        <f t="shared" si="111"/>
        <v>-2.9751057485611233E-4</v>
      </c>
    </row>
    <row r="1023" spans="1:16" x14ac:dyDescent="0.25">
      <c r="A1023" s="1">
        <v>51.05</v>
      </c>
      <c r="B1023" s="2">
        <v>-5.0030000000000001</v>
      </c>
      <c r="C1023">
        <v>4.0000000000000001E-3</v>
      </c>
      <c r="H1023">
        <f t="shared" si="105"/>
        <v>51.05</v>
      </c>
      <c r="I1023">
        <f t="shared" si="106"/>
        <v>-5.0030000000000001</v>
      </c>
      <c r="J1023">
        <f t="shared" si="107"/>
        <v>2.2441716940572792E-3</v>
      </c>
      <c r="K1023">
        <f t="shared" si="108"/>
        <v>-100.32618539067366</v>
      </c>
      <c r="L1023">
        <f t="shared" si="109"/>
        <v>1.4961144627048525E-3</v>
      </c>
      <c r="O1023">
        <f t="shared" si="110"/>
        <v>-100.16575974943332</v>
      </c>
      <c r="P1023">
        <f t="shared" si="111"/>
        <v>-2.986570510597965E-4</v>
      </c>
    </row>
    <row r="1024" spans="1:16" x14ac:dyDescent="0.25">
      <c r="A1024" s="1">
        <v>51.1</v>
      </c>
      <c r="B1024" s="2">
        <v>-5.0030000000000001</v>
      </c>
      <c r="C1024">
        <v>4.0000000000000001E-3</v>
      </c>
      <c r="H1024">
        <f t="shared" si="105"/>
        <v>51.1</v>
      </c>
      <c r="I1024">
        <f t="shared" si="106"/>
        <v>-5.0030000000000001</v>
      </c>
      <c r="J1024">
        <f t="shared" si="107"/>
        <v>2.2424519797517523E-3</v>
      </c>
      <c r="K1024">
        <f t="shared" si="108"/>
        <v>-100.32618539067366</v>
      </c>
      <c r="L1024">
        <f t="shared" si="109"/>
        <v>1.4949679865011679E-3</v>
      </c>
      <c r="O1024">
        <f t="shared" si="110"/>
        <v>-100.16575974943332</v>
      </c>
      <c r="P1024">
        <f t="shared" si="111"/>
        <v>-2.998035272634811E-4</v>
      </c>
    </row>
    <row r="1025" spans="1:16" x14ac:dyDescent="0.25">
      <c r="A1025" s="1">
        <v>51.15</v>
      </c>
      <c r="B1025" s="2">
        <v>-5.0030000000000001</v>
      </c>
      <c r="C1025">
        <v>4.0000000000000001E-3</v>
      </c>
      <c r="H1025">
        <f t="shared" si="105"/>
        <v>51.15</v>
      </c>
      <c r="I1025">
        <f t="shared" si="106"/>
        <v>-5.0030000000000001</v>
      </c>
      <c r="J1025">
        <f t="shared" si="107"/>
        <v>2.2407322654462254E-3</v>
      </c>
      <c r="K1025">
        <f t="shared" si="108"/>
        <v>-100.32618539067366</v>
      </c>
      <c r="L1025">
        <f t="shared" si="109"/>
        <v>1.4938215102974833E-3</v>
      </c>
      <c r="O1025">
        <f t="shared" si="110"/>
        <v>-100.16575974943332</v>
      </c>
      <c r="P1025">
        <f t="shared" si="111"/>
        <v>-3.0095000346716571E-4</v>
      </c>
    </row>
    <row r="1026" spans="1:16" x14ac:dyDescent="0.25">
      <c r="A1026" s="1">
        <v>51.2</v>
      </c>
      <c r="B1026" s="2">
        <v>-5.0030000000000001</v>
      </c>
      <c r="C1026">
        <v>4.0000000000000001E-3</v>
      </c>
      <c r="H1026">
        <f t="shared" si="105"/>
        <v>51.2</v>
      </c>
      <c r="I1026">
        <f t="shared" si="106"/>
        <v>-5.0030000000000001</v>
      </c>
      <c r="J1026">
        <f t="shared" si="107"/>
        <v>2.2390125511406989E-3</v>
      </c>
      <c r="K1026">
        <f t="shared" si="108"/>
        <v>-100.32618539067366</v>
      </c>
      <c r="L1026">
        <f t="shared" si="109"/>
        <v>1.4926750340937989E-3</v>
      </c>
      <c r="O1026">
        <f t="shared" si="110"/>
        <v>-100.16575974943332</v>
      </c>
      <c r="P1026">
        <f t="shared" si="111"/>
        <v>-3.0209647967085009E-4</v>
      </c>
    </row>
    <row r="1027" spans="1:16" x14ac:dyDescent="0.25">
      <c r="A1027" s="1">
        <v>51.25</v>
      </c>
      <c r="B1027" s="2">
        <v>-5.0030000000000001</v>
      </c>
      <c r="C1027">
        <v>4.0000000000000001E-3</v>
      </c>
      <c r="H1027">
        <f t="shared" ref="H1027:H1090" si="112">A1027</f>
        <v>51.25</v>
      </c>
      <c r="I1027">
        <f t="shared" ref="I1027:I1090" si="113">B1027</f>
        <v>-5.0030000000000001</v>
      </c>
      <c r="J1027">
        <f t="shared" ref="J1027:J1090" si="114">C1027-E$12*A1027</f>
        <v>2.2372928368351724E-3</v>
      </c>
      <c r="K1027">
        <f t="shared" ref="K1027:K1090" si="115">F$24*I1027</f>
        <v>-100.32618539067366</v>
      </c>
      <c r="L1027">
        <f t="shared" ref="L1027:L1090" si="116">F$25*J1027</f>
        <v>1.4915285578901145E-3</v>
      </c>
      <c r="O1027">
        <f t="shared" ref="O1027:O1090" si="117">K1027-N$12</f>
        <v>-100.16575974943332</v>
      </c>
      <c r="P1027">
        <f t="shared" ref="P1027:P1090" si="118">L1027-N$15</f>
        <v>-3.0324295587453448E-4</v>
      </c>
    </row>
    <row r="1028" spans="1:16" x14ac:dyDescent="0.25">
      <c r="A1028" s="1">
        <v>51.3</v>
      </c>
      <c r="B1028" s="2">
        <v>-5.0049999999999999</v>
      </c>
      <c r="C1028">
        <v>4.0000000000000001E-3</v>
      </c>
      <c r="H1028">
        <f t="shared" si="112"/>
        <v>51.3</v>
      </c>
      <c r="I1028">
        <f t="shared" si="113"/>
        <v>-5.0049999999999999</v>
      </c>
      <c r="J1028">
        <f t="shared" si="114"/>
        <v>2.2355731225296455E-3</v>
      </c>
      <c r="K1028">
        <f t="shared" si="115"/>
        <v>-100.36629180098373</v>
      </c>
      <c r="L1028">
        <f t="shared" si="116"/>
        <v>1.4903820816864299E-3</v>
      </c>
      <c r="O1028">
        <f t="shared" si="117"/>
        <v>-100.20586615974339</v>
      </c>
      <c r="P1028">
        <f t="shared" si="118"/>
        <v>-3.0438943207821909E-4</v>
      </c>
    </row>
    <row r="1029" spans="1:16" x14ac:dyDescent="0.25">
      <c r="A1029" s="1">
        <v>51.35</v>
      </c>
      <c r="B1029" s="2">
        <v>-5.0209999999999999</v>
      </c>
      <c r="C1029">
        <v>4.0000000000000001E-3</v>
      </c>
      <c r="H1029">
        <f t="shared" si="112"/>
        <v>51.35</v>
      </c>
      <c r="I1029">
        <f t="shared" si="113"/>
        <v>-5.0209999999999999</v>
      </c>
      <c r="J1029">
        <f t="shared" si="114"/>
        <v>2.2338534082241191E-3</v>
      </c>
      <c r="K1029">
        <f t="shared" si="115"/>
        <v>-100.68714308346441</v>
      </c>
      <c r="L1029">
        <f t="shared" si="116"/>
        <v>1.4892356054827458E-3</v>
      </c>
      <c r="O1029">
        <f t="shared" si="117"/>
        <v>-100.52671744222407</v>
      </c>
      <c r="P1029">
        <f t="shared" si="118"/>
        <v>-3.0553590828190326E-4</v>
      </c>
    </row>
    <row r="1030" spans="1:16" x14ac:dyDescent="0.25">
      <c r="A1030" s="1">
        <v>51.4</v>
      </c>
      <c r="B1030" s="2">
        <v>-5.0599999999999996</v>
      </c>
      <c r="C1030">
        <v>4.0000000000000001E-3</v>
      </c>
      <c r="H1030">
        <f t="shared" si="112"/>
        <v>51.4</v>
      </c>
      <c r="I1030">
        <f t="shared" si="113"/>
        <v>-5.0599999999999996</v>
      </c>
      <c r="J1030">
        <f t="shared" si="114"/>
        <v>2.2321336939185926E-3</v>
      </c>
      <c r="K1030">
        <f t="shared" si="115"/>
        <v>-101.46921808451103</v>
      </c>
      <c r="L1030">
        <f t="shared" si="116"/>
        <v>1.4880891292790614E-3</v>
      </c>
      <c r="O1030">
        <f t="shared" si="117"/>
        <v>-101.30879244327069</v>
      </c>
      <c r="P1030">
        <f t="shared" si="118"/>
        <v>-3.0668238448558764E-4</v>
      </c>
    </row>
    <row r="1031" spans="1:16" x14ac:dyDescent="0.25">
      <c r="A1031" s="1">
        <v>51.45</v>
      </c>
      <c r="B1031" s="2">
        <v>-5.0789999999999997</v>
      </c>
      <c r="C1031">
        <v>4.0000000000000001E-3</v>
      </c>
      <c r="H1031">
        <f t="shared" si="112"/>
        <v>51.45</v>
      </c>
      <c r="I1031">
        <f t="shared" si="113"/>
        <v>-5.0789999999999997</v>
      </c>
      <c r="J1031">
        <f t="shared" si="114"/>
        <v>2.2304139796130657E-3</v>
      </c>
      <c r="K1031">
        <f t="shared" si="115"/>
        <v>-101.85022898245681</v>
      </c>
      <c r="L1031">
        <f t="shared" si="116"/>
        <v>1.4869426530753768E-3</v>
      </c>
      <c r="O1031">
        <f t="shared" si="117"/>
        <v>-101.68980334121648</v>
      </c>
      <c r="P1031">
        <f t="shared" si="118"/>
        <v>-3.0782886068927225E-4</v>
      </c>
    </row>
    <row r="1032" spans="1:16" x14ac:dyDescent="0.25">
      <c r="A1032" s="1">
        <v>51.5</v>
      </c>
      <c r="B1032" s="2">
        <v>-5.0910000000000002</v>
      </c>
      <c r="C1032">
        <v>4.0000000000000001E-3</v>
      </c>
      <c r="H1032">
        <f t="shared" si="112"/>
        <v>51.5</v>
      </c>
      <c r="I1032">
        <f t="shared" si="113"/>
        <v>-5.0910000000000002</v>
      </c>
      <c r="J1032">
        <f t="shared" si="114"/>
        <v>2.2286942653075388E-3</v>
      </c>
      <c r="K1032">
        <f t="shared" si="115"/>
        <v>-102.09086744431733</v>
      </c>
      <c r="L1032">
        <f t="shared" si="116"/>
        <v>1.4857961768716922E-3</v>
      </c>
      <c r="O1032">
        <f t="shared" si="117"/>
        <v>-101.93044180307699</v>
      </c>
      <c r="P1032">
        <f t="shared" si="118"/>
        <v>-3.0897533689295685E-4</v>
      </c>
    </row>
    <row r="1033" spans="1:16" x14ac:dyDescent="0.25">
      <c r="A1033" s="1">
        <v>51.55</v>
      </c>
      <c r="B1033" s="2">
        <v>-5.1189999999999998</v>
      </c>
      <c r="C1033">
        <v>4.0000000000000001E-3</v>
      </c>
      <c r="H1033">
        <f t="shared" si="112"/>
        <v>51.55</v>
      </c>
      <c r="I1033">
        <f t="shared" si="113"/>
        <v>-5.1189999999999998</v>
      </c>
      <c r="J1033">
        <f t="shared" si="114"/>
        <v>2.2269745510020127E-3</v>
      </c>
      <c r="K1033">
        <f t="shared" si="115"/>
        <v>-102.65235718865848</v>
      </c>
      <c r="L1033">
        <f t="shared" si="116"/>
        <v>1.4846497006680082E-3</v>
      </c>
      <c r="O1033">
        <f t="shared" si="117"/>
        <v>-102.49193154741815</v>
      </c>
      <c r="P1033">
        <f t="shared" si="118"/>
        <v>-3.1012181309664081E-4</v>
      </c>
    </row>
    <row r="1034" spans="1:16" x14ac:dyDescent="0.25">
      <c r="A1034" s="1">
        <v>51.6</v>
      </c>
      <c r="B1034" s="2">
        <v>-5.12</v>
      </c>
      <c r="C1034">
        <v>4.0000000000000001E-3</v>
      </c>
      <c r="H1034">
        <f t="shared" si="112"/>
        <v>51.6</v>
      </c>
      <c r="I1034">
        <f t="shared" si="113"/>
        <v>-5.12</v>
      </c>
      <c r="J1034">
        <f t="shared" si="114"/>
        <v>2.2252548366964858E-3</v>
      </c>
      <c r="K1034">
        <f t="shared" si="115"/>
        <v>-102.67241039381354</v>
      </c>
      <c r="L1034">
        <f t="shared" si="116"/>
        <v>1.4835032244643236E-3</v>
      </c>
      <c r="O1034">
        <f t="shared" si="117"/>
        <v>-102.5119847525732</v>
      </c>
      <c r="P1034">
        <f t="shared" si="118"/>
        <v>-3.1126828930032541E-4</v>
      </c>
    </row>
    <row r="1035" spans="1:16" x14ac:dyDescent="0.25">
      <c r="A1035" s="1">
        <v>51.65</v>
      </c>
      <c r="B1035" s="2">
        <v>-5.1289999999999996</v>
      </c>
      <c r="C1035">
        <v>4.0000000000000001E-3</v>
      </c>
      <c r="H1035">
        <f t="shared" si="112"/>
        <v>51.65</v>
      </c>
      <c r="I1035">
        <f t="shared" si="113"/>
        <v>-5.1289999999999996</v>
      </c>
      <c r="J1035">
        <f t="shared" si="114"/>
        <v>2.2235351223909589E-3</v>
      </c>
      <c r="K1035">
        <f t="shared" si="115"/>
        <v>-102.8528892402089</v>
      </c>
      <c r="L1035">
        <f t="shared" si="116"/>
        <v>1.482356748260639E-3</v>
      </c>
      <c r="O1035">
        <f t="shared" si="117"/>
        <v>-102.69246359896856</v>
      </c>
      <c r="P1035">
        <f t="shared" si="118"/>
        <v>-3.1241476550401001E-4</v>
      </c>
    </row>
    <row r="1036" spans="1:16" x14ac:dyDescent="0.25">
      <c r="A1036" s="1">
        <v>51.7</v>
      </c>
      <c r="B1036" s="2">
        <v>-5.1749999999999998</v>
      </c>
      <c r="C1036">
        <v>4.0000000000000001E-3</v>
      </c>
      <c r="H1036">
        <f t="shared" si="112"/>
        <v>51.7</v>
      </c>
      <c r="I1036">
        <f t="shared" si="113"/>
        <v>-5.1749999999999998</v>
      </c>
      <c r="J1036">
        <f t="shared" si="114"/>
        <v>2.221815408085432E-3</v>
      </c>
      <c r="K1036">
        <f t="shared" si="115"/>
        <v>-103.77533667734082</v>
      </c>
      <c r="L1036">
        <f t="shared" si="116"/>
        <v>1.4812102720569544E-3</v>
      </c>
      <c r="O1036">
        <f t="shared" si="117"/>
        <v>-103.61491103610048</v>
      </c>
      <c r="P1036">
        <f t="shared" si="118"/>
        <v>-3.1356124170769462E-4</v>
      </c>
    </row>
    <row r="1037" spans="1:16" x14ac:dyDescent="0.25">
      <c r="A1037" s="1">
        <v>51.75</v>
      </c>
      <c r="B1037" s="2">
        <v>-5.1829999999999998</v>
      </c>
      <c r="C1037">
        <v>4.0000000000000001E-3</v>
      </c>
      <c r="H1037">
        <f t="shared" si="112"/>
        <v>51.75</v>
      </c>
      <c r="I1037">
        <f t="shared" si="113"/>
        <v>-5.1829999999999998</v>
      </c>
      <c r="J1037">
        <f t="shared" si="114"/>
        <v>2.220095693779906E-3</v>
      </c>
      <c r="K1037">
        <f t="shared" si="115"/>
        <v>-103.93576231858115</v>
      </c>
      <c r="L1037">
        <f t="shared" si="116"/>
        <v>1.4800637958532702E-3</v>
      </c>
      <c r="O1037">
        <f t="shared" si="117"/>
        <v>-103.77533667734082</v>
      </c>
      <c r="P1037">
        <f t="shared" si="118"/>
        <v>-3.1470771791137879E-4</v>
      </c>
    </row>
    <row r="1038" spans="1:16" x14ac:dyDescent="0.25">
      <c r="A1038" s="1">
        <v>51.8</v>
      </c>
      <c r="B1038" s="2">
        <v>-5.1840000000000002</v>
      </c>
      <c r="C1038">
        <v>4.0000000000000001E-3</v>
      </c>
      <c r="H1038">
        <f t="shared" si="112"/>
        <v>51.8</v>
      </c>
      <c r="I1038">
        <f t="shared" si="113"/>
        <v>-5.1840000000000002</v>
      </c>
      <c r="J1038">
        <f t="shared" si="114"/>
        <v>2.2183759794743791E-3</v>
      </c>
      <c r="K1038">
        <f t="shared" si="115"/>
        <v>-103.95581552373621</v>
      </c>
      <c r="L1038">
        <f t="shared" si="116"/>
        <v>1.4789173196495856E-3</v>
      </c>
      <c r="O1038">
        <f t="shared" si="117"/>
        <v>-103.79538988249587</v>
      </c>
      <c r="P1038">
        <f t="shared" si="118"/>
        <v>-3.1585419411506339E-4</v>
      </c>
    </row>
    <row r="1039" spans="1:16" x14ac:dyDescent="0.25">
      <c r="A1039" s="1">
        <v>51.85</v>
      </c>
      <c r="B1039" s="2">
        <v>-5.1829999999999998</v>
      </c>
      <c r="C1039">
        <v>4.0000000000000001E-3</v>
      </c>
      <c r="H1039">
        <f t="shared" si="112"/>
        <v>51.85</v>
      </c>
      <c r="I1039">
        <f t="shared" si="113"/>
        <v>-5.1829999999999998</v>
      </c>
      <c r="J1039">
        <f t="shared" si="114"/>
        <v>2.2166562651688522E-3</v>
      </c>
      <c r="K1039">
        <f t="shared" si="115"/>
        <v>-103.93576231858115</v>
      </c>
      <c r="L1039">
        <f t="shared" si="116"/>
        <v>1.477770843445901E-3</v>
      </c>
      <c r="O1039">
        <f t="shared" si="117"/>
        <v>-103.77533667734082</v>
      </c>
      <c r="P1039">
        <f t="shared" si="118"/>
        <v>-3.17000670318748E-4</v>
      </c>
    </row>
    <row r="1040" spans="1:16" x14ac:dyDescent="0.25">
      <c r="A1040" s="1">
        <v>51.9</v>
      </c>
      <c r="B1040" s="2">
        <v>-5.1840000000000002</v>
      </c>
      <c r="C1040">
        <v>4.0000000000000001E-3</v>
      </c>
      <c r="H1040">
        <f t="shared" si="112"/>
        <v>51.9</v>
      </c>
      <c r="I1040">
        <f t="shared" si="113"/>
        <v>-5.1840000000000002</v>
      </c>
      <c r="J1040">
        <f t="shared" si="114"/>
        <v>2.2149365508633257E-3</v>
      </c>
      <c r="K1040">
        <f t="shared" si="115"/>
        <v>-103.95581552373621</v>
      </c>
      <c r="L1040">
        <f t="shared" si="116"/>
        <v>1.4766243672422168E-3</v>
      </c>
      <c r="O1040">
        <f t="shared" si="117"/>
        <v>-103.79538988249587</v>
      </c>
      <c r="P1040">
        <f t="shared" si="118"/>
        <v>-3.1814714652243217E-4</v>
      </c>
    </row>
    <row r="1041" spans="1:16" x14ac:dyDescent="0.25">
      <c r="A1041" s="1">
        <v>51.95</v>
      </c>
      <c r="B1041" s="2">
        <v>-5.1820000000000004</v>
      </c>
      <c r="C1041">
        <v>4.0000000000000001E-3</v>
      </c>
      <c r="H1041">
        <f t="shared" si="112"/>
        <v>51.95</v>
      </c>
      <c r="I1041">
        <f t="shared" si="113"/>
        <v>-5.1820000000000004</v>
      </c>
      <c r="J1041">
        <f t="shared" si="114"/>
        <v>2.2132168365577992E-3</v>
      </c>
      <c r="K1041">
        <f t="shared" si="115"/>
        <v>-103.91570911342613</v>
      </c>
      <c r="L1041">
        <f t="shared" si="116"/>
        <v>1.4754778910385324E-3</v>
      </c>
      <c r="O1041">
        <f t="shared" si="117"/>
        <v>-103.75528347218579</v>
      </c>
      <c r="P1041">
        <f t="shared" si="118"/>
        <v>-3.1929362272611656E-4</v>
      </c>
    </row>
    <row r="1042" spans="1:16" x14ac:dyDescent="0.25">
      <c r="A1042" s="1">
        <v>52</v>
      </c>
      <c r="B1042" s="2">
        <v>-5.2050000000000001</v>
      </c>
      <c r="C1042">
        <v>4.0000000000000001E-3</v>
      </c>
      <c r="H1042">
        <f t="shared" si="112"/>
        <v>52</v>
      </c>
      <c r="I1042">
        <f t="shared" si="113"/>
        <v>-5.2050000000000001</v>
      </c>
      <c r="J1042">
        <f t="shared" si="114"/>
        <v>2.2114971222522723E-3</v>
      </c>
      <c r="K1042">
        <f t="shared" si="115"/>
        <v>-104.37693283199208</v>
      </c>
      <c r="L1042">
        <f t="shared" si="116"/>
        <v>1.4743314148348478E-3</v>
      </c>
      <c r="O1042">
        <f t="shared" si="117"/>
        <v>-104.21650719075174</v>
      </c>
      <c r="P1042">
        <f t="shared" si="118"/>
        <v>-3.2044009892980116E-4</v>
      </c>
    </row>
    <row r="1043" spans="1:16" x14ac:dyDescent="0.25">
      <c r="A1043" s="1">
        <v>52.05</v>
      </c>
      <c r="B1043" s="2">
        <v>-5.282</v>
      </c>
      <c r="C1043">
        <v>4.0000000000000001E-3</v>
      </c>
      <c r="H1043">
        <f t="shared" si="112"/>
        <v>52.05</v>
      </c>
      <c r="I1043">
        <f t="shared" si="113"/>
        <v>-5.282</v>
      </c>
      <c r="J1043">
        <f t="shared" si="114"/>
        <v>2.2097774079467458E-3</v>
      </c>
      <c r="K1043">
        <f t="shared" si="115"/>
        <v>-105.92102962893028</v>
      </c>
      <c r="L1043">
        <f t="shared" si="116"/>
        <v>1.4731849386311635E-3</v>
      </c>
      <c r="O1043">
        <f t="shared" si="117"/>
        <v>-105.76060398768995</v>
      </c>
      <c r="P1043">
        <f t="shared" si="118"/>
        <v>-3.2158657513348555E-4</v>
      </c>
    </row>
    <row r="1044" spans="1:16" x14ac:dyDescent="0.25">
      <c r="A1044" s="1">
        <v>52.1</v>
      </c>
      <c r="B1044" s="2">
        <v>-5.32</v>
      </c>
      <c r="C1044">
        <v>4.0000000000000001E-3</v>
      </c>
      <c r="H1044">
        <f t="shared" si="112"/>
        <v>52.1</v>
      </c>
      <c r="I1044">
        <f t="shared" si="113"/>
        <v>-5.32</v>
      </c>
      <c r="J1044">
        <f t="shared" si="114"/>
        <v>2.2080576936412194E-3</v>
      </c>
      <c r="K1044">
        <f t="shared" si="115"/>
        <v>-106.68305142482188</v>
      </c>
      <c r="L1044">
        <f t="shared" si="116"/>
        <v>1.4720384624274793E-3</v>
      </c>
      <c r="O1044">
        <f t="shared" si="117"/>
        <v>-106.52262578358155</v>
      </c>
      <c r="P1044">
        <f t="shared" si="118"/>
        <v>-3.2273305133716972E-4</v>
      </c>
    </row>
    <row r="1045" spans="1:16" x14ac:dyDescent="0.25">
      <c r="A1045" s="1">
        <v>52.15</v>
      </c>
      <c r="B1045" s="2">
        <v>-5.36</v>
      </c>
      <c r="C1045">
        <v>4.0000000000000001E-3</v>
      </c>
      <c r="H1045">
        <f t="shared" si="112"/>
        <v>52.15</v>
      </c>
      <c r="I1045">
        <f t="shared" si="113"/>
        <v>-5.36</v>
      </c>
      <c r="J1045">
        <f t="shared" si="114"/>
        <v>2.2063379793356925E-3</v>
      </c>
      <c r="K1045">
        <f t="shared" si="115"/>
        <v>-107.48517963102356</v>
      </c>
      <c r="L1045">
        <f t="shared" si="116"/>
        <v>1.4708919862237947E-3</v>
      </c>
      <c r="O1045">
        <f t="shared" si="117"/>
        <v>-107.32475398978322</v>
      </c>
      <c r="P1045">
        <f t="shared" si="118"/>
        <v>-3.2387952754085432E-4</v>
      </c>
    </row>
    <row r="1046" spans="1:16" x14ac:dyDescent="0.25">
      <c r="A1046" s="1">
        <v>52.2</v>
      </c>
      <c r="B1046" s="2">
        <v>-5.3879999999999999</v>
      </c>
      <c r="C1046">
        <v>4.0000000000000001E-3</v>
      </c>
      <c r="H1046">
        <f t="shared" si="112"/>
        <v>52.2</v>
      </c>
      <c r="I1046">
        <f t="shared" si="113"/>
        <v>-5.3879999999999999</v>
      </c>
      <c r="J1046">
        <f t="shared" si="114"/>
        <v>2.2046182650301656E-3</v>
      </c>
      <c r="K1046">
        <f t="shared" si="115"/>
        <v>-108.04666937536471</v>
      </c>
      <c r="L1046">
        <f t="shared" si="116"/>
        <v>1.4697455100201101E-3</v>
      </c>
      <c r="O1046">
        <f t="shared" si="117"/>
        <v>-107.88624373412438</v>
      </c>
      <c r="P1046">
        <f t="shared" si="118"/>
        <v>-3.2502600374453893E-4</v>
      </c>
    </row>
    <row r="1047" spans="1:16" x14ac:dyDescent="0.25">
      <c r="A1047" s="1">
        <v>52.25</v>
      </c>
      <c r="B1047" s="2">
        <v>-5.39</v>
      </c>
      <c r="C1047">
        <v>4.0000000000000001E-3</v>
      </c>
      <c r="H1047">
        <f t="shared" si="112"/>
        <v>52.25</v>
      </c>
      <c r="I1047">
        <f t="shared" si="113"/>
        <v>-5.39</v>
      </c>
      <c r="J1047">
        <f t="shared" si="114"/>
        <v>2.2028985507246391E-3</v>
      </c>
      <c r="K1047">
        <f t="shared" si="115"/>
        <v>-108.08677578567479</v>
      </c>
      <c r="L1047">
        <f t="shared" si="116"/>
        <v>1.4685990338164257E-3</v>
      </c>
      <c r="O1047">
        <f t="shared" si="117"/>
        <v>-107.92635014443445</v>
      </c>
      <c r="P1047">
        <f t="shared" si="118"/>
        <v>-3.2617247994822332E-4</v>
      </c>
    </row>
    <row r="1048" spans="1:16" x14ac:dyDescent="0.25">
      <c r="A1048" s="1">
        <v>52.3</v>
      </c>
      <c r="B1048" s="2">
        <v>-5.4139999999999997</v>
      </c>
      <c r="C1048">
        <v>4.0000000000000001E-3</v>
      </c>
      <c r="H1048">
        <f t="shared" si="112"/>
        <v>52.3</v>
      </c>
      <c r="I1048">
        <f t="shared" si="113"/>
        <v>-5.4139999999999997</v>
      </c>
      <c r="J1048">
        <f t="shared" si="114"/>
        <v>2.2011788364191126E-3</v>
      </c>
      <c r="K1048">
        <f t="shared" si="115"/>
        <v>-108.56805270939579</v>
      </c>
      <c r="L1048">
        <f t="shared" si="116"/>
        <v>1.4674525576127413E-3</v>
      </c>
      <c r="O1048">
        <f t="shared" si="117"/>
        <v>-108.40762706815545</v>
      </c>
      <c r="P1048">
        <f t="shared" si="118"/>
        <v>-3.273189561519077E-4</v>
      </c>
    </row>
    <row r="1049" spans="1:16" x14ac:dyDescent="0.25">
      <c r="A1049" s="1">
        <v>52.35</v>
      </c>
      <c r="B1049" s="2">
        <v>-5.4189999999999996</v>
      </c>
      <c r="C1049">
        <v>4.0000000000000001E-3</v>
      </c>
      <c r="H1049">
        <f t="shared" si="112"/>
        <v>52.35</v>
      </c>
      <c r="I1049">
        <f t="shared" si="113"/>
        <v>-5.4189999999999996</v>
      </c>
      <c r="J1049">
        <f t="shared" si="114"/>
        <v>2.1994591221135857E-3</v>
      </c>
      <c r="K1049">
        <f t="shared" si="115"/>
        <v>-108.668318735171</v>
      </c>
      <c r="L1049">
        <f t="shared" si="116"/>
        <v>1.4663060814090567E-3</v>
      </c>
      <c r="O1049">
        <f t="shared" si="117"/>
        <v>-108.50789309393066</v>
      </c>
      <c r="P1049">
        <f t="shared" si="118"/>
        <v>-3.2846543235559231E-4</v>
      </c>
    </row>
    <row r="1050" spans="1:16" x14ac:dyDescent="0.25">
      <c r="A1050" s="1">
        <v>52.4</v>
      </c>
      <c r="B1050" s="2">
        <v>-5.4189999999999996</v>
      </c>
      <c r="C1050">
        <v>4.0000000000000001E-3</v>
      </c>
      <c r="H1050">
        <f t="shared" si="112"/>
        <v>52.4</v>
      </c>
      <c r="I1050">
        <f t="shared" si="113"/>
        <v>-5.4189999999999996</v>
      </c>
      <c r="J1050">
        <f t="shared" si="114"/>
        <v>2.1977394078080592E-3</v>
      </c>
      <c r="K1050">
        <f t="shared" si="115"/>
        <v>-108.668318735171</v>
      </c>
      <c r="L1050">
        <f t="shared" si="116"/>
        <v>1.4651596052053725E-3</v>
      </c>
      <c r="O1050">
        <f t="shared" si="117"/>
        <v>-108.50789309393066</v>
      </c>
      <c r="P1050">
        <f t="shared" si="118"/>
        <v>-3.2961190855927648E-4</v>
      </c>
    </row>
    <row r="1051" spans="1:16" x14ac:dyDescent="0.25">
      <c r="A1051" s="1">
        <v>52.45</v>
      </c>
      <c r="B1051" s="2">
        <v>-5.4189999999999996</v>
      </c>
      <c r="C1051">
        <v>4.0000000000000001E-3</v>
      </c>
      <c r="H1051">
        <f t="shared" si="112"/>
        <v>52.45</v>
      </c>
      <c r="I1051">
        <f t="shared" si="113"/>
        <v>-5.4189999999999996</v>
      </c>
      <c r="J1051">
        <f t="shared" si="114"/>
        <v>2.1960196935025323E-3</v>
      </c>
      <c r="K1051">
        <f t="shared" si="115"/>
        <v>-108.668318735171</v>
      </c>
      <c r="L1051">
        <f t="shared" si="116"/>
        <v>1.4640131290016879E-3</v>
      </c>
      <c r="O1051">
        <f t="shared" si="117"/>
        <v>-108.50789309393066</v>
      </c>
      <c r="P1051">
        <f t="shared" si="118"/>
        <v>-3.3075838476296108E-4</v>
      </c>
    </row>
    <row r="1052" spans="1:16" x14ac:dyDescent="0.25">
      <c r="A1052" s="1">
        <v>52.5</v>
      </c>
      <c r="B1052" s="2">
        <v>-5.4189999999999996</v>
      </c>
      <c r="C1052">
        <v>4.0000000000000001E-3</v>
      </c>
      <c r="H1052">
        <f t="shared" si="112"/>
        <v>52.5</v>
      </c>
      <c r="I1052">
        <f t="shared" si="113"/>
        <v>-5.4189999999999996</v>
      </c>
      <c r="J1052">
        <f t="shared" si="114"/>
        <v>2.1942999791970058E-3</v>
      </c>
      <c r="K1052">
        <f t="shared" si="115"/>
        <v>-108.668318735171</v>
      </c>
      <c r="L1052">
        <f t="shared" si="116"/>
        <v>1.4628666527980035E-3</v>
      </c>
      <c r="O1052">
        <f t="shared" si="117"/>
        <v>-108.50789309393066</v>
      </c>
      <c r="P1052">
        <f t="shared" si="118"/>
        <v>-3.3190486096664547E-4</v>
      </c>
    </row>
    <row r="1053" spans="1:16" x14ac:dyDescent="0.25">
      <c r="A1053" s="1">
        <v>52.55</v>
      </c>
      <c r="B1053" s="2">
        <v>-5.4189999999999996</v>
      </c>
      <c r="C1053">
        <v>4.0000000000000001E-3</v>
      </c>
      <c r="H1053">
        <f t="shared" si="112"/>
        <v>52.55</v>
      </c>
      <c r="I1053">
        <f t="shared" si="113"/>
        <v>-5.4189999999999996</v>
      </c>
      <c r="J1053">
        <f t="shared" si="114"/>
        <v>2.1925802648914789E-3</v>
      </c>
      <c r="K1053">
        <f t="shared" si="115"/>
        <v>-108.668318735171</v>
      </c>
      <c r="L1053">
        <f t="shared" si="116"/>
        <v>1.4617201765943189E-3</v>
      </c>
      <c r="O1053">
        <f t="shared" si="117"/>
        <v>-108.50789309393066</v>
      </c>
      <c r="P1053">
        <f t="shared" si="118"/>
        <v>-3.3305133717033007E-4</v>
      </c>
    </row>
    <row r="1054" spans="1:16" x14ac:dyDescent="0.25">
      <c r="A1054" s="1">
        <v>52.6</v>
      </c>
      <c r="B1054" s="2">
        <v>-5.4290000000000003</v>
      </c>
      <c r="C1054">
        <v>4.0000000000000001E-3</v>
      </c>
      <c r="H1054">
        <f t="shared" si="112"/>
        <v>52.6</v>
      </c>
      <c r="I1054">
        <f t="shared" si="113"/>
        <v>-5.4290000000000003</v>
      </c>
      <c r="J1054">
        <f t="shared" si="114"/>
        <v>2.1908605505859525E-3</v>
      </c>
      <c r="K1054">
        <f t="shared" si="115"/>
        <v>-108.86885078672142</v>
      </c>
      <c r="L1054">
        <f t="shared" si="116"/>
        <v>1.4605737003906348E-3</v>
      </c>
      <c r="O1054">
        <f t="shared" si="117"/>
        <v>-108.70842514548109</v>
      </c>
      <c r="P1054">
        <f t="shared" si="118"/>
        <v>-3.3419781337401424E-4</v>
      </c>
    </row>
    <row r="1055" spans="1:16" x14ac:dyDescent="0.25">
      <c r="A1055" s="1">
        <v>52.65</v>
      </c>
      <c r="B1055" s="2">
        <v>-5.484</v>
      </c>
      <c r="C1055">
        <v>4.0000000000000001E-3</v>
      </c>
      <c r="H1055">
        <f t="shared" si="112"/>
        <v>52.65</v>
      </c>
      <c r="I1055">
        <f t="shared" si="113"/>
        <v>-5.484</v>
      </c>
      <c r="J1055">
        <f t="shared" si="114"/>
        <v>2.189140836280426E-3</v>
      </c>
      <c r="K1055">
        <f t="shared" si="115"/>
        <v>-109.97177707024872</v>
      </c>
      <c r="L1055">
        <f t="shared" si="116"/>
        <v>1.4594272241869504E-3</v>
      </c>
      <c r="O1055">
        <f t="shared" si="117"/>
        <v>-109.81135142900838</v>
      </c>
      <c r="P1055">
        <f t="shared" si="118"/>
        <v>-3.3534428957769863E-4</v>
      </c>
    </row>
    <row r="1056" spans="1:16" x14ac:dyDescent="0.25">
      <c r="A1056" s="1">
        <v>52.7</v>
      </c>
      <c r="B1056" s="2">
        <v>-5.51</v>
      </c>
      <c r="C1056">
        <v>4.0000000000000001E-3</v>
      </c>
      <c r="H1056">
        <f t="shared" si="112"/>
        <v>52.7</v>
      </c>
      <c r="I1056">
        <f t="shared" si="113"/>
        <v>-5.51</v>
      </c>
      <c r="J1056">
        <f t="shared" si="114"/>
        <v>2.1874211219748991E-3</v>
      </c>
      <c r="K1056">
        <f t="shared" si="115"/>
        <v>-110.49316040427979</v>
      </c>
      <c r="L1056">
        <f t="shared" si="116"/>
        <v>1.4582807479832658E-3</v>
      </c>
      <c r="O1056">
        <f t="shared" si="117"/>
        <v>-110.33273476303945</v>
      </c>
      <c r="P1056">
        <f t="shared" si="118"/>
        <v>-3.3649076578138324E-4</v>
      </c>
    </row>
    <row r="1057" spans="1:16" x14ac:dyDescent="0.25">
      <c r="A1057" s="1">
        <v>52.75</v>
      </c>
      <c r="B1057" s="2">
        <v>-5.5970000000000004</v>
      </c>
      <c r="C1057">
        <v>4.0000000000000001E-3</v>
      </c>
      <c r="H1057">
        <f t="shared" si="112"/>
        <v>52.75</v>
      </c>
      <c r="I1057">
        <f t="shared" si="113"/>
        <v>-5.5970000000000004</v>
      </c>
      <c r="J1057">
        <f t="shared" si="114"/>
        <v>2.1857014076693722E-3</v>
      </c>
      <c r="K1057">
        <f t="shared" si="115"/>
        <v>-112.23778925276844</v>
      </c>
      <c r="L1057">
        <f t="shared" si="116"/>
        <v>1.4571342717795812E-3</v>
      </c>
      <c r="O1057">
        <f t="shared" si="117"/>
        <v>-112.0773636115281</v>
      </c>
      <c r="P1057">
        <f t="shared" si="118"/>
        <v>-3.3763724198506784E-4</v>
      </c>
    </row>
    <row r="1058" spans="1:16" x14ac:dyDescent="0.25">
      <c r="A1058" s="1">
        <v>52.8</v>
      </c>
      <c r="B1058" s="2">
        <v>-5.6820000000000004</v>
      </c>
      <c r="C1058">
        <v>4.0000000000000001E-3</v>
      </c>
      <c r="H1058">
        <f t="shared" si="112"/>
        <v>52.8</v>
      </c>
      <c r="I1058">
        <f t="shared" si="113"/>
        <v>-5.6820000000000004</v>
      </c>
      <c r="J1058">
        <f t="shared" si="114"/>
        <v>2.1839816933638461E-3</v>
      </c>
      <c r="K1058">
        <f t="shared" si="115"/>
        <v>-113.94231169094698</v>
      </c>
      <c r="L1058">
        <f t="shared" si="116"/>
        <v>1.4559877955758972E-3</v>
      </c>
      <c r="O1058">
        <f t="shared" si="117"/>
        <v>-113.78188604970664</v>
      </c>
      <c r="P1058">
        <f t="shared" si="118"/>
        <v>-3.3878371818875179E-4</v>
      </c>
    </row>
    <row r="1059" spans="1:16" x14ac:dyDescent="0.25">
      <c r="A1059" s="1">
        <v>52.85</v>
      </c>
      <c r="B1059" s="2">
        <v>-5.7320000000000002</v>
      </c>
      <c r="C1059">
        <v>4.0000000000000001E-3</v>
      </c>
      <c r="H1059">
        <f t="shared" si="112"/>
        <v>52.85</v>
      </c>
      <c r="I1059">
        <f t="shared" si="113"/>
        <v>-5.7320000000000002</v>
      </c>
      <c r="J1059">
        <f t="shared" si="114"/>
        <v>2.1822619790583192E-3</v>
      </c>
      <c r="K1059">
        <f t="shared" si="115"/>
        <v>-114.94497194869906</v>
      </c>
      <c r="L1059">
        <f t="shared" si="116"/>
        <v>1.4548413193722126E-3</v>
      </c>
      <c r="O1059">
        <f t="shared" si="117"/>
        <v>-114.78454630745873</v>
      </c>
      <c r="P1059">
        <f t="shared" si="118"/>
        <v>-3.399301943924364E-4</v>
      </c>
    </row>
    <row r="1060" spans="1:16" x14ac:dyDescent="0.25">
      <c r="A1060" s="1">
        <v>52.9</v>
      </c>
      <c r="B1060" s="2">
        <v>-5.7990000000000004</v>
      </c>
      <c r="C1060">
        <v>4.0000000000000001E-3</v>
      </c>
      <c r="H1060">
        <f t="shared" si="112"/>
        <v>52.9</v>
      </c>
      <c r="I1060">
        <f t="shared" si="113"/>
        <v>-5.7990000000000004</v>
      </c>
      <c r="J1060">
        <f t="shared" si="114"/>
        <v>2.1805422647527923E-3</v>
      </c>
      <c r="K1060">
        <f t="shared" si="115"/>
        <v>-116.28853669408686</v>
      </c>
      <c r="L1060">
        <f t="shared" si="116"/>
        <v>1.453694843168528E-3</v>
      </c>
      <c r="O1060">
        <f t="shared" si="117"/>
        <v>-116.12811105284652</v>
      </c>
      <c r="P1060">
        <f t="shared" si="118"/>
        <v>-3.41076670596121E-4</v>
      </c>
    </row>
    <row r="1061" spans="1:16" x14ac:dyDescent="0.25">
      <c r="A1061" s="1">
        <v>52.95</v>
      </c>
      <c r="B1061" s="2">
        <v>-5.8090000000000002</v>
      </c>
      <c r="C1061">
        <v>4.0000000000000001E-3</v>
      </c>
      <c r="H1061">
        <f t="shared" si="112"/>
        <v>52.95</v>
      </c>
      <c r="I1061">
        <f t="shared" si="113"/>
        <v>-5.8090000000000002</v>
      </c>
      <c r="J1061">
        <f t="shared" si="114"/>
        <v>2.1788225504472659E-3</v>
      </c>
      <c r="K1061">
        <f t="shared" si="115"/>
        <v>-116.48906874563727</v>
      </c>
      <c r="L1061">
        <f t="shared" si="116"/>
        <v>1.4525483669648436E-3</v>
      </c>
      <c r="O1061">
        <f t="shared" si="117"/>
        <v>-116.32864310439693</v>
      </c>
      <c r="P1061">
        <f t="shared" si="118"/>
        <v>-3.4222314679980539E-4</v>
      </c>
    </row>
    <row r="1062" spans="1:16" x14ac:dyDescent="0.25">
      <c r="A1062" s="1">
        <v>53</v>
      </c>
      <c r="B1062" s="2">
        <v>-5.8070000000000004</v>
      </c>
      <c r="C1062">
        <v>3.0000000000000001E-3</v>
      </c>
      <c r="H1062">
        <f t="shared" si="112"/>
        <v>53</v>
      </c>
      <c r="I1062">
        <f t="shared" si="113"/>
        <v>-5.8070000000000004</v>
      </c>
      <c r="J1062">
        <f t="shared" si="114"/>
        <v>1.1771028361417391E-3</v>
      </c>
      <c r="K1062">
        <f t="shared" si="115"/>
        <v>-116.4489623353272</v>
      </c>
      <c r="L1062">
        <f t="shared" si="116"/>
        <v>7.8473522409449258E-4</v>
      </c>
      <c r="O1062">
        <f t="shared" si="117"/>
        <v>-116.28853669408686</v>
      </c>
      <c r="P1062">
        <f t="shared" si="118"/>
        <v>-1.0100362896701565E-3</v>
      </c>
    </row>
    <row r="1063" spans="1:16" x14ac:dyDescent="0.25">
      <c r="A1063" s="1">
        <v>53.05</v>
      </c>
      <c r="B1063" s="2">
        <v>-5.8070000000000004</v>
      </c>
      <c r="C1063">
        <v>4.0000000000000001E-3</v>
      </c>
      <c r="H1063">
        <f t="shared" si="112"/>
        <v>53.05</v>
      </c>
      <c r="I1063">
        <f t="shared" si="113"/>
        <v>-5.8070000000000004</v>
      </c>
      <c r="J1063">
        <f t="shared" si="114"/>
        <v>2.1753831218362125E-3</v>
      </c>
      <c r="K1063">
        <f t="shared" si="115"/>
        <v>-116.4489623353272</v>
      </c>
      <c r="L1063">
        <f t="shared" si="116"/>
        <v>1.4502554145574746E-3</v>
      </c>
      <c r="O1063">
        <f t="shared" si="117"/>
        <v>-116.28853669408686</v>
      </c>
      <c r="P1063">
        <f t="shared" si="118"/>
        <v>-3.4451609920717438E-4</v>
      </c>
    </row>
    <row r="1064" spans="1:16" x14ac:dyDescent="0.25">
      <c r="A1064" s="1">
        <v>53.1</v>
      </c>
      <c r="B1064" s="2">
        <v>-5.8070000000000004</v>
      </c>
      <c r="C1064">
        <v>4.0000000000000001E-3</v>
      </c>
      <c r="H1064">
        <f t="shared" si="112"/>
        <v>53.1</v>
      </c>
      <c r="I1064">
        <f t="shared" si="113"/>
        <v>-5.8070000000000004</v>
      </c>
      <c r="J1064">
        <f t="shared" si="114"/>
        <v>2.1736634075306856E-3</v>
      </c>
      <c r="K1064">
        <f t="shared" si="115"/>
        <v>-116.4489623353272</v>
      </c>
      <c r="L1064">
        <f t="shared" si="116"/>
        <v>1.44910893835379E-3</v>
      </c>
      <c r="O1064">
        <f t="shared" si="117"/>
        <v>-116.28853669408686</v>
      </c>
      <c r="P1064">
        <f t="shared" si="118"/>
        <v>-3.4566257541085899E-4</v>
      </c>
    </row>
    <row r="1065" spans="1:16" x14ac:dyDescent="0.25">
      <c r="A1065" s="1">
        <v>53.15</v>
      </c>
      <c r="B1065" s="2">
        <v>-5.806</v>
      </c>
      <c r="C1065">
        <v>4.0000000000000001E-3</v>
      </c>
      <c r="H1065">
        <f t="shared" si="112"/>
        <v>53.15</v>
      </c>
      <c r="I1065">
        <f t="shared" si="113"/>
        <v>-5.806</v>
      </c>
      <c r="J1065">
        <f t="shared" si="114"/>
        <v>2.1719436932251595E-3</v>
      </c>
      <c r="K1065">
        <f t="shared" si="115"/>
        <v>-116.42890913017214</v>
      </c>
      <c r="L1065">
        <f t="shared" si="116"/>
        <v>1.4479624621501061E-3</v>
      </c>
      <c r="O1065">
        <f t="shared" si="117"/>
        <v>-116.26848348893181</v>
      </c>
      <c r="P1065">
        <f t="shared" si="118"/>
        <v>-3.4680905161454294E-4</v>
      </c>
    </row>
    <row r="1066" spans="1:16" x14ac:dyDescent="0.25">
      <c r="A1066" s="1">
        <v>53.2</v>
      </c>
      <c r="B1066" s="2">
        <v>-5.806</v>
      </c>
      <c r="C1066">
        <v>4.0000000000000001E-3</v>
      </c>
      <c r="H1066">
        <f t="shared" si="112"/>
        <v>53.2</v>
      </c>
      <c r="I1066">
        <f t="shared" si="113"/>
        <v>-5.806</v>
      </c>
      <c r="J1066">
        <f t="shared" si="114"/>
        <v>2.1702239789196326E-3</v>
      </c>
      <c r="K1066">
        <f t="shared" si="115"/>
        <v>-116.42890913017214</v>
      </c>
      <c r="L1066">
        <f t="shared" si="116"/>
        <v>1.4468159859464215E-3</v>
      </c>
      <c r="O1066">
        <f t="shared" si="117"/>
        <v>-116.26848348893181</v>
      </c>
      <c r="P1066">
        <f t="shared" si="118"/>
        <v>-3.4795552781822755E-4</v>
      </c>
    </row>
    <row r="1067" spans="1:16" x14ac:dyDescent="0.25">
      <c r="A1067" s="1">
        <v>53.25</v>
      </c>
      <c r="B1067" s="2">
        <v>-5.8070000000000004</v>
      </c>
      <c r="C1067">
        <v>4.0000000000000001E-3</v>
      </c>
      <c r="H1067">
        <f t="shared" si="112"/>
        <v>53.25</v>
      </c>
      <c r="I1067">
        <f t="shared" si="113"/>
        <v>-5.8070000000000004</v>
      </c>
      <c r="J1067">
        <f t="shared" si="114"/>
        <v>2.1685042646141057E-3</v>
      </c>
      <c r="K1067">
        <f t="shared" si="115"/>
        <v>-116.4489623353272</v>
      </c>
      <c r="L1067">
        <f t="shared" si="116"/>
        <v>1.4456695097427369E-3</v>
      </c>
      <c r="O1067">
        <f t="shared" si="117"/>
        <v>-116.28853669408686</v>
      </c>
      <c r="P1067">
        <f t="shared" si="118"/>
        <v>-3.4910200402191215E-4</v>
      </c>
    </row>
    <row r="1068" spans="1:16" x14ac:dyDescent="0.25">
      <c r="A1068" s="1">
        <v>53.3</v>
      </c>
      <c r="B1068" s="2">
        <v>-5.8230000000000004</v>
      </c>
      <c r="C1068">
        <v>4.0000000000000001E-3</v>
      </c>
      <c r="H1068">
        <f t="shared" si="112"/>
        <v>53.3</v>
      </c>
      <c r="I1068">
        <f t="shared" si="113"/>
        <v>-5.8230000000000004</v>
      </c>
      <c r="J1068">
        <f t="shared" si="114"/>
        <v>2.1667845503085792E-3</v>
      </c>
      <c r="K1068">
        <f t="shared" si="115"/>
        <v>-116.76981361780786</v>
      </c>
      <c r="L1068">
        <f t="shared" si="116"/>
        <v>1.4445230335390525E-3</v>
      </c>
      <c r="O1068">
        <f t="shared" si="117"/>
        <v>-116.60938797656752</v>
      </c>
      <c r="P1068">
        <f t="shared" si="118"/>
        <v>-3.5024848022559654E-4</v>
      </c>
    </row>
    <row r="1069" spans="1:16" x14ac:dyDescent="0.25">
      <c r="A1069" s="1">
        <v>53.35</v>
      </c>
      <c r="B1069" s="2">
        <v>-5.8710000000000004</v>
      </c>
      <c r="C1069">
        <v>4.0000000000000001E-3</v>
      </c>
      <c r="H1069">
        <f t="shared" si="112"/>
        <v>53.35</v>
      </c>
      <c r="I1069">
        <f t="shared" si="113"/>
        <v>-5.8710000000000004</v>
      </c>
      <c r="J1069">
        <f t="shared" si="114"/>
        <v>2.1650648360030528E-3</v>
      </c>
      <c r="K1069">
        <f t="shared" si="115"/>
        <v>-117.73236746524987</v>
      </c>
      <c r="L1069">
        <f t="shared" si="116"/>
        <v>1.4433765573353683E-3</v>
      </c>
      <c r="O1069">
        <f t="shared" si="117"/>
        <v>-117.57194182400953</v>
      </c>
      <c r="P1069">
        <f t="shared" si="118"/>
        <v>-3.5139495642928071E-4</v>
      </c>
    </row>
    <row r="1070" spans="1:16" x14ac:dyDescent="0.25">
      <c r="A1070" s="1">
        <v>53.4</v>
      </c>
      <c r="B1070" s="2">
        <v>-5.9329999999999998</v>
      </c>
      <c r="C1070">
        <v>4.0000000000000001E-3</v>
      </c>
      <c r="H1070">
        <f t="shared" si="112"/>
        <v>53.4</v>
      </c>
      <c r="I1070">
        <f t="shared" si="113"/>
        <v>-5.9329999999999998</v>
      </c>
      <c r="J1070">
        <f t="shared" si="114"/>
        <v>2.1633451216975259E-3</v>
      </c>
      <c r="K1070">
        <f t="shared" si="115"/>
        <v>-118.97566618486243</v>
      </c>
      <c r="L1070">
        <f t="shared" si="116"/>
        <v>1.4422300811316837E-3</v>
      </c>
      <c r="O1070">
        <f t="shared" si="117"/>
        <v>-118.8152405436221</v>
      </c>
      <c r="P1070">
        <f t="shared" si="118"/>
        <v>-3.5254143263296531E-4</v>
      </c>
    </row>
    <row r="1071" spans="1:16" x14ac:dyDescent="0.25">
      <c r="A1071" s="1">
        <v>53.45</v>
      </c>
      <c r="B1071" s="2">
        <v>-5.9980000000000002</v>
      </c>
      <c r="C1071">
        <v>4.0000000000000001E-3</v>
      </c>
      <c r="H1071">
        <f t="shared" si="112"/>
        <v>53.45</v>
      </c>
      <c r="I1071">
        <f t="shared" si="113"/>
        <v>-5.9980000000000002</v>
      </c>
      <c r="J1071">
        <f t="shared" si="114"/>
        <v>2.161625407391999E-3</v>
      </c>
      <c r="K1071">
        <f t="shared" si="115"/>
        <v>-120.27912451994015</v>
      </c>
      <c r="L1071">
        <f t="shared" si="116"/>
        <v>1.4410836049279991E-3</v>
      </c>
      <c r="O1071">
        <f t="shared" si="117"/>
        <v>-120.11869887869982</v>
      </c>
      <c r="P1071">
        <f t="shared" si="118"/>
        <v>-3.5368790883664992E-4</v>
      </c>
    </row>
    <row r="1072" spans="1:16" x14ac:dyDescent="0.25">
      <c r="A1072" s="1">
        <v>53.5</v>
      </c>
      <c r="B1072" s="2">
        <v>-6.048</v>
      </c>
      <c r="C1072">
        <v>4.0000000000000001E-3</v>
      </c>
      <c r="H1072">
        <f t="shared" si="112"/>
        <v>53.5</v>
      </c>
      <c r="I1072">
        <f t="shared" si="113"/>
        <v>-6.048</v>
      </c>
      <c r="J1072">
        <f t="shared" si="114"/>
        <v>2.1599056930864725E-3</v>
      </c>
      <c r="K1072">
        <f t="shared" si="115"/>
        <v>-121.28178477769224</v>
      </c>
      <c r="L1072">
        <f t="shared" si="116"/>
        <v>1.4399371287243147E-3</v>
      </c>
      <c r="O1072">
        <f t="shared" si="117"/>
        <v>-121.1213591364519</v>
      </c>
      <c r="P1072">
        <f t="shared" si="118"/>
        <v>-3.548343850403343E-4</v>
      </c>
    </row>
    <row r="1073" spans="1:16" x14ac:dyDescent="0.25">
      <c r="A1073" s="1">
        <v>53.55</v>
      </c>
      <c r="B1073" s="2">
        <v>-6.1219999999999999</v>
      </c>
      <c r="C1073">
        <v>4.0000000000000001E-3</v>
      </c>
      <c r="H1073">
        <f t="shared" si="112"/>
        <v>53.55</v>
      </c>
      <c r="I1073">
        <f t="shared" si="113"/>
        <v>-6.1219999999999999</v>
      </c>
      <c r="J1073">
        <f t="shared" si="114"/>
        <v>2.158185978780946E-3</v>
      </c>
      <c r="K1073">
        <f t="shared" si="115"/>
        <v>-122.76572195916532</v>
      </c>
      <c r="L1073">
        <f t="shared" si="116"/>
        <v>1.4387906525206303E-3</v>
      </c>
      <c r="O1073">
        <f t="shared" si="117"/>
        <v>-122.60529631792498</v>
      </c>
      <c r="P1073">
        <f t="shared" si="118"/>
        <v>-3.5598086124401869E-4</v>
      </c>
    </row>
    <row r="1074" spans="1:16" x14ac:dyDescent="0.25">
      <c r="A1074" s="1">
        <v>53.6</v>
      </c>
      <c r="B1074" s="2">
        <v>-6.1340000000000003</v>
      </c>
      <c r="C1074">
        <v>4.0000000000000001E-3</v>
      </c>
      <c r="H1074">
        <f t="shared" si="112"/>
        <v>53.6</v>
      </c>
      <c r="I1074">
        <f t="shared" si="113"/>
        <v>-6.1340000000000003</v>
      </c>
      <c r="J1074">
        <f t="shared" si="114"/>
        <v>2.1564662644754191E-3</v>
      </c>
      <c r="K1074">
        <f t="shared" si="115"/>
        <v>-123.00636042102583</v>
      </c>
      <c r="L1074">
        <f t="shared" si="116"/>
        <v>1.4376441763169457E-3</v>
      </c>
      <c r="O1074">
        <f t="shared" si="117"/>
        <v>-122.84593477978549</v>
      </c>
      <c r="P1074">
        <f t="shared" si="118"/>
        <v>-3.571273374477033E-4</v>
      </c>
    </row>
    <row r="1075" spans="1:16" x14ac:dyDescent="0.25">
      <c r="A1075" s="1">
        <v>53.65</v>
      </c>
      <c r="B1075" s="2">
        <v>-6.1340000000000003</v>
      </c>
      <c r="C1075">
        <v>4.0000000000000001E-3</v>
      </c>
      <c r="H1075">
        <f t="shared" si="112"/>
        <v>53.65</v>
      </c>
      <c r="I1075">
        <f t="shared" si="113"/>
        <v>-6.1340000000000003</v>
      </c>
      <c r="J1075">
        <f t="shared" si="114"/>
        <v>2.1547465501698926E-3</v>
      </c>
      <c r="K1075">
        <f t="shared" si="115"/>
        <v>-123.00636042102583</v>
      </c>
      <c r="L1075">
        <f t="shared" si="116"/>
        <v>1.4364977001132615E-3</v>
      </c>
      <c r="O1075">
        <f t="shared" si="117"/>
        <v>-122.84593477978549</v>
      </c>
      <c r="P1075">
        <f t="shared" si="118"/>
        <v>-3.5827381365138747E-4</v>
      </c>
    </row>
    <row r="1076" spans="1:16" x14ac:dyDescent="0.25">
      <c r="A1076" s="1">
        <v>53.7</v>
      </c>
      <c r="B1076" s="2">
        <v>-6.1340000000000003</v>
      </c>
      <c r="C1076">
        <v>4.0000000000000001E-3</v>
      </c>
      <c r="H1076">
        <f t="shared" si="112"/>
        <v>53.7</v>
      </c>
      <c r="I1076">
        <f t="shared" si="113"/>
        <v>-6.1340000000000003</v>
      </c>
      <c r="J1076">
        <f t="shared" si="114"/>
        <v>2.1530268358643662E-3</v>
      </c>
      <c r="K1076">
        <f t="shared" si="115"/>
        <v>-123.00636042102583</v>
      </c>
      <c r="L1076">
        <f t="shared" si="116"/>
        <v>1.4353512239095772E-3</v>
      </c>
      <c r="O1076">
        <f t="shared" si="117"/>
        <v>-122.84593477978549</v>
      </c>
      <c r="P1076">
        <f t="shared" si="118"/>
        <v>-3.5942028985507185E-4</v>
      </c>
    </row>
    <row r="1077" spans="1:16" x14ac:dyDescent="0.25">
      <c r="A1077" s="1">
        <v>53.75</v>
      </c>
      <c r="B1077" s="2">
        <v>-6.1340000000000003</v>
      </c>
      <c r="C1077">
        <v>4.0000000000000001E-3</v>
      </c>
      <c r="H1077">
        <f t="shared" si="112"/>
        <v>53.75</v>
      </c>
      <c r="I1077">
        <f t="shared" si="113"/>
        <v>-6.1340000000000003</v>
      </c>
      <c r="J1077">
        <f t="shared" si="114"/>
        <v>2.1513071215588393E-3</v>
      </c>
      <c r="K1077">
        <f t="shared" si="115"/>
        <v>-123.00636042102583</v>
      </c>
      <c r="L1077">
        <f t="shared" si="116"/>
        <v>1.4342047477058925E-3</v>
      </c>
      <c r="O1077">
        <f t="shared" si="117"/>
        <v>-122.84593477978549</v>
      </c>
      <c r="P1077">
        <f t="shared" si="118"/>
        <v>-3.6056676605875646E-4</v>
      </c>
    </row>
    <row r="1078" spans="1:16" x14ac:dyDescent="0.25">
      <c r="A1078" s="1">
        <v>53.8</v>
      </c>
      <c r="B1078" s="2">
        <v>-6.1340000000000003</v>
      </c>
      <c r="C1078">
        <v>4.0000000000000001E-3</v>
      </c>
      <c r="H1078">
        <f t="shared" si="112"/>
        <v>53.8</v>
      </c>
      <c r="I1078">
        <f t="shared" si="113"/>
        <v>-6.1340000000000003</v>
      </c>
      <c r="J1078">
        <f t="shared" si="114"/>
        <v>2.1495874072533128E-3</v>
      </c>
      <c r="K1078">
        <f t="shared" si="115"/>
        <v>-123.00636042102583</v>
      </c>
      <c r="L1078">
        <f t="shared" si="116"/>
        <v>1.4330582715022082E-3</v>
      </c>
      <c r="O1078">
        <f t="shared" si="117"/>
        <v>-122.84593477978549</v>
      </c>
      <c r="P1078">
        <f t="shared" si="118"/>
        <v>-3.6171324226244085E-4</v>
      </c>
    </row>
    <row r="1079" spans="1:16" x14ac:dyDescent="0.25">
      <c r="A1079" s="1">
        <v>53.85</v>
      </c>
      <c r="B1079" s="2">
        <v>-6.1340000000000003</v>
      </c>
      <c r="C1079">
        <v>4.0000000000000001E-3</v>
      </c>
      <c r="H1079">
        <f t="shared" si="112"/>
        <v>53.85</v>
      </c>
      <c r="I1079">
        <f t="shared" si="113"/>
        <v>-6.1340000000000003</v>
      </c>
      <c r="J1079">
        <f t="shared" si="114"/>
        <v>2.1478676929477859E-3</v>
      </c>
      <c r="K1079">
        <f t="shared" si="115"/>
        <v>-123.00636042102583</v>
      </c>
      <c r="L1079">
        <f t="shared" si="116"/>
        <v>1.4319117952985236E-3</v>
      </c>
      <c r="O1079">
        <f t="shared" si="117"/>
        <v>-122.84593477978549</v>
      </c>
      <c r="P1079">
        <f t="shared" si="118"/>
        <v>-3.6285971846612545E-4</v>
      </c>
    </row>
    <row r="1080" spans="1:16" x14ac:dyDescent="0.25">
      <c r="A1080" s="1">
        <v>53.9</v>
      </c>
      <c r="B1080" s="2">
        <v>-6.1680000000000001</v>
      </c>
      <c r="C1080">
        <v>4.0000000000000001E-3</v>
      </c>
      <c r="H1080">
        <f t="shared" si="112"/>
        <v>53.9</v>
      </c>
      <c r="I1080">
        <f t="shared" si="113"/>
        <v>-6.1680000000000001</v>
      </c>
      <c r="J1080">
        <f t="shared" si="114"/>
        <v>2.1461479786422594E-3</v>
      </c>
      <c r="K1080">
        <f t="shared" si="115"/>
        <v>-123.68816939629724</v>
      </c>
      <c r="L1080">
        <f t="shared" si="116"/>
        <v>1.4307653190948394E-3</v>
      </c>
      <c r="O1080">
        <f t="shared" si="117"/>
        <v>-123.5277437550569</v>
      </c>
      <c r="P1080">
        <f t="shared" si="118"/>
        <v>-3.6400619466980962E-4</v>
      </c>
    </row>
    <row r="1081" spans="1:16" x14ac:dyDescent="0.25">
      <c r="A1081" s="1">
        <v>53.95</v>
      </c>
      <c r="B1081" s="2">
        <v>-6.2729999999999997</v>
      </c>
      <c r="C1081">
        <v>4.0000000000000001E-3</v>
      </c>
      <c r="H1081">
        <f t="shared" si="112"/>
        <v>53.95</v>
      </c>
      <c r="I1081">
        <f t="shared" si="113"/>
        <v>-6.2729999999999997</v>
      </c>
      <c r="J1081">
        <f t="shared" si="114"/>
        <v>2.1444282643367325E-3</v>
      </c>
      <c r="K1081">
        <f t="shared" si="115"/>
        <v>-125.79375593757662</v>
      </c>
      <c r="L1081">
        <f t="shared" si="116"/>
        <v>1.4296188428911548E-3</v>
      </c>
      <c r="O1081">
        <f t="shared" si="117"/>
        <v>-125.63333029633628</v>
      </c>
      <c r="P1081">
        <f t="shared" si="118"/>
        <v>-3.6515267087349423E-4</v>
      </c>
    </row>
    <row r="1082" spans="1:16" x14ac:dyDescent="0.25">
      <c r="A1082" s="1">
        <v>54</v>
      </c>
      <c r="B1082" s="2">
        <v>-6.3239999999999998</v>
      </c>
      <c r="C1082">
        <v>4.0000000000000001E-3</v>
      </c>
      <c r="H1082">
        <f t="shared" si="112"/>
        <v>54</v>
      </c>
      <c r="I1082">
        <f t="shared" si="113"/>
        <v>-6.3239999999999998</v>
      </c>
      <c r="J1082">
        <f t="shared" si="114"/>
        <v>2.142708550031206E-3</v>
      </c>
      <c r="K1082">
        <f t="shared" si="115"/>
        <v>-126.81646940048374</v>
      </c>
      <c r="L1082">
        <f t="shared" si="116"/>
        <v>1.4284723666874704E-3</v>
      </c>
      <c r="O1082">
        <f t="shared" si="117"/>
        <v>-126.6560437592434</v>
      </c>
      <c r="P1082">
        <f t="shared" si="118"/>
        <v>-3.6629914707717861E-4</v>
      </c>
    </row>
    <row r="1083" spans="1:16" x14ac:dyDescent="0.25">
      <c r="A1083" s="1">
        <v>54.05</v>
      </c>
      <c r="B1083" s="2">
        <v>-6.3840000000000003</v>
      </c>
      <c r="C1083">
        <v>4.0000000000000001E-3</v>
      </c>
      <c r="H1083">
        <f t="shared" si="112"/>
        <v>54.05</v>
      </c>
      <c r="I1083">
        <f t="shared" si="113"/>
        <v>-6.3840000000000003</v>
      </c>
      <c r="J1083">
        <f t="shared" si="114"/>
        <v>2.1409888357256796E-3</v>
      </c>
      <c r="K1083">
        <f t="shared" si="115"/>
        <v>-128.01966170978625</v>
      </c>
      <c r="L1083">
        <f t="shared" si="116"/>
        <v>1.427325890483786E-3</v>
      </c>
      <c r="O1083">
        <f t="shared" si="117"/>
        <v>-127.85923606854591</v>
      </c>
      <c r="P1083">
        <f t="shared" si="118"/>
        <v>-3.67445623280863E-4</v>
      </c>
    </row>
    <row r="1084" spans="1:16" x14ac:dyDescent="0.25">
      <c r="A1084" s="1">
        <v>54.1</v>
      </c>
      <c r="B1084" s="2">
        <v>-6.4029999999999996</v>
      </c>
      <c r="C1084">
        <v>4.0000000000000001E-3</v>
      </c>
      <c r="H1084">
        <f t="shared" si="112"/>
        <v>54.1</v>
      </c>
      <c r="I1084">
        <f t="shared" si="113"/>
        <v>-6.4029999999999996</v>
      </c>
      <c r="J1084">
        <f t="shared" si="114"/>
        <v>2.1392691214201526E-3</v>
      </c>
      <c r="K1084">
        <f t="shared" si="115"/>
        <v>-128.40067260773205</v>
      </c>
      <c r="L1084">
        <f t="shared" si="116"/>
        <v>1.4261794142801014E-3</v>
      </c>
      <c r="O1084">
        <f t="shared" si="117"/>
        <v>-128.24024696649172</v>
      </c>
      <c r="P1084">
        <f t="shared" si="118"/>
        <v>-3.685920994845476E-4</v>
      </c>
    </row>
    <row r="1085" spans="1:16" x14ac:dyDescent="0.25">
      <c r="A1085" s="1">
        <v>54.15</v>
      </c>
      <c r="B1085" s="2">
        <v>-6.4059999999999997</v>
      </c>
      <c r="C1085">
        <v>4.0000000000000001E-3</v>
      </c>
      <c r="H1085">
        <f t="shared" si="112"/>
        <v>54.15</v>
      </c>
      <c r="I1085">
        <f t="shared" si="113"/>
        <v>-6.4059999999999997</v>
      </c>
      <c r="J1085">
        <f t="shared" si="114"/>
        <v>2.1375494071146257E-3</v>
      </c>
      <c r="K1085">
        <f t="shared" si="115"/>
        <v>-128.46083222319717</v>
      </c>
      <c r="L1085">
        <f t="shared" si="116"/>
        <v>1.4250329380764168E-3</v>
      </c>
      <c r="O1085">
        <f t="shared" si="117"/>
        <v>-128.30040658195685</v>
      </c>
      <c r="P1085">
        <f t="shared" si="118"/>
        <v>-3.6973857568823221E-4</v>
      </c>
    </row>
    <row r="1086" spans="1:16" x14ac:dyDescent="0.25">
      <c r="A1086" s="1">
        <v>54.2</v>
      </c>
      <c r="B1086" s="2">
        <v>-6.41</v>
      </c>
      <c r="C1086">
        <v>4.0000000000000001E-3</v>
      </c>
      <c r="H1086">
        <f t="shared" si="112"/>
        <v>54.2</v>
      </c>
      <c r="I1086">
        <f t="shared" si="113"/>
        <v>-6.41</v>
      </c>
      <c r="J1086">
        <f t="shared" si="114"/>
        <v>2.1358296928090993E-3</v>
      </c>
      <c r="K1086">
        <f t="shared" si="115"/>
        <v>-128.54104504381735</v>
      </c>
      <c r="L1086">
        <f t="shared" si="116"/>
        <v>1.4238864618727326E-3</v>
      </c>
      <c r="O1086">
        <f t="shared" si="117"/>
        <v>-128.380619402577</v>
      </c>
      <c r="P1086">
        <f t="shared" si="118"/>
        <v>-3.7088505189191638E-4</v>
      </c>
    </row>
    <row r="1087" spans="1:16" x14ac:dyDescent="0.25">
      <c r="A1087" s="1">
        <v>54.25</v>
      </c>
      <c r="B1087" s="2">
        <v>-6.4089999999999998</v>
      </c>
      <c r="C1087">
        <v>4.0000000000000001E-3</v>
      </c>
      <c r="H1087">
        <f t="shared" si="112"/>
        <v>54.25</v>
      </c>
      <c r="I1087">
        <f t="shared" si="113"/>
        <v>-6.4089999999999998</v>
      </c>
      <c r="J1087">
        <f t="shared" si="114"/>
        <v>2.1341099785035728E-3</v>
      </c>
      <c r="K1087">
        <f t="shared" si="115"/>
        <v>-128.5209918386623</v>
      </c>
      <c r="L1087">
        <f t="shared" si="116"/>
        <v>1.4227399856690482E-3</v>
      </c>
      <c r="O1087">
        <f t="shared" si="117"/>
        <v>-128.36056619742197</v>
      </c>
      <c r="P1087">
        <f t="shared" si="118"/>
        <v>-3.7203152809560077E-4</v>
      </c>
    </row>
    <row r="1088" spans="1:16" x14ac:dyDescent="0.25">
      <c r="A1088" s="1">
        <v>54.3</v>
      </c>
      <c r="B1088" s="2">
        <v>-6.4089999999999998</v>
      </c>
      <c r="C1088">
        <v>4.0000000000000001E-3</v>
      </c>
      <c r="H1088">
        <f t="shared" si="112"/>
        <v>54.3</v>
      </c>
      <c r="I1088">
        <f t="shared" si="113"/>
        <v>-6.4089999999999998</v>
      </c>
      <c r="J1088">
        <f t="shared" si="114"/>
        <v>2.1323902641980459E-3</v>
      </c>
      <c r="K1088">
        <f t="shared" si="115"/>
        <v>-128.5209918386623</v>
      </c>
      <c r="L1088">
        <f t="shared" si="116"/>
        <v>1.4215935094653636E-3</v>
      </c>
      <c r="O1088">
        <f t="shared" si="117"/>
        <v>-128.36056619742197</v>
      </c>
      <c r="P1088">
        <f t="shared" si="118"/>
        <v>-3.7317800429928537E-4</v>
      </c>
    </row>
    <row r="1089" spans="1:16" x14ac:dyDescent="0.25">
      <c r="A1089" s="1">
        <v>54.35</v>
      </c>
      <c r="B1089" s="2">
        <v>-6.4089999999999998</v>
      </c>
      <c r="C1089">
        <v>4.0000000000000001E-3</v>
      </c>
      <c r="H1089">
        <f t="shared" si="112"/>
        <v>54.35</v>
      </c>
      <c r="I1089">
        <f t="shared" si="113"/>
        <v>-6.4089999999999998</v>
      </c>
      <c r="J1089">
        <f t="shared" si="114"/>
        <v>2.130670549892519E-3</v>
      </c>
      <c r="K1089">
        <f t="shared" si="115"/>
        <v>-128.5209918386623</v>
      </c>
      <c r="L1089">
        <f t="shared" si="116"/>
        <v>1.420447033261679E-3</v>
      </c>
      <c r="O1089">
        <f t="shared" si="117"/>
        <v>-128.36056619742197</v>
      </c>
      <c r="P1089">
        <f t="shared" si="118"/>
        <v>-3.7432448050296998E-4</v>
      </c>
    </row>
    <row r="1090" spans="1:16" x14ac:dyDescent="0.25">
      <c r="A1090" s="1">
        <v>54.4</v>
      </c>
      <c r="B1090" s="2">
        <v>-6.4089999999999998</v>
      </c>
      <c r="C1090">
        <v>4.0000000000000001E-3</v>
      </c>
      <c r="H1090">
        <f t="shared" si="112"/>
        <v>54.4</v>
      </c>
      <c r="I1090">
        <f t="shared" si="113"/>
        <v>-6.4089999999999998</v>
      </c>
      <c r="J1090">
        <f t="shared" si="114"/>
        <v>2.1289508355869929E-3</v>
      </c>
      <c r="K1090">
        <f t="shared" si="115"/>
        <v>-128.5209918386623</v>
      </c>
      <c r="L1090">
        <f t="shared" si="116"/>
        <v>1.4193005570579951E-3</v>
      </c>
      <c r="O1090">
        <f t="shared" si="117"/>
        <v>-128.36056619742197</v>
      </c>
      <c r="P1090">
        <f t="shared" si="118"/>
        <v>-3.7547095670665393E-4</v>
      </c>
    </row>
    <row r="1091" spans="1:16" x14ac:dyDescent="0.25">
      <c r="A1091" s="1">
        <v>54.45</v>
      </c>
      <c r="B1091" s="2">
        <v>-6.4109999999999996</v>
      </c>
      <c r="C1091">
        <v>4.0000000000000001E-3</v>
      </c>
      <c r="H1091">
        <f t="shared" ref="H1091:H1148" si="119">A1091</f>
        <v>54.45</v>
      </c>
      <c r="I1091">
        <f t="shared" ref="I1091:I1148" si="120">B1091</f>
        <v>-6.4109999999999996</v>
      </c>
      <c r="J1091">
        <f t="shared" ref="J1091:J1148" si="121">C1091-E$12*A1091</f>
        <v>2.127231121281466E-3</v>
      </c>
      <c r="K1091">
        <f t="shared" ref="K1091:K1148" si="122">F$24*I1091</f>
        <v>-128.56109824897237</v>
      </c>
      <c r="L1091">
        <f t="shared" ref="L1091:L1148" si="123">F$25*J1091</f>
        <v>1.4181540808543105E-3</v>
      </c>
      <c r="O1091">
        <f t="shared" ref="O1091:O1148" si="124">K1091-N$12</f>
        <v>-128.40067260773202</v>
      </c>
      <c r="P1091">
        <f t="shared" ref="P1091:P1148" si="125">L1091-N$15</f>
        <v>-3.7661743291033853E-4</v>
      </c>
    </row>
    <row r="1092" spans="1:16" x14ac:dyDescent="0.25">
      <c r="A1092" s="1">
        <v>54.5</v>
      </c>
      <c r="B1092" s="2">
        <v>-6.4160000000000004</v>
      </c>
      <c r="C1092">
        <v>4.0000000000000001E-3</v>
      </c>
      <c r="H1092">
        <f t="shared" si="119"/>
        <v>54.5</v>
      </c>
      <c r="I1092">
        <f t="shared" si="120"/>
        <v>-6.4160000000000004</v>
      </c>
      <c r="J1092">
        <f t="shared" si="121"/>
        <v>2.1255114069759391E-3</v>
      </c>
      <c r="K1092">
        <f t="shared" si="122"/>
        <v>-128.6613642747476</v>
      </c>
      <c r="L1092">
        <f t="shared" si="123"/>
        <v>1.4170076046506259E-3</v>
      </c>
      <c r="O1092">
        <f t="shared" si="124"/>
        <v>-128.50093863350725</v>
      </c>
      <c r="P1092">
        <f t="shared" si="125"/>
        <v>-3.7776390911402314E-4</v>
      </c>
    </row>
    <row r="1093" spans="1:16" x14ac:dyDescent="0.25">
      <c r="A1093" s="1">
        <v>54.55</v>
      </c>
      <c r="B1093" s="2">
        <v>-6.4480000000000004</v>
      </c>
      <c r="C1093">
        <v>4.0000000000000001E-3</v>
      </c>
      <c r="H1093">
        <f t="shared" si="119"/>
        <v>54.55</v>
      </c>
      <c r="I1093">
        <f t="shared" si="120"/>
        <v>-6.4480000000000004</v>
      </c>
      <c r="J1093">
        <f t="shared" si="121"/>
        <v>2.1237916926704131E-3</v>
      </c>
      <c r="K1093">
        <f t="shared" si="122"/>
        <v>-129.30306683970892</v>
      </c>
      <c r="L1093">
        <f t="shared" si="123"/>
        <v>1.4158611284469417E-3</v>
      </c>
      <c r="O1093">
        <f t="shared" si="124"/>
        <v>-129.1426411984686</v>
      </c>
      <c r="P1093">
        <f t="shared" si="125"/>
        <v>-3.7891038531770731E-4</v>
      </c>
    </row>
    <row r="1094" spans="1:16" x14ac:dyDescent="0.25">
      <c r="A1094" s="1">
        <v>54.6</v>
      </c>
      <c r="B1094" s="2">
        <v>-6.4660000000000002</v>
      </c>
      <c r="C1094">
        <v>3.0000000000000001E-3</v>
      </c>
      <c r="H1094">
        <f t="shared" si="119"/>
        <v>54.6</v>
      </c>
      <c r="I1094">
        <f t="shared" si="120"/>
        <v>-6.4660000000000002</v>
      </c>
      <c r="J1094">
        <f t="shared" si="121"/>
        <v>1.1220719783648859E-3</v>
      </c>
      <c r="K1094">
        <f t="shared" si="122"/>
        <v>-129.66402453249967</v>
      </c>
      <c r="L1094">
        <f t="shared" si="123"/>
        <v>7.4804798557659045E-4</v>
      </c>
      <c r="O1094">
        <f t="shared" si="124"/>
        <v>-129.50359889125934</v>
      </c>
      <c r="P1094">
        <f t="shared" si="125"/>
        <v>-1.0467235281880587E-3</v>
      </c>
    </row>
    <row r="1095" spans="1:16" x14ac:dyDescent="0.25">
      <c r="A1095" s="1">
        <v>54.65</v>
      </c>
      <c r="B1095" s="2">
        <v>-6.5090000000000003</v>
      </c>
      <c r="C1095">
        <v>4.0000000000000001E-3</v>
      </c>
      <c r="H1095">
        <f t="shared" si="119"/>
        <v>54.65</v>
      </c>
      <c r="I1095">
        <f t="shared" si="120"/>
        <v>-6.5090000000000003</v>
      </c>
      <c r="J1095">
        <f t="shared" si="121"/>
        <v>2.1203522640593593E-3</v>
      </c>
      <c r="K1095">
        <f t="shared" si="122"/>
        <v>-130.52631235416646</v>
      </c>
      <c r="L1095">
        <f t="shared" si="123"/>
        <v>1.4135681760395725E-3</v>
      </c>
      <c r="O1095">
        <f t="shared" si="124"/>
        <v>-130.36588671292611</v>
      </c>
      <c r="P1095">
        <f t="shared" si="125"/>
        <v>-3.8120333772507652E-4</v>
      </c>
    </row>
    <row r="1096" spans="1:16" x14ac:dyDescent="0.25">
      <c r="A1096" s="1">
        <v>54.7</v>
      </c>
      <c r="B1096" s="2">
        <v>-6.5709999999999997</v>
      </c>
      <c r="C1096">
        <v>4.0000000000000001E-3</v>
      </c>
      <c r="H1096">
        <f t="shared" si="119"/>
        <v>54.7</v>
      </c>
      <c r="I1096">
        <f t="shared" si="120"/>
        <v>-6.5709999999999997</v>
      </c>
      <c r="J1096">
        <f t="shared" si="121"/>
        <v>2.1186325497538324E-3</v>
      </c>
      <c r="K1096">
        <f t="shared" si="122"/>
        <v>-131.76961107377903</v>
      </c>
      <c r="L1096">
        <f t="shared" si="123"/>
        <v>1.4124216998358879E-3</v>
      </c>
      <c r="O1096">
        <f t="shared" si="124"/>
        <v>-131.60918543253871</v>
      </c>
      <c r="P1096">
        <f t="shared" si="125"/>
        <v>-3.8234981392876112E-4</v>
      </c>
    </row>
    <row r="1097" spans="1:16" x14ac:dyDescent="0.25">
      <c r="A1097" s="1">
        <v>54.75</v>
      </c>
      <c r="B1097" s="2">
        <v>-6.6779999999999999</v>
      </c>
      <c r="C1097">
        <v>4.0000000000000001E-3</v>
      </c>
      <c r="H1097">
        <f t="shared" si="119"/>
        <v>54.75</v>
      </c>
      <c r="I1097">
        <f t="shared" si="120"/>
        <v>-6.6779999999999999</v>
      </c>
      <c r="J1097">
        <f t="shared" si="121"/>
        <v>2.1169128354483063E-3</v>
      </c>
      <c r="K1097">
        <f t="shared" si="122"/>
        <v>-133.9153040253685</v>
      </c>
      <c r="L1097">
        <f t="shared" si="123"/>
        <v>1.4112752236322039E-3</v>
      </c>
      <c r="O1097">
        <f t="shared" si="124"/>
        <v>-133.75487838412818</v>
      </c>
      <c r="P1097">
        <f t="shared" si="125"/>
        <v>-3.8349629013244508E-4</v>
      </c>
    </row>
    <row r="1098" spans="1:16" x14ac:dyDescent="0.25">
      <c r="A1098" s="1">
        <v>54.8</v>
      </c>
      <c r="B1098" s="2">
        <v>-6.7309999999999999</v>
      </c>
      <c r="C1098">
        <v>4.0000000000000001E-3</v>
      </c>
      <c r="H1098">
        <f t="shared" si="119"/>
        <v>54.8</v>
      </c>
      <c r="I1098">
        <f t="shared" si="120"/>
        <v>-6.7309999999999999</v>
      </c>
      <c r="J1098">
        <f t="shared" si="121"/>
        <v>2.1151931211427794E-3</v>
      </c>
      <c r="K1098">
        <f t="shared" si="122"/>
        <v>-134.97812389858572</v>
      </c>
      <c r="L1098">
        <f t="shared" si="123"/>
        <v>1.4101287474285193E-3</v>
      </c>
      <c r="O1098">
        <f t="shared" si="124"/>
        <v>-134.8176982573454</v>
      </c>
      <c r="P1098">
        <f t="shared" si="125"/>
        <v>-3.8464276633612968E-4</v>
      </c>
    </row>
    <row r="1099" spans="1:16" x14ac:dyDescent="0.25">
      <c r="A1099" s="1">
        <v>54.85</v>
      </c>
      <c r="B1099" s="2">
        <v>-6.7610000000000001</v>
      </c>
      <c r="C1099">
        <v>4.0000000000000001E-3</v>
      </c>
      <c r="H1099">
        <f t="shared" si="119"/>
        <v>54.85</v>
      </c>
      <c r="I1099">
        <f t="shared" si="120"/>
        <v>-6.7610000000000001</v>
      </c>
      <c r="J1099">
        <f t="shared" si="121"/>
        <v>2.1134734068372525E-3</v>
      </c>
      <c r="K1099">
        <f t="shared" si="122"/>
        <v>-135.57972005323697</v>
      </c>
      <c r="L1099">
        <f t="shared" si="123"/>
        <v>1.4089822712248347E-3</v>
      </c>
      <c r="O1099">
        <f t="shared" si="124"/>
        <v>-135.41929441199665</v>
      </c>
      <c r="P1099">
        <f t="shared" si="125"/>
        <v>-3.8578924253981428E-4</v>
      </c>
    </row>
    <row r="1100" spans="1:16" x14ac:dyDescent="0.25">
      <c r="A1100" s="1">
        <v>54.9</v>
      </c>
      <c r="B1100" s="2">
        <v>-6.782</v>
      </c>
      <c r="C1100">
        <v>4.0000000000000001E-3</v>
      </c>
      <c r="H1100">
        <f t="shared" si="119"/>
        <v>54.9</v>
      </c>
      <c r="I1100">
        <f t="shared" si="120"/>
        <v>-6.782</v>
      </c>
      <c r="J1100">
        <f t="shared" si="121"/>
        <v>2.111753692531726E-3</v>
      </c>
      <c r="K1100">
        <f t="shared" si="122"/>
        <v>-136.00083736149284</v>
      </c>
      <c r="L1100">
        <f t="shared" si="123"/>
        <v>1.4078357950211503E-3</v>
      </c>
      <c r="O1100">
        <f t="shared" si="124"/>
        <v>-135.84041172025252</v>
      </c>
      <c r="P1100">
        <f t="shared" si="125"/>
        <v>-3.8693571874349867E-4</v>
      </c>
    </row>
    <row r="1101" spans="1:16" x14ac:dyDescent="0.25">
      <c r="A1101" s="1">
        <v>54.95</v>
      </c>
      <c r="B1101" s="2">
        <v>-6.782</v>
      </c>
      <c r="C1101">
        <v>4.0000000000000001E-3</v>
      </c>
      <c r="H1101">
        <f t="shared" si="119"/>
        <v>54.95</v>
      </c>
      <c r="I1101">
        <f t="shared" si="120"/>
        <v>-6.782</v>
      </c>
      <c r="J1101">
        <f t="shared" si="121"/>
        <v>2.1100339782261996E-3</v>
      </c>
      <c r="K1101">
        <f t="shared" si="122"/>
        <v>-136.00083736149284</v>
      </c>
      <c r="L1101">
        <f t="shared" si="123"/>
        <v>1.4066893188174662E-3</v>
      </c>
      <c r="O1101">
        <f t="shared" si="124"/>
        <v>-135.84041172025252</v>
      </c>
      <c r="P1101">
        <f t="shared" si="125"/>
        <v>-3.8808219494718284E-4</v>
      </c>
    </row>
    <row r="1102" spans="1:16" x14ac:dyDescent="0.25">
      <c r="A1102" s="1">
        <v>55</v>
      </c>
      <c r="B1102" s="2">
        <v>-6.7809999999999997</v>
      </c>
      <c r="C1102">
        <v>4.0000000000000001E-3</v>
      </c>
      <c r="H1102">
        <f t="shared" si="119"/>
        <v>55</v>
      </c>
      <c r="I1102">
        <f t="shared" si="120"/>
        <v>-6.7809999999999997</v>
      </c>
      <c r="J1102">
        <f t="shared" si="121"/>
        <v>2.1083142639206727E-3</v>
      </c>
      <c r="K1102">
        <f t="shared" si="122"/>
        <v>-135.98078415633779</v>
      </c>
      <c r="L1102">
        <f t="shared" si="123"/>
        <v>1.4055428426137816E-3</v>
      </c>
      <c r="O1102">
        <f t="shared" si="124"/>
        <v>-135.82035851509744</v>
      </c>
      <c r="P1102">
        <f t="shared" si="125"/>
        <v>-3.8922867115086745E-4</v>
      </c>
    </row>
    <row r="1103" spans="1:16" x14ac:dyDescent="0.25">
      <c r="A1103" s="1">
        <v>55.05</v>
      </c>
      <c r="B1103" s="2">
        <v>-6.782</v>
      </c>
      <c r="C1103">
        <v>4.0000000000000001E-3</v>
      </c>
      <c r="H1103">
        <f t="shared" si="119"/>
        <v>55.05</v>
      </c>
      <c r="I1103">
        <f t="shared" si="120"/>
        <v>-6.782</v>
      </c>
      <c r="J1103">
        <f t="shared" si="121"/>
        <v>2.1065945496151462E-3</v>
      </c>
      <c r="K1103">
        <f t="shared" si="122"/>
        <v>-136.00083736149284</v>
      </c>
      <c r="L1103">
        <f t="shared" si="123"/>
        <v>1.4043963664100972E-3</v>
      </c>
      <c r="O1103">
        <f t="shared" si="124"/>
        <v>-135.84041172025252</v>
      </c>
      <c r="P1103">
        <f t="shared" si="125"/>
        <v>-3.9037514735455183E-4</v>
      </c>
    </row>
    <row r="1104" spans="1:16" x14ac:dyDescent="0.25">
      <c r="A1104" s="1">
        <v>55.1</v>
      </c>
      <c r="B1104" s="2">
        <v>-6.782</v>
      </c>
      <c r="C1104">
        <v>4.0000000000000001E-3</v>
      </c>
      <c r="H1104">
        <f t="shared" si="119"/>
        <v>55.1</v>
      </c>
      <c r="I1104">
        <f t="shared" si="120"/>
        <v>-6.782</v>
      </c>
      <c r="J1104">
        <f t="shared" si="121"/>
        <v>2.1048748353096193E-3</v>
      </c>
      <c r="K1104">
        <f t="shared" si="122"/>
        <v>-136.00083736149284</v>
      </c>
      <c r="L1104">
        <f t="shared" si="123"/>
        <v>1.4032498902064126E-3</v>
      </c>
      <c r="O1104">
        <f t="shared" si="124"/>
        <v>-135.84041172025252</v>
      </c>
      <c r="P1104">
        <f t="shared" si="125"/>
        <v>-3.9152162355823644E-4</v>
      </c>
    </row>
    <row r="1105" spans="1:16" x14ac:dyDescent="0.25">
      <c r="A1105" s="1">
        <v>55.15</v>
      </c>
      <c r="B1105" s="2">
        <v>-6.7850000000000001</v>
      </c>
      <c r="C1105">
        <v>4.0000000000000001E-3</v>
      </c>
      <c r="H1105">
        <f t="shared" si="119"/>
        <v>55.15</v>
      </c>
      <c r="I1105">
        <f t="shared" si="120"/>
        <v>-6.7850000000000001</v>
      </c>
      <c r="J1105">
        <f t="shared" si="121"/>
        <v>2.1031551210040928E-3</v>
      </c>
      <c r="K1105">
        <f t="shared" si="122"/>
        <v>-136.06099697695797</v>
      </c>
      <c r="L1105">
        <f t="shared" si="123"/>
        <v>1.4021034140027282E-3</v>
      </c>
      <c r="O1105">
        <f t="shared" si="124"/>
        <v>-135.90057133571764</v>
      </c>
      <c r="P1105">
        <f t="shared" si="125"/>
        <v>-3.9266809976192083E-4</v>
      </c>
    </row>
    <row r="1106" spans="1:16" x14ac:dyDescent="0.25">
      <c r="A1106" s="1">
        <v>55.2</v>
      </c>
      <c r="B1106" s="2">
        <v>-6.8010000000000002</v>
      </c>
      <c r="C1106">
        <v>4.0000000000000001E-3</v>
      </c>
      <c r="H1106">
        <f t="shared" si="119"/>
        <v>55.2</v>
      </c>
      <c r="I1106">
        <f t="shared" si="120"/>
        <v>-6.8010000000000002</v>
      </c>
      <c r="J1106">
        <f t="shared" si="121"/>
        <v>2.1014354066985659E-3</v>
      </c>
      <c r="K1106">
        <f t="shared" si="122"/>
        <v>-136.38184825943864</v>
      </c>
      <c r="L1106">
        <f t="shared" si="123"/>
        <v>1.4009569377990436E-3</v>
      </c>
      <c r="O1106">
        <f t="shared" si="124"/>
        <v>-136.22142261819829</v>
      </c>
      <c r="P1106">
        <f t="shared" si="125"/>
        <v>-3.9381457596560543E-4</v>
      </c>
    </row>
    <row r="1107" spans="1:16" x14ac:dyDescent="0.25">
      <c r="A1107" s="1">
        <v>55.25</v>
      </c>
      <c r="B1107" s="2">
        <v>-6.8609999999999998</v>
      </c>
      <c r="C1107">
        <v>4.0000000000000001E-3</v>
      </c>
      <c r="H1107">
        <f t="shared" si="119"/>
        <v>55.25</v>
      </c>
      <c r="I1107">
        <f t="shared" si="120"/>
        <v>-6.8609999999999998</v>
      </c>
      <c r="J1107">
        <f t="shared" si="121"/>
        <v>2.0997156923930394E-3</v>
      </c>
      <c r="K1107">
        <f t="shared" si="122"/>
        <v>-137.58504056874114</v>
      </c>
      <c r="L1107">
        <f t="shared" si="123"/>
        <v>1.3998104615953594E-3</v>
      </c>
      <c r="O1107">
        <f t="shared" si="124"/>
        <v>-137.42461492750078</v>
      </c>
      <c r="P1107">
        <f t="shared" si="125"/>
        <v>-3.949610521692896E-4</v>
      </c>
    </row>
    <row r="1108" spans="1:16" x14ac:dyDescent="0.25">
      <c r="A1108" s="1">
        <v>55.3</v>
      </c>
      <c r="B1108" s="2">
        <v>-6.9059999999999997</v>
      </c>
      <c r="C1108">
        <v>4.0000000000000001E-3</v>
      </c>
      <c r="H1108">
        <f t="shared" si="119"/>
        <v>55.3</v>
      </c>
      <c r="I1108">
        <f t="shared" si="120"/>
        <v>-6.9059999999999997</v>
      </c>
      <c r="J1108">
        <f t="shared" si="121"/>
        <v>2.097995978087513E-3</v>
      </c>
      <c r="K1108">
        <f t="shared" si="122"/>
        <v>-138.48743480071801</v>
      </c>
      <c r="L1108">
        <f t="shared" si="123"/>
        <v>1.398663985391675E-3</v>
      </c>
      <c r="O1108">
        <f t="shared" si="124"/>
        <v>-138.32700915947765</v>
      </c>
      <c r="P1108">
        <f t="shared" si="125"/>
        <v>-3.9610752837297399E-4</v>
      </c>
    </row>
    <row r="1109" spans="1:16" x14ac:dyDescent="0.25">
      <c r="A1109" s="1">
        <v>55.35</v>
      </c>
      <c r="B1109" s="2">
        <v>-6.9279999999999999</v>
      </c>
      <c r="C1109">
        <v>4.0000000000000001E-3</v>
      </c>
      <c r="H1109">
        <f t="shared" si="119"/>
        <v>55.35</v>
      </c>
      <c r="I1109">
        <f t="shared" si="120"/>
        <v>-6.9279999999999999</v>
      </c>
      <c r="J1109">
        <f t="shared" si="121"/>
        <v>2.0962762637819861E-3</v>
      </c>
      <c r="K1109">
        <f t="shared" si="122"/>
        <v>-138.92860531412893</v>
      </c>
      <c r="L1109">
        <f t="shared" si="123"/>
        <v>1.3975175091879904E-3</v>
      </c>
      <c r="O1109">
        <f t="shared" si="124"/>
        <v>-138.76817967288861</v>
      </c>
      <c r="P1109">
        <f t="shared" si="125"/>
        <v>-3.9725400457665859E-4</v>
      </c>
    </row>
    <row r="1110" spans="1:16" x14ac:dyDescent="0.25">
      <c r="A1110" s="1">
        <v>55.4</v>
      </c>
      <c r="B1110" s="2">
        <v>-6.9550000000000001</v>
      </c>
      <c r="C1110">
        <v>4.0000000000000001E-3</v>
      </c>
      <c r="H1110">
        <f t="shared" si="119"/>
        <v>55.4</v>
      </c>
      <c r="I1110">
        <f t="shared" si="120"/>
        <v>-6.9550000000000001</v>
      </c>
      <c r="J1110">
        <f t="shared" si="121"/>
        <v>2.0945565494764596E-3</v>
      </c>
      <c r="K1110">
        <f t="shared" si="122"/>
        <v>-139.47004185331505</v>
      </c>
      <c r="L1110">
        <f t="shared" si="123"/>
        <v>1.396371032984306E-3</v>
      </c>
      <c r="O1110">
        <f t="shared" si="124"/>
        <v>-139.30961621207473</v>
      </c>
      <c r="P1110">
        <f t="shared" si="125"/>
        <v>-3.9840048078034298E-4</v>
      </c>
    </row>
    <row r="1111" spans="1:16" x14ac:dyDescent="0.25">
      <c r="A1111" s="1">
        <v>55.45</v>
      </c>
      <c r="B1111" s="2">
        <v>-6.9580000000000002</v>
      </c>
      <c r="C1111">
        <v>4.0000000000000001E-3</v>
      </c>
      <c r="H1111">
        <f t="shared" si="119"/>
        <v>55.45</v>
      </c>
      <c r="I1111">
        <f t="shared" si="120"/>
        <v>-6.9580000000000002</v>
      </c>
      <c r="J1111">
        <f t="shared" si="121"/>
        <v>2.0928368351709327E-3</v>
      </c>
      <c r="K1111">
        <f t="shared" si="122"/>
        <v>-139.53020146878021</v>
      </c>
      <c r="L1111">
        <f t="shared" si="123"/>
        <v>1.3952245567806214E-3</v>
      </c>
      <c r="O1111">
        <f t="shared" si="124"/>
        <v>-139.36977582753985</v>
      </c>
      <c r="P1111">
        <f t="shared" si="125"/>
        <v>-3.9954695698402759E-4</v>
      </c>
    </row>
    <row r="1112" spans="1:16" x14ac:dyDescent="0.25">
      <c r="A1112" s="1">
        <v>55.5</v>
      </c>
      <c r="B1112" s="2">
        <v>-6.9710000000000001</v>
      </c>
      <c r="C1112">
        <v>4.0000000000000001E-3</v>
      </c>
      <c r="H1112">
        <f t="shared" si="119"/>
        <v>55.5</v>
      </c>
      <c r="I1112">
        <f t="shared" si="120"/>
        <v>-6.9710000000000001</v>
      </c>
      <c r="J1112">
        <f t="shared" si="121"/>
        <v>2.0911171208654062E-3</v>
      </c>
      <c r="K1112">
        <f t="shared" si="122"/>
        <v>-139.79089313579573</v>
      </c>
      <c r="L1112">
        <f t="shared" si="123"/>
        <v>1.3940780805769373E-3</v>
      </c>
      <c r="O1112">
        <f t="shared" si="124"/>
        <v>-139.63046749455538</v>
      </c>
      <c r="P1112">
        <f t="shared" si="125"/>
        <v>-4.0069343318771176E-4</v>
      </c>
    </row>
    <row r="1113" spans="1:16" x14ac:dyDescent="0.25">
      <c r="A1113" s="1">
        <v>55.55</v>
      </c>
      <c r="B1113" s="2">
        <v>-6.9740000000000002</v>
      </c>
      <c r="C1113">
        <v>4.0000000000000001E-3</v>
      </c>
      <c r="H1113">
        <f t="shared" si="119"/>
        <v>55.55</v>
      </c>
      <c r="I1113">
        <f t="shared" si="120"/>
        <v>-6.9740000000000002</v>
      </c>
      <c r="J1113">
        <f t="shared" si="121"/>
        <v>2.0893974065598793E-3</v>
      </c>
      <c r="K1113">
        <f t="shared" si="122"/>
        <v>-139.85105275126085</v>
      </c>
      <c r="L1113">
        <f t="shared" si="123"/>
        <v>1.3929316043732526E-3</v>
      </c>
      <c r="O1113">
        <f t="shared" si="124"/>
        <v>-139.6906271100205</v>
      </c>
      <c r="P1113">
        <f t="shared" si="125"/>
        <v>-4.0183990939139636E-4</v>
      </c>
    </row>
    <row r="1114" spans="1:16" x14ac:dyDescent="0.25">
      <c r="A1114" s="1">
        <v>55.6</v>
      </c>
      <c r="B1114" s="2">
        <v>-6.9779999999999998</v>
      </c>
      <c r="C1114">
        <v>4.0000000000000001E-3</v>
      </c>
      <c r="H1114">
        <f t="shared" si="119"/>
        <v>55.6</v>
      </c>
      <c r="I1114">
        <f t="shared" si="120"/>
        <v>-6.9779999999999998</v>
      </c>
      <c r="J1114">
        <f t="shared" si="121"/>
        <v>2.0876776922543528E-3</v>
      </c>
      <c r="K1114">
        <f t="shared" si="122"/>
        <v>-139.93126557188103</v>
      </c>
      <c r="L1114">
        <f t="shared" si="123"/>
        <v>1.3917851281695683E-3</v>
      </c>
      <c r="O1114">
        <f t="shared" si="124"/>
        <v>-139.7708399306407</v>
      </c>
      <c r="P1114">
        <f t="shared" si="125"/>
        <v>-4.0298638559508075E-4</v>
      </c>
    </row>
    <row r="1115" spans="1:16" x14ac:dyDescent="0.25">
      <c r="A1115" s="1">
        <v>55.65</v>
      </c>
      <c r="B1115" s="2">
        <v>-6.9850000000000003</v>
      </c>
      <c r="C1115">
        <v>4.0000000000000001E-3</v>
      </c>
      <c r="H1115">
        <f t="shared" si="119"/>
        <v>55.65</v>
      </c>
      <c r="I1115">
        <f t="shared" si="120"/>
        <v>-6.9850000000000003</v>
      </c>
      <c r="J1115">
        <f t="shared" si="121"/>
        <v>2.0859579779488263E-3</v>
      </c>
      <c r="K1115">
        <f t="shared" si="122"/>
        <v>-140.07163800796633</v>
      </c>
      <c r="L1115">
        <f t="shared" si="123"/>
        <v>1.3906386519658839E-3</v>
      </c>
      <c r="O1115">
        <f t="shared" si="124"/>
        <v>-139.91121236672598</v>
      </c>
      <c r="P1115">
        <f t="shared" si="125"/>
        <v>-4.0413286179876514E-4</v>
      </c>
    </row>
    <row r="1116" spans="1:16" x14ac:dyDescent="0.25">
      <c r="A1116" s="1">
        <v>55.7</v>
      </c>
      <c r="B1116" s="2">
        <v>-6.99</v>
      </c>
      <c r="C1116">
        <v>4.0000000000000001E-3</v>
      </c>
      <c r="H1116">
        <f t="shared" si="119"/>
        <v>55.7</v>
      </c>
      <c r="I1116">
        <f t="shared" si="120"/>
        <v>-6.99</v>
      </c>
      <c r="J1116">
        <f t="shared" si="121"/>
        <v>2.0842382636432994E-3</v>
      </c>
      <c r="K1116">
        <f t="shared" si="122"/>
        <v>-140.17190403374153</v>
      </c>
      <c r="L1116">
        <f t="shared" si="123"/>
        <v>1.3894921757621993E-3</v>
      </c>
      <c r="O1116">
        <f t="shared" si="124"/>
        <v>-140.0114783925012</v>
      </c>
      <c r="P1116">
        <f t="shared" si="125"/>
        <v>-4.0527933800244974E-4</v>
      </c>
    </row>
    <row r="1117" spans="1:16" x14ac:dyDescent="0.25">
      <c r="A1117" s="1">
        <v>55.75</v>
      </c>
      <c r="B1117" s="2">
        <v>-6.992</v>
      </c>
      <c r="C1117">
        <v>4.0000000000000001E-3</v>
      </c>
      <c r="H1117">
        <f t="shared" si="119"/>
        <v>55.75</v>
      </c>
      <c r="I1117">
        <f t="shared" si="120"/>
        <v>-6.992</v>
      </c>
      <c r="J1117">
        <f t="shared" si="121"/>
        <v>2.0825185493377725E-3</v>
      </c>
      <c r="K1117">
        <f t="shared" si="122"/>
        <v>-140.2120104440516</v>
      </c>
      <c r="L1117">
        <f t="shared" si="123"/>
        <v>1.3883456995585147E-3</v>
      </c>
      <c r="O1117">
        <f t="shared" si="124"/>
        <v>-140.05158480281125</v>
      </c>
      <c r="P1117">
        <f t="shared" si="125"/>
        <v>-4.0642581420613434E-4</v>
      </c>
    </row>
    <row r="1118" spans="1:16" x14ac:dyDescent="0.25">
      <c r="A1118" s="1">
        <v>55.8</v>
      </c>
      <c r="B1118" s="2">
        <v>-6.9930000000000003</v>
      </c>
      <c r="C1118">
        <v>4.0000000000000001E-3</v>
      </c>
      <c r="H1118">
        <f t="shared" si="119"/>
        <v>55.8</v>
      </c>
      <c r="I1118">
        <f t="shared" si="120"/>
        <v>-6.9930000000000003</v>
      </c>
      <c r="J1118">
        <f t="shared" si="121"/>
        <v>2.0807988350322465E-3</v>
      </c>
      <c r="K1118">
        <f t="shared" si="122"/>
        <v>-140.23206364920665</v>
      </c>
      <c r="L1118">
        <f t="shared" si="123"/>
        <v>1.3871992233548307E-3</v>
      </c>
      <c r="O1118">
        <f t="shared" si="124"/>
        <v>-140.07163800796633</v>
      </c>
      <c r="P1118">
        <f t="shared" si="125"/>
        <v>-4.075722904098183E-4</v>
      </c>
    </row>
    <row r="1119" spans="1:16" x14ac:dyDescent="0.25">
      <c r="A1119" s="1">
        <v>55.85</v>
      </c>
      <c r="B1119" s="2">
        <v>-6.9939999999999998</v>
      </c>
      <c r="C1119">
        <v>4.0000000000000001E-3</v>
      </c>
      <c r="H1119">
        <f t="shared" si="119"/>
        <v>55.85</v>
      </c>
      <c r="I1119">
        <f t="shared" si="120"/>
        <v>-6.9939999999999998</v>
      </c>
      <c r="J1119">
        <f t="shared" si="121"/>
        <v>2.0790791207267196E-3</v>
      </c>
      <c r="K1119">
        <f t="shared" si="122"/>
        <v>-140.25211685436167</v>
      </c>
      <c r="L1119">
        <f t="shared" si="123"/>
        <v>1.3860527471511461E-3</v>
      </c>
      <c r="O1119">
        <f t="shared" si="124"/>
        <v>-140.09169121312135</v>
      </c>
      <c r="P1119">
        <f t="shared" si="125"/>
        <v>-4.087187666135029E-4</v>
      </c>
    </row>
    <row r="1120" spans="1:16" x14ac:dyDescent="0.25">
      <c r="A1120" s="1">
        <v>55.9</v>
      </c>
      <c r="B1120" s="2">
        <v>-6.9950000000000001</v>
      </c>
      <c r="C1120">
        <v>4.0000000000000001E-3</v>
      </c>
      <c r="H1120">
        <f t="shared" si="119"/>
        <v>55.9</v>
      </c>
      <c r="I1120">
        <f t="shared" si="120"/>
        <v>-6.9950000000000001</v>
      </c>
      <c r="J1120">
        <f t="shared" si="121"/>
        <v>2.0773594064211927E-3</v>
      </c>
      <c r="K1120">
        <f t="shared" si="122"/>
        <v>-140.27217005951672</v>
      </c>
      <c r="L1120">
        <f t="shared" si="123"/>
        <v>1.3849062709474615E-3</v>
      </c>
      <c r="O1120">
        <f t="shared" si="124"/>
        <v>-140.11174441827637</v>
      </c>
      <c r="P1120">
        <f t="shared" si="125"/>
        <v>-4.0986524281718751E-4</v>
      </c>
    </row>
    <row r="1121" spans="1:16" x14ac:dyDescent="0.25">
      <c r="A1121" s="1">
        <v>55.95</v>
      </c>
      <c r="B1121" s="2">
        <v>-6.9950000000000001</v>
      </c>
      <c r="C1121">
        <v>4.0000000000000001E-3</v>
      </c>
      <c r="H1121">
        <f t="shared" si="119"/>
        <v>55.95</v>
      </c>
      <c r="I1121">
        <f t="shared" si="120"/>
        <v>-6.9950000000000001</v>
      </c>
      <c r="J1121">
        <f t="shared" si="121"/>
        <v>2.0756396921156658E-3</v>
      </c>
      <c r="K1121">
        <f t="shared" si="122"/>
        <v>-140.27217005951672</v>
      </c>
      <c r="L1121">
        <f t="shared" si="123"/>
        <v>1.3837597947437769E-3</v>
      </c>
      <c r="O1121">
        <f t="shared" si="124"/>
        <v>-140.11174441827637</v>
      </c>
      <c r="P1121">
        <f t="shared" si="125"/>
        <v>-4.1101171902087211E-4</v>
      </c>
    </row>
    <row r="1122" spans="1:16" x14ac:dyDescent="0.25">
      <c r="A1122" s="1">
        <v>56</v>
      </c>
      <c r="B1122" s="2">
        <v>-6.9950000000000001</v>
      </c>
      <c r="C1122">
        <v>4.0000000000000001E-3</v>
      </c>
      <c r="E1122">
        <f>SUM(C1110:C1111)/COUNT(C1110:C1111)</f>
        <v>4.0000000000000001E-3</v>
      </c>
      <c r="H1122">
        <f t="shared" si="119"/>
        <v>56</v>
      </c>
      <c r="I1122">
        <f t="shared" si="120"/>
        <v>-6.9950000000000001</v>
      </c>
      <c r="J1122">
        <f t="shared" si="121"/>
        <v>2.0739199778101397E-3</v>
      </c>
      <c r="K1122">
        <f t="shared" si="122"/>
        <v>-140.27217005951672</v>
      </c>
      <c r="L1122">
        <f t="shared" si="123"/>
        <v>1.3826133185400929E-3</v>
      </c>
      <c r="O1122">
        <f t="shared" si="124"/>
        <v>-140.11174441827637</v>
      </c>
      <c r="P1122">
        <f t="shared" si="125"/>
        <v>-4.1215819522455606E-4</v>
      </c>
    </row>
    <row r="1123" spans="1:16" x14ac:dyDescent="0.25">
      <c r="A1123" s="1">
        <v>56.05</v>
      </c>
      <c r="B1123" s="2">
        <v>-6.9950000000000001</v>
      </c>
      <c r="C1123">
        <v>4.0000000000000001E-3</v>
      </c>
      <c r="E1123">
        <f>SUM(A1110:A1111)/COUNT(A1110:A1111)</f>
        <v>55.424999999999997</v>
      </c>
      <c r="H1123">
        <f t="shared" si="119"/>
        <v>56.05</v>
      </c>
      <c r="I1123">
        <f t="shared" si="120"/>
        <v>-6.9950000000000001</v>
      </c>
      <c r="J1123">
        <f t="shared" si="121"/>
        <v>2.0722002635046128E-3</v>
      </c>
      <c r="K1123">
        <f t="shared" si="122"/>
        <v>-140.27217005951672</v>
      </c>
      <c r="L1123">
        <f t="shared" si="123"/>
        <v>1.3814668423364083E-3</v>
      </c>
      <c r="O1123">
        <f t="shared" si="124"/>
        <v>-140.11174441827637</v>
      </c>
      <c r="P1123">
        <f t="shared" si="125"/>
        <v>-4.1330467142824067E-4</v>
      </c>
    </row>
    <row r="1124" spans="1:16" x14ac:dyDescent="0.25">
      <c r="A1124" s="1">
        <v>56.1</v>
      </c>
      <c r="B1124" s="2">
        <v>-6.9960000000000004</v>
      </c>
      <c r="C1124">
        <v>4.0000000000000001E-3</v>
      </c>
      <c r="H1124">
        <f t="shared" si="119"/>
        <v>56.1</v>
      </c>
      <c r="I1124">
        <f t="shared" si="120"/>
        <v>-6.9960000000000004</v>
      </c>
      <c r="J1124">
        <f t="shared" si="121"/>
        <v>2.0704805491990859E-3</v>
      </c>
      <c r="K1124">
        <f t="shared" si="122"/>
        <v>-140.29222326467178</v>
      </c>
      <c r="L1124">
        <f t="shared" si="123"/>
        <v>1.3803203661327237E-3</v>
      </c>
      <c r="O1124">
        <f t="shared" si="124"/>
        <v>-140.13179762343145</v>
      </c>
      <c r="P1124">
        <f t="shared" si="125"/>
        <v>-4.1445114763192527E-4</v>
      </c>
    </row>
    <row r="1125" spans="1:16" x14ac:dyDescent="0.25">
      <c r="A1125" s="1">
        <v>56.15</v>
      </c>
      <c r="B1125" s="2">
        <v>-6.9950000000000001</v>
      </c>
      <c r="C1125">
        <v>4.0000000000000001E-3</v>
      </c>
      <c r="H1125">
        <f t="shared" si="119"/>
        <v>56.15</v>
      </c>
      <c r="I1125">
        <f t="shared" si="120"/>
        <v>-6.9950000000000001</v>
      </c>
      <c r="J1125">
        <f t="shared" si="121"/>
        <v>2.0687608348935599E-3</v>
      </c>
      <c r="K1125">
        <f t="shared" si="122"/>
        <v>-140.27217005951672</v>
      </c>
      <c r="L1125">
        <f t="shared" si="123"/>
        <v>1.3791738899290396E-3</v>
      </c>
      <c r="O1125">
        <f t="shared" si="124"/>
        <v>-140.11174441827637</v>
      </c>
      <c r="P1125">
        <f t="shared" si="125"/>
        <v>-4.1559762383560944E-4</v>
      </c>
    </row>
    <row r="1126" spans="1:16" x14ac:dyDescent="0.25">
      <c r="A1126" s="1">
        <v>56.2</v>
      </c>
      <c r="B1126" s="2">
        <v>-6.9960000000000004</v>
      </c>
      <c r="C1126">
        <v>4.0000000000000001E-3</v>
      </c>
      <c r="H1126">
        <f t="shared" si="119"/>
        <v>56.2</v>
      </c>
      <c r="I1126">
        <f t="shared" si="120"/>
        <v>-6.9960000000000004</v>
      </c>
      <c r="J1126">
        <f t="shared" si="121"/>
        <v>2.067041120588033E-3</v>
      </c>
      <c r="K1126">
        <f t="shared" si="122"/>
        <v>-140.29222326467178</v>
      </c>
      <c r="L1126">
        <f t="shared" si="123"/>
        <v>1.378027413725355E-3</v>
      </c>
      <c r="O1126">
        <f t="shared" si="124"/>
        <v>-140.13179762343145</v>
      </c>
      <c r="P1126">
        <f t="shared" si="125"/>
        <v>-4.1674410003929405E-4</v>
      </c>
    </row>
    <row r="1127" spans="1:16" x14ac:dyDescent="0.25">
      <c r="A1127" s="1">
        <v>56.25</v>
      </c>
      <c r="B1127" s="2">
        <v>-6.9960000000000004</v>
      </c>
      <c r="C1127">
        <v>4.0000000000000001E-3</v>
      </c>
      <c r="H1127">
        <f t="shared" si="119"/>
        <v>56.25</v>
      </c>
      <c r="I1127">
        <f t="shared" si="120"/>
        <v>-6.9960000000000004</v>
      </c>
      <c r="J1127">
        <f t="shared" si="121"/>
        <v>2.0653214062825061E-3</v>
      </c>
      <c r="K1127">
        <f t="shared" si="122"/>
        <v>-140.29222326467178</v>
      </c>
      <c r="L1127">
        <f t="shared" si="123"/>
        <v>1.3768809375216704E-3</v>
      </c>
      <c r="O1127">
        <f t="shared" si="124"/>
        <v>-140.13179762343145</v>
      </c>
      <c r="P1127">
        <f t="shared" si="125"/>
        <v>-4.1789057624297865E-4</v>
      </c>
    </row>
    <row r="1128" spans="1:16" x14ac:dyDescent="0.25">
      <c r="A1128" s="1">
        <v>56.3</v>
      </c>
      <c r="B1128" s="2">
        <v>-6.9960000000000004</v>
      </c>
      <c r="C1128">
        <v>4.0000000000000001E-3</v>
      </c>
      <c r="H1128">
        <f t="shared" si="119"/>
        <v>56.3</v>
      </c>
      <c r="I1128">
        <f t="shared" si="120"/>
        <v>-6.9960000000000004</v>
      </c>
      <c r="J1128">
        <f t="shared" si="121"/>
        <v>2.0636016919769796E-3</v>
      </c>
      <c r="K1128">
        <f t="shared" si="122"/>
        <v>-140.29222326467178</v>
      </c>
      <c r="L1128">
        <f t="shared" si="123"/>
        <v>1.3757344613179862E-3</v>
      </c>
      <c r="O1128">
        <f t="shared" si="124"/>
        <v>-140.13179762343145</v>
      </c>
      <c r="P1128">
        <f t="shared" si="125"/>
        <v>-4.1903705244666282E-4</v>
      </c>
    </row>
    <row r="1129" spans="1:16" x14ac:dyDescent="0.25">
      <c r="A1129" s="1">
        <v>56.35</v>
      </c>
      <c r="B1129" s="2">
        <v>-6.9960000000000004</v>
      </c>
      <c r="C1129">
        <v>4.0000000000000001E-3</v>
      </c>
      <c r="H1129">
        <f t="shared" si="119"/>
        <v>56.35</v>
      </c>
      <c r="I1129">
        <f t="shared" si="120"/>
        <v>-6.9960000000000004</v>
      </c>
      <c r="J1129">
        <f t="shared" si="121"/>
        <v>2.0618819776714531E-3</v>
      </c>
      <c r="K1129">
        <f t="shared" si="122"/>
        <v>-140.29222326467178</v>
      </c>
      <c r="L1129">
        <f t="shared" si="123"/>
        <v>1.3745879851143018E-3</v>
      </c>
      <c r="O1129">
        <f t="shared" si="124"/>
        <v>-140.13179762343145</v>
      </c>
      <c r="P1129">
        <f t="shared" si="125"/>
        <v>-4.2018352865034721E-4</v>
      </c>
    </row>
    <row r="1130" spans="1:16" x14ac:dyDescent="0.25">
      <c r="A1130" s="1">
        <v>56.4</v>
      </c>
      <c r="B1130" s="2">
        <v>-6.9960000000000004</v>
      </c>
      <c r="C1130">
        <v>4.0000000000000001E-3</v>
      </c>
      <c r="H1130">
        <f t="shared" si="119"/>
        <v>56.4</v>
      </c>
      <c r="I1130">
        <f t="shared" si="120"/>
        <v>-6.9960000000000004</v>
      </c>
      <c r="J1130">
        <f t="shared" si="121"/>
        <v>2.0601622633659262E-3</v>
      </c>
      <c r="K1130">
        <f t="shared" si="122"/>
        <v>-140.29222326467178</v>
      </c>
      <c r="L1130">
        <f t="shared" si="123"/>
        <v>1.3734415089106172E-3</v>
      </c>
      <c r="O1130">
        <f t="shared" si="124"/>
        <v>-140.13179762343145</v>
      </c>
      <c r="P1130">
        <f t="shared" si="125"/>
        <v>-4.2133000485403182E-4</v>
      </c>
    </row>
    <row r="1131" spans="1:16" x14ac:dyDescent="0.25">
      <c r="A1131" s="1">
        <v>56.45</v>
      </c>
      <c r="B1131" s="2">
        <v>-6.9960000000000004</v>
      </c>
      <c r="C1131">
        <v>4.0000000000000001E-3</v>
      </c>
      <c r="H1131">
        <f t="shared" si="119"/>
        <v>56.45</v>
      </c>
      <c r="I1131">
        <f t="shared" si="120"/>
        <v>-6.9960000000000004</v>
      </c>
      <c r="J1131">
        <f t="shared" si="121"/>
        <v>2.0584425490603993E-3</v>
      </c>
      <c r="K1131">
        <f t="shared" si="122"/>
        <v>-140.29222326467178</v>
      </c>
      <c r="L1131">
        <f t="shared" si="123"/>
        <v>1.3722950327069326E-3</v>
      </c>
      <c r="O1131">
        <f t="shared" si="124"/>
        <v>-140.13179762343145</v>
      </c>
      <c r="P1131">
        <f t="shared" si="125"/>
        <v>-4.2247648105771642E-4</v>
      </c>
    </row>
    <row r="1132" spans="1:16" x14ac:dyDescent="0.25">
      <c r="A1132" s="1">
        <v>56.5</v>
      </c>
      <c r="B1132" s="2">
        <v>-6.9969999999999999</v>
      </c>
      <c r="C1132">
        <v>4.0000000000000001E-3</v>
      </c>
      <c r="H1132">
        <f t="shared" si="119"/>
        <v>56.5</v>
      </c>
      <c r="I1132">
        <f t="shared" si="120"/>
        <v>-6.9969999999999999</v>
      </c>
      <c r="J1132">
        <f t="shared" si="121"/>
        <v>2.0567228347548728E-3</v>
      </c>
      <c r="K1132">
        <f t="shared" si="122"/>
        <v>-140.31227646982683</v>
      </c>
      <c r="L1132">
        <f t="shared" si="123"/>
        <v>1.3711485565032482E-3</v>
      </c>
      <c r="O1132">
        <f t="shared" si="124"/>
        <v>-140.15185082858648</v>
      </c>
      <c r="P1132">
        <f t="shared" si="125"/>
        <v>-4.2362295726140081E-4</v>
      </c>
    </row>
    <row r="1133" spans="1:16" x14ac:dyDescent="0.25">
      <c r="A1133" s="1">
        <v>56.55</v>
      </c>
      <c r="B1133" s="2">
        <v>-6.9960000000000004</v>
      </c>
      <c r="C1133">
        <v>4.0000000000000001E-3</v>
      </c>
      <c r="H1133">
        <f t="shared" si="119"/>
        <v>56.55</v>
      </c>
      <c r="I1133">
        <f t="shared" si="120"/>
        <v>-6.9960000000000004</v>
      </c>
      <c r="J1133">
        <f t="shared" si="121"/>
        <v>2.0550031204493464E-3</v>
      </c>
      <c r="K1133">
        <f t="shared" si="122"/>
        <v>-140.29222326467178</v>
      </c>
      <c r="L1133">
        <f t="shared" si="123"/>
        <v>1.370002080299564E-3</v>
      </c>
      <c r="O1133">
        <f t="shared" si="124"/>
        <v>-140.13179762343145</v>
      </c>
      <c r="P1133">
        <f t="shared" si="125"/>
        <v>-4.2476943346508498E-4</v>
      </c>
    </row>
    <row r="1134" spans="1:16" x14ac:dyDescent="0.25">
      <c r="A1134" s="1">
        <v>56.6</v>
      </c>
      <c r="B1134" s="2">
        <v>-6.9969999999999999</v>
      </c>
      <c r="C1134">
        <v>4.0000000000000001E-3</v>
      </c>
      <c r="H1134">
        <f t="shared" si="119"/>
        <v>56.6</v>
      </c>
      <c r="I1134">
        <f t="shared" si="120"/>
        <v>-6.9969999999999999</v>
      </c>
      <c r="J1134">
        <f t="shared" si="121"/>
        <v>2.0532834061438195E-3</v>
      </c>
      <c r="K1134">
        <f t="shared" si="122"/>
        <v>-140.31227646982683</v>
      </c>
      <c r="L1134">
        <f t="shared" si="123"/>
        <v>1.3688556040958794E-3</v>
      </c>
      <c r="O1134">
        <f t="shared" si="124"/>
        <v>-140.15185082858648</v>
      </c>
      <c r="P1134">
        <f t="shared" si="125"/>
        <v>-4.2591590966876958E-4</v>
      </c>
    </row>
    <row r="1135" spans="1:16" x14ac:dyDescent="0.25">
      <c r="A1135" s="1">
        <v>56.65</v>
      </c>
      <c r="B1135" s="2">
        <v>-6.9960000000000004</v>
      </c>
      <c r="C1135">
        <v>4.0000000000000001E-3</v>
      </c>
      <c r="H1135">
        <f t="shared" si="119"/>
        <v>56.65</v>
      </c>
      <c r="I1135">
        <f t="shared" si="120"/>
        <v>-6.9960000000000004</v>
      </c>
      <c r="J1135">
        <f t="shared" si="121"/>
        <v>2.051563691838293E-3</v>
      </c>
      <c r="K1135">
        <f t="shared" si="122"/>
        <v>-140.29222326467178</v>
      </c>
      <c r="L1135">
        <f t="shared" si="123"/>
        <v>1.367709127892195E-3</v>
      </c>
      <c r="O1135">
        <f t="shared" si="124"/>
        <v>-140.13179762343145</v>
      </c>
      <c r="P1135">
        <f t="shared" si="125"/>
        <v>-4.2706238587245397E-4</v>
      </c>
    </row>
    <row r="1136" spans="1:16" x14ac:dyDescent="0.25">
      <c r="A1136" s="1">
        <v>56.7</v>
      </c>
      <c r="B1136" s="2">
        <v>-6.9969999999999999</v>
      </c>
      <c r="C1136">
        <v>4.0000000000000001E-3</v>
      </c>
      <c r="H1136">
        <f t="shared" si="119"/>
        <v>56.7</v>
      </c>
      <c r="I1136">
        <f t="shared" si="120"/>
        <v>-6.9969999999999999</v>
      </c>
      <c r="J1136">
        <f t="shared" si="121"/>
        <v>2.0498439775327661E-3</v>
      </c>
      <c r="K1136">
        <f t="shared" si="122"/>
        <v>-140.31227646982683</v>
      </c>
      <c r="L1136">
        <f t="shared" si="123"/>
        <v>1.3665626516885104E-3</v>
      </c>
      <c r="O1136">
        <f t="shared" si="124"/>
        <v>-140.15185082858648</v>
      </c>
      <c r="P1136">
        <f t="shared" si="125"/>
        <v>-4.2820886207613857E-4</v>
      </c>
    </row>
    <row r="1137" spans="1:16" x14ac:dyDescent="0.25">
      <c r="A1137" s="1">
        <v>56.75</v>
      </c>
      <c r="B1137" s="2">
        <v>-6.9960000000000004</v>
      </c>
      <c r="C1137">
        <v>4.0000000000000001E-3</v>
      </c>
      <c r="H1137">
        <f t="shared" si="119"/>
        <v>56.75</v>
      </c>
      <c r="I1137">
        <f t="shared" si="120"/>
        <v>-6.9960000000000004</v>
      </c>
      <c r="J1137">
        <f t="shared" si="121"/>
        <v>2.0481242632272396E-3</v>
      </c>
      <c r="K1137">
        <f t="shared" si="122"/>
        <v>-140.29222326467178</v>
      </c>
      <c r="L1137">
        <f t="shared" si="123"/>
        <v>1.365416175484826E-3</v>
      </c>
      <c r="O1137">
        <f t="shared" si="124"/>
        <v>-140.13179762343145</v>
      </c>
      <c r="P1137">
        <f t="shared" si="125"/>
        <v>-4.2935533827982296E-4</v>
      </c>
    </row>
    <row r="1138" spans="1:16" x14ac:dyDescent="0.25">
      <c r="A1138" s="1">
        <v>56.8</v>
      </c>
      <c r="B1138" s="2">
        <v>-6.9969999999999999</v>
      </c>
      <c r="C1138">
        <v>4.0000000000000001E-3</v>
      </c>
      <c r="H1138">
        <f t="shared" si="119"/>
        <v>56.8</v>
      </c>
      <c r="I1138">
        <f t="shared" si="120"/>
        <v>-6.9969999999999999</v>
      </c>
      <c r="J1138">
        <f t="shared" si="121"/>
        <v>2.0464045489217131E-3</v>
      </c>
      <c r="K1138">
        <f t="shared" si="122"/>
        <v>-140.31227646982683</v>
      </c>
      <c r="L1138">
        <f t="shared" si="123"/>
        <v>1.3642696992811419E-3</v>
      </c>
      <c r="O1138">
        <f t="shared" si="124"/>
        <v>-140.15185082858648</v>
      </c>
      <c r="P1138">
        <f t="shared" si="125"/>
        <v>-4.3050181448350713E-4</v>
      </c>
    </row>
    <row r="1139" spans="1:16" x14ac:dyDescent="0.25">
      <c r="A1139" s="1">
        <v>56.85</v>
      </c>
      <c r="B1139" s="2">
        <v>-6.9969999999999999</v>
      </c>
      <c r="C1139">
        <v>4.0000000000000001E-3</v>
      </c>
      <c r="H1139">
        <f t="shared" si="119"/>
        <v>56.85</v>
      </c>
      <c r="I1139">
        <f t="shared" si="120"/>
        <v>-6.9969999999999999</v>
      </c>
      <c r="J1139">
        <f t="shared" si="121"/>
        <v>2.0446848346161862E-3</v>
      </c>
      <c r="K1139">
        <f t="shared" si="122"/>
        <v>-140.31227646982683</v>
      </c>
      <c r="L1139">
        <f t="shared" si="123"/>
        <v>1.3631232230774573E-3</v>
      </c>
      <c r="O1139">
        <f t="shared" si="124"/>
        <v>-140.15185082858648</v>
      </c>
      <c r="P1139">
        <f t="shared" si="125"/>
        <v>-4.3164829068719174E-4</v>
      </c>
    </row>
    <row r="1140" spans="1:16" x14ac:dyDescent="0.25">
      <c r="A1140" s="1">
        <v>56.9</v>
      </c>
      <c r="B1140" s="2">
        <v>-6.9969999999999999</v>
      </c>
      <c r="C1140">
        <v>4.0000000000000001E-3</v>
      </c>
      <c r="H1140">
        <f t="shared" si="119"/>
        <v>56.9</v>
      </c>
      <c r="I1140">
        <f t="shared" si="120"/>
        <v>-6.9969999999999999</v>
      </c>
      <c r="J1140">
        <f t="shared" si="121"/>
        <v>2.0429651203106598E-3</v>
      </c>
      <c r="K1140">
        <f t="shared" si="122"/>
        <v>-140.31227646982683</v>
      </c>
      <c r="L1140">
        <f t="shared" si="123"/>
        <v>1.3619767468737729E-3</v>
      </c>
      <c r="O1140">
        <f t="shared" si="124"/>
        <v>-140.15185082858648</v>
      </c>
      <c r="P1140">
        <f t="shared" si="125"/>
        <v>-4.3279476689087612E-4</v>
      </c>
    </row>
    <row r="1141" spans="1:16" x14ac:dyDescent="0.25">
      <c r="A1141" s="1">
        <v>56.95</v>
      </c>
      <c r="B1141" s="2">
        <v>-6.9960000000000004</v>
      </c>
      <c r="C1141">
        <v>4.0000000000000001E-3</v>
      </c>
      <c r="H1141">
        <f t="shared" si="119"/>
        <v>56.95</v>
      </c>
      <c r="I1141">
        <f t="shared" si="120"/>
        <v>-6.9960000000000004</v>
      </c>
      <c r="J1141">
        <f t="shared" si="121"/>
        <v>2.0412454060051329E-3</v>
      </c>
      <c r="K1141">
        <f t="shared" si="122"/>
        <v>-140.29222326467178</v>
      </c>
      <c r="L1141">
        <f t="shared" si="123"/>
        <v>1.3608302706700883E-3</v>
      </c>
      <c r="O1141">
        <f t="shared" si="124"/>
        <v>-140.13179762343145</v>
      </c>
      <c r="P1141">
        <f t="shared" si="125"/>
        <v>-4.3394124309456073E-4</v>
      </c>
    </row>
    <row r="1142" spans="1:16" x14ac:dyDescent="0.25">
      <c r="A1142" s="1">
        <v>57</v>
      </c>
      <c r="B1142" s="2">
        <v>-6.9969999999999999</v>
      </c>
      <c r="C1142">
        <v>4.0000000000000001E-3</v>
      </c>
      <c r="H1142">
        <f t="shared" si="119"/>
        <v>57</v>
      </c>
      <c r="I1142">
        <f t="shared" si="120"/>
        <v>-6.9969999999999999</v>
      </c>
      <c r="J1142">
        <f t="shared" si="121"/>
        <v>2.0395256916996064E-3</v>
      </c>
      <c r="K1142">
        <f t="shared" si="122"/>
        <v>-140.31227646982683</v>
      </c>
      <c r="L1142">
        <f t="shared" si="123"/>
        <v>1.3596837944664039E-3</v>
      </c>
      <c r="O1142">
        <f t="shared" si="124"/>
        <v>-140.15185082858648</v>
      </c>
      <c r="P1142">
        <f t="shared" si="125"/>
        <v>-4.3508771929824512E-4</v>
      </c>
    </row>
    <row r="1143" spans="1:16" x14ac:dyDescent="0.25">
      <c r="A1143" s="1">
        <v>57.05</v>
      </c>
      <c r="B1143" s="2">
        <v>-6.9969999999999999</v>
      </c>
      <c r="C1143">
        <v>4.0000000000000001E-3</v>
      </c>
      <c r="H1143">
        <f t="shared" si="119"/>
        <v>57.05</v>
      </c>
      <c r="I1143">
        <f t="shared" si="120"/>
        <v>-6.9969999999999999</v>
      </c>
      <c r="J1143">
        <f t="shared" si="121"/>
        <v>2.0378059773940799E-3</v>
      </c>
      <c r="K1143">
        <f t="shared" si="122"/>
        <v>-140.31227646982683</v>
      </c>
      <c r="L1143">
        <f t="shared" si="123"/>
        <v>1.3585373182627197E-3</v>
      </c>
      <c r="O1143">
        <f t="shared" si="124"/>
        <v>-140.15185082858648</v>
      </c>
      <c r="P1143">
        <f t="shared" si="125"/>
        <v>-4.3623419550192929E-4</v>
      </c>
    </row>
    <row r="1144" spans="1:16" x14ac:dyDescent="0.25">
      <c r="A1144" s="1">
        <v>57.1</v>
      </c>
      <c r="B1144" s="2">
        <v>-6.9969999999999999</v>
      </c>
      <c r="C1144">
        <v>4.0000000000000001E-3</v>
      </c>
      <c r="H1144">
        <f t="shared" si="119"/>
        <v>57.1</v>
      </c>
      <c r="I1144">
        <f t="shared" si="120"/>
        <v>-6.9969999999999999</v>
      </c>
      <c r="J1144">
        <f t="shared" si="121"/>
        <v>2.036086263088553E-3</v>
      </c>
      <c r="K1144">
        <f t="shared" si="122"/>
        <v>-140.31227646982683</v>
      </c>
      <c r="L1144">
        <f t="shared" si="123"/>
        <v>1.3573908420590351E-3</v>
      </c>
      <c r="O1144">
        <f t="shared" si="124"/>
        <v>-140.15185082858648</v>
      </c>
      <c r="P1144">
        <f t="shared" si="125"/>
        <v>-4.3738067170561389E-4</v>
      </c>
    </row>
    <row r="1145" spans="1:16" x14ac:dyDescent="0.25">
      <c r="A1145" s="1">
        <v>57.15</v>
      </c>
      <c r="B1145" s="2">
        <v>-6.9969999999999999</v>
      </c>
      <c r="C1145">
        <v>4.0000000000000001E-3</v>
      </c>
      <c r="H1145">
        <f t="shared" si="119"/>
        <v>57.15</v>
      </c>
      <c r="I1145">
        <f t="shared" si="120"/>
        <v>-6.9969999999999999</v>
      </c>
      <c r="J1145">
        <f t="shared" si="121"/>
        <v>2.0343665487830265E-3</v>
      </c>
      <c r="K1145">
        <f t="shared" si="122"/>
        <v>-140.31227646982683</v>
      </c>
      <c r="L1145">
        <f t="shared" si="123"/>
        <v>1.3562443658553507E-3</v>
      </c>
      <c r="O1145">
        <f t="shared" si="124"/>
        <v>-140.15185082858648</v>
      </c>
      <c r="P1145">
        <f t="shared" si="125"/>
        <v>-4.3852714790929828E-4</v>
      </c>
    </row>
    <row r="1146" spans="1:16" x14ac:dyDescent="0.25">
      <c r="A1146" s="1">
        <v>57.2</v>
      </c>
      <c r="B1146" s="2">
        <v>-6.9969999999999999</v>
      </c>
      <c r="C1146">
        <v>4.0000000000000001E-3</v>
      </c>
      <c r="H1146">
        <f t="shared" si="119"/>
        <v>57.2</v>
      </c>
      <c r="I1146">
        <f t="shared" si="120"/>
        <v>-6.9969999999999999</v>
      </c>
      <c r="J1146">
        <f t="shared" si="121"/>
        <v>2.0326468344774996E-3</v>
      </c>
      <c r="K1146">
        <f t="shared" si="122"/>
        <v>-140.31227646982683</v>
      </c>
      <c r="L1146">
        <f t="shared" si="123"/>
        <v>1.3550978896516661E-3</v>
      </c>
      <c r="O1146">
        <f t="shared" si="124"/>
        <v>-140.15185082858648</v>
      </c>
      <c r="P1146">
        <f t="shared" si="125"/>
        <v>-4.3967362411298288E-4</v>
      </c>
    </row>
    <row r="1147" spans="1:16" x14ac:dyDescent="0.25">
      <c r="A1147" s="1">
        <v>57.25</v>
      </c>
      <c r="B1147" s="2">
        <v>-6.9969999999999999</v>
      </c>
      <c r="C1147">
        <v>4.0000000000000001E-3</v>
      </c>
      <c r="H1147">
        <f t="shared" si="119"/>
        <v>57.25</v>
      </c>
      <c r="I1147">
        <f t="shared" si="120"/>
        <v>-6.9969999999999999</v>
      </c>
      <c r="J1147">
        <f t="shared" si="121"/>
        <v>2.0309271201719731E-3</v>
      </c>
      <c r="K1147">
        <f t="shared" si="122"/>
        <v>-140.31227646982683</v>
      </c>
      <c r="L1147">
        <f t="shared" si="123"/>
        <v>1.3539514134479817E-3</v>
      </c>
      <c r="O1147">
        <f t="shared" si="124"/>
        <v>-140.15185082858648</v>
      </c>
      <c r="P1147">
        <f t="shared" si="125"/>
        <v>-4.4082010031666727E-4</v>
      </c>
    </row>
    <row r="1148" spans="1:16" x14ac:dyDescent="0.25">
      <c r="A1148" s="1">
        <v>57.3</v>
      </c>
      <c r="B1148" s="2">
        <v>-6.9969999999999999</v>
      </c>
      <c r="C1148">
        <v>4.0000000000000001E-3</v>
      </c>
      <c r="H1148">
        <f t="shared" si="119"/>
        <v>57.3</v>
      </c>
      <c r="I1148">
        <f t="shared" si="120"/>
        <v>-6.9969999999999999</v>
      </c>
      <c r="J1148">
        <f t="shared" si="121"/>
        <v>2.0292074058664462E-3</v>
      </c>
      <c r="K1148">
        <f t="shared" si="122"/>
        <v>-140.31227646982683</v>
      </c>
      <c r="L1148">
        <f t="shared" si="123"/>
        <v>1.3528049372442971E-3</v>
      </c>
      <c r="O1148">
        <f t="shared" si="124"/>
        <v>-140.15185082858648</v>
      </c>
      <c r="P1148">
        <f t="shared" si="125"/>
        <v>-4.4196657652035187E-4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selin</dc:creator>
  <cp:lastModifiedBy>Fortuna Plays</cp:lastModifiedBy>
  <dcterms:created xsi:type="dcterms:W3CDTF">2022-04-02T09:08:06Z</dcterms:created>
  <dcterms:modified xsi:type="dcterms:W3CDTF">2022-04-05T08:15:59Z</dcterms:modified>
</cp:coreProperties>
</file>