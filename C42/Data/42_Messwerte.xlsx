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elewurster/Documents/Uni/Praktikum/C2/42/"/>
    </mc:Choice>
  </mc:AlternateContent>
  <xr:revisionPtr revIDLastSave="0" documentId="13_ncr:1_{BB230E6E-6EA7-EB4B-8240-968E10B243F4}" xr6:coauthVersionLast="47" xr6:coauthVersionMax="47" xr10:uidLastSave="{00000000-0000-0000-0000-000000000000}"/>
  <bookViews>
    <workbookView xWindow="980" yWindow="660" windowWidth="27840" windowHeight="17200" activeTab="7" xr2:uid="{62509A76-92E6-074F-AEAD-1ADF33679C70}"/>
  </bookViews>
  <sheets>
    <sheet name="2.3 Brennweitenbestimmung" sheetId="1" r:id="rId1"/>
    <sheet name="2.2 Winkelverteilung" sheetId="2" r:id="rId2"/>
    <sheet name="2.4 stehende Welle" sheetId="3" r:id="rId3"/>
    <sheet name="2.5 Michelson-Interfeometer" sheetId="4" r:id="rId4"/>
    <sheet name="2.6 Totalreflexion" sheetId="5" r:id="rId5"/>
    <sheet name="2.7 Polarisation" sheetId="6" r:id="rId6"/>
    <sheet name="2.8 Gitterkonstante" sheetId="7" r:id="rId7"/>
    <sheet name="2.9 Wellenleiter" sheetId="8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" i="4" l="1"/>
  <c r="C5" i="4"/>
  <c r="C6" i="4"/>
  <c r="C7" i="4"/>
  <c r="C8" i="4"/>
  <c r="C9" i="4"/>
  <c r="C10" i="4"/>
  <c r="C11" i="4"/>
  <c r="C12" i="4"/>
  <c r="C3" i="4"/>
  <c r="C33" i="3"/>
  <c r="C32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" i="3"/>
  <c r="E4" i="1"/>
  <c r="E3" i="1"/>
</calcChain>
</file>

<file path=xl/sharedStrings.xml><?xml version="1.0" encoding="utf-8"?>
<sst xmlns="http://schemas.openxmlformats.org/spreadsheetml/2006/main" count="26" uniqueCount="19">
  <si>
    <t>x/cm</t>
  </si>
  <si>
    <t>I/mA</t>
  </si>
  <si>
    <t>l</t>
  </si>
  <si>
    <t>b</t>
  </si>
  <si>
    <t>g</t>
  </si>
  <si>
    <t>f</t>
  </si>
  <si>
    <t>Winkel /°</t>
  </si>
  <si>
    <t>i</t>
  </si>
  <si>
    <t>∆x /cm</t>
  </si>
  <si>
    <t>gemessener Winkel /°</t>
  </si>
  <si>
    <t>x /cm</t>
  </si>
  <si>
    <t>I_A /mA</t>
  </si>
  <si>
    <t>I_B /mA</t>
  </si>
  <si>
    <t>I /mA</t>
  </si>
  <si>
    <t>Winkel teta /°</t>
  </si>
  <si>
    <t>Winkel 2 teta /°</t>
  </si>
  <si>
    <t>I (100)/mA</t>
  </si>
  <si>
    <t>I (110)/mA</t>
  </si>
  <si>
    <t>polarisiert um 90 grad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</si>
</sst>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/>
    <xf numFmtId="164" fontId="2" fillId="0" borderId="1" xfId="0" applyNumberFormat="1" applyFont="1" applyBorder="1"/>
    <xf numFmtId="164" fontId="0" fillId="0" borderId="0" xfId="0" applyNumberFormat="1"/>
    <xf numFmtId="0" fontId="1" fillId="0" borderId="0" xfId="0" applyFont="1"/>
    <xf numFmtId="2" fontId="2" fillId="0" borderId="1" xfId="0" applyNumberFormat="1" applyFont="1" applyBorder="1"/>
    <xf numFmtId="2" fontId="0" fillId="0" borderId="0" xfId="0" applyNumberFormat="1"/>
    <xf numFmtId="2" fontId="0" fillId="0" borderId="1" xfId="0" applyNumberFormat="1" applyBorder="1"/>
    <xf numFmtId="2" fontId="0" fillId="0" borderId="0" xfId="0" applyNumberFormat="1" applyFill="1" applyBorder="1"/>
    <xf numFmtId="165" fontId="2" fillId="0" borderId="1" xfId="0" applyNumberFormat="1" applyFont="1" applyBorder="1"/>
    <xf numFmtId="165" fontId="0" fillId="0" borderId="0" xfId="0" applyNumberFormat="1"/>
    <xf numFmtId="166" fontId="2" fillId="0" borderId="1" xfId="0" applyNumberFormat="1" applyFont="1" applyBorder="1"/>
    <xf numFmtId="166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71C4F-D132-9548-86E2-C6800CBB2658}">
  <dimension ref="A1:E32"/>
  <sheetViews>
    <sheetView workbookViewId="0">
      <selection activeCell="B23" sqref="B23"/>
    </sheetView>
  </sheetViews>
  <sheetFormatPr baseColWidth="10" defaultRowHeight="16" x14ac:dyDescent="0.2"/>
  <cols>
    <col min="2" max="2" width="10.83203125" style="3"/>
  </cols>
  <sheetData>
    <row r="1" spans="1:5" x14ac:dyDescent="0.2">
      <c r="A1" s="1" t="s">
        <v>0</v>
      </c>
      <c r="B1" s="2" t="s">
        <v>1</v>
      </c>
      <c r="D1" t="s">
        <v>2</v>
      </c>
      <c r="E1">
        <v>145</v>
      </c>
    </row>
    <row r="2" spans="1:5" x14ac:dyDescent="0.2">
      <c r="A2">
        <v>200</v>
      </c>
      <c r="B2" s="3">
        <v>0.1265</v>
      </c>
      <c r="D2" t="s">
        <v>4</v>
      </c>
      <c r="E2">
        <v>80</v>
      </c>
    </row>
    <row r="3" spans="1:5" x14ac:dyDescent="0.2">
      <c r="A3">
        <v>195</v>
      </c>
      <c r="B3" s="3">
        <v>0.13200000000000001</v>
      </c>
      <c r="D3" t="s">
        <v>3</v>
      </c>
      <c r="E3">
        <f>E1-E2</f>
        <v>65</v>
      </c>
    </row>
    <row r="4" spans="1:5" x14ac:dyDescent="0.2">
      <c r="A4">
        <v>190</v>
      </c>
      <c r="B4" s="3">
        <v>0.1348</v>
      </c>
      <c r="D4" t="s">
        <v>5</v>
      </c>
      <c r="E4">
        <f>E3*E2/(E3+E2)</f>
        <v>35.862068965517238</v>
      </c>
    </row>
    <row r="5" spans="1:5" x14ac:dyDescent="0.2">
      <c r="A5">
        <v>185</v>
      </c>
      <c r="B5" s="3">
        <v>0.13600000000000001</v>
      </c>
    </row>
    <row r="6" spans="1:5" x14ac:dyDescent="0.2">
      <c r="A6">
        <v>180</v>
      </c>
      <c r="B6" s="3">
        <v>0.13250000000000001</v>
      </c>
      <c r="D6" s="4" t="s">
        <v>5</v>
      </c>
      <c r="E6" s="4">
        <v>40</v>
      </c>
    </row>
    <row r="7" spans="1:5" x14ac:dyDescent="0.2">
      <c r="A7">
        <v>175</v>
      </c>
      <c r="B7" s="3">
        <v>0.13009999999999999</v>
      </c>
    </row>
    <row r="8" spans="1:5" x14ac:dyDescent="0.2">
      <c r="A8">
        <v>170</v>
      </c>
      <c r="B8" s="3">
        <v>0.13100000000000001</v>
      </c>
    </row>
    <row r="9" spans="1:5" x14ac:dyDescent="0.2">
      <c r="A9">
        <v>165</v>
      </c>
      <c r="B9" s="3">
        <v>0.13500000000000001</v>
      </c>
    </row>
    <row r="10" spans="1:5" x14ac:dyDescent="0.2">
      <c r="A10">
        <v>160</v>
      </c>
      <c r="B10" s="3">
        <v>0.13900000000000001</v>
      </c>
    </row>
    <row r="11" spans="1:5" x14ac:dyDescent="0.2">
      <c r="A11">
        <v>155</v>
      </c>
      <c r="B11" s="3">
        <v>0.14249999999999999</v>
      </c>
    </row>
    <row r="12" spans="1:5" x14ac:dyDescent="0.2">
      <c r="A12">
        <v>150</v>
      </c>
      <c r="B12" s="3">
        <v>0.14660000000000001</v>
      </c>
    </row>
    <row r="13" spans="1:5" x14ac:dyDescent="0.2">
      <c r="A13">
        <v>149</v>
      </c>
      <c r="B13" s="3">
        <v>0.1303</v>
      </c>
    </row>
    <row r="14" spans="1:5" x14ac:dyDescent="0.2">
      <c r="A14">
        <v>148.5</v>
      </c>
      <c r="B14" s="3">
        <v>0.14000000000000001</v>
      </c>
    </row>
    <row r="15" spans="1:5" x14ac:dyDescent="0.2">
      <c r="A15">
        <v>148</v>
      </c>
      <c r="B15" s="3">
        <v>0.1522</v>
      </c>
    </row>
    <row r="16" spans="1:5" x14ac:dyDescent="0.2">
      <c r="A16">
        <v>147.5</v>
      </c>
      <c r="B16" s="3">
        <v>0.13300000000000001</v>
      </c>
    </row>
    <row r="17" spans="1:2" x14ac:dyDescent="0.2">
      <c r="A17">
        <v>147</v>
      </c>
      <c r="B17" s="3">
        <v>0.1313</v>
      </c>
    </row>
    <row r="18" spans="1:2" x14ac:dyDescent="0.2">
      <c r="A18">
        <v>146.5</v>
      </c>
      <c r="B18" s="3">
        <v>0.154</v>
      </c>
    </row>
    <row r="19" spans="1:2" x14ac:dyDescent="0.2">
      <c r="A19">
        <v>146</v>
      </c>
      <c r="B19" s="3">
        <v>0.13919999999999999</v>
      </c>
    </row>
    <row r="20" spans="1:2" x14ac:dyDescent="0.2">
      <c r="A20">
        <v>145.5</v>
      </c>
      <c r="B20" s="3">
        <v>0.1303</v>
      </c>
    </row>
    <row r="21" spans="1:2" x14ac:dyDescent="0.2">
      <c r="A21">
        <v>145</v>
      </c>
      <c r="B21" s="3">
        <v>0.1525</v>
      </c>
    </row>
    <row r="22" spans="1:2" x14ac:dyDescent="0.2">
      <c r="A22">
        <v>144.5</v>
      </c>
      <c r="B22" s="3">
        <v>0.14249999999999999</v>
      </c>
    </row>
    <row r="23" spans="1:2" x14ac:dyDescent="0.2">
      <c r="A23">
        <v>144</v>
      </c>
      <c r="B23" s="3">
        <v>0.127</v>
      </c>
    </row>
    <row r="24" spans="1:2" x14ac:dyDescent="0.2">
      <c r="A24">
        <v>143.5</v>
      </c>
      <c r="B24" s="3">
        <v>0.1452</v>
      </c>
    </row>
    <row r="25" spans="1:2" x14ac:dyDescent="0.2">
      <c r="A25">
        <v>143</v>
      </c>
      <c r="B25" s="3">
        <v>0.14910000000000001</v>
      </c>
    </row>
    <row r="26" spans="1:2" x14ac:dyDescent="0.2">
      <c r="A26">
        <v>142</v>
      </c>
      <c r="B26" s="3">
        <v>0.13300000000000001</v>
      </c>
    </row>
    <row r="27" spans="1:2" x14ac:dyDescent="0.2">
      <c r="A27">
        <v>141</v>
      </c>
      <c r="B27" s="3">
        <v>0.13150000000000001</v>
      </c>
    </row>
    <row r="28" spans="1:2" x14ac:dyDescent="0.2">
      <c r="A28">
        <v>140</v>
      </c>
      <c r="B28" s="3">
        <v>0.1497</v>
      </c>
    </row>
    <row r="29" spans="1:2" x14ac:dyDescent="0.2">
      <c r="A29">
        <v>135</v>
      </c>
      <c r="B29" s="3">
        <v>0.14130000000000001</v>
      </c>
    </row>
    <row r="30" spans="1:2" x14ac:dyDescent="0.2">
      <c r="A30">
        <v>130</v>
      </c>
      <c r="B30" s="3">
        <v>0.1275</v>
      </c>
    </row>
    <row r="31" spans="1:2" x14ac:dyDescent="0.2">
      <c r="A31">
        <v>125</v>
      </c>
      <c r="B31" s="3">
        <v>0.1133</v>
      </c>
    </row>
    <row r="32" spans="1:2" x14ac:dyDescent="0.2">
      <c r="A32">
        <v>120</v>
      </c>
      <c r="B32" s="3">
        <v>0.1041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4743-233E-794D-A394-C38AA849F57F}">
  <dimension ref="A1:C20"/>
  <sheetViews>
    <sheetView workbookViewId="0">
      <selection activeCell="D20" sqref="D20"/>
    </sheetView>
  </sheetViews>
  <sheetFormatPr baseColWidth="10" defaultRowHeight="16" x14ac:dyDescent="0.2"/>
  <sheetData>
    <row r="1" spans="1:3" x14ac:dyDescent="0.2">
      <c r="A1" s="1" t="s">
        <v>6</v>
      </c>
      <c r="B1" s="1" t="s">
        <v>1</v>
      </c>
      <c r="C1" s="1" t="s">
        <v>9</v>
      </c>
    </row>
    <row r="2" spans="1:3" x14ac:dyDescent="0.2">
      <c r="A2">
        <v>90</v>
      </c>
      <c r="B2">
        <v>-2.1000000000000001E-2</v>
      </c>
      <c r="C2">
        <v>-142</v>
      </c>
    </row>
    <row r="3" spans="1:3" x14ac:dyDescent="0.2">
      <c r="A3">
        <v>80</v>
      </c>
      <c r="B3">
        <v>-2.1999999999999999E-2</v>
      </c>
      <c r="C3">
        <v>-132</v>
      </c>
    </row>
    <row r="4" spans="1:3" x14ac:dyDescent="0.2">
      <c r="A4">
        <v>70</v>
      </c>
      <c r="B4">
        <v>-2.1000000000000001E-2</v>
      </c>
      <c r="C4">
        <v>-122</v>
      </c>
    </row>
    <row r="5" spans="1:3" x14ac:dyDescent="0.2">
      <c r="A5">
        <v>60</v>
      </c>
      <c r="B5">
        <v>-2.1999999999999999E-2</v>
      </c>
      <c r="C5">
        <v>-112</v>
      </c>
    </row>
    <row r="6" spans="1:3" x14ac:dyDescent="0.2">
      <c r="A6">
        <v>50</v>
      </c>
      <c r="B6">
        <v>-2.1999999999999999E-2</v>
      </c>
      <c r="C6">
        <v>-102</v>
      </c>
    </row>
    <row r="7" spans="1:3" x14ac:dyDescent="0.2">
      <c r="A7">
        <v>40</v>
      </c>
      <c r="B7">
        <v>-0.02</v>
      </c>
      <c r="C7">
        <v>-92</v>
      </c>
    </row>
    <row r="8" spans="1:3" x14ac:dyDescent="0.2">
      <c r="A8">
        <v>30</v>
      </c>
      <c r="B8">
        <v>-2.3E-2</v>
      </c>
      <c r="C8">
        <v>-82</v>
      </c>
    </row>
    <row r="9" spans="1:3" x14ac:dyDescent="0.2">
      <c r="A9">
        <v>20</v>
      </c>
      <c r="B9">
        <v>-3.2000000000000001E-2</v>
      </c>
      <c r="C9">
        <v>-72</v>
      </c>
    </row>
    <row r="10" spans="1:3" x14ac:dyDescent="0.2">
      <c r="A10">
        <v>10</v>
      </c>
      <c r="B10">
        <v>-9.6000000000000002E-2</v>
      </c>
      <c r="C10">
        <v>-62</v>
      </c>
    </row>
    <row r="11" spans="1:3" x14ac:dyDescent="0.2">
      <c r="A11">
        <v>0</v>
      </c>
      <c r="B11">
        <v>-0.14799999999999999</v>
      </c>
      <c r="C11">
        <v>-52</v>
      </c>
    </row>
    <row r="12" spans="1:3" x14ac:dyDescent="0.2">
      <c r="A12">
        <v>-10</v>
      </c>
      <c r="B12">
        <v>-0.112</v>
      </c>
      <c r="C12">
        <v>-42</v>
      </c>
    </row>
    <row r="13" spans="1:3" x14ac:dyDescent="0.2">
      <c r="A13">
        <v>-20</v>
      </c>
      <c r="B13">
        <v>-3.5999999999999997E-2</v>
      </c>
      <c r="C13">
        <v>-32</v>
      </c>
    </row>
    <row r="14" spans="1:3" x14ac:dyDescent="0.2">
      <c r="A14">
        <v>-30</v>
      </c>
      <c r="B14">
        <v>-2.5999999999999999E-2</v>
      </c>
      <c r="C14">
        <v>-22</v>
      </c>
    </row>
    <row r="15" spans="1:3" x14ac:dyDescent="0.2">
      <c r="A15">
        <v>-40</v>
      </c>
      <c r="B15">
        <v>-2.1999999999999999E-2</v>
      </c>
      <c r="C15">
        <v>-12</v>
      </c>
    </row>
    <row r="16" spans="1:3" x14ac:dyDescent="0.2">
      <c r="A16">
        <v>-50</v>
      </c>
      <c r="B16">
        <v>-2.1000000000000001E-2</v>
      </c>
      <c r="C16">
        <v>-2</v>
      </c>
    </row>
    <row r="17" spans="1:3" x14ac:dyDescent="0.2">
      <c r="A17">
        <v>-60</v>
      </c>
      <c r="B17">
        <v>-2.1000000000000001E-2</v>
      </c>
      <c r="C17">
        <v>8</v>
      </c>
    </row>
    <row r="18" spans="1:3" x14ac:dyDescent="0.2">
      <c r="A18">
        <v>-70</v>
      </c>
      <c r="B18">
        <v>-2.1000000000000001E-2</v>
      </c>
      <c r="C18">
        <v>18</v>
      </c>
    </row>
    <row r="19" spans="1:3" x14ac:dyDescent="0.2">
      <c r="A19">
        <v>-80</v>
      </c>
      <c r="B19">
        <v>-2.1000000000000001E-2</v>
      </c>
      <c r="C19">
        <v>28</v>
      </c>
    </row>
    <row r="20" spans="1:3" x14ac:dyDescent="0.2">
      <c r="A20">
        <v>-90</v>
      </c>
      <c r="B20">
        <v>-0.02</v>
      </c>
      <c r="C20">
        <v>38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CEF3F-11BD-5B4A-A4B7-8A6AE6029B9F}">
  <dimension ref="A1:C33"/>
  <sheetViews>
    <sheetView workbookViewId="0">
      <selection activeCell="F30" sqref="F30"/>
    </sheetView>
  </sheetViews>
  <sheetFormatPr baseColWidth="10" defaultRowHeight="16" x14ac:dyDescent="0.2"/>
  <cols>
    <col min="2" max="2" width="10.83203125" style="6"/>
  </cols>
  <sheetData>
    <row r="1" spans="1:3" x14ac:dyDescent="0.2">
      <c r="A1" s="1" t="s">
        <v>7</v>
      </c>
      <c r="B1" s="5" t="s">
        <v>0</v>
      </c>
      <c r="C1" s="1" t="s">
        <v>8</v>
      </c>
    </row>
    <row r="2" spans="1:3" x14ac:dyDescent="0.2">
      <c r="A2">
        <v>1</v>
      </c>
      <c r="B2" s="6">
        <v>55.15</v>
      </c>
    </row>
    <row r="3" spans="1:3" x14ac:dyDescent="0.2">
      <c r="A3">
        <v>2</v>
      </c>
      <c r="B3" s="6">
        <v>56.8</v>
      </c>
      <c r="C3" s="6">
        <f>B3-B2</f>
        <v>1.6499999999999986</v>
      </c>
    </row>
    <row r="4" spans="1:3" x14ac:dyDescent="0.2">
      <c r="A4">
        <v>3</v>
      </c>
      <c r="B4" s="6">
        <v>58.3</v>
      </c>
      <c r="C4" s="6">
        <f t="shared" ref="C4:C32" si="0">B4-B3</f>
        <v>1.5</v>
      </c>
    </row>
    <row r="5" spans="1:3" x14ac:dyDescent="0.2">
      <c r="A5">
        <v>4</v>
      </c>
      <c r="B5" s="6">
        <v>59.95</v>
      </c>
      <c r="C5" s="6">
        <f t="shared" si="0"/>
        <v>1.6500000000000057</v>
      </c>
    </row>
    <row r="6" spans="1:3" x14ac:dyDescent="0.2">
      <c r="A6">
        <v>5</v>
      </c>
      <c r="B6" s="6">
        <v>61.6</v>
      </c>
      <c r="C6" s="6">
        <f t="shared" si="0"/>
        <v>1.6499999999999986</v>
      </c>
    </row>
    <row r="7" spans="1:3" x14ac:dyDescent="0.2">
      <c r="A7">
        <v>6</v>
      </c>
      <c r="B7" s="6">
        <v>63.35</v>
      </c>
      <c r="C7" s="6">
        <f t="shared" si="0"/>
        <v>1.75</v>
      </c>
    </row>
    <row r="8" spans="1:3" x14ac:dyDescent="0.2">
      <c r="A8">
        <v>7</v>
      </c>
      <c r="B8" s="6">
        <v>64.95</v>
      </c>
      <c r="C8" s="6">
        <f t="shared" si="0"/>
        <v>1.6000000000000014</v>
      </c>
    </row>
    <row r="9" spans="1:3" x14ac:dyDescent="0.2">
      <c r="A9">
        <v>8</v>
      </c>
      <c r="B9" s="6">
        <v>66.599999999999994</v>
      </c>
      <c r="C9" s="6">
        <f t="shared" si="0"/>
        <v>1.6499999999999915</v>
      </c>
    </row>
    <row r="10" spans="1:3" x14ac:dyDescent="0.2">
      <c r="A10">
        <v>9</v>
      </c>
      <c r="B10" s="6">
        <v>68.25</v>
      </c>
      <c r="C10" s="6">
        <f t="shared" si="0"/>
        <v>1.6500000000000057</v>
      </c>
    </row>
    <row r="11" spans="1:3" x14ac:dyDescent="0.2">
      <c r="A11">
        <v>10</v>
      </c>
      <c r="B11" s="6">
        <v>69.75</v>
      </c>
      <c r="C11" s="6">
        <f t="shared" si="0"/>
        <v>1.5</v>
      </c>
    </row>
    <row r="12" spans="1:3" x14ac:dyDescent="0.2">
      <c r="A12">
        <v>11</v>
      </c>
      <c r="B12" s="6">
        <v>71.45</v>
      </c>
      <c r="C12" s="6">
        <f t="shared" si="0"/>
        <v>1.7000000000000028</v>
      </c>
    </row>
    <row r="13" spans="1:3" x14ac:dyDescent="0.2">
      <c r="A13">
        <v>12</v>
      </c>
      <c r="B13" s="6">
        <v>73</v>
      </c>
      <c r="C13" s="6">
        <f t="shared" si="0"/>
        <v>1.5499999999999972</v>
      </c>
    </row>
    <row r="14" spans="1:3" x14ac:dyDescent="0.2">
      <c r="A14">
        <v>13</v>
      </c>
      <c r="B14" s="6">
        <v>74.650000000000006</v>
      </c>
      <c r="C14" s="6">
        <f t="shared" si="0"/>
        <v>1.6500000000000057</v>
      </c>
    </row>
    <row r="15" spans="1:3" x14ac:dyDescent="0.2">
      <c r="A15">
        <v>14</v>
      </c>
      <c r="B15" s="6">
        <v>76.349999999999994</v>
      </c>
      <c r="C15" s="6">
        <f t="shared" si="0"/>
        <v>1.6999999999999886</v>
      </c>
    </row>
    <row r="16" spans="1:3" x14ac:dyDescent="0.2">
      <c r="A16">
        <v>15</v>
      </c>
      <c r="B16" s="6">
        <v>77.900000000000006</v>
      </c>
      <c r="C16" s="6">
        <f t="shared" si="0"/>
        <v>1.5500000000000114</v>
      </c>
    </row>
    <row r="17" spans="1:3" x14ac:dyDescent="0.2">
      <c r="A17">
        <v>16</v>
      </c>
      <c r="B17" s="6">
        <v>79.5</v>
      </c>
      <c r="C17" s="6">
        <f t="shared" si="0"/>
        <v>1.5999999999999943</v>
      </c>
    </row>
    <row r="18" spans="1:3" x14ac:dyDescent="0.2">
      <c r="A18">
        <v>17</v>
      </c>
      <c r="B18" s="6">
        <v>81.099999999999994</v>
      </c>
      <c r="C18" s="6">
        <f t="shared" si="0"/>
        <v>1.5999999999999943</v>
      </c>
    </row>
    <row r="19" spans="1:3" x14ac:dyDescent="0.2">
      <c r="A19">
        <v>18</v>
      </c>
      <c r="B19" s="6">
        <v>82.75</v>
      </c>
      <c r="C19" s="6">
        <f t="shared" si="0"/>
        <v>1.6500000000000057</v>
      </c>
    </row>
    <row r="20" spans="1:3" x14ac:dyDescent="0.2">
      <c r="A20">
        <v>19</v>
      </c>
      <c r="B20" s="6">
        <v>84.4</v>
      </c>
      <c r="C20" s="6">
        <f t="shared" si="0"/>
        <v>1.6500000000000057</v>
      </c>
    </row>
    <row r="21" spans="1:3" x14ac:dyDescent="0.2">
      <c r="A21">
        <v>20</v>
      </c>
      <c r="B21" s="6">
        <v>86</v>
      </c>
      <c r="C21" s="6">
        <f t="shared" si="0"/>
        <v>1.5999999999999943</v>
      </c>
    </row>
    <row r="22" spans="1:3" x14ac:dyDescent="0.2">
      <c r="A22">
        <v>21</v>
      </c>
      <c r="B22" s="6">
        <v>87.6</v>
      </c>
      <c r="C22" s="6">
        <f t="shared" si="0"/>
        <v>1.5999999999999943</v>
      </c>
    </row>
    <row r="23" spans="1:3" x14ac:dyDescent="0.2">
      <c r="A23">
        <v>22</v>
      </c>
      <c r="B23" s="6">
        <v>89.2</v>
      </c>
      <c r="C23" s="6">
        <f t="shared" si="0"/>
        <v>1.6000000000000085</v>
      </c>
    </row>
    <row r="24" spans="1:3" x14ac:dyDescent="0.2">
      <c r="A24">
        <v>23</v>
      </c>
      <c r="B24" s="6">
        <v>90.8</v>
      </c>
      <c r="C24" s="6">
        <f t="shared" si="0"/>
        <v>1.5999999999999943</v>
      </c>
    </row>
    <row r="25" spans="1:3" x14ac:dyDescent="0.2">
      <c r="A25">
        <v>24</v>
      </c>
      <c r="B25" s="6">
        <v>92.4</v>
      </c>
      <c r="C25" s="6">
        <f t="shared" si="0"/>
        <v>1.6000000000000085</v>
      </c>
    </row>
    <row r="26" spans="1:3" x14ac:dyDescent="0.2">
      <c r="A26">
        <v>25</v>
      </c>
      <c r="B26" s="6">
        <v>93.95</v>
      </c>
      <c r="C26" s="6">
        <f t="shared" si="0"/>
        <v>1.5499999999999972</v>
      </c>
    </row>
    <row r="27" spans="1:3" x14ac:dyDescent="0.2">
      <c r="A27">
        <v>26</v>
      </c>
      <c r="B27" s="6">
        <v>95.6</v>
      </c>
      <c r="C27" s="6">
        <f t="shared" si="0"/>
        <v>1.6499999999999915</v>
      </c>
    </row>
    <row r="28" spans="1:3" x14ac:dyDescent="0.2">
      <c r="A28">
        <v>27</v>
      </c>
      <c r="B28" s="6">
        <v>97.2</v>
      </c>
      <c r="C28" s="6">
        <f t="shared" si="0"/>
        <v>1.6000000000000085</v>
      </c>
    </row>
    <row r="29" spans="1:3" x14ac:dyDescent="0.2">
      <c r="A29">
        <v>28</v>
      </c>
      <c r="B29" s="6">
        <v>98.95</v>
      </c>
      <c r="C29" s="6">
        <f t="shared" si="0"/>
        <v>1.75</v>
      </c>
    </row>
    <row r="30" spans="1:3" x14ac:dyDescent="0.2">
      <c r="A30">
        <v>29</v>
      </c>
      <c r="B30" s="6">
        <v>100.6</v>
      </c>
      <c r="C30" s="6">
        <f t="shared" si="0"/>
        <v>1.6499999999999915</v>
      </c>
    </row>
    <row r="31" spans="1:3" x14ac:dyDescent="0.2">
      <c r="A31">
        <v>30</v>
      </c>
      <c r="B31" s="6">
        <v>102.3</v>
      </c>
      <c r="C31" s="6">
        <f t="shared" si="0"/>
        <v>1.7000000000000028</v>
      </c>
    </row>
    <row r="32" spans="1:3" x14ac:dyDescent="0.2">
      <c r="A32">
        <v>30</v>
      </c>
      <c r="B32" s="6">
        <v>104</v>
      </c>
      <c r="C32" s="7">
        <f t="shared" si="0"/>
        <v>1.7000000000000028</v>
      </c>
    </row>
    <row r="33" spans="3:3" x14ac:dyDescent="0.2">
      <c r="C33" s="8">
        <f>SUM(C3:C32)/30</f>
        <v>1.6283333333333334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E1D1-7357-C846-83EA-FCF3E3D218FF}">
  <dimension ref="A1:C12"/>
  <sheetViews>
    <sheetView workbookViewId="0">
      <selection activeCell="C15" sqref="C15"/>
    </sheetView>
  </sheetViews>
  <sheetFormatPr baseColWidth="10" defaultRowHeight="16" x14ac:dyDescent="0.2"/>
  <cols>
    <col min="2" max="2" width="10.83203125" style="10"/>
  </cols>
  <sheetData>
    <row r="1" spans="1:3" x14ac:dyDescent="0.2">
      <c r="A1" s="1" t="s">
        <v>7</v>
      </c>
      <c r="B1" s="9" t="s">
        <v>10</v>
      </c>
      <c r="C1" s="1" t="s">
        <v>8</v>
      </c>
    </row>
    <row r="2" spans="1:3" x14ac:dyDescent="0.2">
      <c r="A2">
        <v>1</v>
      </c>
      <c r="B2" s="10">
        <v>0.5</v>
      </c>
    </row>
    <row r="3" spans="1:3" x14ac:dyDescent="0.2">
      <c r="A3">
        <v>2</v>
      </c>
      <c r="B3" s="10">
        <v>2.2000000000000002</v>
      </c>
      <c r="C3">
        <f>B3-B2</f>
        <v>1.7000000000000002</v>
      </c>
    </row>
    <row r="4" spans="1:3" x14ac:dyDescent="0.2">
      <c r="A4">
        <v>3</v>
      </c>
      <c r="B4" s="10">
        <v>3.8</v>
      </c>
      <c r="C4">
        <f t="shared" ref="C4:C13" si="0">B4-B3</f>
        <v>1.5999999999999996</v>
      </c>
    </row>
    <row r="5" spans="1:3" x14ac:dyDescent="0.2">
      <c r="A5">
        <v>4</v>
      </c>
      <c r="B5" s="10">
        <v>5.3</v>
      </c>
      <c r="C5">
        <f t="shared" si="0"/>
        <v>1.5</v>
      </c>
    </row>
    <row r="6" spans="1:3" x14ac:dyDescent="0.2">
      <c r="A6">
        <v>5</v>
      </c>
      <c r="B6" s="10">
        <v>7.1</v>
      </c>
      <c r="C6">
        <f t="shared" si="0"/>
        <v>1.7999999999999998</v>
      </c>
    </row>
    <row r="7" spans="1:3" x14ac:dyDescent="0.2">
      <c r="A7">
        <v>6</v>
      </c>
      <c r="B7" s="10">
        <v>8.6</v>
      </c>
      <c r="C7">
        <f t="shared" si="0"/>
        <v>1.5</v>
      </c>
    </row>
    <row r="8" spans="1:3" x14ac:dyDescent="0.2">
      <c r="A8">
        <v>7</v>
      </c>
      <c r="B8" s="10">
        <v>10.199999999999999</v>
      </c>
      <c r="C8">
        <f t="shared" si="0"/>
        <v>1.5999999999999996</v>
      </c>
    </row>
    <row r="9" spans="1:3" x14ac:dyDescent="0.2">
      <c r="A9">
        <v>8</v>
      </c>
      <c r="B9" s="10">
        <v>12</v>
      </c>
      <c r="C9">
        <f t="shared" si="0"/>
        <v>1.8000000000000007</v>
      </c>
    </row>
    <row r="10" spans="1:3" x14ac:dyDescent="0.2">
      <c r="A10">
        <v>9</v>
      </c>
      <c r="B10" s="10">
        <v>13.7</v>
      </c>
      <c r="C10">
        <f t="shared" si="0"/>
        <v>1.6999999999999993</v>
      </c>
    </row>
    <row r="11" spans="1:3" x14ac:dyDescent="0.2">
      <c r="A11">
        <v>10</v>
      </c>
      <c r="B11" s="10">
        <v>15.3</v>
      </c>
      <c r="C11">
        <f t="shared" si="0"/>
        <v>1.6000000000000014</v>
      </c>
    </row>
    <row r="12" spans="1:3" x14ac:dyDescent="0.2">
      <c r="A12">
        <v>11</v>
      </c>
      <c r="B12" s="10">
        <v>16.899999999999999</v>
      </c>
      <c r="C12">
        <f t="shared" si="0"/>
        <v>1.5999999999999979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78FB-EBDB-5D46-B4AF-29F96BCB6271}">
  <dimension ref="A1:C14"/>
  <sheetViews>
    <sheetView workbookViewId="0">
      <selection activeCell="A16" sqref="A16"/>
    </sheetView>
  </sheetViews>
  <sheetFormatPr baseColWidth="10" defaultRowHeight="16" x14ac:dyDescent="0.2"/>
  <cols>
    <col min="1" max="1" width="10.83203125" style="6"/>
    <col min="2" max="3" width="10.83203125" style="12"/>
  </cols>
  <sheetData>
    <row r="1" spans="1:3" x14ac:dyDescent="0.2">
      <c r="A1" s="5" t="s">
        <v>10</v>
      </c>
      <c r="B1" s="11" t="s">
        <v>11</v>
      </c>
      <c r="C1" s="11" t="s">
        <v>12</v>
      </c>
    </row>
    <row r="2" spans="1:3" x14ac:dyDescent="0.2">
      <c r="A2" s="6">
        <v>15.35</v>
      </c>
      <c r="B2" s="12">
        <v>0.29499999999999998</v>
      </c>
      <c r="C2" s="12">
        <v>0.18</v>
      </c>
    </row>
    <row r="3" spans="1:3" x14ac:dyDescent="0.2">
      <c r="A3" s="6">
        <v>15</v>
      </c>
      <c r="B3" s="12">
        <v>0.26100000000000001</v>
      </c>
      <c r="C3" s="12">
        <v>0.19500000000000001</v>
      </c>
    </row>
    <row r="4" spans="1:3" x14ac:dyDescent="0.2">
      <c r="A4" s="6">
        <v>14.5</v>
      </c>
      <c r="B4" s="12">
        <v>0.21099999999999999</v>
      </c>
      <c r="C4" s="12">
        <v>0.19800000000000001</v>
      </c>
    </row>
    <row r="5" spans="1:3" x14ac:dyDescent="0.2">
      <c r="A5" s="6">
        <v>14</v>
      </c>
      <c r="B5" s="12">
        <v>0.13600000000000001</v>
      </c>
      <c r="C5" s="12">
        <v>0.2</v>
      </c>
    </row>
    <row r="6" spans="1:3" x14ac:dyDescent="0.2">
      <c r="A6" s="6">
        <v>13.5</v>
      </c>
      <c r="B6" s="12">
        <v>0.1</v>
      </c>
      <c r="C6" s="12">
        <v>0.20200000000000001</v>
      </c>
    </row>
    <row r="7" spans="1:3" x14ac:dyDescent="0.2">
      <c r="A7" s="6">
        <v>13</v>
      </c>
      <c r="B7" s="12">
        <v>8.5999999999999993E-2</v>
      </c>
      <c r="C7" s="12">
        <v>0.20300000000000001</v>
      </c>
    </row>
    <row r="8" spans="1:3" x14ac:dyDescent="0.2">
      <c r="A8" s="6">
        <v>12.5</v>
      </c>
      <c r="B8" s="12">
        <v>7.5999999999999998E-2</v>
      </c>
      <c r="C8" s="12">
        <v>0.20599999999999999</v>
      </c>
    </row>
    <row r="9" spans="1:3" x14ac:dyDescent="0.2">
      <c r="A9" s="6">
        <v>12</v>
      </c>
      <c r="B9" s="12">
        <v>7.1999999999999995E-2</v>
      </c>
      <c r="C9" s="12">
        <v>0.20799999999999999</v>
      </c>
    </row>
    <row r="10" spans="1:3" x14ac:dyDescent="0.2">
      <c r="A10" s="6">
        <v>11.5</v>
      </c>
      <c r="B10" s="12">
        <v>7.2999999999999995E-2</v>
      </c>
      <c r="C10" s="12">
        <v>0.19800000000000001</v>
      </c>
    </row>
    <row r="11" spans="1:3" x14ac:dyDescent="0.2">
      <c r="A11" s="6">
        <v>11</v>
      </c>
      <c r="B11" s="12">
        <v>7.4999999999999997E-2</v>
      </c>
      <c r="C11" s="12">
        <v>0.19700000000000001</v>
      </c>
    </row>
    <row r="12" spans="1:3" x14ac:dyDescent="0.2">
      <c r="A12" s="6">
        <v>10.5</v>
      </c>
      <c r="B12" s="12">
        <v>7.0000000000000007E-2</v>
      </c>
      <c r="C12" s="12">
        <v>0.19</v>
      </c>
    </row>
    <row r="13" spans="1:3" x14ac:dyDescent="0.2">
      <c r="A13" s="6">
        <v>10</v>
      </c>
      <c r="B13" s="12">
        <v>7.0000000000000007E-2</v>
      </c>
      <c r="C13" s="12">
        <v>0.189</v>
      </c>
    </row>
    <row r="14" spans="1:3" x14ac:dyDescent="0.2">
      <c r="A14" s="6">
        <v>9.5</v>
      </c>
      <c r="B14" s="12">
        <v>7.0000000000000007E-2</v>
      </c>
      <c r="C14" s="12">
        <v>0.19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BA552-5418-AA47-A252-64176313A8F6}">
  <dimension ref="A1:B20"/>
  <sheetViews>
    <sheetView workbookViewId="0">
      <selection activeCell="B21" sqref="B21"/>
    </sheetView>
  </sheetViews>
  <sheetFormatPr baseColWidth="10" defaultRowHeight="16" x14ac:dyDescent="0.2"/>
  <sheetData>
    <row r="1" spans="1:2" x14ac:dyDescent="0.2">
      <c r="A1" s="1" t="s">
        <v>6</v>
      </c>
      <c r="B1" s="1" t="s">
        <v>13</v>
      </c>
    </row>
    <row r="2" spans="1:2" x14ac:dyDescent="0.2">
      <c r="A2">
        <v>0</v>
      </c>
      <c r="B2">
        <v>0.26400000000000001</v>
      </c>
    </row>
    <row r="3" spans="1:2" x14ac:dyDescent="0.2">
      <c r="A3">
        <v>10</v>
      </c>
      <c r="B3">
        <v>0.248</v>
      </c>
    </row>
    <row r="4" spans="1:2" x14ac:dyDescent="0.2">
      <c r="A4">
        <v>20</v>
      </c>
      <c r="B4">
        <v>0.218</v>
      </c>
    </row>
    <row r="5" spans="1:2" x14ac:dyDescent="0.2">
      <c r="A5">
        <v>30</v>
      </c>
      <c r="B5">
        <v>0.19600000000000001</v>
      </c>
    </row>
    <row r="6" spans="1:2" x14ac:dyDescent="0.2">
      <c r="A6">
        <v>40</v>
      </c>
      <c r="B6">
        <v>0.20899999999999999</v>
      </c>
    </row>
    <row r="7" spans="1:2" x14ac:dyDescent="0.2">
      <c r="A7">
        <v>50</v>
      </c>
      <c r="B7">
        <v>0.27500000000000002</v>
      </c>
    </row>
    <row r="8" spans="1:2" x14ac:dyDescent="0.2">
      <c r="A8">
        <v>60</v>
      </c>
      <c r="B8">
        <v>0.33700000000000002</v>
      </c>
    </row>
    <row r="9" spans="1:2" x14ac:dyDescent="0.2">
      <c r="A9">
        <v>70</v>
      </c>
      <c r="B9">
        <v>0.42399999999999999</v>
      </c>
    </row>
    <row r="10" spans="1:2" x14ac:dyDescent="0.2">
      <c r="A10">
        <v>80</v>
      </c>
      <c r="B10">
        <v>0.47</v>
      </c>
    </row>
    <row r="11" spans="1:2" x14ac:dyDescent="0.2">
      <c r="A11">
        <v>90</v>
      </c>
      <c r="B11">
        <v>0.48599999999999999</v>
      </c>
    </row>
    <row r="12" spans="1:2" x14ac:dyDescent="0.2">
      <c r="A12">
        <v>100</v>
      </c>
      <c r="B12">
        <v>0.47799999999999998</v>
      </c>
    </row>
    <row r="13" spans="1:2" x14ac:dyDescent="0.2">
      <c r="A13">
        <v>110</v>
      </c>
      <c r="B13">
        <v>0.435</v>
      </c>
    </row>
    <row r="14" spans="1:2" x14ac:dyDescent="0.2">
      <c r="A14">
        <v>120</v>
      </c>
      <c r="B14">
        <v>0.35399999999999998</v>
      </c>
    </row>
    <row r="15" spans="1:2" x14ac:dyDescent="0.2">
      <c r="A15">
        <v>130</v>
      </c>
      <c r="B15">
        <v>0.28399999999999997</v>
      </c>
    </row>
    <row r="16" spans="1:2" x14ac:dyDescent="0.2">
      <c r="A16">
        <v>140</v>
      </c>
      <c r="B16">
        <v>0.23200000000000001</v>
      </c>
    </row>
    <row r="17" spans="1:2" x14ac:dyDescent="0.2">
      <c r="A17">
        <v>150</v>
      </c>
      <c r="B17">
        <v>0.215</v>
      </c>
    </row>
    <row r="18" spans="1:2" x14ac:dyDescent="0.2">
      <c r="A18">
        <v>160</v>
      </c>
      <c r="B18">
        <v>0.222</v>
      </c>
    </row>
    <row r="19" spans="1:2" x14ac:dyDescent="0.2">
      <c r="A19">
        <v>170</v>
      </c>
      <c r="B19">
        <v>0.254</v>
      </c>
    </row>
    <row r="20" spans="1:2" x14ac:dyDescent="0.2">
      <c r="A20">
        <v>180</v>
      </c>
      <c r="B20">
        <v>0.26600000000000001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1136-13AF-4242-B314-36C03CE96922}">
  <dimension ref="A1:D32"/>
  <sheetViews>
    <sheetView workbookViewId="0">
      <selection activeCell="F19" sqref="F19"/>
    </sheetView>
  </sheetViews>
  <sheetFormatPr baseColWidth="10" defaultRowHeight="16" x14ac:dyDescent="0.2"/>
  <cols>
    <col min="1" max="1" width="12.33203125" bestFit="1" customWidth="1"/>
    <col min="2" max="2" width="13.83203125" bestFit="1" customWidth="1"/>
    <col min="3" max="4" width="10.83203125" style="12"/>
  </cols>
  <sheetData>
    <row r="1" spans="1:4" x14ac:dyDescent="0.2">
      <c r="A1" s="1" t="s">
        <v>14</v>
      </c>
      <c r="B1" s="1" t="s">
        <v>15</v>
      </c>
      <c r="C1" s="11" t="s">
        <v>16</v>
      </c>
      <c r="D1" s="11" t="s">
        <v>17</v>
      </c>
    </row>
    <row r="2" spans="1:4" x14ac:dyDescent="0.2">
      <c r="A2">
        <v>0</v>
      </c>
      <c r="B2">
        <v>0</v>
      </c>
      <c r="C2" s="12">
        <v>0.24</v>
      </c>
      <c r="D2" s="12">
        <v>0.28499999999999998</v>
      </c>
    </row>
    <row r="3" spans="1:4" x14ac:dyDescent="0.2">
      <c r="A3">
        <v>2</v>
      </c>
      <c r="B3">
        <v>4</v>
      </c>
      <c r="C3" s="12">
        <v>0.28399999999999997</v>
      </c>
      <c r="D3" s="12">
        <v>0.28000000000000003</v>
      </c>
    </row>
    <row r="4" spans="1:4" x14ac:dyDescent="0.2">
      <c r="A4">
        <v>4</v>
      </c>
      <c r="B4">
        <v>8</v>
      </c>
      <c r="C4" s="12">
        <v>0.154</v>
      </c>
      <c r="D4" s="12">
        <v>0.159</v>
      </c>
    </row>
    <row r="5" spans="1:4" x14ac:dyDescent="0.2">
      <c r="A5">
        <v>6</v>
      </c>
      <c r="B5">
        <v>12</v>
      </c>
      <c r="C5" s="12">
        <v>0.08</v>
      </c>
      <c r="D5" s="12">
        <v>8.2000000000000003E-2</v>
      </c>
    </row>
    <row r="6" spans="1:4" x14ac:dyDescent="0.2">
      <c r="A6">
        <v>8</v>
      </c>
      <c r="B6">
        <v>16</v>
      </c>
      <c r="C6" s="12">
        <v>7.6999999999999999E-2</v>
      </c>
      <c r="D6" s="12">
        <v>7.0999999999999994E-2</v>
      </c>
    </row>
    <row r="7" spans="1:4" x14ac:dyDescent="0.2">
      <c r="A7">
        <v>10</v>
      </c>
      <c r="B7">
        <v>20</v>
      </c>
      <c r="C7" s="12">
        <v>6.0999999999999999E-2</v>
      </c>
      <c r="D7" s="12">
        <v>6.3E-2</v>
      </c>
    </row>
    <row r="8" spans="1:4" x14ac:dyDescent="0.2">
      <c r="A8">
        <v>12</v>
      </c>
      <c r="B8">
        <v>24</v>
      </c>
      <c r="C8" s="12">
        <v>6.0999999999999999E-2</v>
      </c>
      <c r="D8" s="12">
        <v>6.5000000000000002E-2</v>
      </c>
    </row>
    <row r="9" spans="1:4" x14ac:dyDescent="0.2">
      <c r="A9">
        <v>14</v>
      </c>
      <c r="B9">
        <v>28</v>
      </c>
      <c r="C9" s="12">
        <v>6.7000000000000004E-2</v>
      </c>
      <c r="D9" s="12">
        <v>6.3E-2</v>
      </c>
    </row>
    <row r="10" spans="1:4" x14ac:dyDescent="0.2">
      <c r="A10">
        <v>16</v>
      </c>
      <c r="B10">
        <v>32</v>
      </c>
      <c r="C10" s="12">
        <v>7.4999999999999997E-2</v>
      </c>
      <c r="D10" s="12">
        <v>6.0999999999999999E-2</v>
      </c>
    </row>
    <row r="11" spans="1:4" x14ac:dyDescent="0.2">
      <c r="A11">
        <v>18</v>
      </c>
      <c r="B11">
        <v>36</v>
      </c>
      <c r="C11" s="12">
        <v>7.9000000000000001E-2</v>
      </c>
      <c r="D11" s="12">
        <v>6.3E-2</v>
      </c>
    </row>
    <row r="12" spans="1:4" x14ac:dyDescent="0.2">
      <c r="A12">
        <v>20</v>
      </c>
      <c r="B12">
        <v>40</v>
      </c>
      <c r="C12" s="12">
        <v>7.5999999999999998E-2</v>
      </c>
      <c r="D12" s="12">
        <v>6.3E-2</v>
      </c>
    </row>
    <row r="13" spans="1:4" x14ac:dyDescent="0.2">
      <c r="A13">
        <v>22</v>
      </c>
      <c r="B13">
        <v>44</v>
      </c>
      <c r="C13" s="12">
        <v>9.4E-2</v>
      </c>
      <c r="D13" s="12">
        <v>6.6000000000000003E-2</v>
      </c>
    </row>
    <row r="14" spans="1:4" x14ac:dyDescent="0.2">
      <c r="A14">
        <v>24</v>
      </c>
      <c r="B14">
        <v>48</v>
      </c>
      <c r="C14" s="12">
        <v>0.158</v>
      </c>
      <c r="D14" s="12">
        <v>6.2E-2</v>
      </c>
    </row>
    <row r="15" spans="1:4" x14ac:dyDescent="0.2">
      <c r="A15">
        <v>26</v>
      </c>
      <c r="B15">
        <v>52</v>
      </c>
      <c r="C15" s="12">
        <v>0.19800000000000001</v>
      </c>
      <c r="D15" s="12">
        <v>6.0999999999999999E-2</v>
      </c>
    </row>
    <row r="16" spans="1:4" x14ac:dyDescent="0.2">
      <c r="A16">
        <v>28</v>
      </c>
      <c r="B16">
        <v>56</v>
      </c>
      <c r="C16" s="12">
        <v>0.14399999999999999</v>
      </c>
      <c r="D16" s="12">
        <v>6.3E-2</v>
      </c>
    </row>
    <row r="17" spans="1:4" x14ac:dyDescent="0.2">
      <c r="A17">
        <v>30</v>
      </c>
      <c r="B17">
        <v>60</v>
      </c>
      <c r="C17" s="12">
        <v>8.2000000000000003E-2</v>
      </c>
      <c r="D17" s="12">
        <v>8.5000000000000006E-2</v>
      </c>
    </row>
    <row r="18" spans="1:4" x14ac:dyDescent="0.2">
      <c r="A18">
        <v>32</v>
      </c>
      <c r="B18">
        <v>64</v>
      </c>
      <c r="C18" s="12">
        <v>6.6000000000000003E-2</v>
      </c>
      <c r="D18" s="12">
        <v>0.123</v>
      </c>
    </row>
    <row r="19" spans="1:4" x14ac:dyDescent="0.2">
      <c r="A19">
        <v>34</v>
      </c>
      <c r="B19">
        <v>68</v>
      </c>
      <c r="C19" s="12">
        <v>6.4000000000000001E-2</v>
      </c>
      <c r="D19" s="12">
        <v>0.17299999999999999</v>
      </c>
    </row>
    <row r="20" spans="1:4" x14ac:dyDescent="0.2">
      <c r="A20">
        <v>36</v>
      </c>
      <c r="B20">
        <v>72</v>
      </c>
      <c r="C20" s="12">
        <v>0.06</v>
      </c>
      <c r="D20" s="12">
        <v>0.17199999999999999</v>
      </c>
    </row>
    <row r="21" spans="1:4" x14ac:dyDescent="0.2">
      <c r="A21">
        <v>38</v>
      </c>
      <c r="B21">
        <v>76</v>
      </c>
      <c r="C21" s="12">
        <v>7.6999999999999999E-2</v>
      </c>
      <c r="D21" s="12">
        <v>0.126</v>
      </c>
    </row>
    <row r="22" spans="1:4" x14ac:dyDescent="0.2">
      <c r="A22">
        <v>40</v>
      </c>
      <c r="B22">
        <v>80</v>
      </c>
      <c r="C22" s="12">
        <v>8.2000000000000003E-2</v>
      </c>
      <c r="D22" s="12">
        <v>0.08</v>
      </c>
    </row>
    <row r="23" spans="1:4" x14ac:dyDescent="0.2">
      <c r="A23">
        <v>42</v>
      </c>
      <c r="B23">
        <v>84</v>
      </c>
      <c r="C23" s="12">
        <v>7.0000000000000007E-2</v>
      </c>
      <c r="D23" s="12">
        <v>7.0999999999999994E-2</v>
      </c>
    </row>
    <row r="24" spans="1:4" x14ac:dyDescent="0.2">
      <c r="A24">
        <v>44</v>
      </c>
      <c r="B24">
        <v>88</v>
      </c>
      <c r="C24" s="12">
        <v>6.6000000000000003E-2</v>
      </c>
      <c r="D24" s="12">
        <v>6.4000000000000001E-2</v>
      </c>
    </row>
    <row r="25" spans="1:4" x14ac:dyDescent="0.2">
      <c r="A25">
        <v>46</v>
      </c>
      <c r="B25">
        <v>92</v>
      </c>
      <c r="C25" s="12">
        <v>6.3E-2</v>
      </c>
      <c r="D25" s="12">
        <v>6.0999999999999999E-2</v>
      </c>
    </row>
    <row r="26" spans="1:4" x14ac:dyDescent="0.2">
      <c r="A26">
        <v>48</v>
      </c>
      <c r="B26">
        <v>96</v>
      </c>
      <c r="C26" s="12">
        <v>7.1999999999999995E-2</v>
      </c>
      <c r="D26" s="12">
        <v>6.2E-2</v>
      </c>
    </row>
    <row r="27" spans="1:4" x14ac:dyDescent="0.2">
      <c r="A27">
        <v>50</v>
      </c>
      <c r="B27">
        <v>100</v>
      </c>
      <c r="C27" s="12">
        <v>0.105</v>
      </c>
      <c r="D27" s="12">
        <v>6.2E-2</v>
      </c>
    </row>
    <row r="28" spans="1:4" x14ac:dyDescent="0.2">
      <c r="A28">
        <v>52</v>
      </c>
      <c r="B28">
        <v>104</v>
      </c>
      <c r="C28" s="12">
        <v>0.14399999999999999</v>
      </c>
    </row>
    <row r="29" spans="1:4" x14ac:dyDescent="0.2">
      <c r="A29">
        <v>54</v>
      </c>
      <c r="B29">
        <v>108</v>
      </c>
      <c r="C29" s="12">
        <v>0.16800000000000001</v>
      </c>
    </row>
    <row r="30" spans="1:4" x14ac:dyDescent="0.2">
      <c r="A30">
        <v>56</v>
      </c>
      <c r="B30">
        <v>112</v>
      </c>
      <c r="C30" s="12">
        <v>0.14699999999999999</v>
      </c>
    </row>
    <row r="31" spans="1:4" x14ac:dyDescent="0.2">
      <c r="A31">
        <v>58</v>
      </c>
      <c r="B31">
        <v>116</v>
      </c>
      <c r="C31" s="12">
        <v>0.121</v>
      </c>
    </row>
    <row r="32" spans="1:4" x14ac:dyDescent="0.2">
      <c r="A32">
        <v>60</v>
      </c>
      <c r="B32">
        <v>120</v>
      </c>
      <c r="C32" s="12">
        <v>7.6999999999999999E-2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0294A-9866-634B-95FE-024A4FDF98BD}">
  <dimension ref="A1"/>
  <sheetViews>
    <sheetView tabSelected="1" workbookViewId="0">
      <selection activeCell="A2" sqref="A2"/>
    </sheetView>
  </sheetViews>
  <sheetFormatPr baseColWidth="10" defaultRowHeight="16" x14ac:dyDescent="0.2"/>
  <sheetData>
    <row r="1" spans="1:1" x14ac:dyDescent="0.2">
      <c r="A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2.3 Brennweitenbestimmung</vt:lpstr>
      <vt:lpstr>2.2 Winkelverteilung</vt:lpstr>
      <vt:lpstr>2.4 stehende Welle</vt:lpstr>
      <vt:lpstr>2.5 Michelson-Interfeometer</vt:lpstr>
      <vt:lpstr>2.6 Totalreflexion</vt:lpstr>
      <vt:lpstr>2.7 Polarisation</vt:lpstr>
      <vt:lpstr>2.8 Gitterkonstante</vt:lpstr>
      <vt:lpstr>2.9 Wellenleiter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Wurster</dc:creator>
  <cp:lastModifiedBy>Martin Wurster</cp:lastModifiedBy>
  <dcterms:created xsi:type="dcterms:W3CDTF">2026-06-10T12:27:57Z</dcterms:created>
  <dcterms:modified xsi:type="dcterms:W3CDTF">2026-06-10T15:47:28Z</dcterms:modified>
</cp:coreProperties>
</file>